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tdg-adv-filesvr\Public\KPIs\Adairsville Data\Cuts per hour\"/>
    </mc:Choice>
  </mc:AlternateContent>
  <xr:revisionPtr revIDLastSave="0" documentId="13_ncr:1_{A7FAEDD8-A0F2-4CD8-8E28-CD3852598ED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ontrol Panel" sheetId="2" r:id="rId2"/>
    <sheet name="Results" sheetId="9" r:id="rId3"/>
    <sheet name="Report" sheetId="6" r:id="rId4"/>
    <sheet name="Summary" sheetId="7" r:id="rId5"/>
    <sheet name="Specs" sheetId="8" r:id="rId6"/>
  </sheets>
  <definedNames>
    <definedName name="_xlnm._FilterDatabase" localSheetId="0" hidden="1">Data!$A$1:$V$1</definedName>
    <definedName name="_xlnm._FilterDatabase" localSheetId="3" hidden="1">Report!$A$1:$AA$639</definedName>
    <definedName name="Machine">OFFSET(Report!$B$2,0,0,COUNTA(Report!$B:$B)-1,1)</definedName>
    <definedName name="Time">OFFSET(Report!$E$2,0,0,COUNTA(Report!$E:$E)-1,1)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2" l="1"/>
  <c r="J24" i="2" s="1"/>
  <c r="I8" i="2"/>
  <c r="E24" i="2" s="1"/>
  <c r="I6" i="2"/>
  <c r="O19" i="2"/>
  <c r="O18" i="2"/>
  <c r="O17" i="2"/>
  <c r="O16" i="2"/>
  <c r="O9" i="2"/>
  <c r="O6" i="2"/>
  <c r="O7" i="2" s="1"/>
  <c r="O8" i="2" s="1"/>
  <c r="O38" i="2"/>
  <c r="O37" i="2"/>
  <c r="O36" i="2"/>
  <c r="O35" i="2"/>
  <c r="O28" i="2"/>
  <c r="O25" i="2"/>
  <c r="O26" i="2" s="1"/>
  <c r="O27" i="2" s="1"/>
  <c r="J38" i="2"/>
  <c r="J37" i="2"/>
  <c r="J36" i="2"/>
  <c r="J35" i="2"/>
  <c r="J28" i="2"/>
  <c r="J25" i="2"/>
  <c r="J26" i="2" s="1"/>
  <c r="J27" i="2" s="1"/>
  <c r="E38" i="2"/>
  <c r="E37" i="2"/>
  <c r="E36" i="2"/>
  <c r="E35" i="2"/>
  <c r="E28" i="2"/>
  <c r="E25" i="2"/>
  <c r="E26" i="2" s="1"/>
  <c r="E27" i="2" s="1"/>
  <c r="A44" i="2" a="1"/>
  <c r="A44" i="2" l="1"/>
  <c r="I12" i="2"/>
  <c r="O5" i="2" s="1"/>
  <c r="O10" i="2" s="1"/>
  <c r="O11" i="2" s="1"/>
  <c r="O13" i="2"/>
  <c r="E32" i="2"/>
  <c r="J32" i="2"/>
  <c r="J29" i="2"/>
  <c r="J30" i="2" s="1"/>
  <c r="J33" i="2" s="1"/>
  <c r="O24" i="2"/>
  <c r="O32" i="2" s="1"/>
  <c r="O29" i="2"/>
  <c r="O30" i="2" s="1"/>
  <c r="O33" i="2" s="1"/>
  <c r="E29" i="2"/>
  <c r="E30" i="2" s="1"/>
  <c r="E33" i="2" s="1"/>
  <c r="H6" i="2"/>
  <c r="H8" i="2"/>
  <c r="H10" i="2"/>
  <c r="G10" i="2"/>
  <c r="G8" i="2"/>
  <c r="G6" i="2"/>
  <c r="O14" i="2" l="1"/>
  <c r="H12" i="2"/>
  <c r="I37" i="2" l="1"/>
  <c r="N37" i="2"/>
  <c r="M37" i="2"/>
  <c r="H37" i="2"/>
  <c r="D37" i="2"/>
  <c r="C37" i="2"/>
  <c r="N18" i="2"/>
  <c r="M18" i="2"/>
  <c r="N35" i="2"/>
  <c r="N36" i="2"/>
  <c r="N38" i="2"/>
  <c r="M38" i="2"/>
  <c r="M36" i="2"/>
  <c r="M35" i="2"/>
  <c r="I35" i="2"/>
  <c r="I36" i="2"/>
  <c r="I38" i="2"/>
  <c r="H38" i="2"/>
  <c r="H36" i="2"/>
  <c r="H35" i="2"/>
  <c r="D35" i="2"/>
  <c r="D36" i="2"/>
  <c r="D38" i="2"/>
  <c r="C38" i="2"/>
  <c r="C36" i="2"/>
  <c r="C35" i="2"/>
  <c r="N16" i="2"/>
  <c r="N17" i="2"/>
  <c r="N19" i="2"/>
  <c r="M19" i="2"/>
  <c r="M17" i="2"/>
  <c r="M16" i="2"/>
  <c r="N28" i="2" l="1"/>
  <c r="M28" i="2"/>
  <c r="I28" i="2"/>
  <c r="H28" i="2"/>
  <c r="D28" i="2"/>
  <c r="C28" i="2"/>
  <c r="N25" i="2"/>
  <c r="N26" i="2" s="1"/>
  <c r="N27" i="2" s="1"/>
  <c r="M25" i="2"/>
  <c r="M26" i="2" s="1"/>
  <c r="M27" i="2" s="1"/>
  <c r="I25" i="2"/>
  <c r="I26" i="2" s="1"/>
  <c r="H25" i="2"/>
  <c r="H26" i="2" s="1"/>
  <c r="H27" i="2" s="1"/>
  <c r="D25" i="2"/>
  <c r="D26" i="2" s="1"/>
  <c r="C25" i="2"/>
  <c r="C26" i="2" s="1"/>
  <c r="H24" i="2"/>
  <c r="I24" i="2"/>
  <c r="I29" i="2" s="1"/>
  <c r="N9" i="2"/>
  <c r="M9" i="2"/>
  <c r="D24" i="2"/>
  <c r="D29" i="2" s="1"/>
  <c r="C24" i="2"/>
  <c r="C29" i="2" s="1"/>
  <c r="N6" i="2"/>
  <c r="N7" i="2" s="1"/>
  <c r="M6" i="2"/>
  <c r="M7" i="2" s="1"/>
  <c r="N24" i="2"/>
  <c r="M24" i="2"/>
  <c r="H32" i="2" l="1"/>
  <c r="M32" i="2"/>
  <c r="M29" i="2"/>
  <c r="M30" i="2" s="1"/>
  <c r="G12" i="2"/>
  <c r="M5" i="2" s="1"/>
  <c r="M10" i="2" s="1"/>
  <c r="M11" i="2" s="1"/>
  <c r="H29" i="2"/>
  <c r="H30" i="2" s="1"/>
  <c r="C30" i="2"/>
  <c r="I30" i="2"/>
  <c r="D30" i="2"/>
  <c r="D32" i="2"/>
  <c r="N32" i="2"/>
  <c r="N29" i="2"/>
  <c r="N30" i="2" s="1"/>
  <c r="N5" i="2"/>
  <c r="N10" i="2" s="1"/>
  <c r="N11" i="2" s="1"/>
  <c r="C27" i="2"/>
  <c r="C32" i="2"/>
  <c r="I32" i="2"/>
  <c r="I27" i="2"/>
  <c r="M8" i="2"/>
  <c r="D27" i="2"/>
  <c r="N8" i="2"/>
  <c r="M33" i="2" l="1"/>
  <c r="M13" i="2"/>
  <c r="M14" i="2" s="1"/>
  <c r="H33" i="2"/>
  <c r="C33" i="2"/>
  <c r="I33" i="2"/>
  <c r="D33" i="2"/>
  <c r="N33" i="2"/>
  <c r="N13" i="2"/>
  <c r="N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<sst xmlns="http://schemas.openxmlformats.org/spreadsheetml/2006/main" count="28865" uniqueCount="1565">
  <si>
    <t>Roll</t>
  </si>
  <si>
    <t>Date</t>
  </si>
  <si>
    <t>Time</t>
  </si>
  <si>
    <t>User</t>
  </si>
  <si>
    <t>Feet</t>
  </si>
  <si>
    <t>Machine</t>
  </si>
  <si>
    <t>Shift</t>
  </si>
  <si>
    <t>Process</t>
  </si>
  <si>
    <t>Parent Roll</t>
  </si>
  <si>
    <t>AD2</t>
  </si>
  <si>
    <t>AD1</t>
  </si>
  <si>
    <t>Location</t>
  </si>
  <si>
    <t>PType</t>
  </si>
  <si>
    <t>GiveAway</t>
  </si>
  <si>
    <t>ShortRoll</t>
  </si>
  <si>
    <t>FirstCut</t>
  </si>
  <si>
    <t>SubseqCut</t>
  </si>
  <si>
    <t>Gave Away</t>
  </si>
  <si>
    <t>X</t>
  </si>
  <si>
    <t>1stCutMin</t>
  </si>
  <si>
    <t>SubCutMin</t>
  </si>
  <si>
    <t>EjectMin</t>
  </si>
  <si>
    <t>MeasureMin</t>
  </si>
  <si>
    <t>LastCut</t>
  </si>
  <si>
    <t>Balance</t>
  </si>
  <si>
    <t>First Cut Min</t>
  </si>
  <si>
    <t>Sub Cut Min</t>
  </si>
  <si>
    <t>Eject Min</t>
  </si>
  <si>
    <t>Measure Min</t>
  </si>
  <si>
    <t>Speed</t>
  </si>
  <si>
    <t>Rolls</t>
  </si>
  <si>
    <t>Cuts</t>
  </si>
  <si>
    <t>Cuts/Roll</t>
  </si>
  <si>
    <t>Earned Min</t>
  </si>
  <si>
    <t>Avail Min</t>
  </si>
  <si>
    <t>Effective %</t>
  </si>
  <si>
    <t>Cuts/Hour</t>
  </si>
  <si>
    <t>Cuts/Hour Max</t>
  </si>
  <si>
    <t>Adairsville Daily Cuts</t>
  </si>
  <si>
    <t>Hours</t>
  </si>
  <si>
    <t>CutFeet</t>
  </si>
  <si>
    <t>NumCuts</t>
  </si>
  <si>
    <t>NumRolls</t>
  </si>
  <si>
    <t>SubCuts</t>
  </si>
  <si>
    <t>GiveAwayCnt</t>
  </si>
  <si>
    <t>ShortRollCnt</t>
  </si>
  <si>
    <t>GiveAwayFt</t>
  </si>
  <si>
    <t>EjectFt</t>
  </si>
  <si>
    <t>MeasuredFt</t>
  </si>
  <si>
    <t>FirstCutMin</t>
  </si>
  <si>
    <t>Shift 2 End</t>
  </si>
  <si>
    <t>Shift 1 End</t>
  </si>
  <si>
    <t>Shift 2 Start</t>
  </si>
  <si>
    <t>Shift 3 End</t>
  </si>
  <si>
    <t>Shift 1</t>
  </si>
  <si>
    <t>Shift 2</t>
  </si>
  <si>
    <t>Shift 3</t>
  </si>
  <si>
    <t>Total</t>
  </si>
  <si>
    <t>S1</t>
  </si>
  <si>
    <t>S2</t>
  </si>
  <si>
    <t>S3</t>
  </si>
  <si>
    <t>AD1 Hours</t>
  </si>
  <si>
    <t>AD2 Hours</t>
  </si>
  <si>
    <t>shift 3 Start</t>
  </si>
  <si>
    <t>Shift 1 Start</t>
  </si>
  <si>
    <t>Single Cut</t>
  </si>
  <si>
    <t>2 Cuts</t>
  </si>
  <si>
    <t>3-5 Cuts</t>
  </si>
  <si>
    <t>6+ Cuts</t>
  </si>
  <si>
    <t>Overrides</t>
  </si>
  <si>
    <t>CUT</t>
  </si>
  <si>
    <t>CUTSHP</t>
  </si>
  <si>
    <t>1</t>
  </si>
  <si>
    <t>CBL</t>
  </si>
  <si>
    <t>ADVCU2</t>
  </si>
  <si>
    <t>D</t>
  </si>
  <si>
    <t>CUTTBL</t>
  </si>
  <si>
    <t>W</t>
  </si>
  <si>
    <t>T</t>
  </si>
  <si>
    <t>ADVCU1</t>
  </si>
  <si>
    <t>L</t>
  </si>
  <si>
    <t>F</t>
  </si>
  <si>
    <t>CUTTABLE1</t>
  </si>
  <si>
    <t>CUTTABLE2</t>
  </si>
  <si>
    <t>ADVCU3</t>
  </si>
  <si>
    <t>TURNERB</t>
  </si>
  <si>
    <t>10865452A</t>
  </si>
  <si>
    <t>OUT OF RANGE</t>
  </si>
  <si>
    <t>Start</t>
  </si>
  <si>
    <t>End</t>
  </si>
  <si>
    <t>Override Hours</t>
  </si>
  <si>
    <t>Saved Data:</t>
  </si>
  <si>
    <t>AR3</t>
  </si>
  <si>
    <t>AR3 Hours</t>
  </si>
  <si>
    <t>10860896A</t>
  </si>
  <si>
    <t xml:space="preserve"> </t>
  </si>
  <si>
    <t>40.83`</t>
  </si>
  <si>
    <t>0076116149</t>
  </si>
  <si>
    <t>10907111B</t>
  </si>
  <si>
    <t>0076116150</t>
  </si>
  <si>
    <t>0076116151</t>
  </si>
  <si>
    <t>10900960A</t>
  </si>
  <si>
    <t>0076116152</t>
  </si>
  <si>
    <t>10907063A</t>
  </si>
  <si>
    <t>0076116153</t>
  </si>
  <si>
    <t>10852001A</t>
  </si>
  <si>
    <t>0076116154</t>
  </si>
  <si>
    <t>10897979B</t>
  </si>
  <si>
    <t>0076116155</t>
  </si>
  <si>
    <t>10906873C</t>
  </si>
  <si>
    <t>0076116156</t>
  </si>
  <si>
    <t>0075943985</t>
  </si>
  <si>
    <t>10869756A</t>
  </si>
  <si>
    <t>0076116157</t>
  </si>
  <si>
    <t>10874429A</t>
  </si>
  <si>
    <t>0076116158</t>
  </si>
  <si>
    <t>10911336B</t>
  </si>
  <si>
    <t>0076116159</t>
  </si>
  <si>
    <t>10921877A</t>
  </si>
  <si>
    <t>0076116160</t>
  </si>
  <si>
    <t>10902626A</t>
  </si>
  <si>
    <t>0076116161</t>
  </si>
  <si>
    <t>10916339C</t>
  </si>
  <si>
    <t>0076116162</t>
  </si>
  <si>
    <t>10855020A</t>
  </si>
  <si>
    <t>10911492A</t>
  </si>
  <si>
    <t>0076116163</t>
  </si>
  <si>
    <t>10768826A</t>
  </si>
  <si>
    <t>10922070A</t>
  </si>
  <si>
    <t>OWENSC</t>
  </si>
  <si>
    <t>0076116164</t>
  </si>
  <si>
    <t>10902471A</t>
  </si>
  <si>
    <t>0076116165</t>
  </si>
  <si>
    <t>10867412A</t>
  </si>
  <si>
    <t>0076116166</t>
  </si>
  <si>
    <t>10887955A</t>
  </si>
  <si>
    <t>0076116167</t>
  </si>
  <si>
    <t>10801726A</t>
  </si>
  <si>
    <t>0076116168</t>
  </si>
  <si>
    <t>10913192E</t>
  </si>
  <si>
    <t>0076116169</t>
  </si>
  <si>
    <t>10913696B</t>
  </si>
  <si>
    <t>0076116170</t>
  </si>
  <si>
    <t>10801943A</t>
  </si>
  <si>
    <t>0076116171</t>
  </si>
  <si>
    <t>10909622A</t>
  </si>
  <si>
    <t>10923944A</t>
  </si>
  <si>
    <t>0076116172</t>
  </si>
  <si>
    <t>10805315A</t>
  </si>
  <si>
    <t>0076116173</t>
  </si>
  <si>
    <t>10902201A</t>
  </si>
  <si>
    <t>0076116174</t>
  </si>
  <si>
    <t>10916421C</t>
  </si>
  <si>
    <t>0076116175</t>
  </si>
  <si>
    <t>10903170B</t>
  </si>
  <si>
    <t>0076116176</t>
  </si>
  <si>
    <t>10903443A</t>
  </si>
  <si>
    <t>10914333C</t>
  </si>
  <si>
    <t>0076116177</t>
  </si>
  <si>
    <t>0076116178</t>
  </si>
  <si>
    <t>1805166652</t>
  </si>
  <si>
    <t>0076116179</t>
  </si>
  <si>
    <t>10888936B</t>
  </si>
  <si>
    <t>0076116180</t>
  </si>
  <si>
    <t>10772974B</t>
  </si>
  <si>
    <t>0076116181</t>
  </si>
  <si>
    <t>10825476B</t>
  </si>
  <si>
    <t>0076115939</t>
  </si>
  <si>
    <t>10922259A</t>
  </si>
  <si>
    <t>0076116182</t>
  </si>
  <si>
    <t>10913736B</t>
  </si>
  <si>
    <t>10913190A</t>
  </si>
  <si>
    <t>0076116183</t>
  </si>
  <si>
    <t>10912383A</t>
  </si>
  <si>
    <t>0076116184</t>
  </si>
  <si>
    <t>0076116185</t>
  </si>
  <si>
    <t>10881640A</t>
  </si>
  <si>
    <t>0076116186</t>
  </si>
  <si>
    <t>0075664780</t>
  </si>
  <si>
    <t>10781084A</t>
  </si>
  <si>
    <t>0076116187</t>
  </si>
  <si>
    <t>10903140C</t>
  </si>
  <si>
    <t>0076116188</t>
  </si>
  <si>
    <t>10845019A</t>
  </si>
  <si>
    <t>0076116189</t>
  </si>
  <si>
    <t>11337518</t>
  </si>
  <si>
    <t>0076116190</t>
  </si>
  <si>
    <t>10915519A</t>
  </si>
  <si>
    <t>0076116191</t>
  </si>
  <si>
    <t>10922777B</t>
  </si>
  <si>
    <t>0076116192</t>
  </si>
  <si>
    <t>0080324801</t>
  </si>
  <si>
    <t>0076055232</t>
  </si>
  <si>
    <t>10850725A</t>
  </si>
  <si>
    <t>0076116193</t>
  </si>
  <si>
    <t>10844337A</t>
  </si>
  <si>
    <t>0076116194</t>
  </si>
  <si>
    <t>0076116195</t>
  </si>
  <si>
    <t>0080318056</t>
  </si>
  <si>
    <t>0076116196</t>
  </si>
  <si>
    <t>10760338A</t>
  </si>
  <si>
    <t>0076116197</t>
  </si>
  <si>
    <t>0080318061</t>
  </si>
  <si>
    <t>0076116198</t>
  </si>
  <si>
    <t>10904870A</t>
  </si>
  <si>
    <t>0080319704</t>
  </si>
  <si>
    <t>0076116199</t>
  </si>
  <si>
    <t>0076116200</t>
  </si>
  <si>
    <t>0080281693</t>
  </si>
  <si>
    <t>0076116201</t>
  </si>
  <si>
    <t>D29207</t>
  </si>
  <si>
    <t>0076116202</t>
  </si>
  <si>
    <t>D28568</t>
  </si>
  <si>
    <t>0076116203</t>
  </si>
  <si>
    <t>10924468A</t>
  </si>
  <si>
    <t>0076116204</t>
  </si>
  <si>
    <t>0076116205</t>
  </si>
  <si>
    <t>10922186B</t>
  </si>
  <si>
    <t>0076116206</t>
  </si>
  <si>
    <t>10912667B</t>
  </si>
  <si>
    <t>0076116207</t>
  </si>
  <si>
    <t>10922987A</t>
  </si>
  <si>
    <t>0076116208</t>
  </si>
  <si>
    <t>10800846A</t>
  </si>
  <si>
    <t>0076116209</t>
  </si>
  <si>
    <t>10911992A</t>
  </si>
  <si>
    <t>0076116210</t>
  </si>
  <si>
    <t>10903682A</t>
  </si>
  <si>
    <t>0076116211</t>
  </si>
  <si>
    <t>10913684A</t>
  </si>
  <si>
    <t>0076116212</t>
  </si>
  <si>
    <t>0076116213</t>
  </si>
  <si>
    <t>0076116214</t>
  </si>
  <si>
    <t>0076116215</t>
  </si>
  <si>
    <t>10922931B</t>
  </si>
  <si>
    <t>10768846A</t>
  </si>
  <si>
    <t>0076116216</t>
  </si>
  <si>
    <t>0076116217</t>
  </si>
  <si>
    <t>0076116218</t>
  </si>
  <si>
    <t>10918997A</t>
  </si>
  <si>
    <t>0090127087</t>
  </si>
  <si>
    <t>0076116219</t>
  </si>
  <si>
    <t>10768828A</t>
  </si>
  <si>
    <t>0076116220</t>
  </si>
  <si>
    <t>10904824A</t>
  </si>
  <si>
    <t>0076116221</t>
  </si>
  <si>
    <t>10910232B</t>
  </si>
  <si>
    <t>10800258A</t>
  </si>
  <si>
    <t>0076116222</t>
  </si>
  <si>
    <t>10917436A</t>
  </si>
  <si>
    <t>0076116223</t>
  </si>
  <si>
    <t>0076116224</t>
  </si>
  <si>
    <t>10923410A</t>
  </si>
  <si>
    <t>0090127088</t>
  </si>
  <si>
    <t>10919565A</t>
  </si>
  <si>
    <t>0076116225</t>
  </si>
  <si>
    <t>10867888B</t>
  </si>
  <si>
    <t>0076116226</t>
  </si>
  <si>
    <t>10924240A</t>
  </si>
  <si>
    <t>0076116227</t>
  </si>
  <si>
    <t>10924958A</t>
  </si>
  <si>
    <t>0076116228</t>
  </si>
  <si>
    <t>0076116229</t>
  </si>
  <si>
    <t>0076116230</t>
  </si>
  <si>
    <t>10876178A</t>
  </si>
  <si>
    <t>0076116231</t>
  </si>
  <si>
    <t>10858163A</t>
  </si>
  <si>
    <t>0076116232</t>
  </si>
  <si>
    <t>10903448A</t>
  </si>
  <si>
    <t>0076116233</t>
  </si>
  <si>
    <t>10916689A</t>
  </si>
  <si>
    <t>0076116234</t>
  </si>
  <si>
    <t>10773308A</t>
  </si>
  <si>
    <t>0076116235</t>
  </si>
  <si>
    <t>0076116236</t>
  </si>
  <si>
    <t>10768831A</t>
  </si>
  <si>
    <t>0090127089</t>
  </si>
  <si>
    <t>0080291765</t>
  </si>
  <si>
    <t>0076116237</t>
  </si>
  <si>
    <t>10855857A</t>
  </si>
  <si>
    <t>0076116238</t>
  </si>
  <si>
    <t>10923020A</t>
  </si>
  <si>
    <t>0076116239</t>
  </si>
  <si>
    <t>0090126984</t>
  </si>
  <si>
    <t>10907390A</t>
  </si>
  <si>
    <t>0076116240</t>
  </si>
  <si>
    <t>0076116241</t>
  </si>
  <si>
    <t>0080318889</t>
  </si>
  <si>
    <t>0090127090</t>
  </si>
  <si>
    <t>10883579A</t>
  </si>
  <si>
    <t>0076116242</t>
  </si>
  <si>
    <t>10865848A</t>
  </si>
  <si>
    <t>0076116243</t>
  </si>
  <si>
    <t>10918895A</t>
  </si>
  <si>
    <t>0076116244</t>
  </si>
  <si>
    <t>10892849A</t>
  </si>
  <si>
    <t>10923736A</t>
  </si>
  <si>
    <t>0076116245</t>
  </si>
  <si>
    <t>10908745B</t>
  </si>
  <si>
    <t>0076116246</t>
  </si>
  <si>
    <t>0076116247</t>
  </si>
  <si>
    <t>505399213</t>
  </si>
  <si>
    <t>0090127091</t>
  </si>
  <si>
    <t>0076116248</t>
  </si>
  <si>
    <t>D27401</t>
  </si>
  <si>
    <t>0090127092</t>
  </si>
  <si>
    <t>0076116249</t>
  </si>
  <si>
    <t>10922304A</t>
  </si>
  <si>
    <t>0076116250</t>
  </si>
  <si>
    <t>10924289A</t>
  </si>
  <si>
    <t>0076116251</t>
  </si>
  <si>
    <t>10808253A</t>
  </si>
  <si>
    <t>0076116252</t>
  </si>
  <si>
    <t>10549199A</t>
  </si>
  <si>
    <t>0076116253</t>
  </si>
  <si>
    <t>10921049A</t>
  </si>
  <si>
    <t>0076116254</t>
  </si>
  <si>
    <t>10909244A</t>
  </si>
  <si>
    <t>0076116255</t>
  </si>
  <si>
    <t>10845799B</t>
  </si>
  <si>
    <t>0076116256</t>
  </si>
  <si>
    <t>10916569A</t>
  </si>
  <si>
    <t>0076116257</t>
  </si>
  <si>
    <t>10924469A</t>
  </si>
  <si>
    <t>0076116258</t>
  </si>
  <si>
    <t>10904822A</t>
  </si>
  <si>
    <t>E31I</t>
  </si>
  <si>
    <t>0076116259</t>
  </si>
  <si>
    <t>10919374A</t>
  </si>
  <si>
    <t>0076116260</t>
  </si>
  <si>
    <t>0076074866</t>
  </si>
  <si>
    <t>10902512A</t>
  </si>
  <si>
    <t>0076116261</t>
  </si>
  <si>
    <t>10818335A</t>
  </si>
  <si>
    <t>0076116262</t>
  </si>
  <si>
    <t>10897051A</t>
  </si>
  <si>
    <t>0076116263</t>
  </si>
  <si>
    <t>10867889B</t>
  </si>
  <si>
    <t>G16B</t>
  </si>
  <si>
    <t>0076116264</t>
  </si>
  <si>
    <t>10902895A</t>
  </si>
  <si>
    <t>0076116265</t>
  </si>
  <si>
    <t>10885967A</t>
  </si>
  <si>
    <t>0076116266</t>
  </si>
  <si>
    <t>10922741A</t>
  </si>
  <si>
    <t>0076116267</t>
  </si>
  <si>
    <t>10924533B</t>
  </si>
  <si>
    <t>9005362074</t>
  </si>
  <si>
    <t>10861661A</t>
  </si>
  <si>
    <t>0076116268</t>
  </si>
  <si>
    <t>0076116269</t>
  </si>
  <si>
    <t>10898715B</t>
  </si>
  <si>
    <t>0076116270</t>
  </si>
  <si>
    <t>10916358A</t>
  </si>
  <si>
    <t>0076116271</t>
  </si>
  <si>
    <t>0076116272</t>
  </si>
  <si>
    <t>10912665B</t>
  </si>
  <si>
    <t>0076116273</t>
  </si>
  <si>
    <t>0076116274</t>
  </si>
  <si>
    <t>0076116275</t>
  </si>
  <si>
    <t>10922673A</t>
  </si>
  <si>
    <t>0076116276</t>
  </si>
  <si>
    <t>0076116277</t>
  </si>
  <si>
    <t>0076116278</t>
  </si>
  <si>
    <t>10924669A</t>
  </si>
  <si>
    <t>0076116279</t>
  </si>
  <si>
    <t>10921692A</t>
  </si>
  <si>
    <t>10872730B</t>
  </si>
  <si>
    <t>0076116280</t>
  </si>
  <si>
    <t>10924438A</t>
  </si>
  <si>
    <t>0076116281</t>
  </si>
  <si>
    <t>10914677A</t>
  </si>
  <si>
    <t>0076116282</t>
  </si>
  <si>
    <t>10906927B</t>
  </si>
  <si>
    <t>0076116283</t>
  </si>
  <si>
    <t>0076116284</t>
  </si>
  <si>
    <t>0076116285</t>
  </si>
  <si>
    <t>10908014A</t>
  </si>
  <si>
    <t>0076116286</t>
  </si>
  <si>
    <t>10924467A</t>
  </si>
  <si>
    <t>10770717A</t>
  </si>
  <si>
    <t>0076116287</t>
  </si>
  <si>
    <t>0076116288</t>
  </si>
  <si>
    <t>0076116289</t>
  </si>
  <si>
    <t>0076116290</t>
  </si>
  <si>
    <t>0076116291</t>
  </si>
  <si>
    <t>0076116292</t>
  </si>
  <si>
    <t>10924439A</t>
  </si>
  <si>
    <t>0076116293</t>
  </si>
  <si>
    <t>10918714B</t>
  </si>
  <si>
    <t>0076116294</t>
  </si>
  <si>
    <t>10870018A</t>
  </si>
  <si>
    <t>0076116295</t>
  </si>
  <si>
    <t>0076116296</t>
  </si>
  <si>
    <t>10923559A</t>
  </si>
  <si>
    <t>10874679A</t>
  </si>
  <si>
    <t>0076116297</t>
  </si>
  <si>
    <t>10924441A</t>
  </si>
  <si>
    <t>0076116298</t>
  </si>
  <si>
    <t>10913246B</t>
  </si>
  <si>
    <t>0076116299</t>
  </si>
  <si>
    <t>0076116300</t>
  </si>
  <si>
    <t>10924671A</t>
  </si>
  <si>
    <t>0076116301</t>
  </si>
  <si>
    <t>0076116302</t>
  </si>
  <si>
    <t>10887906A</t>
  </si>
  <si>
    <t>0076116303</t>
  </si>
  <si>
    <t>10919377A</t>
  </si>
  <si>
    <t>0076116304</t>
  </si>
  <si>
    <t>10920863A</t>
  </si>
  <si>
    <t>0076116305</t>
  </si>
  <si>
    <t>0076116306</t>
  </si>
  <si>
    <t>0076116307</t>
  </si>
  <si>
    <t>0076116308</t>
  </si>
  <si>
    <t>0076116309</t>
  </si>
  <si>
    <t>0074621027</t>
  </si>
  <si>
    <t>10363744A</t>
  </si>
  <si>
    <t>0076116310</t>
  </si>
  <si>
    <t>10912219A</t>
  </si>
  <si>
    <t>0076116311</t>
  </si>
  <si>
    <t>10902901A</t>
  </si>
  <si>
    <t>10865347A</t>
  </si>
  <si>
    <t>0076116312</t>
  </si>
  <si>
    <t>0076116313</t>
  </si>
  <si>
    <t>10918718B</t>
  </si>
  <si>
    <t>0076116314</t>
  </si>
  <si>
    <t>10907829A</t>
  </si>
  <si>
    <t>0076116315</t>
  </si>
  <si>
    <t>0076116316</t>
  </si>
  <si>
    <t>10921674A</t>
  </si>
  <si>
    <t>0076116317</t>
  </si>
  <si>
    <t>10924332A</t>
  </si>
  <si>
    <t>0076116318</t>
  </si>
  <si>
    <t>10898700A</t>
  </si>
  <si>
    <t>0076116319</t>
  </si>
  <si>
    <t>10919333B</t>
  </si>
  <si>
    <t>0076116320</t>
  </si>
  <si>
    <t>0076077439</t>
  </si>
  <si>
    <t>10910261A</t>
  </si>
  <si>
    <t>0076116321</t>
  </si>
  <si>
    <t>0076116322</t>
  </si>
  <si>
    <t>10918280A</t>
  </si>
  <si>
    <t>0076116323</t>
  </si>
  <si>
    <t>0076116324</t>
  </si>
  <si>
    <t>10697845A</t>
  </si>
  <si>
    <t>0076116325</t>
  </si>
  <si>
    <t>0076116326</t>
  </si>
  <si>
    <t>10871191A</t>
  </si>
  <si>
    <t>0076116327</t>
  </si>
  <si>
    <t>10915517A</t>
  </si>
  <si>
    <t>0076116328</t>
  </si>
  <si>
    <t>10899866B</t>
  </si>
  <si>
    <t>0076116330</t>
  </si>
  <si>
    <t>0076116329</t>
  </si>
  <si>
    <t>10887953A</t>
  </si>
  <si>
    <t>0076116331</t>
  </si>
  <si>
    <t>0076116332</t>
  </si>
  <si>
    <t>10588169A</t>
  </si>
  <si>
    <t>0076116333</t>
  </si>
  <si>
    <t>10918720A</t>
  </si>
  <si>
    <t>0076116334</t>
  </si>
  <si>
    <t>10903148A</t>
  </si>
  <si>
    <t>0076116335</t>
  </si>
  <si>
    <t>10923702A</t>
  </si>
  <si>
    <t>0076116336</t>
  </si>
  <si>
    <t>D29205</t>
  </si>
  <si>
    <t>0076116337</t>
  </si>
  <si>
    <t>0076116338</t>
  </si>
  <si>
    <t>0080313364</t>
  </si>
  <si>
    <t>0080290296</t>
  </si>
  <si>
    <t>0076116339</t>
  </si>
  <si>
    <t>10924463A</t>
  </si>
  <si>
    <t>0076116340</t>
  </si>
  <si>
    <t>0080326941</t>
  </si>
  <si>
    <t>0076116341</t>
  </si>
  <si>
    <t>10773305A</t>
  </si>
  <si>
    <t>0076116342</t>
  </si>
  <si>
    <t>0076100436</t>
  </si>
  <si>
    <t>10875846A</t>
  </si>
  <si>
    <t>0076116343</t>
  </si>
  <si>
    <t>10903665A</t>
  </si>
  <si>
    <t>0076116344</t>
  </si>
  <si>
    <t>10909923A</t>
  </si>
  <si>
    <t>0076116345</t>
  </si>
  <si>
    <t>10867000A</t>
  </si>
  <si>
    <t>0076116346</t>
  </si>
  <si>
    <t>10901490A</t>
  </si>
  <si>
    <t>0076116347</t>
  </si>
  <si>
    <t>10883642A</t>
  </si>
  <si>
    <t>10760158A</t>
  </si>
  <si>
    <t>0076116348</t>
  </si>
  <si>
    <t>10911929B</t>
  </si>
  <si>
    <t>0076116349</t>
  </si>
  <si>
    <t>10924735A</t>
  </si>
  <si>
    <t>0076116350</t>
  </si>
  <si>
    <t>0080318886</t>
  </si>
  <si>
    <t>0076116351</t>
  </si>
  <si>
    <t>10913694B</t>
  </si>
  <si>
    <t>0076116352</t>
  </si>
  <si>
    <t>0076116353</t>
  </si>
  <si>
    <t>0076112685</t>
  </si>
  <si>
    <t>10915016A</t>
  </si>
  <si>
    <t>0076116354</t>
  </si>
  <si>
    <t>10917231A</t>
  </si>
  <si>
    <t>0076116355</t>
  </si>
  <si>
    <t>10529518A</t>
  </si>
  <si>
    <t>10873028A</t>
  </si>
  <si>
    <t>0076116356</t>
  </si>
  <si>
    <t>0076116357</t>
  </si>
  <si>
    <t>10894792A</t>
  </si>
  <si>
    <t>0076116358</t>
  </si>
  <si>
    <t>10833962A</t>
  </si>
  <si>
    <t>0076116359</t>
  </si>
  <si>
    <t>10794292A</t>
  </si>
  <si>
    <t>0076116360</t>
  </si>
  <si>
    <t>10889128B</t>
  </si>
  <si>
    <t>0076116361</t>
  </si>
  <si>
    <t>10924358A</t>
  </si>
  <si>
    <t>0076116362</t>
  </si>
  <si>
    <t>125363A</t>
  </si>
  <si>
    <t>0076116363</t>
  </si>
  <si>
    <t>10918514A</t>
  </si>
  <si>
    <t>0076116364</t>
  </si>
  <si>
    <t>0076116365</t>
  </si>
  <si>
    <t>10675119A</t>
  </si>
  <si>
    <t>0076116366</t>
  </si>
  <si>
    <t>10786903A</t>
  </si>
  <si>
    <t>0076116367</t>
  </si>
  <si>
    <t>10816907A</t>
  </si>
  <si>
    <t>0076116368</t>
  </si>
  <si>
    <t>0076116369</t>
  </si>
  <si>
    <t>10923840A</t>
  </si>
  <si>
    <t>0076116370</t>
  </si>
  <si>
    <t>10887889A</t>
  </si>
  <si>
    <t>0076116371</t>
  </si>
  <si>
    <t>0076116372</t>
  </si>
  <si>
    <t>0076116373</t>
  </si>
  <si>
    <t>10660686A</t>
  </si>
  <si>
    <t>0076116374</t>
  </si>
  <si>
    <t>10918503A</t>
  </si>
  <si>
    <t>0076116375</t>
  </si>
  <si>
    <t>0080326966</t>
  </si>
  <si>
    <t>0076116376</t>
  </si>
  <si>
    <t>0076116378</t>
  </si>
  <si>
    <t>10905557A</t>
  </si>
  <si>
    <t>0076116380</t>
  </si>
  <si>
    <t>10841596A</t>
  </si>
  <si>
    <t>0076116381</t>
  </si>
  <si>
    <t>1805136753</t>
  </si>
  <si>
    <t>0076116382</t>
  </si>
  <si>
    <t>10876780A</t>
  </si>
  <si>
    <t>0076116383</t>
  </si>
  <si>
    <t>10915400B</t>
  </si>
  <si>
    <t>0076116387</t>
  </si>
  <si>
    <t>10905097C</t>
  </si>
  <si>
    <t>10873237A</t>
  </si>
  <si>
    <t>0076116388</t>
  </si>
  <si>
    <t>10861691B</t>
  </si>
  <si>
    <t>0076116389</t>
  </si>
  <si>
    <t>0076116391</t>
  </si>
  <si>
    <t>10916347C</t>
  </si>
  <si>
    <t>0076116392</t>
  </si>
  <si>
    <t>10529520A</t>
  </si>
  <si>
    <t>0076116393</t>
  </si>
  <si>
    <t>10924670A</t>
  </si>
  <si>
    <t>0076116395</t>
  </si>
  <si>
    <t>0076116396</t>
  </si>
  <si>
    <t>10802140A</t>
  </si>
  <si>
    <t>0076116397</t>
  </si>
  <si>
    <t>0076116400</t>
  </si>
  <si>
    <t>0076116401</t>
  </si>
  <si>
    <t>10900687B</t>
  </si>
  <si>
    <t>0076116402</t>
  </si>
  <si>
    <t>10900724A</t>
  </si>
  <si>
    <t>0076116403</t>
  </si>
  <si>
    <t>10923999A</t>
  </si>
  <si>
    <t>0076116404</t>
  </si>
  <si>
    <t>10915023A</t>
  </si>
  <si>
    <t>0076116408</t>
  </si>
  <si>
    <t>10847860A</t>
  </si>
  <si>
    <t>0076116409</t>
  </si>
  <si>
    <t>10919332A</t>
  </si>
  <si>
    <t>0076116411</t>
  </si>
  <si>
    <t>10918720C</t>
  </si>
  <si>
    <t>0076116412</t>
  </si>
  <si>
    <t>0076027376</t>
  </si>
  <si>
    <t>10891109A</t>
  </si>
  <si>
    <t>0076116413</t>
  </si>
  <si>
    <t>0080290213</t>
  </si>
  <si>
    <t>0076116416</t>
  </si>
  <si>
    <t>10923695A</t>
  </si>
  <si>
    <t>0080285534</t>
  </si>
  <si>
    <t>10912562A</t>
  </si>
  <si>
    <t>0076116418</t>
  </si>
  <si>
    <t>0076116419</t>
  </si>
  <si>
    <t>10906031A</t>
  </si>
  <si>
    <t>0076116420</t>
  </si>
  <si>
    <t>10921370A</t>
  </si>
  <si>
    <t>0076116421</t>
  </si>
  <si>
    <t>10897411A</t>
  </si>
  <si>
    <t>10908748A</t>
  </si>
  <si>
    <t>0076116424</t>
  </si>
  <si>
    <t>10924466A</t>
  </si>
  <si>
    <t>0076116425</t>
  </si>
  <si>
    <t>0076116426</t>
  </si>
  <si>
    <t>10912666A</t>
  </si>
  <si>
    <t>0076116428</t>
  </si>
  <si>
    <t>0076116430</t>
  </si>
  <si>
    <t>10714989A</t>
  </si>
  <si>
    <t>0076116432</t>
  </si>
  <si>
    <t>10820825A</t>
  </si>
  <si>
    <t>0076116433</t>
  </si>
  <si>
    <t>10881397A</t>
  </si>
  <si>
    <t>0076116434</t>
  </si>
  <si>
    <t>0076116450</t>
  </si>
  <si>
    <t>10917988A</t>
  </si>
  <si>
    <t>0076116455</t>
  </si>
  <si>
    <t>1804350979</t>
  </si>
  <si>
    <t>0076116458</t>
  </si>
  <si>
    <t>10924470A</t>
  </si>
  <si>
    <t>0076116461</t>
  </si>
  <si>
    <t>10871233A</t>
  </si>
  <si>
    <t>0076116462</t>
  </si>
  <si>
    <t>0076116465</t>
  </si>
  <si>
    <t>0076116468</t>
  </si>
  <si>
    <t>10893834B</t>
  </si>
  <si>
    <t>10922774B</t>
  </si>
  <si>
    <t>0076116471</t>
  </si>
  <si>
    <t>10869561A</t>
  </si>
  <si>
    <t>0076116473</t>
  </si>
  <si>
    <t>0076116475</t>
  </si>
  <si>
    <t>0076116476</t>
  </si>
  <si>
    <t>10919797A</t>
  </si>
  <si>
    <t>0076116479</t>
  </si>
  <si>
    <t>0074979882</t>
  </si>
  <si>
    <t>10363767A</t>
  </si>
  <si>
    <t>0076116482</t>
  </si>
  <si>
    <t>0076116483</t>
  </si>
  <si>
    <t>10877849A</t>
  </si>
  <si>
    <t>0076116487</t>
  </si>
  <si>
    <t>10894943A</t>
  </si>
  <si>
    <t>0076116488</t>
  </si>
  <si>
    <t>10909803A</t>
  </si>
  <si>
    <t>0076116489</t>
  </si>
  <si>
    <t>10913080A</t>
  </si>
  <si>
    <t>0076116490</t>
  </si>
  <si>
    <t>10911478A</t>
  </si>
  <si>
    <t>0076116492</t>
  </si>
  <si>
    <t>10803830A</t>
  </si>
  <si>
    <t>0076116493</t>
  </si>
  <si>
    <t>10924282A</t>
  </si>
  <si>
    <t>10579738A</t>
  </si>
  <si>
    <t>0076116494</t>
  </si>
  <si>
    <t>10919375A</t>
  </si>
  <si>
    <t>0076116496</t>
  </si>
  <si>
    <t>10919992B</t>
  </si>
  <si>
    <t>0076116497</t>
  </si>
  <si>
    <t>10907275B</t>
  </si>
  <si>
    <t>0076116500</t>
  </si>
  <si>
    <t>10622802A</t>
  </si>
  <si>
    <t>0076116503</t>
  </si>
  <si>
    <t>10895410A</t>
  </si>
  <si>
    <t>0076116504</t>
  </si>
  <si>
    <t>0076116505</t>
  </si>
  <si>
    <t>10924816A</t>
  </si>
  <si>
    <t>0076116507</t>
  </si>
  <si>
    <t>10922807B</t>
  </si>
  <si>
    <t>0076116508</t>
  </si>
  <si>
    <t>10918279A</t>
  </si>
  <si>
    <t>0076116509</t>
  </si>
  <si>
    <t>10917612A</t>
  </si>
  <si>
    <t>0076116511</t>
  </si>
  <si>
    <t>10924331A</t>
  </si>
  <si>
    <t>0076116512</t>
  </si>
  <si>
    <t>0076115095</t>
  </si>
  <si>
    <t>0080325882</t>
  </si>
  <si>
    <t>0076116514</t>
  </si>
  <si>
    <t>10908043A</t>
  </si>
  <si>
    <t>0076116515</t>
  </si>
  <si>
    <t>0076116516</t>
  </si>
  <si>
    <t>0080288443</t>
  </si>
  <si>
    <t>0076116517</t>
  </si>
  <si>
    <t>10918508A</t>
  </si>
  <si>
    <t>0076116518</t>
  </si>
  <si>
    <t>10916351B</t>
  </si>
  <si>
    <t>0076116521</t>
  </si>
  <si>
    <t>0076116526</t>
  </si>
  <si>
    <t>0080326964</t>
  </si>
  <si>
    <t>0076116527</t>
  </si>
  <si>
    <t>0076116528</t>
  </si>
  <si>
    <t>0076116529</t>
  </si>
  <si>
    <t>10897707B</t>
  </si>
  <si>
    <t>0076116530</t>
  </si>
  <si>
    <t>0076116531</t>
  </si>
  <si>
    <t>10714464A</t>
  </si>
  <si>
    <t>0076116532</t>
  </si>
  <si>
    <t>10888923B</t>
  </si>
  <si>
    <t>0076116534</t>
  </si>
  <si>
    <t>10923968A</t>
  </si>
  <si>
    <t>0076116535</t>
  </si>
  <si>
    <t>10923119A</t>
  </si>
  <si>
    <t>0076116536</t>
  </si>
  <si>
    <t>0076116537</t>
  </si>
  <si>
    <t>0076116538</t>
  </si>
  <si>
    <t>0076116539</t>
  </si>
  <si>
    <t>10838451A</t>
  </si>
  <si>
    <t>0076116541</t>
  </si>
  <si>
    <t>10761920B</t>
  </si>
  <si>
    <t>0076116542</t>
  </si>
  <si>
    <t>0076116543</t>
  </si>
  <si>
    <t>10654496A</t>
  </si>
  <si>
    <t>0076116544</t>
  </si>
  <si>
    <t>10871575A</t>
  </si>
  <si>
    <t>0076116545</t>
  </si>
  <si>
    <t>10915995A</t>
  </si>
  <si>
    <t>0076116546</t>
  </si>
  <si>
    <t>D09030</t>
  </si>
  <si>
    <t>10838447A</t>
  </si>
  <si>
    <t>0076116547</t>
  </si>
  <si>
    <t>10913124C</t>
  </si>
  <si>
    <t>0076116548</t>
  </si>
  <si>
    <t>10914587A</t>
  </si>
  <si>
    <t>0076116549</t>
  </si>
  <si>
    <t>10808979B</t>
  </si>
  <si>
    <t>0076116550</t>
  </si>
  <si>
    <t>0076116551</t>
  </si>
  <si>
    <t>10923972A</t>
  </si>
  <si>
    <t>0076116552</t>
  </si>
  <si>
    <t>10918859A</t>
  </si>
  <si>
    <t>0076116553</t>
  </si>
  <si>
    <t>0090122147</t>
  </si>
  <si>
    <t>10686254B</t>
  </si>
  <si>
    <t>10888393A</t>
  </si>
  <si>
    <t>0076116554</t>
  </si>
  <si>
    <t>10835545A</t>
  </si>
  <si>
    <t>0076116555</t>
  </si>
  <si>
    <t>10692205B</t>
  </si>
  <si>
    <t>0076116556</t>
  </si>
  <si>
    <t>0075834043</t>
  </si>
  <si>
    <t>10833835A</t>
  </si>
  <si>
    <t>0076116557</t>
  </si>
  <si>
    <t>10924668A</t>
  </si>
  <si>
    <t>0076116558</t>
  </si>
  <si>
    <t>10901427B</t>
  </si>
  <si>
    <t>0076116559</t>
  </si>
  <si>
    <t>0076116560</t>
  </si>
  <si>
    <t>0076116561</t>
  </si>
  <si>
    <t>10430579A</t>
  </si>
  <si>
    <t>0076116562</t>
  </si>
  <si>
    <t>0076116563</t>
  </si>
  <si>
    <t>10923970A</t>
  </si>
  <si>
    <t>0076116564</t>
  </si>
  <si>
    <t>0076116565</t>
  </si>
  <si>
    <t>0076116566</t>
  </si>
  <si>
    <t>10912000A</t>
  </si>
  <si>
    <t>0076116567</t>
  </si>
  <si>
    <t>0080325884</t>
  </si>
  <si>
    <t>0076116568</t>
  </si>
  <si>
    <t>0076116569</t>
  </si>
  <si>
    <t>10562065A</t>
  </si>
  <si>
    <t>0076116570</t>
  </si>
  <si>
    <t>0076116571</t>
  </si>
  <si>
    <t>0080324796</t>
  </si>
  <si>
    <t>0076116573</t>
  </si>
  <si>
    <t>0080325158</t>
  </si>
  <si>
    <t>0076116572</t>
  </si>
  <si>
    <t>0076116574</t>
  </si>
  <si>
    <t>0080325227</t>
  </si>
  <si>
    <t>0076116575</t>
  </si>
  <si>
    <t>11345914</t>
  </si>
  <si>
    <t>0080289158</t>
  </si>
  <si>
    <t>0076116576</t>
  </si>
  <si>
    <t>0080324803</t>
  </si>
  <si>
    <t>0076116577</t>
  </si>
  <si>
    <t>10897583A</t>
  </si>
  <si>
    <t>0076116579</t>
  </si>
  <si>
    <t>10886764B</t>
  </si>
  <si>
    <t>0076116580</t>
  </si>
  <si>
    <t>11339798</t>
  </si>
  <si>
    <t>0076116583</t>
  </si>
  <si>
    <t>0080321848</t>
  </si>
  <si>
    <t>0076116584</t>
  </si>
  <si>
    <t>10674015A</t>
  </si>
  <si>
    <t>0080323946</t>
  </si>
  <si>
    <t>0076116586</t>
  </si>
  <si>
    <t>10905347A</t>
  </si>
  <si>
    <t>0076116587</t>
  </si>
  <si>
    <t>0076116588</t>
  </si>
  <si>
    <t>11314654</t>
  </si>
  <si>
    <t>0076116589</t>
  </si>
  <si>
    <t>10891164B</t>
  </si>
  <si>
    <t>1804627495</t>
  </si>
  <si>
    <t>0076116591</t>
  </si>
  <si>
    <t>0090126357</t>
  </si>
  <si>
    <t>0076116595</t>
  </si>
  <si>
    <t>10923534B</t>
  </si>
  <si>
    <t>0076116597</t>
  </si>
  <si>
    <t>0090126943</t>
  </si>
  <si>
    <t>10825465B</t>
  </si>
  <si>
    <t>0076116601</t>
  </si>
  <si>
    <t>10920692A</t>
  </si>
  <si>
    <t>0076116602</t>
  </si>
  <si>
    <t>10590423A</t>
  </si>
  <si>
    <t>10897297A</t>
  </si>
  <si>
    <t>0076116604</t>
  </si>
  <si>
    <t>10903713A</t>
  </si>
  <si>
    <t>0076116605</t>
  </si>
  <si>
    <t>10698525A</t>
  </si>
  <si>
    <t>0076116606</t>
  </si>
  <si>
    <t>10866070A</t>
  </si>
  <si>
    <t>C14H</t>
  </si>
  <si>
    <t>0076116607</t>
  </si>
  <si>
    <t>10917020A</t>
  </si>
  <si>
    <t>0076116608</t>
  </si>
  <si>
    <t>10916348A</t>
  </si>
  <si>
    <t>0076116609</t>
  </si>
  <si>
    <t>0076116610</t>
  </si>
  <si>
    <t>10883155A</t>
  </si>
  <si>
    <t>0076116611</t>
  </si>
  <si>
    <t>10923971A</t>
  </si>
  <si>
    <t>0076116613</t>
  </si>
  <si>
    <t>10887383A</t>
  </si>
  <si>
    <t>0076116614</t>
  </si>
  <si>
    <t>10913124A</t>
  </si>
  <si>
    <t>0076116616</t>
  </si>
  <si>
    <t>10885828B</t>
  </si>
  <si>
    <t>0076116617</t>
  </si>
  <si>
    <t>0076116618</t>
  </si>
  <si>
    <t>D27819</t>
  </si>
  <si>
    <t>10918815A</t>
  </si>
  <si>
    <t>0076116619</t>
  </si>
  <si>
    <t>10916988A</t>
  </si>
  <si>
    <t>0076116621</t>
  </si>
  <si>
    <t>0076116622</t>
  </si>
  <si>
    <t>10692119A</t>
  </si>
  <si>
    <t>0076116623</t>
  </si>
  <si>
    <t>10860224A</t>
  </si>
  <si>
    <t>10890288A</t>
  </si>
  <si>
    <t>0076116625</t>
  </si>
  <si>
    <t>10916020A</t>
  </si>
  <si>
    <t>0076116626</t>
  </si>
  <si>
    <t>0076116628</t>
  </si>
  <si>
    <t>10906927A</t>
  </si>
  <si>
    <t>0076116629</t>
  </si>
  <si>
    <t>10855469B</t>
  </si>
  <si>
    <t>0076116632</t>
  </si>
  <si>
    <t>0076116633</t>
  </si>
  <si>
    <t>0076116634</t>
  </si>
  <si>
    <t>10921698A</t>
  </si>
  <si>
    <t>0076116650</t>
  </si>
  <si>
    <t>10919795A</t>
  </si>
  <si>
    <t>0076116652</t>
  </si>
  <si>
    <t>10920670A</t>
  </si>
  <si>
    <t>0076087029</t>
  </si>
  <si>
    <t>10914542A</t>
  </si>
  <si>
    <t>0076116653</t>
  </si>
  <si>
    <t>0076116655</t>
  </si>
  <si>
    <t>10906359A</t>
  </si>
  <si>
    <t>0076116656</t>
  </si>
  <si>
    <t>0076116657</t>
  </si>
  <si>
    <t>10914133A</t>
  </si>
  <si>
    <t>0076116658</t>
  </si>
  <si>
    <t>10916350B</t>
  </si>
  <si>
    <t>0076116660</t>
  </si>
  <si>
    <t>10923912A</t>
  </si>
  <si>
    <t>0076116661</t>
  </si>
  <si>
    <t>10924734B</t>
  </si>
  <si>
    <t>0076116662</t>
  </si>
  <si>
    <t>0076116663</t>
  </si>
  <si>
    <t>10918498A</t>
  </si>
  <si>
    <t>0076116664</t>
  </si>
  <si>
    <t>10924472A</t>
  </si>
  <si>
    <t>0076116667</t>
  </si>
  <si>
    <t>10907557A</t>
  </si>
  <si>
    <t>0076116668</t>
  </si>
  <si>
    <t>0076116669</t>
  </si>
  <si>
    <t>10896354A</t>
  </si>
  <si>
    <t>10915017A</t>
  </si>
  <si>
    <t>0076116672</t>
  </si>
  <si>
    <t>10924440A</t>
  </si>
  <si>
    <t>0076116673</t>
  </si>
  <si>
    <t>0076116677</t>
  </si>
  <si>
    <t>10819875A</t>
  </si>
  <si>
    <t>10922071A</t>
  </si>
  <si>
    <t>10900303A</t>
  </si>
  <si>
    <t>0076116681</t>
  </si>
  <si>
    <t>0076116683</t>
  </si>
  <si>
    <t>10884910A</t>
  </si>
  <si>
    <t>0076116686</t>
  </si>
  <si>
    <t>10915013A</t>
  </si>
  <si>
    <t>0076116687</t>
  </si>
  <si>
    <t>10909731B</t>
  </si>
  <si>
    <t>0076116688</t>
  </si>
  <si>
    <t>10919950A</t>
  </si>
  <si>
    <t>0076116692</t>
  </si>
  <si>
    <t>0080326960</t>
  </si>
  <si>
    <t>0076116694</t>
  </si>
  <si>
    <t>10924465A</t>
  </si>
  <si>
    <t>0076116696</t>
  </si>
  <si>
    <t>10917219B</t>
  </si>
  <si>
    <t>0076116700</t>
  </si>
  <si>
    <t>7047776588</t>
  </si>
  <si>
    <t>0076116701</t>
  </si>
  <si>
    <t>10918328A</t>
  </si>
  <si>
    <t>0076116704</t>
  </si>
  <si>
    <t>1805152513</t>
  </si>
  <si>
    <t>0076116705</t>
  </si>
  <si>
    <t>10877360A</t>
  </si>
  <si>
    <t>0076116706</t>
  </si>
  <si>
    <t>1804775231</t>
  </si>
  <si>
    <t>0076116707</t>
  </si>
  <si>
    <t>10877613B</t>
  </si>
  <si>
    <t>0076116708</t>
  </si>
  <si>
    <t>10922022A</t>
  </si>
  <si>
    <t>0076116710</t>
  </si>
  <si>
    <t>0076109920</t>
  </si>
  <si>
    <t>10918719A</t>
  </si>
  <si>
    <t>0076116712</t>
  </si>
  <si>
    <t>0076116713</t>
  </si>
  <si>
    <t>10878978A</t>
  </si>
  <si>
    <t>0076116714</t>
  </si>
  <si>
    <t>10912744A</t>
  </si>
  <si>
    <t>0076116715</t>
  </si>
  <si>
    <t>11337519</t>
  </si>
  <si>
    <t>0076116716</t>
  </si>
  <si>
    <t>0080322572</t>
  </si>
  <si>
    <t>0076116717</t>
  </si>
  <si>
    <t>10921615A</t>
  </si>
  <si>
    <t>10924355A</t>
  </si>
  <si>
    <t>0076116719</t>
  </si>
  <si>
    <t>10183627A</t>
  </si>
  <si>
    <t>0076116720</t>
  </si>
  <si>
    <t>1804954280</t>
  </si>
  <si>
    <t>0076116721</t>
  </si>
  <si>
    <t>10921553B</t>
  </si>
  <si>
    <t>0076116724</t>
  </si>
  <si>
    <t>0076116727</t>
  </si>
  <si>
    <t>1805283692</t>
  </si>
  <si>
    <t>0076116728</t>
  </si>
  <si>
    <t>10876547A</t>
  </si>
  <si>
    <t>0076116729</t>
  </si>
  <si>
    <t>10895267A</t>
  </si>
  <si>
    <t>0076116730</t>
  </si>
  <si>
    <t>0080326945</t>
  </si>
  <si>
    <t>10925265A</t>
  </si>
  <si>
    <t>0076116731</t>
  </si>
  <si>
    <t>0080326892</t>
  </si>
  <si>
    <t>0076116732</t>
  </si>
  <si>
    <t>10918195A</t>
  </si>
  <si>
    <t>0076116733</t>
  </si>
  <si>
    <t>0090124958</t>
  </si>
  <si>
    <t>10818604A</t>
  </si>
  <si>
    <t>0076116734</t>
  </si>
  <si>
    <t>10921023A</t>
  </si>
  <si>
    <t>0076116735</t>
  </si>
  <si>
    <t>0076116736</t>
  </si>
  <si>
    <t>0076116737</t>
  </si>
  <si>
    <t>10922569A</t>
  </si>
  <si>
    <t>0076116738</t>
  </si>
  <si>
    <t>10913711A</t>
  </si>
  <si>
    <t>0076116739</t>
  </si>
  <si>
    <t>10814205A</t>
  </si>
  <si>
    <t>0076116740</t>
  </si>
  <si>
    <t>10885848A</t>
  </si>
  <si>
    <t>0076116741</t>
  </si>
  <si>
    <t>1805266635</t>
  </si>
  <si>
    <t>0075985288</t>
  </si>
  <si>
    <t>10877813A</t>
  </si>
  <si>
    <t>0076116742</t>
  </si>
  <si>
    <t>0076116743</t>
  </si>
  <si>
    <t>10915025A</t>
  </si>
  <si>
    <t>0076116744</t>
  </si>
  <si>
    <t>1804953952</t>
  </si>
  <si>
    <t>0076116745</t>
  </si>
  <si>
    <t>10919334B</t>
  </si>
  <si>
    <t>0076116746</t>
  </si>
  <si>
    <t>0076116747</t>
  </si>
  <si>
    <t>10908928A</t>
  </si>
  <si>
    <t>0076116748</t>
  </si>
  <si>
    <t>0076116751</t>
  </si>
  <si>
    <t>10902653B</t>
  </si>
  <si>
    <t>10910743A</t>
  </si>
  <si>
    <t>0076116752</t>
  </si>
  <si>
    <t>0076116753</t>
  </si>
  <si>
    <t>0076116754</t>
  </si>
  <si>
    <t>10891121A</t>
  </si>
  <si>
    <t>0076116755</t>
  </si>
  <si>
    <t>10898950A</t>
  </si>
  <si>
    <t>0076116756</t>
  </si>
  <si>
    <t>10785596A</t>
  </si>
  <si>
    <t>0076116757</t>
  </si>
  <si>
    <t>10866470A</t>
  </si>
  <si>
    <t>10920990A</t>
  </si>
  <si>
    <t>0076116758</t>
  </si>
  <si>
    <t>0076116759</t>
  </si>
  <si>
    <t>0076116760</t>
  </si>
  <si>
    <t>10901637B</t>
  </si>
  <si>
    <t>0076116761</t>
  </si>
  <si>
    <t>10915009A</t>
  </si>
  <si>
    <t>0076116762</t>
  </si>
  <si>
    <t>10912624C</t>
  </si>
  <si>
    <t>0076116763</t>
  </si>
  <si>
    <t>10808736A</t>
  </si>
  <si>
    <t>0076116764</t>
  </si>
  <si>
    <t>0076116765</t>
  </si>
  <si>
    <t>10857827A</t>
  </si>
  <si>
    <t>0076116766</t>
  </si>
  <si>
    <t>10913102B</t>
  </si>
  <si>
    <t>0076116767</t>
  </si>
  <si>
    <t>1804969348</t>
  </si>
  <si>
    <t>0076116769</t>
  </si>
  <si>
    <t>D27818</t>
  </si>
  <si>
    <t>0076116768</t>
  </si>
  <si>
    <t>10887261A</t>
  </si>
  <si>
    <t>0076116770</t>
  </si>
  <si>
    <t>10921896C</t>
  </si>
  <si>
    <t>0076116771</t>
  </si>
  <si>
    <t>0076116772</t>
  </si>
  <si>
    <t>10913696A</t>
  </si>
  <si>
    <t>0076116773</t>
  </si>
  <si>
    <t>10906225A</t>
  </si>
  <si>
    <t>0076116774</t>
  </si>
  <si>
    <t>10923988A</t>
  </si>
  <si>
    <t>0076116775</t>
  </si>
  <si>
    <t>10889510A</t>
  </si>
  <si>
    <t>0076116776</t>
  </si>
  <si>
    <t>0080326839</t>
  </si>
  <si>
    <t>0076116777</t>
  </si>
  <si>
    <t>10876673B</t>
  </si>
  <si>
    <t>0076116778</t>
  </si>
  <si>
    <t>10819637A</t>
  </si>
  <si>
    <t>0076116779</t>
  </si>
  <si>
    <t>10917638A</t>
  </si>
  <si>
    <t>0076116780</t>
  </si>
  <si>
    <t>10902663B</t>
  </si>
  <si>
    <t>0076116782</t>
  </si>
  <si>
    <t>10914093A</t>
  </si>
  <si>
    <t>10819678A</t>
  </si>
  <si>
    <t>0076116783</t>
  </si>
  <si>
    <t>0076116784</t>
  </si>
  <si>
    <t>0080315759</t>
  </si>
  <si>
    <t>0076116785</t>
  </si>
  <si>
    <t>10899827A</t>
  </si>
  <si>
    <t>0076116786</t>
  </si>
  <si>
    <t>10883775B</t>
  </si>
  <si>
    <t>0076116787</t>
  </si>
  <si>
    <t>10738966B</t>
  </si>
  <si>
    <t>10845063A</t>
  </si>
  <si>
    <t>0076116790</t>
  </si>
  <si>
    <t>10919376A</t>
  </si>
  <si>
    <t>0076116791</t>
  </si>
  <si>
    <t>0076116792</t>
  </si>
  <si>
    <t>10819868A</t>
  </si>
  <si>
    <t>10913260A</t>
  </si>
  <si>
    <t>0076116794</t>
  </si>
  <si>
    <t>10914330B</t>
  </si>
  <si>
    <t>0076116797</t>
  </si>
  <si>
    <t>10922105A</t>
  </si>
  <si>
    <t>0076116798</t>
  </si>
  <si>
    <t>10914508B</t>
  </si>
  <si>
    <t>10900287A</t>
  </si>
  <si>
    <t>0076116800</t>
  </si>
  <si>
    <t>1804706195</t>
  </si>
  <si>
    <t>0076116801</t>
  </si>
  <si>
    <t>0075814605</t>
  </si>
  <si>
    <t>10819640A</t>
  </si>
  <si>
    <t>10901634B</t>
  </si>
  <si>
    <t>0076116803</t>
  </si>
  <si>
    <t>0076116804</t>
  </si>
  <si>
    <t>10846307A</t>
  </si>
  <si>
    <t>0076116807</t>
  </si>
  <si>
    <t>10850448A</t>
  </si>
  <si>
    <t>10918331A</t>
  </si>
  <si>
    <t>0076116809</t>
  </si>
  <si>
    <t>10909041D</t>
  </si>
  <si>
    <t>0076116810</t>
  </si>
  <si>
    <t>1805186603</t>
  </si>
  <si>
    <t>0076116811</t>
  </si>
  <si>
    <t>10884657A</t>
  </si>
  <si>
    <t>0076116821</t>
  </si>
  <si>
    <t>10851138B</t>
  </si>
  <si>
    <t>0076116822</t>
  </si>
  <si>
    <t>10910424A</t>
  </si>
  <si>
    <t>0076116824</t>
  </si>
  <si>
    <t>10906448A</t>
  </si>
  <si>
    <t>0076116825</t>
  </si>
  <si>
    <t>10920966B</t>
  </si>
  <si>
    <t>0076116827</t>
  </si>
  <si>
    <t>10925243A</t>
  </si>
  <si>
    <t>0076116828</t>
  </si>
  <si>
    <t>10919322B</t>
  </si>
  <si>
    <t>0076116831</t>
  </si>
  <si>
    <t>10919358A</t>
  </si>
  <si>
    <t>0076116832</t>
  </si>
  <si>
    <t>10916690B</t>
  </si>
  <si>
    <t>0076116834</t>
  </si>
  <si>
    <t>10911558A</t>
  </si>
  <si>
    <t>0076116836</t>
  </si>
  <si>
    <t>10906475B</t>
  </si>
  <si>
    <t>0076116838</t>
  </si>
  <si>
    <t>10853607C</t>
  </si>
  <si>
    <t>0076116839</t>
  </si>
  <si>
    <t>10887679A</t>
  </si>
  <si>
    <t>0076116840</t>
  </si>
  <si>
    <t>0076027120</t>
  </si>
  <si>
    <t>10888710A</t>
  </si>
  <si>
    <t>0076116841</t>
  </si>
  <si>
    <t>10917308B</t>
  </si>
  <si>
    <t>0076116842</t>
  </si>
  <si>
    <t>0076116843</t>
  </si>
  <si>
    <t>0076009068</t>
  </si>
  <si>
    <t>10887678A</t>
  </si>
  <si>
    <t>0076116844</t>
  </si>
  <si>
    <t>10918685A</t>
  </si>
  <si>
    <t>0076116845</t>
  </si>
  <si>
    <t>0074557555</t>
  </si>
  <si>
    <t>10348282A</t>
  </si>
  <si>
    <t>0076116847</t>
  </si>
  <si>
    <t>10779298A</t>
  </si>
  <si>
    <t>0076116848</t>
  </si>
  <si>
    <t>10895245A</t>
  </si>
  <si>
    <t>0076116849</t>
  </si>
  <si>
    <t>0076116851</t>
  </si>
  <si>
    <t>10905586A</t>
  </si>
  <si>
    <t>0076116852</t>
  </si>
  <si>
    <t>10853546A</t>
  </si>
  <si>
    <t>0076116853</t>
  </si>
  <si>
    <t>10921033A</t>
  </si>
  <si>
    <t>0076116854</t>
  </si>
  <si>
    <t>10915404A</t>
  </si>
  <si>
    <t>0076116855</t>
  </si>
  <si>
    <t>0076116856</t>
  </si>
  <si>
    <t>10889518A</t>
  </si>
  <si>
    <t>0076116858</t>
  </si>
  <si>
    <t>0076036034</t>
  </si>
  <si>
    <t>10896757C</t>
  </si>
  <si>
    <t>0076116859</t>
  </si>
  <si>
    <t>10923312A</t>
  </si>
  <si>
    <t>0076116860</t>
  </si>
  <si>
    <t>10902776A</t>
  </si>
  <si>
    <t>0076116861</t>
  </si>
  <si>
    <t>10791859A</t>
  </si>
  <si>
    <t>0076116862</t>
  </si>
  <si>
    <t>0076116863</t>
  </si>
  <si>
    <t>10892611A</t>
  </si>
  <si>
    <t>0076116868</t>
  </si>
  <si>
    <t>10921029A</t>
  </si>
  <si>
    <t>10906451A</t>
  </si>
  <si>
    <t>0076116872</t>
  </si>
  <si>
    <t>10919392A</t>
  </si>
  <si>
    <t>0076116873</t>
  </si>
  <si>
    <t>0076116874</t>
  </si>
  <si>
    <t>0076116878</t>
  </si>
  <si>
    <t>10894854A</t>
  </si>
  <si>
    <t>0076116879</t>
  </si>
  <si>
    <t>10887689A</t>
  </si>
  <si>
    <t>0076116882</t>
  </si>
  <si>
    <t>10923828A</t>
  </si>
  <si>
    <t>0076116883</t>
  </si>
  <si>
    <t>10924059A</t>
  </si>
  <si>
    <t>0076116884</t>
  </si>
  <si>
    <t>10915215A</t>
  </si>
  <si>
    <t>0076116885</t>
  </si>
  <si>
    <t>1804979213</t>
  </si>
  <si>
    <t>0076116886</t>
  </si>
  <si>
    <t>0076103401</t>
  </si>
  <si>
    <t>10913735B</t>
  </si>
  <si>
    <t>0076116887</t>
  </si>
  <si>
    <t>10868594A</t>
  </si>
  <si>
    <t>0076116888</t>
  </si>
  <si>
    <t>10878971A</t>
  </si>
  <si>
    <t>0076116889</t>
  </si>
  <si>
    <t>10895260A</t>
  </si>
  <si>
    <t>0076116890</t>
  </si>
  <si>
    <t>10738500A</t>
  </si>
  <si>
    <t>0076116891</t>
  </si>
  <si>
    <t>10912665A</t>
  </si>
  <si>
    <t>0076116893</t>
  </si>
  <si>
    <t>10895269B</t>
  </si>
  <si>
    <t>0076116894</t>
  </si>
  <si>
    <t>10855157A</t>
  </si>
  <si>
    <t>0076116895</t>
  </si>
  <si>
    <t>10917947A</t>
  </si>
  <si>
    <t>0076116896</t>
  </si>
  <si>
    <t>10921046B</t>
  </si>
  <si>
    <t>0076116897</t>
  </si>
  <si>
    <t>10791874A</t>
  </si>
  <si>
    <t>0076116899</t>
  </si>
  <si>
    <t>10921871A</t>
  </si>
  <si>
    <t>0076116900</t>
  </si>
  <si>
    <t>10910744A</t>
  </si>
  <si>
    <t>0076116901</t>
  </si>
  <si>
    <t>10915402A</t>
  </si>
  <si>
    <t>0076116903</t>
  </si>
  <si>
    <t>7031708338</t>
  </si>
  <si>
    <t>0076116904</t>
  </si>
  <si>
    <t>10897072A</t>
  </si>
  <si>
    <t>0076116905</t>
  </si>
  <si>
    <t>10923918A</t>
  </si>
  <si>
    <t>0076116906</t>
  </si>
  <si>
    <t>10917294A</t>
  </si>
  <si>
    <t>0090120419</t>
  </si>
  <si>
    <t>0075216802</t>
  </si>
  <si>
    <t>0076116908</t>
  </si>
  <si>
    <t>10924505A</t>
  </si>
  <si>
    <t>0076116909</t>
  </si>
  <si>
    <t>0076116911</t>
  </si>
  <si>
    <t>10904656A</t>
  </si>
  <si>
    <t>0076116912</t>
  </si>
  <si>
    <t>0076116913</t>
  </si>
  <si>
    <t>10809346B</t>
  </si>
  <si>
    <t>0076116914</t>
  </si>
  <si>
    <t>10832624B</t>
  </si>
  <si>
    <t>0076116915</t>
  </si>
  <si>
    <t>10832641A</t>
  </si>
  <si>
    <t>0076116916</t>
  </si>
  <si>
    <t>10924255A</t>
  </si>
  <si>
    <t>0076116919</t>
  </si>
  <si>
    <t>10860928A</t>
  </si>
  <si>
    <t>0076116920</t>
  </si>
  <si>
    <t>10843638B</t>
  </si>
  <si>
    <t>0076116921</t>
  </si>
  <si>
    <t>10833429A</t>
  </si>
  <si>
    <t>0076116924</t>
  </si>
  <si>
    <t>10833691A</t>
  </si>
  <si>
    <t>0076116926</t>
  </si>
  <si>
    <t>10904453A</t>
  </si>
  <si>
    <t>0076116927</t>
  </si>
  <si>
    <t>10887684A</t>
  </si>
  <si>
    <t>0076116930</t>
  </si>
  <si>
    <t>10801401A</t>
  </si>
  <si>
    <t>0076116931</t>
  </si>
  <si>
    <t>10897048A</t>
  </si>
  <si>
    <t>0076116932</t>
  </si>
  <si>
    <t>10849316B</t>
  </si>
  <si>
    <t>0076116933</t>
  </si>
  <si>
    <t>10832648A</t>
  </si>
  <si>
    <t>0076116934</t>
  </si>
  <si>
    <t>10816265A</t>
  </si>
  <si>
    <t>0076116935</t>
  </si>
  <si>
    <t>0076116936</t>
  </si>
  <si>
    <t>10911766A</t>
  </si>
  <si>
    <t>0076116937</t>
  </si>
  <si>
    <t>10903155B</t>
  </si>
  <si>
    <t>0076116940</t>
  </si>
  <si>
    <t>10913480A</t>
  </si>
  <si>
    <t>0076116941</t>
  </si>
  <si>
    <t>10836081A</t>
  </si>
  <si>
    <t>0076116942</t>
  </si>
  <si>
    <t>10897056A</t>
  </si>
  <si>
    <t>10898082B</t>
  </si>
  <si>
    <t>0076116943</t>
  </si>
  <si>
    <t>0076116944</t>
  </si>
  <si>
    <t>10913686A</t>
  </si>
  <si>
    <t>0076116946</t>
  </si>
  <si>
    <t>10894018A</t>
  </si>
  <si>
    <t>0076116947</t>
  </si>
  <si>
    <t>10904880A</t>
  </si>
  <si>
    <t>0076116948</t>
  </si>
  <si>
    <t>10889773A</t>
  </si>
  <si>
    <t>0076116949</t>
  </si>
  <si>
    <t>10919987A</t>
  </si>
  <si>
    <t>0076116950</t>
  </si>
  <si>
    <t>10853553A</t>
  </si>
  <si>
    <t>0076116951</t>
  </si>
  <si>
    <t>10897242C</t>
  </si>
  <si>
    <t>0076116952</t>
  </si>
  <si>
    <t>10859349A</t>
  </si>
  <si>
    <t>0076116953</t>
  </si>
  <si>
    <t>10880432A</t>
  </si>
  <si>
    <t>10868052A</t>
  </si>
  <si>
    <t>10892363A</t>
  </si>
  <si>
    <t>0076116954</t>
  </si>
  <si>
    <t>0076116955</t>
  </si>
  <si>
    <t>0076116956</t>
  </si>
  <si>
    <t>10902655B</t>
  </si>
  <si>
    <t>0076116957</t>
  </si>
  <si>
    <t>10852639B</t>
  </si>
  <si>
    <t>10830033A</t>
  </si>
  <si>
    <t>0076116958</t>
  </si>
  <si>
    <t>10887683A</t>
  </si>
  <si>
    <t>0076116959</t>
  </si>
  <si>
    <t>0076116960</t>
  </si>
  <si>
    <t>10924261A</t>
  </si>
  <si>
    <t>0076116961</t>
  </si>
  <si>
    <t>0076116962</t>
  </si>
  <si>
    <t>0090125771</t>
  </si>
  <si>
    <t>10832654A</t>
  </si>
  <si>
    <t>0076116963</t>
  </si>
  <si>
    <t>0076116964</t>
  </si>
  <si>
    <t>0076116965</t>
  </si>
  <si>
    <t>0076116966</t>
  </si>
  <si>
    <t>0076116967</t>
  </si>
  <si>
    <t>10844501A</t>
  </si>
  <si>
    <t>0076116968</t>
  </si>
  <si>
    <t>10902475A</t>
  </si>
  <si>
    <t>0076116969</t>
  </si>
  <si>
    <t>10858905A</t>
  </si>
  <si>
    <t>0076116970</t>
  </si>
  <si>
    <t>10917229A</t>
  </si>
  <si>
    <t>0076116971</t>
  </si>
  <si>
    <t>10865353A</t>
  </si>
  <si>
    <t>0076116972</t>
  </si>
  <si>
    <t>10897071A</t>
  </si>
  <si>
    <t>0076116973</t>
  </si>
  <si>
    <t>10842570A</t>
  </si>
  <si>
    <t>0076116998</t>
  </si>
  <si>
    <t>10878671B</t>
  </si>
  <si>
    <t>0076116999</t>
  </si>
  <si>
    <t>10844805A</t>
  </si>
  <si>
    <t>0076117000</t>
  </si>
  <si>
    <t>0076117001</t>
  </si>
  <si>
    <t>10874266B</t>
  </si>
  <si>
    <t>0076117002</t>
  </si>
  <si>
    <t>10920796A</t>
  </si>
  <si>
    <t>0076117003</t>
  </si>
  <si>
    <t>10882146A</t>
  </si>
  <si>
    <t>10903815D</t>
  </si>
  <si>
    <t>0076117004</t>
  </si>
  <si>
    <t>10915711A</t>
  </si>
  <si>
    <t>0076117005</t>
  </si>
  <si>
    <t>10832512A</t>
  </si>
  <si>
    <t>0076117006</t>
  </si>
  <si>
    <t>10884010B</t>
  </si>
  <si>
    <t>0076117007</t>
  </si>
  <si>
    <t>10888935A</t>
  </si>
  <si>
    <t>0076117008</t>
  </si>
  <si>
    <t>10880086B</t>
  </si>
  <si>
    <t>0076117009</t>
  </si>
  <si>
    <t>10915024A</t>
  </si>
  <si>
    <t>0076117010</t>
  </si>
  <si>
    <t>10899313A</t>
  </si>
  <si>
    <t>0076117011</t>
  </si>
  <si>
    <t>D29209</t>
  </si>
  <si>
    <t>0076117012</t>
  </si>
  <si>
    <t>10917653B</t>
  </si>
  <si>
    <t>0080289235</t>
  </si>
  <si>
    <t>0076117013</t>
  </si>
  <si>
    <t>0076117014</t>
  </si>
  <si>
    <t>0076117015</t>
  </si>
  <si>
    <t>10865599A</t>
  </si>
  <si>
    <t>0076117016</t>
  </si>
  <si>
    <t>10870206A</t>
  </si>
  <si>
    <t>0076117017</t>
  </si>
  <si>
    <t>10924254A</t>
  </si>
  <si>
    <t>0076117019</t>
  </si>
  <si>
    <t>0090125817</t>
  </si>
  <si>
    <t>10864645A</t>
  </si>
  <si>
    <t>0076117018</t>
  </si>
  <si>
    <t>0076117020</t>
  </si>
  <si>
    <t>10897016A</t>
  </si>
  <si>
    <t>0076117021</t>
  </si>
  <si>
    <t>D28601</t>
  </si>
  <si>
    <t>0076117022</t>
  </si>
  <si>
    <t>10857832A</t>
  </si>
  <si>
    <t>0076117023</t>
  </si>
  <si>
    <t>0076117024</t>
  </si>
  <si>
    <t>10910425A</t>
  </si>
  <si>
    <t>0076117025</t>
  </si>
  <si>
    <t>10840726B</t>
  </si>
  <si>
    <t>0076117026</t>
  </si>
  <si>
    <t>10924683A</t>
  </si>
  <si>
    <t>0076117027</t>
  </si>
  <si>
    <t>0076117028</t>
  </si>
  <si>
    <t>0076117029</t>
  </si>
  <si>
    <t>10868656A</t>
  </si>
  <si>
    <t>0076117030</t>
  </si>
  <si>
    <t>0075974299</t>
  </si>
  <si>
    <t>10874416A</t>
  </si>
  <si>
    <t>0076117031</t>
  </si>
  <si>
    <t>D28716</t>
  </si>
  <si>
    <t>0076117032</t>
  </si>
  <si>
    <t>10921610A</t>
  </si>
  <si>
    <t>0076117033</t>
  </si>
  <si>
    <t>10903208B</t>
  </si>
  <si>
    <t>0076117034</t>
  </si>
  <si>
    <t>10908459A</t>
  </si>
  <si>
    <t>0076117035</t>
  </si>
  <si>
    <t>10919749B</t>
  </si>
  <si>
    <t>0076117036</t>
  </si>
  <si>
    <t>0076117037</t>
  </si>
  <si>
    <t>D26610</t>
  </si>
  <si>
    <t>0076117038</t>
  </si>
  <si>
    <t>10882945A</t>
  </si>
  <si>
    <t>0076117039</t>
  </si>
  <si>
    <t>10911675B</t>
  </si>
  <si>
    <t>0076117040</t>
  </si>
  <si>
    <t>0076117041</t>
  </si>
  <si>
    <t>10851888A</t>
  </si>
  <si>
    <t>0076117042</t>
  </si>
  <si>
    <t>0076117043</t>
  </si>
  <si>
    <t>10918039A</t>
  </si>
  <si>
    <t>0076117045</t>
  </si>
  <si>
    <t>0076117046</t>
  </si>
  <si>
    <t>10830963A</t>
  </si>
  <si>
    <t>0076117047</t>
  </si>
  <si>
    <t>9005407783</t>
  </si>
  <si>
    <t>0076117048</t>
  </si>
  <si>
    <t>10363760A</t>
  </si>
  <si>
    <t>0076117049</t>
  </si>
  <si>
    <t>10914278A</t>
  </si>
  <si>
    <t>0076117050</t>
  </si>
  <si>
    <t>10886423A</t>
  </si>
  <si>
    <t>0076117052</t>
  </si>
  <si>
    <t>0076117051</t>
  </si>
  <si>
    <t>10921617A</t>
  </si>
  <si>
    <t>10901540A</t>
  </si>
  <si>
    <t>0076117053</t>
  </si>
  <si>
    <t>10922168A</t>
  </si>
  <si>
    <t>0076117054</t>
  </si>
  <si>
    <t>10851176A</t>
  </si>
  <si>
    <t>0076117055</t>
  </si>
  <si>
    <t>10677356A</t>
  </si>
  <si>
    <t>0076117056</t>
  </si>
  <si>
    <t>0080326813</t>
  </si>
  <si>
    <t>0076117057</t>
  </si>
  <si>
    <t>0076117058</t>
  </si>
  <si>
    <t>4950705243</t>
  </si>
  <si>
    <t>0076117059</t>
  </si>
  <si>
    <t>10904877B</t>
  </si>
  <si>
    <t>0076117060</t>
  </si>
  <si>
    <t>10870686A</t>
  </si>
  <si>
    <t>0076117061</t>
  </si>
  <si>
    <t>10919303A</t>
  </si>
  <si>
    <t>0076117062</t>
  </si>
  <si>
    <t>10851436B</t>
  </si>
  <si>
    <t>0076117063</t>
  </si>
  <si>
    <t>10709427A</t>
  </si>
  <si>
    <t>0076117064</t>
  </si>
  <si>
    <t>0080325111</t>
  </si>
  <si>
    <t>0076117065</t>
  </si>
  <si>
    <t>10915456A</t>
  </si>
  <si>
    <t>0076117066</t>
  </si>
  <si>
    <t>10895926A</t>
  </si>
  <si>
    <t>0076117067</t>
  </si>
  <si>
    <t>10923248A</t>
  </si>
  <si>
    <t>0076117068</t>
  </si>
  <si>
    <t>10922267A</t>
  </si>
  <si>
    <t>0076117069</t>
  </si>
  <si>
    <t>10903852A</t>
  </si>
  <si>
    <t>0076117070</t>
  </si>
  <si>
    <t>10885651A</t>
  </si>
  <si>
    <t>0076117071</t>
  </si>
  <si>
    <t>1805266510</t>
  </si>
  <si>
    <t>0076117072</t>
  </si>
  <si>
    <t>10924603A</t>
  </si>
  <si>
    <t>0076117073</t>
  </si>
  <si>
    <t>10915879A</t>
  </si>
  <si>
    <t>0076117074</t>
  </si>
  <si>
    <t>10922928A</t>
  </si>
  <si>
    <t>0076117075</t>
  </si>
  <si>
    <t>0076117076</t>
  </si>
  <si>
    <t>10873318A</t>
  </si>
  <si>
    <t>0076117077</t>
  </si>
  <si>
    <t>10851160B</t>
  </si>
  <si>
    <t>0076117078</t>
  </si>
  <si>
    <t>10903437A</t>
  </si>
  <si>
    <t>0076117079</t>
  </si>
  <si>
    <t>0076117080</t>
  </si>
  <si>
    <t>0076117081</t>
  </si>
  <si>
    <t>0076117082</t>
  </si>
  <si>
    <t>10920964A</t>
  </si>
  <si>
    <t>0076117083</t>
  </si>
  <si>
    <t>0076117084</t>
  </si>
  <si>
    <t>0076114534</t>
  </si>
  <si>
    <t>10923315B</t>
  </si>
  <si>
    <t>0076117085</t>
  </si>
  <si>
    <t>0076117086</t>
  </si>
  <si>
    <t>0076117087</t>
  </si>
  <si>
    <t>0076117088</t>
  </si>
  <si>
    <t>10914279B</t>
  </si>
  <si>
    <t>0076117089</t>
  </si>
  <si>
    <t>10850884A</t>
  </si>
  <si>
    <t>10881369A</t>
  </si>
  <si>
    <t>0076117090</t>
  </si>
  <si>
    <t>0076117091</t>
  </si>
  <si>
    <t>10892180B</t>
  </si>
  <si>
    <t>0076117092</t>
  </si>
  <si>
    <t>10806624A</t>
  </si>
  <si>
    <t>0090127095</t>
  </si>
  <si>
    <t>10917448A</t>
  </si>
  <si>
    <t>0076117093</t>
  </si>
  <si>
    <t>10872963A</t>
  </si>
  <si>
    <t>0076117094</t>
  </si>
  <si>
    <t>10845361A</t>
  </si>
  <si>
    <t>0076117095</t>
  </si>
  <si>
    <t>10871157A</t>
  </si>
  <si>
    <t>0076117096</t>
  </si>
  <si>
    <t>10857581B</t>
  </si>
  <si>
    <t>0076117097</t>
  </si>
  <si>
    <t>10880068A</t>
  </si>
  <si>
    <t>0076117098</t>
  </si>
  <si>
    <t>10857583B</t>
  </si>
  <si>
    <t>0076117099</t>
  </si>
  <si>
    <t>10822882B</t>
  </si>
  <si>
    <t>0076117100</t>
  </si>
  <si>
    <t>10880965A</t>
  </si>
  <si>
    <t>0076117101</t>
  </si>
  <si>
    <t>10911294A</t>
  </si>
  <si>
    <t>0076117102</t>
  </si>
  <si>
    <t>10918174A</t>
  </si>
  <si>
    <t>0076117103</t>
  </si>
  <si>
    <t>0076117104</t>
  </si>
  <si>
    <t>10925181A</t>
  </si>
  <si>
    <t>0076117105</t>
  </si>
  <si>
    <t>10867525A</t>
  </si>
  <si>
    <t>0076117106</t>
  </si>
  <si>
    <t>0076117107</t>
  </si>
  <si>
    <t>10922249A</t>
  </si>
  <si>
    <t>0076117108</t>
  </si>
  <si>
    <t>10922919A</t>
  </si>
  <si>
    <t>0076117109</t>
  </si>
  <si>
    <t>0076117110</t>
  </si>
  <si>
    <t>10916183A</t>
  </si>
  <si>
    <t>0076117111</t>
  </si>
  <si>
    <t>0076117112</t>
  </si>
  <si>
    <t>10773434A</t>
  </si>
  <si>
    <t>0076117113</t>
  </si>
  <si>
    <t>10924435A</t>
  </si>
  <si>
    <t>0076117114</t>
  </si>
  <si>
    <t>10905891A</t>
  </si>
  <si>
    <t>0076117115</t>
  </si>
  <si>
    <t>10911972A</t>
  </si>
  <si>
    <t>0076117116</t>
  </si>
  <si>
    <t>10209438B</t>
  </si>
  <si>
    <t>0076117117</t>
  </si>
  <si>
    <t>10857806A</t>
  </si>
  <si>
    <t>0076117118</t>
  </si>
  <si>
    <t>0076117119</t>
  </si>
  <si>
    <t>10902389A</t>
  </si>
  <si>
    <t>0076117120</t>
  </si>
  <si>
    <t>10918329A</t>
  </si>
  <si>
    <t>0076117121</t>
  </si>
  <si>
    <t>10847965A</t>
  </si>
  <si>
    <t>0076117122</t>
  </si>
  <si>
    <t>10899185A</t>
  </si>
  <si>
    <t>0076117123</t>
  </si>
  <si>
    <t>10916353A</t>
  </si>
  <si>
    <t>0076117124</t>
  </si>
  <si>
    <t>0076117125</t>
  </si>
  <si>
    <t>10914578A</t>
  </si>
  <si>
    <t>0076117126</t>
  </si>
  <si>
    <t>10808252A</t>
  </si>
  <si>
    <t>0076117127</t>
  </si>
  <si>
    <t>10920849A</t>
  </si>
  <si>
    <t>0076117128</t>
  </si>
  <si>
    <t>0076117129</t>
  </si>
  <si>
    <t>10918336A</t>
  </si>
  <si>
    <t>0076117130</t>
  </si>
  <si>
    <t>1804993087</t>
  </si>
  <si>
    <t>0075803113</t>
  </si>
  <si>
    <t>10760162A</t>
  </si>
  <si>
    <t>0090127097</t>
  </si>
  <si>
    <t>10919699A</t>
  </si>
  <si>
    <t>0076117131</t>
  </si>
  <si>
    <t>10915212A</t>
  </si>
  <si>
    <t>0076117132</t>
  </si>
  <si>
    <t>0076117133</t>
  </si>
  <si>
    <t>10919330A</t>
  </si>
  <si>
    <t>0076117134</t>
  </si>
  <si>
    <t>10784168B</t>
  </si>
  <si>
    <t>0076117135</t>
  </si>
  <si>
    <t>10924527A</t>
  </si>
  <si>
    <t>0076117136</t>
  </si>
  <si>
    <t>10885207A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</si>
</sst>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F400]h:mm:ss\ AM/PM"/>
    <numFmt numFmtId="165" formatCode="0.0"/>
    <numFmt numFmtId="166" formatCode="0.0%"/>
    <numFmt numFmtId="167" formatCode="0.00000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42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4" borderId="1" xfId="0" applyFill="1" applyBorder="1"/>
    <xf numFmtId="167" fontId="0" fillId="4" borderId="1" xfId="0" applyNumberFormat="1" applyFill="1" applyBorder="1"/>
    <xf numFmtId="18" fontId="0" fillId="2" borderId="0" xfId="0" applyNumberFormat="1" applyFill="1"/>
    <xf numFmtId="43" fontId="0" fillId="5" borderId="1" xfId="2" applyFont="1" applyFill="1" applyBorder="1"/>
    <xf numFmtId="168" fontId="0" fillId="5" borderId="1" xfId="2" applyNumberFormat="1" applyFont="1" applyFill="1" applyBorder="1"/>
    <xf numFmtId="166" fontId="0" fillId="5" borderId="1" xfId="1" applyNumberFormat="1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Alignment="1">
      <alignment horizontal="center"/>
    </xf>
    <xf numFmtId="0" fontId="0" fillId="0" borderId="0" xfId="0" quotePrefix="1"/>
    <xf numFmtId="164" fontId="0" fillId="3" borderId="1" xfId="0" applyNumberFormat="1" applyFill="1" applyBorder="1" applyAlignment="1" applyProtection="1">
      <alignment horizontal="center" vertical="center"/>
      <protection locked="0"/>
    </xf>
    <xf numFmtId="14" fontId="0" fillId="3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14" fontId="0" fillId="2" borderId="0" xfId="0" applyNumberFormat="1" applyFill="1"/>
    <xf numFmtId="164" fontId="0" fillId="2" borderId="0" xfId="0" applyNumberFormat="1" applyFill="1"/>
    <xf numFmtId="0" fontId="4" fillId="8" borderId="7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18" fontId="0" fillId="2" borderId="12" xfId="0" applyNumberForma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4">
    <dxf>
      <numFmt numFmtId="164" formatCode="[$-F400]h:mm:ss\ AM/PM"/>
    </dxf>
    <dxf>
      <numFmt numFmtId="164" formatCode="[$-F400]h:mm:ss\ AM/PM"/>
    </dxf>
    <dxf>
      <numFmt numFmtId="19" formatCode="m/d/yyyy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85725</xdr:rowOff>
        </xdr:from>
        <xdr:to>
          <xdr:col>7</xdr:col>
          <xdr:colOff>161925</xdr:colOff>
          <xdr:row>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</xdr:row>
          <xdr:rowOff>76200</xdr:rowOff>
        </xdr:from>
        <xdr:to>
          <xdr:col>9</xdr:col>
          <xdr:colOff>19050</xdr:colOff>
          <xdr:row>3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333BE6-1819-4A18-B787-1EADE2D124A7}" name="DailyCutsResults" displayName="DailyCutsResults" ref="A1:S5406" totalsRowShown="0">
  <autoFilter ref="A1:S5406" xr:uid="{22333BE6-1819-4A18-B787-1EADE2D124A7}"/>
  <tableColumns count="19">
    <tableColumn id="1" xr3:uid="{52F2809E-ECBB-4E99-8F86-57C42EB70F10}" name="Date" dataDxfId="2"/>
    <tableColumn id="2" xr3:uid="{C4F2EA93-41F4-48DC-A191-5C1F2733860F}" name="Machine"/>
    <tableColumn id="3" xr3:uid="{C40DFFD5-B6D0-4999-8E3E-66337B9C8EB5}" name="Shift"/>
    <tableColumn id="4" xr3:uid="{57FED000-9E5E-4983-A184-491162B18FCC}" name="Hours"/>
    <tableColumn id="5" xr3:uid="{34A9FE1E-62B3-4E5A-86DE-8B6F737E5967}" name="Rolls"/>
    <tableColumn id="6" xr3:uid="{331E0F50-D8AA-4B13-8FE3-07EC93E5E6A9}" name="Cuts"/>
    <tableColumn id="7" xr3:uid="{F4226AD9-64FE-4953-BC59-7BEA768A8E69}" name="Cuts/Roll"/>
    <tableColumn id="8" xr3:uid="{189CA5F7-12CF-42FE-9A46-C186239C8421}" name="Earned Min"/>
    <tableColumn id="9" xr3:uid="{88A2FF32-1416-4951-8F9B-BD8DC734018C}" name="Avail Min"/>
    <tableColumn id="10" xr3:uid="{59C777D0-CF79-479F-BC77-01DDD15E2F60}" name="Effective %"/>
    <tableColumn id="11" xr3:uid="{1C6CB54E-C78A-4C1B-B447-A6750F11D18C}" name="Cuts/Hour"/>
    <tableColumn id="12" xr3:uid="{CE2496C6-7F08-4A50-BB0A-757B4BBB696E}" name="Cuts/Hour Max"/>
    <tableColumn id="13" xr3:uid="{EFBD3432-D4D5-4FFE-9F89-5977F81F0B27}" name="Single Cut"/>
    <tableColumn id="14" xr3:uid="{C1674A38-5E8E-483C-A815-2DB67018B646}" name="2 Cuts"/>
    <tableColumn id="15" xr3:uid="{E66342A5-BF9F-4B66-9444-475CDD4FDA45}" name="3-5 Cuts"/>
    <tableColumn id="16" xr3:uid="{5300FC56-8A72-4E5A-B53A-5ED6DB1A9585}" name="6+ Cuts"/>
    <tableColumn id="17" xr3:uid="{9D4D92EC-F941-4680-A900-190F57FB974D}" name="Start" dataDxfId="1"/>
    <tableColumn id="18" xr3:uid="{6E5BDD23-7C60-4E82-90C5-698425120DD6}" name="End" dataDxfId="0"/>
    <tableColumn id="19" xr3:uid="{C527F169-30F2-4F0B-AE88-A83914C1402E}" name="Override Hou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8273"/>
  <sheetViews>
    <sheetView zoomScale="85" zoomScaleNormal="85" workbookViewId="0">
      <selection sqref="A1:XFD1"/>
    </sheetView>
  </sheetViews>
  <sheetFormatPr defaultRowHeight="15" x14ac:dyDescent="0.25"/>
  <cols>
    <col min="1" max="1" width="14.7109375" customWidth="1"/>
    <col min="2" max="4" width="14.7109375" style="4" customWidth="1"/>
    <col min="5" max="5" width="14.7109375" style="5" customWidth="1"/>
    <col min="6" max="6" width="17.42578125" customWidth="1"/>
    <col min="7" max="7" width="12.7109375" bestFit="1" customWidth="1"/>
    <col min="8" max="8" width="14.5703125" customWidth="1"/>
    <col min="9" max="9" width="0" hidden="1" customWidth="1"/>
    <col min="10" max="10" width="14.28515625" hidden="1" customWidth="1"/>
    <col min="11" max="11" width="16.42578125" hidden="1" customWidth="1"/>
    <col min="12" max="12" width="31.85546875" bestFit="1" customWidth="1"/>
    <col min="13" max="13" width="11" bestFit="1" customWidth="1"/>
    <col min="14" max="14" width="6.42578125" bestFit="1" customWidth="1"/>
    <col min="15" max="15" width="8" bestFit="1" customWidth="1"/>
    <col min="16" max="16" width="10.7109375" bestFit="1" customWidth="1"/>
    <col min="17" max="17" width="9.85546875" bestFit="1" customWidth="1"/>
    <col min="18" max="18" width="9.5703125" bestFit="1" customWidth="1"/>
    <col min="19" max="19" width="12.7109375" bestFit="1" customWidth="1"/>
    <col min="20" max="20" width="10.85546875" bestFit="1" customWidth="1"/>
    <col min="21" max="21" width="12.28515625" bestFit="1" customWidth="1"/>
  </cols>
  <sheetData>
    <row r="1" spans="1:21" x14ac:dyDescent="0.25">
      <c r="A1" t="s">
        <v>0</v>
      </c>
      <c r="B1" s="4" t="s">
        <v>5</v>
      </c>
      <c r="C1" s="4" t="s">
        <v>7</v>
      </c>
      <c r="D1" s="4" t="s">
        <v>1</v>
      </c>
      <c r="E1" s="5" t="s">
        <v>2</v>
      </c>
      <c r="F1" t="s">
        <v>6</v>
      </c>
      <c r="G1" t="s">
        <v>3</v>
      </c>
      <c r="H1" t="s">
        <v>4</v>
      </c>
      <c r="I1" t="s">
        <v>18</v>
      </c>
      <c r="J1" t="s">
        <v>18</v>
      </c>
      <c r="K1" t="s">
        <v>18</v>
      </c>
      <c r="L1" t="s">
        <v>8</v>
      </c>
      <c r="M1" t="s">
        <v>11</v>
      </c>
      <c r="N1" t="s">
        <v>12</v>
      </c>
      <c r="O1" t="s">
        <v>15</v>
      </c>
      <c r="P1" t="s">
        <v>16</v>
      </c>
      <c r="Q1" t="s">
        <v>13</v>
      </c>
      <c r="R1" t="s">
        <v>14</v>
      </c>
      <c r="S1" t="s">
        <v>23</v>
      </c>
      <c r="T1" t="s">
        <v>24</v>
      </c>
      <c r="U1" t="s">
        <v>17</v>
      </c>
    </row>
    <row r="2" spans="1:21" x14ac:dyDescent="0.25">
      <c r="A2" t="s">
        <v>102</v>
      </c>
      <c r="B2" s="4" t="s">
        <v>10</v>
      </c>
      <c r="C2" s="4" t="s">
        <v>70</v>
      </c>
      <c r="D2" s="4">
        <v>46139</v>
      </c>
      <c r="E2" s="5">
        <v>0.25793981481481482</v>
      </c>
      <c r="F2">
        <v>1</v>
      </c>
      <c r="G2" t="s">
        <v>82</v>
      </c>
      <c r="H2">
        <v>13.5</v>
      </c>
      <c r="L2" t="s">
        <v>103</v>
      </c>
      <c r="M2" t="s">
        <v>71</v>
      </c>
      <c r="N2" t="s">
        <v>72</v>
      </c>
      <c r="O2">
        <v>1</v>
      </c>
      <c r="R2">
        <v>1</v>
      </c>
      <c r="S2">
        <v>1</v>
      </c>
      <c r="T2">
        <v>19.166666666666668</v>
      </c>
    </row>
    <row r="3" spans="1:21" x14ac:dyDescent="0.25">
      <c r="A3" t="s">
        <v>103</v>
      </c>
      <c r="B3" s="4" t="s">
        <v>10</v>
      </c>
      <c r="C3" s="4" t="s">
        <v>73</v>
      </c>
      <c r="D3" s="4">
        <v>46139</v>
      </c>
      <c r="E3" s="5">
        <v>0.25793981481481482</v>
      </c>
      <c r="F3">
        <v>1</v>
      </c>
      <c r="G3" t="s">
        <v>82</v>
      </c>
      <c r="H3">
        <v>19.083333333333332</v>
      </c>
      <c r="M3" t="s">
        <v>79</v>
      </c>
      <c r="N3" t="s">
        <v>72</v>
      </c>
    </row>
    <row r="4" spans="1:21" x14ac:dyDescent="0.25">
      <c r="A4" t="s">
        <v>103</v>
      </c>
      <c r="B4" s="4" t="s">
        <v>10</v>
      </c>
      <c r="C4" s="4" t="s">
        <v>73</v>
      </c>
      <c r="D4" s="4">
        <v>46139</v>
      </c>
      <c r="E4" s="5">
        <v>0.25793981481481482</v>
      </c>
      <c r="F4">
        <v>1</v>
      </c>
      <c r="G4" t="s">
        <v>82</v>
      </c>
      <c r="H4">
        <v>19</v>
      </c>
      <c r="M4" t="s">
        <v>79</v>
      </c>
      <c r="N4" t="s">
        <v>72</v>
      </c>
    </row>
    <row r="5" spans="1:21" x14ac:dyDescent="0.25">
      <c r="A5" t="s">
        <v>103</v>
      </c>
      <c r="B5" s="4" t="s">
        <v>10</v>
      </c>
      <c r="C5" s="4" t="s">
        <v>73</v>
      </c>
      <c r="D5" s="4">
        <v>46139</v>
      </c>
      <c r="E5" s="5">
        <v>0.25815972222222222</v>
      </c>
      <c r="F5">
        <v>1</v>
      </c>
      <c r="G5" t="s">
        <v>82</v>
      </c>
      <c r="H5">
        <v>19.166666666666668</v>
      </c>
      <c r="M5" t="s">
        <v>76</v>
      </c>
      <c r="N5" t="s">
        <v>72</v>
      </c>
    </row>
    <row r="6" spans="1:21" x14ac:dyDescent="0.25">
      <c r="A6" t="s">
        <v>106</v>
      </c>
      <c r="B6" s="4" t="s">
        <v>10</v>
      </c>
      <c r="C6" s="4" t="s">
        <v>70</v>
      </c>
      <c r="D6" s="4">
        <v>46139</v>
      </c>
      <c r="E6" s="5">
        <v>0.25881944444444444</v>
      </c>
      <c r="F6">
        <v>1</v>
      </c>
      <c r="G6" t="s">
        <v>82</v>
      </c>
      <c r="H6">
        <v>34</v>
      </c>
      <c r="L6" t="s">
        <v>107</v>
      </c>
      <c r="M6" t="s">
        <v>71</v>
      </c>
      <c r="N6" t="s">
        <v>72</v>
      </c>
      <c r="O6">
        <v>1</v>
      </c>
      <c r="S6">
        <v>1</v>
      </c>
      <c r="T6">
        <v>40.416666666666664</v>
      </c>
    </row>
    <row r="7" spans="1:21" x14ac:dyDescent="0.25">
      <c r="A7" t="s">
        <v>107</v>
      </c>
      <c r="B7" s="4" t="s">
        <v>10</v>
      </c>
      <c r="C7" s="4" t="s">
        <v>73</v>
      </c>
      <c r="D7" s="4">
        <v>46139</v>
      </c>
      <c r="E7" s="5">
        <v>0.25881944444444444</v>
      </c>
      <c r="F7">
        <v>1</v>
      </c>
      <c r="G7" t="s">
        <v>82</v>
      </c>
      <c r="H7">
        <v>40.583333333333336</v>
      </c>
      <c r="M7" t="s">
        <v>79</v>
      </c>
      <c r="N7" t="s">
        <v>72</v>
      </c>
    </row>
    <row r="8" spans="1:21" x14ac:dyDescent="0.25">
      <c r="A8" t="s">
        <v>107</v>
      </c>
      <c r="B8" s="4" t="s">
        <v>10</v>
      </c>
      <c r="C8" s="4" t="s">
        <v>73</v>
      </c>
      <c r="D8" s="4">
        <v>46139</v>
      </c>
      <c r="E8" s="5">
        <v>0.25881944444444444</v>
      </c>
      <c r="F8">
        <v>1</v>
      </c>
      <c r="G8" t="s">
        <v>82</v>
      </c>
      <c r="H8">
        <v>40.5</v>
      </c>
      <c r="M8" t="s">
        <v>79</v>
      </c>
      <c r="N8" t="s">
        <v>72</v>
      </c>
    </row>
    <row r="9" spans="1:21" x14ac:dyDescent="0.25">
      <c r="A9" t="s">
        <v>107</v>
      </c>
      <c r="B9" s="4" t="s">
        <v>10</v>
      </c>
      <c r="C9" s="4" t="s">
        <v>73</v>
      </c>
      <c r="D9" s="4">
        <v>46139</v>
      </c>
      <c r="E9" s="5">
        <v>0.25907407407407407</v>
      </c>
      <c r="F9">
        <v>1</v>
      </c>
      <c r="G9" t="s">
        <v>82</v>
      </c>
      <c r="H9">
        <v>40.416666666666664</v>
      </c>
      <c r="M9" t="s">
        <v>76</v>
      </c>
      <c r="N9" t="s">
        <v>72</v>
      </c>
    </row>
    <row r="10" spans="1:21" x14ac:dyDescent="0.25">
      <c r="A10" t="s">
        <v>110</v>
      </c>
      <c r="B10" s="4" t="s">
        <v>10</v>
      </c>
      <c r="C10" s="4" t="s">
        <v>70</v>
      </c>
      <c r="D10" s="4">
        <v>46139</v>
      </c>
      <c r="E10" s="5">
        <v>0.25973379629629628</v>
      </c>
      <c r="F10">
        <v>1</v>
      </c>
      <c r="G10" t="s">
        <v>82</v>
      </c>
      <c r="H10">
        <v>9.5</v>
      </c>
      <c r="L10" t="s">
        <v>111</v>
      </c>
      <c r="M10" t="s">
        <v>71</v>
      </c>
      <c r="N10" t="s">
        <v>75</v>
      </c>
      <c r="O10">
        <v>1</v>
      </c>
      <c r="S10">
        <v>1</v>
      </c>
      <c r="T10">
        <v>37.75</v>
      </c>
    </row>
    <row r="11" spans="1:21" x14ac:dyDescent="0.25">
      <c r="A11" t="s">
        <v>111</v>
      </c>
      <c r="B11" s="4" t="s">
        <v>10</v>
      </c>
      <c r="C11" s="4" t="s">
        <v>73</v>
      </c>
      <c r="D11" s="4">
        <v>46139</v>
      </c>
      <c r="E11" s="5">
        <v>0.25973379629629628</v>
      </c>
      <c r="F11">
        <v>1</v>
      </c>
      <c r="G11" t="s">
        <v>82</v>
      </c>
      <c r="H11">
        <v>37.916666666666664</v>
      </c>
      <c r="L11" t="s">
        <v>112</v>
      </c>
      <c r="M11" t="s">
        <v>79</v>
      </c>
      <c r="N11" t="s">
        <v>75</v>
      </c>
    </row>
    <row r="12" spans="1:21" x14ac:dyDescent="0.25">
      <c r="A12" t="s">
        <v>111</v>
      </c>
      <c r="B12" s="4" t="s">
        <v>10</v>
      </c>
      <c r="C12" s="4" t="s">
        <v>73</v>
      </c>
      <c r="D12" s="4">
        <v>46139</v>
      </c>
      <c r="E12" s="5">
        <v>0.25973379629629628</v>
      </c>
      <c r="F12">
        <v>1</v>
      </c>
      <c r="G12" t="s">
        <v>82</v>
      </c>
      <c r="H12">
        <v>37.833333333333329</v>
      </c>
      <c r="L12" t="s">
        <v>112</v>
      </c>
      <c r="M12" t="s">
        <v>79</v>
      </c>
      <c r="N12" t="s">
        <v>75</v>
      </c>
    </row>
    <row r="13" spans="1:21" x14ac:dyDescent="0.25">
      <c r="A13" t="s">
        <v>111</v>
      </c>
      <c r="B13" s="4" t="s">
        <v>10</v>
      </c>
      <c r="C13" s="4" t="s">
        <v>73</v>
      </c>
      <c r="D13" s="4">
        <v>46139</v>
      </c>
      <c r="E13" s="5">
        <v>0.26011574074074073</v>
      </c>
      <c r="F13">
        <v>1</v>
      </c>
      <c r="G13" t="s">
        <v>82</v>
      </c>
      <c r="H13">
        <v>37.75</v>
      </c>
      <c r="L13" t="s">
        <v>112</v>
      </c>
      <c r="M13" t="s">
        <v>76</v>
      </c>
      <c r="N13" t="s">
        <v>75</v>
      </c>
    </row>
    <row r="14" spans="1:21" x14ac:dyDescent="0.25">
      <c r="A14" t="s">
        <v>115</v>
      </c>
      <c r="B14" s="4" t="s">
        <v>10</v>
      </c>
      <c r="C14" s="4" t="s">
        <v>70</v>
      </c>
      <c r="D14" s="4">
        <v>46139</v>
      </c>
      <c r="E14" s="5">
        <v>0.26053240740740741</v>
      </c>
      <c r="F14">
        <v>1</v>
      </c>
      <c r="G14" t="s">
        <v>82</v>
      </c>
      <c r="H14">
        <v>7.25</v>
      </c>
      <c r="L14" t="s">
        <v>116</v>
      </c>
      <c r="M14" t="s">
        <v>71</v>
      </c>
      <c r="N14" t="s">
        <v>75</v>
      </c>
      <c r="O14">
        <v>1</v>
      </c>
      <c r="Q14">
        <v>1</v>
      </c>
      <c r="S14">
        <v>1</v>
      </c>
      <c r="U14">
        <v>1.75</v>
      </c>
    </row>
    <row r="15" spans="1:21" x14ac:dyDescent="0.25">
      <c r="A15" t="s">
        <v>116</v>
      </c>
      <c r="B15" s="4" t="s">
        <v>10</v>
      </c>
      <c r="C15" s="4" t="s">
        <v>73</v>
      </c>
      <c r="D15" s="4">
        <v>46139</v>
      </c>
      <c r="E15" s="5">
        <v>0.26053240740740741</v>
      </c>
      <c r="F15">
        <v>1</v>
      </c>
      <c r="G15" t="s">
        <v>82</v>
      </c>
      <c r="H15">
        <v>3.75</v>
      </c>
      <c r="M15" t="s">
        <v>79</v>
      </c>
      <c r="N15" t="s">
        <v>75</v>
      </c>
    </row>
    <row r="16" spans="1:21" x14ac:dyDescent="0.25">
      <c r="A16" t="s">
        <v>116</v>
      </c>
      <c r="B16" s="4" t="s">
        <v>10</v>
      </c>
      <c r="C16" s="4" t="s">
        <v>73</v>
      </c>
      <c r="D16" s="4">
        <v>46139</v>
      </c>
      <c r="E16" s="5">
        <v>0.26053240740740741</v>
      </c>
      <c r="F16">
        <v>1</v>
      </c>
      <c r="G16" t="s">
        <v>82</v>
      </c>
      <c r="H16">
        <v>1.75</v>
      </c>
      <c r="M16" t="s">
        <v>79</v>
      </c>
      <c r="N16" t="s">
        <v>75</v>
      </c>
    </row>
    <row r="17" spans="1:21" x14ac:dyDescent="0.25">
      <c r="A17" t="s">
        <v>116</v>
      </c>
      <c r="B17" s="4" t="s">
        <v>10</v>
      </c>
      <c r="C17" s="4" t="s">
        <v>73</v>
      </c>
      <c r="D17" s="4">
        <v>46139</v>
      </c>
      <c r="E17" s="5">
        <v>0.26053240740740741</v>
      </c>
      <c r="F17">
        <v>1</v>
      </c>
      <c r="G17" t="s">
        <v>82</v>
      </c>
      <c r="H17">
        <v>0</v>
      </c>
      <c r="M17" t="s">
        <v>79</v>
      </c>
      <c r="N17" t="s">
        <v>75</v>
      </c>
    </row>
    <row r="18" spans="1:21" x14ac:dyDescent="0.25">
      <c r="A18" t="s">
        <v>119</v>
      </c>
      <c r="B18" s="4" t="s">
        <v>10</v>
      </c>
      <c r="C18" s="4" t="s">
        <v>70</v>
      </c>
      <c r="D18" s="4">
        <v>46139</v>
      </c>
      <c r="E18" s="5">
        <v>0.26126157407407402</v>
      </c>
      <c r="F18">
        <v>1</v>
      </c>
      <c r="G18" t="s">
        <v>82</v>
      </c>
      <c r="H18">
        <v>65</v>
      </c>
      <c r="L18" t="s">
        <v>120</v>
      </c>
      <c r="M18" t="s">
        <v>71</v>
      </c>
      <c r="N18" t="s">
        <v>72</v>
      </c>
      <c r="O18">
        <v>1</v>
      </c>
      <c r="Q18">
        <v>1</v>
      </c>
      <c r="S18">
        <v>1</v>
      </c>
      <c r="U18">
        <v>0.66666666666666663</v>
      </c>
    </row>
    <row r="19" spans="1:21" x14ac:dyDescent="0.25">
      <c r="A19" t="s">
        <v>120</v>
      </c>
      <c r="B19" s="4" t="s">
        <v>10</v>
      </c>
      <c r="C19" s="4" t="s">
        <v>73</v>
      </c>
      <c r="D19" s="4">
        <v>46139</v>
      </c>
      <c r="E19" s="5">
        <v>0.26126157407407402</v>
      </c>
      <c r="F19">
        <v>1</v>
      </c>
      <c r="G19" t="s">
        <v>82</v>
      </c>
      <c r="H19">
        <v>0.66666666666666663</v>
      </c>
      <c r="M19" t="s">
        <v>74</v>
      </c>
      <c r="N19" t="s">
        <v>72</v>
      </c>
    </row>
    <row r="20" spans="1:21" x14ac:dyDescent="0.25">
      <c r="A20" t="s">
        <v>120</v>
      </c>
      <c r="B20" s="4" t="s">
        <v>10</v>
      </c>
      <c r="C20" s="4" t="s">
        <v>73</v>
      </c>
      <c r="D20" s="4">
        <v>46139</v>
      </c>
      <c r="E20" s="5">
        <v>0.26126157407407402</v>
      </c>
      <c r="F20">
        <v>1</v>
      </c>
      <c r="G20" t="s">
        <v>82</v>
      </c>
      <c r="H20">
        <v>0</v>
      </c>
      <c r="M20" t="s">
        <v>74</v>
      </c>
      <c r="N20" t="s">
        <v>72</v>
      </c>
    </row>
    <row r="21" spans="1:21" x14ac:dyDescent="0.25">
      <c r="A21" t="s">
        <v>121</v>
      </c>
      <c r="B21" s="4" t="s">
        <v>10</v>
      </c>
      <c r="C21" s="4" t="s">
        <v>70</v>
      </c>
      <c r="D21" s="4">
        <v>46139</v>
      </c>
      <c r="E21" s="5">
        <v>0.26186342592592587</v>
      </c>
      <c r="F21">
        <v>1</v>
      </c>
      <c r="G21" t="s">
        <v>82</v>
      </c>
      <c r="H21">
        <v>5</v>
      </c>
      <c r="L21" t="s">
        <v>122</v>
      </c>
      <c r="M21" t="s">
        <v>71</v>
      </c>
      <c r="N21" t="s">
        <v>75</v>
      </c>
      <c r="O21">
        <v>1</v>
      </c>
      <c r="S21">
        <v>1</v>
      </c>
      <c r="T21">
        <v>112</v>
      </c>
    </row>
    <row r="22" spans="1:21" x14ac:dyDescent="0.25">
      <c r="A22" t="s">
        <v>122</v>
      </c>
      <c r="B22" s="4" t="s">
        <v>10</v>
      </c>
      <c r="C22" s="4" t="s">
        <v>73</v>
      </c>
      <c r="D22" s="4">
        <v>46139</v>
      </c>
      <c r="E22" s="5">
        <v>0.26186342592592587</v>
      </c>
      <c r="F22">
        <v>1</v>
      </c>
      <c r="G22" t="s">
        <v>82</v>
      </c>
      <c r="H22">
        <v>112.08333333333331</v>
      </c>
      <c r="M22" t="s">
        <v>74</v>
      </c>
      <c r="N22" t="s">
        <v>75</v>
      </c>
    </row>
    <row r="23" spans="1:21" x14ac:dyDescent="0.25">
      <c r="A23" t="s">
        <v>122</v>
      </c>
      <c r="B23" s="4" t="s">
        <v>10</v>
      </c>
      <c r="C23" s="4" t="s">
        <v>73</v>
      </c>
      <c r="D23" s="4">
        <v>46139</v>
      </c>
      <c r="E23" s="5">
        <v>0.26186342592592587</v>
      </c>
      <c r="F23">
        <v>1</v>
      </c>
      <c r="G23" t="s">
        <v>82</v>
      </c>
      <c r="H23">
        <v>112</v>
      </c>
      <c r="M23" t="s">
        <v>74</v>
      </c>
      <c r="N23" t="s">
        <v>75</v>
      </c>
    </row>
    <row r="24" spans="1:21" x14ac:dyDescent="0.25">
      <c r="A24" t="s">
        <v>122</v>
      </c>
      <c r="B24" s="4" t="s">
        <v>10</v>
      </c>
      <c r="C24" s="4" t="s">
        <v>73</v>
      </c>
      <c r="D24" s="4">
        <v>46139</v>
      </c>
      <c r="E24" s="5">
        <v>0.26210648148148147</v>
      </c>
      <c r="F24">
        <v>1</v>
      </c>
      <c r="G24" t="s">
        <v>82</v>
      </c>
      <c r="H24">
        <v>112</v>
      </c>
      <c r="M24" t="s">
        <v>76</v>
      </c>
      <c r="N24" t="s">
        <v>75</v>
      </c>
    </row>
    <row r="25" spans="1:21" x14ac:dyDescent="0.25">
      <c r="A25" t="s">
        <v>123</v>
      </c>
      <c r="B25" s="4" t="s">
        <v>10</v>
      </c>
      <c r="C25" s="4" t="s">
        <v>70</v>
      </c>
      <c r="D25" s="4">
        <v>46139</v>
      </c>
      <c r="E25" s="5">
        <v>0.26248842592592592</v>
      </c>
      <c r="F25">
        <v>1</v>
      </c>
      <c r="G25" t="s">
        <v>82</v>
      </c>
      <c r="H25">
        <v>5</v>
      </c>
      <c r="L25" t="s">
        <v>124</v>
      </c>
      <c r="M25" t="s">
        <v>71</v>
      </c>
      <c r="N25" t="s">
        <v>72</v>
      </c>
      <c r="O25">
        <v>1</v>
      </c>
      <c r="S25">
        <v>1</v>
      </c>
      <c r="T25">
        <v>68.75</v>
      </c>
    </row>
    <row r="26" spans="1:21" x14ac:dyDescent="0.25">
      <c r="A26" t="s">
        <v>124</v>
      </c>
      <c r="B26" s="4" t="s">
        <v>10</v>
      </c>
      <c r="C26" s="4" t="s">
        <v>73</v>
      </c>
      <c r="D26" s="4">
        <v>46139</v>
      </c>
      <c r="E26" s="5">
        <v>0.26248842592592592</v>
      </c>
      <c r="F26">
        <v>1</v>
      </c>
      <c r="G26" t="s">
        <v>82</v>
      </c>
      <c r="H26">
        <v>68.75</v>
      </c>
      <c r="M26" t="s">
        <v>79</v>
      </c>
      <c r="N26" t="s">
        <v>72</v>
      </c>
    </row>
    <row r="27" spans="1:21" x14ac:dyDescent="0.25">
      <c r="A27" t="s">
        <v>124</v>
      </c>
      <c r="B27" s="4" t="s">
        <v>10</v>
      </c>
      <c r="C27" s="4" t="s">
        <v>73</v>
      </c>
      <c r="D27" s="4">
        <v>46139</v>
      </c>
      <c r="E27" s="5">
        <v>0.26248842592592592</v>
      </c>
      <c r="F27">
        <v>1</v>
      </c>
      <c r="G27" t="s">
        <v>82</v>
      </c>
      <c r="H27">
        <v>68.666666666666657</v>
      </c>
      <c r="M27" t="s">
        <v>79</v>
      </c>
      <c r="N27" t="s">
        <v>72</v>
      </c>
    </row>
    <row r="28" spans="1:21" x14ac:dyDescent="0.25">
      <c r="A28" t="s">
        <v>124</v>
      </c>
      <c r="B28" s="4" t="s">
        <v>10</v>
      </c>
      <c r="C28" s="4" t="s">
        <v>73</v>
      </c>
      <c r="D28" s="4">
        <v>46139</v>
      </c>
      <c r="E28" s="5">
        <v>0.2628935185185185</v>
      </c>
      <c r="F28">
        <v>1</v>
      </c>
      <c r="G28" t="s">
        <v>82</v>
      </c>
      <c r="H28">
        <v>68.75</v>
      </c>
      <c r="M28" t="s">
        <v>76</v>
      </c>
      <c r="N28" t="s">
        <v>72</v>
      </c>
    </row>
    <row r="29" spans="1:21" x14ac:dyDescent="0.25">
      <c r="A29" t="s">
        <v>126</v>
      </c>
      <c r="B29" s="4" t="s">
        <v>10</v>
      </c>
      <c r="C29" s="4" t="s">
        <v>70</v>
      </c>
      <c r="D29" s="4">
        <v>46139</v>
      </c>
      <c r="E29" s="5">
        <v>0.26347222222222222</v>
      </c>
      <c r="F29">
        <v>1</v>
      </c>
      <c r="G29" t="s">
        <v>82</v>
      </c>
      <c r="H29">
        <v>7</v>
      </c>
      <c r="L29" t="s">
        <v>127</v>
      </c>
      <c r="M29" t="s">
        <v>71</v>
      </c>
      <c r="N29" t="s">
        <v>75</v>
      </c>
      <c r="O29">
        <v>1</v>
      </c>
      <c r="S29">
        <v>1</v>
      </c>
      <c r="T29">
        <v>58.083333333333329</v>
      </c>
    </row>
    <row r="30" spans="1:21" x14ac:dyDescent="0.25">
      <c r="A30" t="s">
        <v>127</v>
      </c>
      <c r="B30" s="4" t="s">
        <v>10</v>
      </c>
      <c r="C30" s="4" t="s">
        <v>73</v>
      </c>
      <c r="D30" s="4">
        <v>46139</v>
      </c>
      <c r="E30" s="5">
        <v>0.26347222222222222</v>
      </c>
      <c r="F30">
        <v>1</v>
      </c>
      <c r="G30" t="s">
        <v>82</v>
      </c>
      <c r="H30">
        <v>58.5</v>
      </c>
      <c r="M30" t="s">
        <v>79</v>
      </c>
      <c r="N30" t="s">
        <v>75</v>
      </c>
    </row>
    <row r="31" spans="1:21" x14ac:dyDescent="0.25">
      <c r="A31" t="s">
        <v>127</v>
      </c>
      <c r="B31" s="4" t="s">
        <v>10</v>
      </c>
      <c r="C31" s="4" t="s">
        <v>73</v>
      </c>
      <c r="D31" s="4">
        <v>46139</v>
      </c>
      <c r="E31" s="5">
        <v>0.26386574074074076</v>
      </c>
      <c r="F31">
        <v>1</v>
      </c>
      <c r="G31" t="s">
        <v>82</v>
      </c>
      <c r="H31">
        <v>58.083333333333329</v>
      </c>
      <c r="M31" t="s">
        <v>76</v>
      </c>
      <c r="N31" t="s">
        <v>75</v>
      </c>
    </row>
    <row r="32" spans="1:21" x14ac:dyDescent="0.25">
      <c r="A32" t="s">
        <v>130</v>
      </c>
      <c r="B32" s="4" t="s">
        <v>10</v>
      </c>
      <c r="C32" s="4" t="s">
        <v>70</v>
      </c>
      <c r="D32" s="4">
        <v>46139</v>
      </c>
      <c r="E32" s="5">
        <v>0.26456018518518515</v>
      </c>
      <c r="F32">
        <v>1</v>
      </c>
      <c r="G32" t="s">
        <v>82</v>
      </c>
      <c r="H32">
        <v>26.5</v>
      </c>
      <c r="L32" t="s">
        <v>131</v>
      </c>
      <c r="M32" t="s">
        <v>71</v>
      </c>
      <c r="N32" t="s">
        <v>72</v>
      </c>
      <c r="O32">
        <v>1</v>
      </c>
      <c r="S32">
        <v>1</v>
      </c>
      <c r="T32">
        <v>101.25</v>
      </c>
    </row>
    <row r="33" spans="1:20" x14ac:dyDescent="0.25">
      <c r="A33" t="s">
        <v>131</v>
      </c>
      <c r="B33" s="4" t="s">
        <v>10</v>
      </c>
      <c r="C33" s="4" t="s">
        <v>73</v>
      </c>
      <c r="D33" s="4">
        <v>46139</v>
      </c>
      <c r="E33" s="5">
        <v>0.26456018518518515</v>
      </c>
      <c r="F33">
        <v>1</v>
      </c>
      <c r="G33" t="s">
        <v>82</v>
      </c>
      <c r="H33">
        <v>101.33333333333331</v>
      </c>
      <c r="M33" t="s">
        <v>79</v>
      </c>
      <c r="N33" t="s">
        <v>72</v>
      </c>
    </row>
    <row r="34" spans="1:20" x14ac:dyDescent="0.25">
      <c r="A34" t="s">
        <v>131</v>
      </c>
      <c r="B34" s="4" t="s">
        <v>10</v>
      </c>
      <c r="C34" s="4" t="s">
        <v>73</v>
      </c>
      <c r="D34" s="4">
        <v>46139</v>
      </c>
      <c r="E34" s="5">
        <v>0.26456018518518515</v>
      </c>
      <c r="F34">
        <v>1</v>
      </c>
      <c r="G34" t="s">
        <v>82</v>
      </c>
      <c r="H34">
        <v>101.25</v>
      </c>
      <c r="M34" t="s">
        <v>79</v>
      </c>
      <c r="N34" t="s">
        <v>72</v>
      </c>
    </row>
    <row r="35" spans="1:20" x14ac:dyDescent="0.25">
      <c r="A35" t="s">
        <v>131</v>
      </c>
      <c r="B35" s="4" t="s">
        <v>10</v>
      </c>
      <c r="C35" s="4" t="s">
        <v>73</v>
      </c>
      <c r="D35" s="4">
        <v>46139</v>
      </c>
      <c r="E35" s="5">
        <v>0.26465277777777774</v>
      </c>
      <c r="F35">
        <v>1</v>
      </c>
      <c r="G35" t="s">
        <v>82</v>
      </c>
      <c r="H35">
        <v>101.25</v>
      </c>
      <c r="M35" t="s">
        <v>76</v>
      </c>
      <c r="N35" t="s">
        <v>72</v>
      </c>
    </row>
    <row r="36" spans="1:20" x14ac:dyDescent="0.25">
      <c r="A36" t="s">
        <v>134</v>
      </c>
      <c r="B36" s="4" t="s">
        <v>10</v>
      </c>
      <c r="C36" s="4" t="s">
        <v>70</v>
      </c>
      <c r="D36" s="4">
        <v>46139</v>
      </c>
      <c r="E36" s="5">
        <v>0.26593749999999999</v>
      </c>
      <c r="F36">
        <v>1</v>
      </c>
      <c r="G36" t="s">
        <v>82</v>
      </c>
      <c r="H36">
        <v>37.75</v>
      </c>
      <c r="L36" t="s">
        <v>135</v>
      </c>
      <c r="M36" t="s">
        <v>71</v>
      </c>
      <c r="N36" t="s">
        <v>72</v>
      </c>
      <c r="O36">
        <v>1</v>
      </c>
      <c r="S36">
        <v>1</v>
      </c>
      <c r="T36">
        <v>110.91666666666667</v>
      </c>
    </row>
    <row r="37" spans="1:20" x14ac:dyDescent="0.25">
      <c r="A37" t="s">
        <v>135</v>
      </c>
      <c r="B37" s="4" t="s">
        <v>10</v>
      </c>
      <c r="C37" s="4" t="s">
        <v>73</v>
      </c>
      <c r="D37" s="4">
        <v>46139</v>
      </c>
      <c r="E37" s="5">
        <v>0.26593749999999999</v>
      </c>
      <c r="F37">
        <v>1</v>
      </c>
      <c r="G37" t="s">
        <v>82</v>
      </c>
      <c r="H37">
        <v>111</v>
      </c>
      <c r="M37" t="s">
        <v>79</v>
      </c>
      <c r="N37" t="s">
        <v>72</v>
      </c>
    </row>
    <row r="38" spans="1:20" x14ac:dyDescent="0.25">
      <c r="A38" t="s">
        <v>135</v>
      </c>
      <c r="B38" s="4" t="s">
        <v>10</v>
      </c>
      <c r="C38" s="4" t="s">
        <v>73</v>
      </c>
      <c r="D38" s="4">
        <v>46139</v>
      </c>
      <c r="E38" s="5">
        <v>0.26593749999999999</v>
      </c>
      <c r="F38">
        <v>1</v>
      </c>
      <c r="G38" t="s">
        <v>82</v>
      </c>
      <c r="H38">
        <v>110.91666666666667</v>
      </c>
      <c r="M38" t="s">
        <v>79</v>
      </c>
      <c r="N38" t="s">
        <v>72</v>
      </c>
    </row>
    <row r="39" spans="1:20" x14ac:dyDescent="0.25">
      <c r="A39" t="s">
        <v>135</v>
      </c>
      <c r="B39" s="4" t="s">
        <v>10</v>
      </c>
      <c r="C39" s="4" t="s">
        <v>73</v>
      </c>
      <c r="D39" s="4">
        <v>46139</v>
      </c>
      <c r="E39" s="5">
        <v>0.2660763888888889</v>
      </c>
      <c r="F39">
        <v>1</v>
      </c>
      <c r="G39" t="s">
        <v>82</v>
      </c>
      <c r="H39">
        <v>110.91666666666667</v>
      </c>
      <c r="M39" t="s">
        <v>76</v>
      </c>
      <c r="N39" t="s">
        <v>72</v>
      </c>
    </row>
    <row r="40" spans="1:20" x14ac:dyDescent="0.25">
      <c r="A40" t="s">
        <v>138</v>
      </c>
      <c r="B40" s="4" t="s">
        <v>10</v>
      </c>
      <c r="C40" s="4" t="s">
        <v>70</v>
      </c>
      <c r="D40" s="4">
        <v>46139</v>
      </c>
      <c r="E40" s="5">
        <v>0.26672453703703702</v>
      </c>
      <c r="F40">
        <v>1</v>
      </c>
      <c r="G40" t="s">
        <v>82</v>
      </c>
      <c r="H40">
        <v>58.25</v>
      </c>
      <c r="L40" t="s">
        <v>139</v>
      </c>
      <c r="M40" t="s">
        <v>71</v>
      </c>
      <c r="N40" t="s">
        <v>72</v>
      </c>
      <c r="O40">
        <v>1</v>
      </c>
      <c r="R40">
        <v>1</v>
      </c>
      <c r="S40">
        <v>1</v>
      </c>
      <c r="T40">
        <v>16.25</v>
      </c>
    </row>
    <row r="41" spans="1:20" x14ac:dyDescent="0.25">
      <c r="A41" t="s">
        <v>139</v>
      </c>
      <c r="B41" s="4" t="s">
        <v>10</v>
      </c>
      <c r="C41" s="4" t="s">
        <v>73</v>
      </c>
      <c r="D41" s="4">
        <v>46139</v>
      </c>
      <c r="E41" s="5">
        <v>0.26672453703703702</v>
      </c>
      <c r="F41">
        <v>1</v>
      </c>
      <c r="G41" t="s">
        <v>82</v>
      </c>
      <c r="H41">
        <v>16.583333333333332</v>
      </c>
      <c r="M41" t="s">
        <v>79</v>
      </c>
      <c r="N41" t="s">
        <v>72</v>
      </c>
    </row>
    <row r="42" spans="1:20" x14ac:dyDescent="0.25">
      <c r="A42" t="s">
        <v>139</v>
      </c>
      <c r="B42" s="4" t="s">
        <v>10</v>
      </c>
      <c r="C42" s="4" t="s">
        <v>73</v>
      </c>
      <c r="D42" s="4">
        <v>46139</v>
      </c>
      <c r="E42" s="5">
        <v>0.26672453703703702</v>
      </c>
      <c r="F42">
        <v>1</v>
      </c>
      <c r="G42" t="s">
        <v>82</v>
      </c>
      <c r="H42">
        <v>16.5</v>
      </c>
      <c r="M42" t="s">
        <v>79</v>
      </c>
      <c r="N42" t="s">
        <v>72</v>
      </c>
    </row>
    <row r="43" spans="1:20" x14ac:dyDescent="0.25">
      <c r="A43" t="s">
        <v>139</v>
      </c>
      <c r="B43" s="4" t="s">
        <v>10</v>
      </c>
      <c r="C43" s="4" t="s">
        <v>73</v>
      </c>
      <c r="D43" s="4">
        <v>46139</v>
      </c>
      <c r="E43" s="5">
        <v>0.26694444444444443</v>
      </c>
      <c r="F43">
        <v>1</v>
      </c>
      <c r="G43" t="s">
        <v>82</v>
      </c>
      <c r="H43">
        <v>16.25</v>
      </c>
      <c r="M43" t="s">
        <v>76</v>
      </c>
      <c r="N43" t="s">
        <v>72</v>
      </c>
    </row>
    <row r="44" spans="1:20" x14ac:dyDescent="0.25">
      <c r="A44" t="s">
        <v>140</v>
      </c>
      <c r="B44" s="4" t="s">
        <v>10</v>
      </c>
      <c r="C44" s="4" t="s">
        <v>70</v>
      </c>
      <c r="D44" s="4">
        <v>46139</v>
      </c>
      <c r="E44" s="5">
        <v>0.26752314814814809</v>
      </c>
      <c r="F44">
        <v>1</v>
      </c>
      <c r="G44" t="s">
        <v>82</v>
      </c>
      <c r="H44">
        <v>13</v>
      </c>
      <c r="L44" t="s">
        <v>141</v>
      </c>
      <c r="M44" t="s">
        <v>71</v>
      </c>
      <c r="N44" t="s">
        <v>72</v>
      </c>
      <c r="O44">
        <v>1</v>
      </c>
      <c r="S44">
        <v>1</v>
      </c>
      <c r="T44">
        <v>90.833333333333329</v>
      </c>
    </row>
    <row r="45" spans="1:20" x14ac:dyDescent="0.25">
      <c r="A45" t="s">
        <v>141</v>
      </c>
      <c r="B45" s="4" t="s">
        <v>10</v>
      </c>
      <c r="C45" s="4" t="s">
        <v>73</v>
      </c>
      <c r="D45" s="4">
        <v>46139</v>
      </c>
      <c r="E45" s="5">
        <v>0.26752314814814809</v>
      </c>
      <c r="F45">
        <v>1</v>
      </c>
      <c r="G45" t="s">
        <v>82</v>
      </c>
      <c r="H45">
        <v>90.916666666666671</v>
      </c>
      <c r="M45" t="s">
        <v>79</v>
      </c>
      <c r="N45" t="s">
        <v>72</v>
      </c>
    </row>
    <row r="46" spans="1:20" x14ac:dyDescent="0.25">
      <c r="A46" t="s">
        <v>141</v>
      </c>
      <c r="B46" s="4" t="s">
        <v>10</v>
      </c>
      <c r="C46" s="4" t="s">
        <v>73</v>
      </c>
      <c r="D46" s="4">
        <v>46139</v>
      </c>
      <c r="E46" s="5">
        <v>0.26752314814814809</v>
      </c>
      <c r="F46">
        <v>1</v>
      </c>
      <c r="G46" t="s">
        <v>82</v>
      </c>
      <c r="H46">
        <v>90.833333333333329</v>
      </c>
      <c r="M46" t="s">
        <v>79</v>
      </c>
      <c r="N46" t="s">
        <v>72</v>
      </c>
    </row>
    <row r="47" spans="1:20" x14ac:dyDescent="0.25">
      <c r="A47" t="s">
        <v>141</v>
      </c>
      <c r="B47" s="4" t="s">
        <v>10</v>
      </c>
      <c r="C47" s="4" t="s">
        <v>73</v>
      </c>
      <c r="D47" s="4">
        <v>46139</v>
      </c>
      <c r="E47" s="5">
        <v>0.26763888888888887</v>
      </c>
      <c r="F47">
        <v>1</v>
      </c>
      <c r="G47" t="s">
        <v>82</v>
      </c>
      <c r="H47">
        <v>90.833333333333329</v>
      </c>
      <c r="M47" t="s">
        <v>76</v>
      </c>
      <c r="N47" t="s">
        <v>72</v>
      </c>
    </row>
    <row r="48" spans="1:20" x14ac:dyDescent="0.25">
      <c r="A48" t="s">
        <v>144</v>
      </c>
      <c r="B48" s="4" t="s">
        <v>10</v>
      </c>
      <c r="C48" s="4" t="s">
        <v>70</v>
      </c>
      <c r="D48" s="4">
        <v>46139</v>
      </c>
      <c r="E48" s="5">
        <v>0.26862268518518517</v>
      </c>
      <c r="F48">
        <v>1</v>
      </c>
      <c r="G48" t="s">
        <v>82</v>
      </c>
      <c r="H48">
        <v>11.5</v>
      </c>
      <c r="L48" t="s">
        <v>145</v>
      </c>
      <c r="M48" t="s">
        <v>71</v>
      </c>
      <c r="N48" t="s">
        <v>81</v>
      </c>
      <c r="O48">
        <v>1</v>
      </c>
      <c r="S48">
        <v>1</v>
      </c>
      <c r="T48">
        <v>81.333333333333329</v>
      </c>
    </row>
    <row r="49" spans="1:20" x14ac:dyDescent="0.25">
      <c r="A49" t="s">
        <v>145</v>
      </c>
      <c r="B49" s="4" t="s">
        <v>10</v>
      </c>
      <c r="C49" s="4" t="s">
        <v>73</v>
      </c>
      <c r="D49" s="4">
        <v>46139</v>
      </c>
      <c r="E49" s="5">
        <v>0.26862268518518517</v>
      </c>
      <c r="F49">
        <v>1</v>
      </c>
      <c r="G49" t="s">
        <v>82</v>
      </c>
      <c r="H49">
        <v>81.416666666666671</v>
      </c>
      <c r="M49" t="s">
        <v>79</v>
      </c>
      <c r="N49" t="s">
        <v>81</v>
      </c>
    </row>
    <row r="50" spans="1:20" x14ac:dyDescent="0.25">
      <c r="A50" t="s">
        <v>145</v>
      </c>
      <c r="B50" s="4" t="s">
        <v>10</v>
      </c>
      <c r="C50" s="4" t="s">
        <v>73</v>
      </c>
      <c r="D50" s="4">
        <v>46139</v>
      </c>
      <c r="E50" s="5">
        <v>0.26862268518518517</v>
      </c>
      <c r="F50">
        <v>1</v>
      </c>
      <c r="G50" t="s">
        <v>82</v>
      </c>
      <c r="H50">
        <v>81.333333333333329</v>
      </c>
      <c r="M50" t="s">
        <v>79</v>
      </c>
      <c r="N50" t="s">
        <v>81</v>
      </c>
    </row>
    <row r="51" spans="1:20" x14ac:dyDescent="0.25">
      <c r="A51" t="s">
        <v>145</v>
      </c>
      <c r="B51" s="4" t="s">
        <v>10</v>
      </c>
      <c r="C51" s="4" t="s">
        <v>73</v>
      </c>
      <c r="D51" s="4">
        <v>46139</v>
      </c>
      <c r="E51" s="5">
        <v>0.26874999999999999</v>
      </c>
      <c r="F51">
        <v>1</v>
      </c>
      <c r="G51" t="s">
        <v>82</v>
      </c>
      <c r="H51">
        <v>81.333333333333329</v>
      </c>
      <c r="M51" t="s">
        <v>76</v>
      </c>
      <c r="N51" t="s">
        <v>81</v>
      </c>
    </row>
    <row r="52" spans="1:20" x14ac:dyDescent="0.25">
      <c r="A52" t="s">
        <v>149</v>
      </c>
      <c r="B52" s="4" t="s">
        <v>10</v>
      </c>
      <c r="C52" s="4" t="s">
        <v>70</v>
      </c>
      <c r="D52" s="4">
        <v>46139</v>
      </c>
      <c r="E52" s="5">
        <v>0.2694907407407407</v>
      </c>
      <c r="F52">
        <v>1</v>
      </c>
      <c r="G52" t="s">
        <v>82</v>
      </c>
      <c r="H52">
        <v>80</v>
      </c>
      <c r="L52" t="s">
        <v>150</v>
      </c>
      <c r="M52" t="s">
        <v>71</v>
      </c>
      <c r="N52" t="s">
        <v>75</v>
      </c>
      <c r="O52">
        <v>1</v>
      </c>
      <c r="S52">
        <v>1</v>
      </c>
      <c r="T52">
        <v>44.5</v>
      </c>
    </row>
    <row r="53" spans="1:20" x14ac:dyDescent="0.25">
      <c r="A53" t="s">
        <v>150</v>
      </c>
      <c r="B53" s="4" t="s">
        <v>10</v>
      </c>
      <c r="C53" s="4" t="s">
        <v>73</v>
      </c>
      <c r="D53" s="4">
        <v>46139</v>
      </c>
      <c r="E53" s="5">
        <v>0.2694907407407407</v>
      </c>
      <c r="F53">
        <v>1</v>
      </c>
      <c r="G53" t="s">
        <v>82</v>
      </c>
      <c r="H53">
        <v>45</v>
      </c>
      <c r="M53" t="s">
        <v>79</v>
      </c>
      <c r="N53" t="s">
        <v>75</v>
      </c>
    </row>
    <row r="54" spans="1:20" x14ac:dyDescent="0.25">
      <c r="A54" t="s">
        <v>150</v>
      </c>
      <c r="B54" s="4" t="s">
        <v>10</v>
      </c>
      <c r="C54" s="4" t="s">
        <v>73</v>
      </c>
      <c r="D54" s="4">
        <v>46139</v>
      </c>
      <c r="E54" s="5">
        <v>0.2694907407407407</v>
      </c>
      <c r="F54">
        <v>1</v>
      </c>
      <c r="G54" t="s">
        <v>82</v>
      </c>
      <c r="H54">
        <v>44.916666666666664</v>
      </c>
      <c r="M54" t="s">
        <v>79</v>
      </c>
      <c r="N54" t="s">
        <v>75</v>
      </c>
    </row>
    <row r="55" spans="1:20" x14ac:dyDescent="0.25">
      <c r="A55" t="s">
        <v>150</v>
      </c>
      <c r="B55" s="4" t="s">
        <v>10</v>
      </c>
      <c r="C55" s="4" t="s">
        <v>73</v>
      </c>
      <c r="D55" s="4">
        <v>46139</v>
      </c>
      <c r="E55" s="5">
        <v>0.2697222222222222</v>
      </c>
      <c r="F55">
        <v>1</v>
      </c>
      <c r="G55" t="s">
        <v>82</v>
      </c>
      <c r="H55">
        <v>44.5</v>
      </c>
      <c r="M55" t="s">
        <v>76</v>
      </c>
      <c r="N55" t="s">
        <v>75</v>
      </c>
    </row>
    <row r="56" spans="1:20" x14ac:dyDescent="0.25">
      <c r="A56" t="s">
        <v>153</v>
      </c>
      <c r="B56" s="4" t="s">
        <v>10</v>
      </c>
      <c r="C56" s="4" t="s">
        <v>70</v>
      </c>
      <c r="D56" s="4">
        <v>46139</v>
      </c>
      <c r="E56" s="5">
        <v>0.27028935185185188</v>
      </c>
      <c r="F56">
        <v>1</v>
      </c>
      <c r="G56" t="s">
        <v>82</v>
      </c>
      <c r="H56">
        <v>28.666666666666668</v>
      </c>
      <c r="L56" t="s">
        <v>154</v>
      </c>
      <c r="M56" t="s">
        <v>71</v>
      </c>
      <c r="N56" t="s">
        <v>75</v>
      </c>
      <c r="O56">
        <v>1</v>
      </c>
      <c r="S56">
        <v>1</v>
      </c>
      <c r="T56">
        <v>47.083333333333329</v>
      </c>
    </row>
    <row r="57" spans="1:20" x14ac:dyDescent="0.25">
      <c r="A57" t="s">
        <v>154</v>
      </c>
      <c r="B57" s="4" t="s">
        <v>10</v>
      </c>
      <c r="C57" s="4" t="s">
        <v>73</v>
      </c>
      <c r="D57" s="4">
        <v>46139</v>
      </c>
      <c r="E57" s="5">
        <v>0.27028935185185188</v>
      </c>
      <c r="F57">
        <v>1</v>
      </c>
      <c r="G57" t="s">
        <v>82</v>
      </c>
      <c r="H57">
        <v>47.75</v>
      </c>
      <c r="M57" t="s">
        <v>79</v>
      </c>
      <c r="N57" t="s">
        <v>75</v>
      </c>
    </row>
    <row r="58" spans="1:20" x14ac:dyDescent="0.25">
      <c r="A58" t="s">
        <v>154</v>
      </c>
      <c r="B58" s="4" t="s">
        <v>10</v>
      </c>
      <c r="C58" s="4" t="s">
        <v>73</v>
      </c>
      <c r="D58" s="4">
        <v>46139</v>
      </c>
      <c r="E58" s="5">
        <v>0.27028935185185188</v>
      </c>
      <c r="F58">
        <v>1</v>
      </c>
      <c r="G58" t="s">
        <v>82</v>
      </c>
      <c r="H58">
        <v>47.666666666666664</v>
      </c>
      <c r="M58" t="s">
        <v>79</v>
      </c>
      <c r="N58" t="s">
        <v>75</v>
      </c>
    </row>
    <row r="59" spans="1:20" x14ac:dyDescent="0.25">
      <c r="A59" t="s">
        <v>154</v>
      </c>
      <c r="B59" s="4" t="s">
        <v>10</v>
      </c>
      <c r="C59" s="4" t="s">
        <v>73</v>
      </c>
      <c r="D59" s="4">
        <v>46139</v>
      </c>
      <c r="E59" s="5">
        <v>0.27054398148148145</v>
      </c>
      <c r="F59">
        <v>1</v>
      </c>
      <c r="G59" t="s">
        <v>82</v>
      </c>
      <c r="H59">
        <v>47.083333333333329</v>
      </c>
      <c r="M59" t="s">
        <v>76</v>
      </c>
      <c r="N59" t="s">
        <v>75</v>
      </c>
    </row>
    <row r="60" spans="1:20" x14ac:dyDescent="0.25">
      <c r="A60" t="s">
        <v>159</v>
      </c>
      <c r="B60" s="4" t="s">
        <v>10</v>
      </c>
      <c r="C60" s="4" t="s">
        <v>70</v>
      </c>
      <c r="D60" s="4">
        <v>46139</v>
      </c>
      <c r="E60" s="5">
        <v>0.27124999999999999</v>
      </c>
      <c r="F60">
        <v>1</v>
      </c>
      <c r="G60" t="s">
        <v>82</v>
      </c>
      <c r="H60">
        <v>42</v>
      </c>
      <c r="L60" t="s">
        <v>160</v>
      </c>
      <c r="M60" t="s">
        <v>71</v>
      </c>
      <c r="N60" t="s">
        <v>75</v>
      </c>
      <c r="O60">
        <v>1</v>
      </c>
      <c r="R60">
        <v>1</v>
      </c>
      <c r="S60">
        <v>1</v>
      </c>
      <c r="T60">
        <v>18.583333333333332</v>
      </c>
    </row>
    <row r="61" spans="1:20" x14ac:dyDescent="0.25">
      <c r="A61" t="s">
        <v>160</v>
      </c>
      <c r="B61" s="4" t="s">
        <v>10</v>
      </c>
      <c r="C61" s="4" t="s">
        <v>73</v>
      </c>
      <c r="D61" s="4">
        <v>46139</v>
      </c>
      <c r="E61" s="5">
        <v>0.27124999999999999</v>
      </c>
      <c r="F61">
        <v>1</v>
      </c>
      <c r="G61" t="s">
        <v>82</v>
      </c>
      <c r="H61">
        <v>18.916666666666664</v>
      </c>
      <c r="M61" t="s">
        <v>79</v>
      </c>
      <c r="N61" t="s">
        <v>75</v>
      </c>
    </row>
    <row r="62" spans="1:20" x14ac:dyDescent="0.25">
      <c r="A62" t="s">
        <v>160</v>
      </c>
      <c r="B62" s="4" t="s">
        <v>10</v>
      </c>
      <c r="C62" s="4" t="s">
        <v>73</v>
      </c>
      <c r="D62" s="4">
        <v>46139</v>
      </c>
      <c r="E62" s="5">
        <v>0.27124999999999999</v>
      </c>
      <c r="F62">
        <v>1</v>
      </c>
      <c r="G62" t="s">
        <v>82</v>
      </c>
      <c r="H62">
        <v>18.833333333333332</v>
      </c>
      <c r="M62" t="s">
        <v>79</v>
      </c>
      <c r="N62" t="s">
        <v>75</v>
      </c>
    </row>
    <row r="63" spans="1:20" x14ac:dyDescent="0.25">
      <c r="A63" t="s">
        <v>160</v>
      </c>
      <c r="B63" s="4" t="s">
        <v>10</v>
      </c>
      <c r="C63" s="4" t="s">
        <v>73</v>
      </c>
      <c r="D63" s="4">
        <v>46139</v>
      </c>
      <c r="E63" s="5">
        <v>0.27148148148148143</v>
      </c>
      <c r="F63">
        <v>1</v>
      </c>
      <c r="G63" t="s">
        <v>82</v>
      </c>
      <c r="H63">
        <v>18.583333333333332</v>
      </c>
      <c r="M63" t="s">
        <v>76</v>
      </c>
      <c r="N63" t="s">
        <v>75</v>
      </c>
    </row>
    <row r="64" spans="1:20" x14ac:dyDescent="0.25">
      <c r="A64" t="s">
        <v>161</v>
      </c>
      <c r="B64" s="4" t="s">
        <v>10</v>
      </c>
      <c r="C64" s="4" t="s">
        <v>70</v>
      </c>
      <c r="D64" s="4">
        <v>46139</v>
      </c>
      <c r="E64" s="5">
        <v>0.27210648148148148</v>
      </c>
      <c r="F64">
        <v>1</v>
      </c>
      <c r="G64" t="s">
        <v>82</v>
      </c>
      <c r="H64">
        <v>37</v>
      </c>
      <c r="L64" t="s">
        <v>162</v>
      </c>
      <c r="M64" t="s">
        <v>71</v>
      </c>
      <c r="N64" t="s">
        <v>72</v>
      </c>
      <c r="O64">
        <v>1</v>
      </c>
      <c r="R64">
        <v>1</v>
      </c>
      <c r="S64">
        <v>1</v>
      </c>
      <c r="T64">
        <v>9.0833333333333339</v>
      </c>
    </row>
    <row r="65" spans="1:20" x14ac:dyDescent="0.25">
      <c r="A65" t="s">
        <v>162</v>
      </c>
      <c r="B65" s="4" t="s">
        <v>10</v>
      </c>
      <c r="C65" s="4" t="s">
        <v>73</v>
      </c>
      <c r="D65" s="4">
        <v>46139</v>
      </c>
      <c r="E65" s="5">
        <v>0.27210648148148148</v>
      </c>
      <c r="F65">
        <v>1</v>
      </c>
      <c r="G65" t="s">
        <v>82</v>
      </c>
      <c r="H65">
        <v>9.25</v>
      </c>
      <c r="M65" t="s">
        <v>79</v>
      </c>
      <c r="N65" t="s">
        <v>72</v>
      </c>
    </row>
    <row r="66" spans="1:20" x14ac:dyDescent="0.25">
      <c r="A66" t="s">
        <v>162</v>
      </c>
      <c r="B66" s="4" t="s">
        <v>10</v>
      </c>
      <c r="C66" s="4" t="s">
        <v>73</v>
      </c>
      <c r="D66" s="4">
        <v>46139</v>
      </c>
      <c r="E66" s="5">
        <v>0.27210648148148148</v>
      </c>
      <c r="F66">
        <v>1</v>
      </c>
      <c r="G66" t="s">
        <v>82</v>
      </c>
      <c r="H66">
        <v>9.1666666666666661</v>
      </c>
      <c r="M66" t="s">
        <v>79</v>
      </c>
      <c r="N66" t="s">
        <v>72</v>
      </c>
    </row>
    <row r="67" spans="1:20" x14ac:dyDescent="0.25">
      <c r="A67" t="s">
        <v>162</v>
      </c>
      <c r="B67" s="4" t="s">
        <v>10</v>
      </c>
      <c r="C67" s="4" t="s">
        <v>73</v>
      </c>
      <c r="D67" s="4">
        <v>46139</v>
      </c>
      <c r="E67" s="5">
        <v>0.27246527777777774</v>
      </c>
      <c r="F67">
        <v>1</v>
      </c>
      <c r="G67" t="s">
        <v>82</v>
      </c>
      <c r="H67">
        <v>9.0833333333333339</v>
      </c>
      <c r="M67" t="s">
        <v>76</v>
      </c>
      <c r="N67" t="s">
        <v>72</v>
      </c>
    </row>
    <row r="68" spans="1:20" x14ac:dyDescent="0.25">
      <c r="A68" t="s">
        <v>163</v>
      </c>
      <c r="B68" s="4" t="s">
        <v>10</v>
      </c>
      <c r="C68" s="4" t="s">
        <v>70</v>
      </c>
      <c r="D68" s="4">
        <v>46139</v>
      </c>
      <c r="E68" s="5">
        <v>0.27297453703703706</v>
      </c>
      <c r="F68">
        <v>1</v>
      </c>
      <c r="G68" t="s">
        <v>82</v>
      </c>
      <c r="H68">
        <v>10</v>
      </c>
      <c r="L68" t="s">
        <v>164</v>
      </c>
      <c r="M68" t="s">
        <v>71</v>
      </c>
      <c r="N68" t="s">
        <v>75</v>
      </c>
      <c r="O68">
        <v>1</v>
      </c>
      <c r="S68">
        <v>1</v>
      </c>
      <c r="T68">
        <v>71.666666666666671</v>
      </c>
    </row>
    <row r="69" spans="1:20" x14ac:dyDescent="0.25">
      <c r="A69" t="s">
        <v>164</v>
      </c>
      <c r="B69" s="4" t="s">
        <v>10</v>
      </c>
      <c r="C69" s="4" t="s">
        <v>73</v>
      </c>
      <c r="D69" s="4">
        <v>46139</v>
      </c>
      <c r="E69" s="5">
        <v>0.27297453703703706</v>
      </c>
      <c r="F69">
        <v>1</v>
      </c>
      <c r="G69" t="s">
        <v>82</v>
      </c>
      <c r="H69">
        <v>74.666666666666657</v>
      </c>
      <c r="M69" t="s">
        <v>74</v>
      </c>
      <c r="N69" t="s">
        <v>75</v>
      </c>
    </row>
    <row r="70" spans="1:20" x14ac:dyDescent="0.25">
      <c r="A70" t="s">
        <v>164</v>
      </c>
      <c r="B70" s="4" t="s">
        <v>10</v>
      </c>
      <c r="C70" s="4" t="s">
        <v>73</v>
      </c>
      <c r="D70" s="4">
        <v>46139</v>
      </c>
      <c r="E70" s="5">
        <v>0.27336805555555554</v>
      </c>
      <c r="F70">
        <v>1</v>
      </c>
      <c r="G70" t="s">
        <v>82</v>
      </c>
      <c r="H70">
        <v>71.666666666666671</v>
      </c>
      <c r="M70" t="s">
        <v>76</v>
      </c>
      <c r="N70" t="s">
        <v>75</v>
      </c>
    </row>
    <row r="71" spans="1:20" x14ac:dyDescent="0.25">
      <c r="A71" t="s">
        <v>165</v>
      </c>
      <c r="B71" s="4" t="s">
        <v>10</v>
      </c>
      <c r="C71" s="4" t="s">
        <v>70</v>
      </c>
      <c r="D71" s="4">
        <v>46139</v>
      </c>
      <c r="E71" s="5">
        <v>0.2742013888888889</v>
      </c>
      <c r="F71">
        <v>1</v>
      </c>
      <c r="G71" t="s">
        <v>82</v>
      </c>
      <c r="H71">
        <v>5</v>
      </c>
      <c r="L71" t="s">
        <v>166</v>
      </c>
      <c r="M71" t="s">
        <v>71</v>
      </c>
      <c r="N71" t="s">
        <v>75</v>
      </c>
      <c r="O71">
        <v>1</v>
      </c>
      <c r="S71">
        <v>1</v>
      </c>
      <c r="T71">
        <v>69.5</v>
      </c>
    </row>
    <row r="72" spans="1:20" x14ac:dyDescent="0.25">
      <c r="A72" t="s">
        <v>166</v>
      </c>
      <c r="B72" s="4" t="s">
        <v>10</v>
      </c>
      <c r="C72" s="4" t="s">
        <v>73</v>
      </c>
      <c r="D72" s="4">
        <v>46139</v>
      </c>
      <c r="E72" s="5">
        <v>0.2742013888888889</v>
      </c>
      <c r="F72">
        <v>1</v>
      </c>
      <c r="G72" t="s">
        <v>82</v>
      </c>
      <c r="H72">
        <v>69.916666666666657</v>
      </c>
      <c r="M72" t="s">
        <v>74</v>
      </c>
      <c r="N72" t="s">
        <v>75</v>
      </c>
    </row>
    <row r="73" spans="1:20" x14ac:dyDescent="0.25">
      <c r="A73" t="s">
        <v>166</v>
      </c>
      <c r="B73" s="4" t="s">
        <v>10</v>
      </c>
      <c r="C73" s="4" t="s">
        <v>73</v>
      </c>
      <c r="D73" s="4">
        <v>46139</v>
      </c>
      <c r="E73" s="5">
        <v>0.27462962962962961</v>
      </c>
      <c r="F73">
        <v>1</v>
      </c>
      <c r="G73" t="s">
        <v>82</v>
      </c>
      <c r="H73">
        <v>69.5</v>
      </c>
      <c r="M73" t="s">
        <v>76</v>
      </c>
      <c r="N73" t="s">
        <v>75</v>
      </c>
    </row>
    <row r="74" spans="1:20" x14ac:dyDescent="0.25">
      <c r="A74" t="s">
        <v>169</v>
      </c>
      <c r="B74" s="4" t="s">
        <v>10</v>
      </c>
      <c r="C74" s="4" t="s">
        <v>70</v>
      </c>
      <c r="D74" s="4">
        <v>46139</v>
      </c>
      <c r="E74" s="5">
        <v>0.27526620370370369</v>
      </c>
      <c r="F74">
        <v>1</v>
      </c>
      <c r="G74" t="s">
        <v>82</v>
      </c>
      <c r="H74">
        <v>50</v>
      </c>
      <c r="L74" t="s">
        <v>170</v>
      </c>
      <c r="M74" t="s">
        <v>71</v>
      </c>
      <c r="N74" t="s">
        <v>75</v>
      </c>
      <c r="O74">
        <v>1</v>
      </c>
      <c r="R74">
        <v>1</v>
      </c>
      <c r="S74">
        <v>1</v>
      </c>
      <c r="T74">
        <v>20.5</v>
      </c>
    </row>
    <row r="75" spans="1:20" x14ac:dyDescent="0.25">
      <c r="A75" t="s">
        <v>170</v>
      </c>
      <c r="B75" s="4" t="s">
        <v>10</v>
      </c>
      <c r="C75" s="4" t="s">
        <v>73</v>
      </c>
      <c r="D75" s="4">
        <v>46139</v>
      </c>
      <c r="E75" s="5">
        <v>0.27526620370370369</v>
      </c>
      <c r="F75">
        <v>1</v>
      </c>
      <c r="G75" t="s">
        <v>82</v>
      </c>
      <c r="H75">
        <v>21</v>
      </c>
      <c r="M75" t="s">
        <v>79</v>
      </c>
      <c r="N75" t="s">
        <v>75</v>
      </c>
    </row>
    <row r="76" spans="1:20" x14ac:dyDescent="0.25">
      <c r="A76" t="s">
        <v>170</v>
      </c>
      <c r="B76" s="4" t="s">
        <v>10</v>
      </c>
      <c r="C76" s="4" t="s">
        <v>73</v>
      </c>
      <c r="D76" s="4">
        <v>46139</v>
      </c>
      <c r="E76" s="5">
        <v>0.27526620370370369</v>
      </c>
      <c r="F76">
        <v>1</v>
      </c>
      <c r="G76" t="s">
        <v>82</v>
      </c>
      <c r="H76">
        <v>20.916666666666668</v>
      </c>
      <c r="M76" t="s">
        <v>79</v>
      </c>
      <c r="N76" t="s">
        <v>75</v>
      </c>
    </row>
    <row r="77" spans="1:20" x14ac:dyDescent="0.25">
      <c r="A77" t="s">
        <v>170</v>
      </c>
      <c r="B77" s="4" t="s">
        <v>10</v>
      </c>
      <c r="C77" s="4" t="s">
        <v>73</v>
      </c>
      <c r="D77" s="4">
        <v>46139</v>
      </c>
      <c r="E77" s="5">
        <v>0.275474537037037</v>
      </c>
      <c r="F77">
        <v>1</v>
      </c>
      <c r="G77" t="s">
        <v>82</v>
      </c>
      <c r="H77">
        <v>20.5</v>
      </c>
      <c r="M77" t="s">
        <v>76</v>
      </c>
      <c r="N77" t="s">
        <v>75</v>
      </c>
    </row>
    <row r="78" spans="1:20" x14ac:dyDescent="0.25">
      <c r="A78" t="s">
        <v>171</v>
      </c>
      <c r="B78" s="4" t="s">
        <v>10</v>
      </c>
      <c r="C78" s="4" t="s">
        <v>73</v>
      </c>
      <c r="D78" s="4">
        <v>46139</v>
      </c>
      <c r="E78" s="5">
        <v>0.27627314814814813</v>
      </c>
      <c r="F78">
        <v>1</v>
      </c>
      <c r="G78" t="s">
        <v>82</v>
      </c>
      <c r="H78">
        <v>95.083333333333329</v>
      </c>
      <c r="M78" t="s">
        <v>76</v>
      </c>
      <c r="N78" t="s">
        <v>72</v>
      </c>
    </row>
    <row r="79" spans="1:20" x14ac:dyDescent="0.25">
      <c r="A79" t="s">
        <v>174</v>
      </c>
      <c r="B79" s="4" t="s">
        <v>10</v>
      </c>
      <c r="C79" s="4" t="s">
        <v>70</v>
      </c>
      <c r="D79" s="4">
        <v>46139</v>
      </c>
      <c r="E79" s="5">
        <v>0.27684027777777775</v>
      </c>
      <c r="F79">
        <v>1</v>
      </c>
      <c r="G79" t="s">
        <v>82</v>
      </c>
      <c r="H79">
        <v>90</v>
      </c>
      <c r="L79" t="s">
        <v>171</v>
      </c>
      <c r="M79" t="s">
        <v>71</v>
      </c>
      <c r="N79" t="s">
        <v>72</v>
      </c>
      <c r="O79">
        <v>1</v>
      </c>
      <c r="R79">
        <v>1</v>
      </c>
      <c r="S79">
        <v>1</v>
      </c>
      <c r="T79">
        <v>5.083333333333333</v>
      </c>
    </row>
    <row r="80" spans="1:20" x14ac:dyDescent="0.25">
      <c r="A80" t="s">
        <v>171</v>
      </c>
      <c r="B80" s="4" t="s">
        <v>10</v>
      </c>
      <c r="C80" s="4" t="s">
        <v>73</v>
      </c>
      <c r="D80" s="4">
        <v>46139</v>
      </c>
      <c r="E80" s="5">
        <v>0.27684027777777775</v>
      </c>
      <c r="F80">
        <v>1</v>
      </c>
      <c r="G80" t="s">
        <v>82</v>
      </c>
      <c r="H80">
        <v>5.083333333333333</v>
      </c>
      <c r="M80" t="s">
        <v>76</v>
      </c>
      <c r="N80" t="s">
        <v>72</v>
      </c>
    </row>
    <row r="81" spans="1:21" x14ac:dyDescent="0.25">
      <c r="A81" t="s">
        <v>175</v>
      </c>
      <c r="B81" s="4" t="s">
        <v>10</v>
      </c>
      <c r="C81" s="4" t="s">
        <v>70</v>
      </c>
      <c r="D81" s="4">
        <v>46139</v>
      </c>
      <c r="E81" s="5">
        <v>0.27759259259259261</v>
      </c>
      <c r="F81">
        <v>1</v>
      </c>
      <c r="G81" t="s">
        <v>82</v>
      </c>
      <c r="H81">
        <v>18</v>
      </c>
      <c r="L81" t="s">
        <v>176</v>
      </c>
      <c r="M81" t="s">
        <v>71</v>
      </c>
      <c r="N81" t="s">
        <v>75</v>
      </c>
      <c r="O81">
        <v>1</v>
      </c>
      <c r="R81">
        <v>1</v>
      </c>
      <c r="S81">
        <v>1</v>
      </c>
      <c r="T81">
        <v>14.5</v>
      </c>
    </row>
    <row r="82" spans="1:21" x14ac:dyDescent="0.25">
      <c r="A82" t="s">
        <v>176</v>
      </c>
      <c r="B82" s="4" t="s">
        <v>10</v>
      </c>
      <c r="C82" s="4" t="s">
        <v>73</v>
      </c>
      <c r="D82" s="4">
        <v>46139</v>
      </c>
      <c r="E82" s="5">
        <v>0.27759259259259261</v>
      </c>
      <c r="F82">
        <v>1</v>
      </c>
      <c r="G82" t="s">
        <v>82</v>
      </c>
      <c r="H82">
        <v>14.333333333333334</v>
      </c>
      <c r="M82" t="s">
        <v>79</v>
      </c>
      <c r="N82" t="s">
        <v>75</v>
      </c>
    </row>
    <row r="83" spans="1:21" x14ac:dyDescent="0.25">
      <c r="A83" t="s">
        <v>176</v>
      </c>
      <c r="B83" s="4" t="s">
        <v>10</v>
      </c>
      <c r="C83" s="4" t="s">
        <v>73</v>
      </c>
      <c r="D83" s="4">
        <v>46139</v>
      </c>
      <c r="E83" s="5">
        <v>0.27759259259259261</v>
      </c>
      <c r="F83">
        <v>1</v>
      </c>
      <c r="G83" t="s">
        <v>82</v>
      </c>
      <c r="H83">
        <v>14.25</v>
      </c>
      <c r="M83" t="s">
        <v>79</v>
      </c>
      <c r="N83" t="s">
        <v>75</v>
      </c>
    </row>
    <row r="84" spans="1:21" x14ac:dyDescent="0.25">
      <c r="A84" t="s">
        <v>176</v>
      </c>
      <c r="B84" s="4" t="s">
        <v>10</v>
      </c>
      <c r="C84" s="4" t="s">
        <v>73</v>
      </c>
      <c r="D84" s="4">
        <v>46139</v>
      </c>
      <c r="E84" s="5">
        <v>0.27775462962962966</v>
      </c>
      <c r="F84">
        <v>1</v>
      </c>
      <c r="G84" t="s">
        <v>82</v>
      </c>
      <c r="H84">
        <v>14.5</v>
      </c>
      <c r="M84" t="s">
        <v>76</v>
      </c>
      <c r="N84" t="s">
        <v>75</v>
      </c>
    </row>
    <row r="85" spans="1:21" x14ac:dyDescent="0.25">
      <c r="A85" t="s">
        <v>180</v>
      </c>
      <c r="B85" s="4" t="s">
        <v>10</v>
      </c>
      <c r="C85" s="4" t="s">
        <v>70</v>
      </c>
      <c r="D85" s="4">
        <v>46139</v>
      </c>
      <c r="E85" s="5">
        <v>0.27831018518518519</v>
      </c>
      <c r="F85">
        <v>1</v>
      </c>
      <c r="G85" t="s">
        <v>82</v>
      </c>
      <c r="H85">
        <v>7.5</v>
      </c>
      <c r="L85" t="s">
        <v>181</v>
      </c>
      <c r="M85" t="s">
        <v>71</v>
      </c>
      <c r="N85" t="s">
        <v>75</v>
      </c>
      <c r="O85">
        <v>1</v>
      </c>
      <c r="Q85">
        <v>1</v>
      </c>
      <c r="S85">
        <v>1</v>
      </c>
      <c r="U85">
        <v>0.16666666666666666</v>
      </c>
    </row>
    <row r="86" spans="1:21" x14ac:dyDescent="0.25">
      <c r="A86" t="s">
        <v>181</v>
      </c>
      <c r="B86" s="4" t="s">
        <v>10</v>
      </c>
      <c r="C86" s="4" t="s">
        <v>73</v>
      </c>
      <c r="D86" s="4">
        <v>46139</v>
      </c>
      <c r="E86" s="5">
        <v>0.27831018518518519</v>
      </c>
      <c r="F86">
        <v>1</v>
      </c>
      <c r="G86" t="s">
        <v>82</v>
      </c>
      <c r="H86">
        <v>2.833333333333333</v>
      </c>
      <c r="M86" t="s">
        <v>74</v>
      </c>
      <c r="N86" t="s">
        <v>75</v>
      </c>
    </row>
    <row r="87" spans="1:21" x14ac:dyDescent="0.25">
      <c r="A87" t="s">
        <v>181</v>
      </c>
      <c r="B87" s="4" t="s">
        <v>10</v>
      </c>
      <c r="C87" s="4" t="s">
        <v>73</v>
      </c>
      <c r="D87" s="4">
        <v>46139</v>
      </c>
      <c r="E87" s="5">
        <v>0.27831018518518519</v>
      </c>
      <c r="F87">
        <v>1</v>
      </c>
      <c r="G87" t="s">
        <v>82</v>
      </c>
      <c r="H87">
        <v>0.16666666666666666</v>
      </c>
      <c r="M87" t="s">
        <v>74</v>
      </c>
      <c r="N87" t="s">
        <v>75</v>
      </c>
    </row>
    <row r="88" spans="1:21" x14ac:dyDescent="0.25">
      <c r="A88" t="s">
        <v>181</v>
      </c>
      <c r="B88" s="4" t="s">
        <v>10</v>
      </c>
      <c r="C88" s="4" t="s">
        <v>73</v>
      </c>
      <c r="D88" s="4">
        <v>46139</v>
      </c>
      <c r="E88" s="5">
        <v>0.27831018518518519</v>
      </c>
      <c r="F88">
        <v>1</v>
      </c>
      <c r="G88" t="s">
        <v>82</v>
      </c>
      <c r="H88">
        <v>0</v>
      </c>
      <c r="M88" t="s">
        <v>74</v>
      </c>
      <c r="N88" t="s">
        <v>75</v>
      </c>
    </row>
    <row r="89" spans="1:21" x14ac:dyDescent="0.25">
      <c r="A89" t="s">
        <v>182</v>
      </c>
      <c r="B89" s="4" t="s">
        <v>10</v>
      </c>
      <c r="C89" s="4" t="s">
        <v>70</v>
      </c>
      <c r="D89" s="4">
        <v>46139</v>
      </c>
      <c r="E89" s="5">
        <v>0.27896990740740735</v>
      </c>
      <c r="F89">
        <v>1</v>
      </c>
      <c r="G89" t="s">
        <v>82</v>
      </c>
      <c r="H89">
        <v>28.75</v>
      </c>
      <c r="L89" t="s">
        <v>183</v>
      </c>
      <c r="M89" t="s">
        <v>71</v>
      </c>
      <c r="N89" t="s">
        <v>72</v>
      </c>
      <c r="O89">
        <v>1</v>
      </c>
      <c r="S89">
        <v>1</v>
      </c>
      <c r="T89">
        <v>83.166666666666657</v>
      </c>
    </row>
    <row r="90" spans="1:21" x14ac:dyDescent="0.25">
      <c r="A90" t="s">
        <v>183</v>
      </c>
      <c r="B90" s="4" t="s">
        <v>10</v>
      </c>
      <c r="C90" s="4" t="s">
        <v>73</v>
      </c>
      <c r="D90" s="4">
        <v>46139</v>
      </c>
      <c r="E90" s="5">
        <v>0.27896990740740735</v>
      </c>
      <c r="F90">
        <v>1</v>
      </c>
      <c r="G90" t="s">
        <v>82</v>
      </c>
      <c r="H90">
        <v>83.083333333333329</v>
      </c>
      <c r="M90" t="s">
        <v>74</v>
      </c>
      <c r="N90" t="s">
        <v>72</v>
      </c>
    </row>
    <row r="91" spans="1:21" x14ac:dyDescent="0.25">
      <c r="A91" t="s">
        <v>183</v>
      </c>
      <c r="B91" s="4" t="s">
        <v>10</v>
      </c>
      <c r="C91" s="4" t="s">
        <v>73</v>
      </c>
      <c r="D91" s="4">
        <v>46139</v>
      </c>
      <c r="E91" s="5">
        <v>0.27896990740740735</v>
      </c>
      <c r="F91">
        <v>1</v>
      </c>
      <c r="G91" t="s">
        <v>82</v>
      </c>
      <c r="H91">
        <v>83</v>
      </c>
      <c r="M91" t="s">
        <v>74</v>
      </c>
      <c r="N91" t="s">
        <v>72</v>
      </c>
    </row>
    <row r="92" spans="1:21" x14ac:dyDescent="0.25">
      <c r="A92" t="s">
        <v>183</v>
      </c>
      <c r="B92" s="4" t="s">
        <v>10</v>
      </c>
      <c r="C92" s="4" t="s">
        <v>73</v>
      </c>
      <c r="D92" s="4">
        <v>46139</v>
      </c>
      <c r="E92" s="5">
        <v>0.2792708333333333</v>
      </c>
      <c r="F92">
        <v>1</v>
      </c>
      <c r="G92" t="s">
        <v>82</v>
      </c>
      <c r="H92">
        <v>83.166666666666657</v>
      </c>
      <c r="M92" t="s">
        <v>76</v>
      </c>
      <c r="N92" t="s">
        <v>72</v>
      </c>
    </row>
    <row r="93" spans="1:21" x14ac:dyDescent="0.25">
      <c r="A93" t="s">
        <v>184</v>
      </c>
      <c r="B93" s="4" t="s">
        <v>10</v>
      </c>
      <c r="C93" s="4" t="s">
        <v>70</v>
      </c>
      <c r="D93" s="4">
        <v>46139</v>
      </c>
      <c r="E93" s="5">
        <v>0.27995370370370365</v>
      </c>
      <c r="F93">
        <v>1</v>
      </c>
      <c r="G93" t="s">
        <v>82</v>
      </c>
      <c r="H93">
        <v>6.6666666666666661</v>
      </c>
      <c r="L93" t="s">
        <v>185</v>
      </c>
      <c r="M93" t="s">
        <v>71</v>
      </c>
      <c r="N93" t="s">
        <v>77</v>
      </c>
      <c r="O93">
        <v>1</v>
      </c>
      <c r="S93">
        <v>1</v>
      </c>
      <c r="T93">
        <v>64.5</v>
      </c>
    </row>
    <row r="94" spans="1:21" x14ac:dyDescent="0.25">
      <c r="A94" t="s">
        <v>185</v>
      </c>
      <c r="B94" s="4" t="s">
        <v>10</v>
      </c>
      <c r="C94" s="4" t="s">
        <v>73</v>
      </c>
      <c r="D94" s="4">
        <v>46139</v>
      </c>
      <c r="E94" s="5">
        <v>0.27995370370370365</v>
      </c>
      <c r="F94">
        <v>1</v>
      </c>
      <c r="G94" t="s">
        <v>82</v>
      </c>
      <c r="H94">
        <v>64.833333333333329</v>
      </c>
      <c r="M94" t="s">
        <v>79</v>
      </c>
      <c r="N94" t="s">
        <v>77</v>
      </c>
    </row>
    <row r="95" spans="1:21" x14ac:dyDescent="0.25">
      <c r="A95" t="s">
        <v>185</v>
      </c>
      <c r="B95" s="4" t="s">
        <v>10</v>
      </c>
      <c r="C95" s="4" t="s">
        <v>73</v>
      </c>
      <c r="D95" s="4">
        <v>46139</v>
      </c>
      <c r="E95" s="5">
        <v>0.27995370370370365</v>
      </c>
      <c r="F95">
        <v>1</v>
      </c>
      <c r="G95" t="s">
        <v>82</v>
      </c>
      <c r="H95">
        <v>64.75</v>
      </c>
      <c r="M95" t="s">
        <v>79</v>
      </c>
      <c r="N95" t="s">
        <v>77</v>
      </c>
    </row>
    <row r="96" spans="1:21" x14ac:dyDescent="0.25">
      <c r="A96" t="s">
        <v>185</v>
      </c>
      <c r="B96" s="4" t="s">
        <v>10</v>
      </c>
      <c r="C96" s="4" t="s">
        <v>73</v>
      </c>
      <c r="D96" s="4">
        <v>46139</v>
      </c>
      <c r="E96" s="5">
        <v>0.28045138888888888</v>
      </c>
      <c r="F96">
        <v>1</v>
      </c>
      <c r="G96" t="s">
        <v>82</v>
      </c>
      <c r="H96">
        <v>64.5</v>
      </c>
      <c r="M96" t="s">
        <v>76</v>
      </c>
      <c r="N96" t="s">
        <v>77</v>
      </c>
    </row>
    <row r="97" spans="1:21" x14ac:dyDescent="0.25">
      <c r="A97" t="s">
        <v>188</v>
      </c>
      <c r="B97" s="4" t="s">
        <v>10</v>
      </c>
      <c r="C97" s="4" t="s">
        <v>70</v>
      </c>
      <c r="D97" s="4">
        <v>46139</v>
      </c>
      <c r="E97" s="5">
        <v>0.28123842592592591</v>
      </c>
      <c r="F97">
        <v>1</v>
      </c>
      <c r="G97" t="s">
        <v>82</v>
      </c>
      <c r="H97">
        <v>68.5</v>
      </c>
      <c r="L97" t="s">
        <v>189</v>
      </c>
      <c r="M97" t="s">
        <v>71</v>
      </c>
      <c r="N97" t="s">
        <v>75</v>
      </c>
      <c r="O97">
        <v>1</v>
      </c>
      <c r="R97">
        <v>1</v>
      </c>
      <c r="S97">
        <v>1</v>
      </c>
      <c r="T97">
        <v>24.5</v>
      </c>
    </row>
    <row r="98" spans="1:21" x14ac:dyDescent="0.25">
      <c r="A98" t="s">
        <v>189</v>
      </c>
      <c r="B98" s="4" t="s">
        <v>10</v>
      </c>
      <c r="C98" s="4" t="s">
        <v>73</v>
      </c>
      <c r="D98" s="4">
        <v>46139</v>
      </c>
      <c r="E98" s="5">
        <v>0.28123842592592591</v>
      </c>
      <c r="F98">
        <v>1</v>
      </c>
      <c r="G98" t="s">
        <v>82</v>
      </c>
      <c r="H98">
        <v>25.5</v>
      </c>
      <c r="M98" t="s">
        <v>79</v>
      </c>
      <c r="N98" t="s">
        <v>75</v>
      </c>
    </row>
    <row r="99" spans="1:21" x14ac:dyDescent="0.25">
      <c r="A99" t="s">
        <v>189</v>
      </c>
      <c r="B99" s="4" t="s">
        <v>10</v>
      </c>
      <c r="C99" s="4" t="s">
        <v>73</v>
      </c>
      <c r="D99" s="4">
        <v>46139</v>
      </c>
      <c r="E99" s="5">
        <v>0.28123842592592591</v>
      </c>
      <c r="F99">
        <v>1</v>
      </c>
      <c r="G99" t="s">
        <v>82</v>
      </c>
      <c r="H99">
        <v>25.416666666666664</v>
      </c>
      <c r="M99" t="s">
        <v>79</v>
      </c>
      <c r="N99" t="s">
        <v>75</v>
      </c>
    </row>
    <row r="100" spans="1:21" x14ac:dyDescent="0.25">
      <c r="A100" t="s">
        <v>189</v>
      </c>
      <c r="B100" s="4" t="s">
        <v>10</v>
      </c>
      <c r="C100" s="4" t="s">
        <v>73</v>
      </c>
      <c r="D100" s="4">
        <v>46139</v>
      </c>
      <c r="E100" s="5">
        <v>0.28144675925925927</v>
      </c>
      <c r="F100">
        <v>1</v>
      </c>
      <c r="G100" t="s">
        <v>82</v>
      </c>
      <c r="H100">
        <v>24.5</v>
      </c>
      <c r="M100" t="s">
        <v>76</v>
      </c>
      <c r="N100" t="s">
        <v>75</v>
      </c>
    </row>
    <row r="101" spans="1:21" x14ac:dyDescent="0.25">
      <c r="A101" t="s">
        <v>190</v>
      </c>
      <c r="B101" s="4" t="s">
        <v>10</v>
      </c>
      <c r="C101" s="4" t="s">
        <v>70</v>
      </c>
      <c r="D101" s="4">
        <v>46139</v>
      </c>
      <c r="E101" s="5">
        <v>0.28201388888888884</v>
      </c>
      <c r="F101">
        <v>1</v>
      </c>
      <c r="G101" t="s">
        <v>82</v>
      </c>
      <c r="H101">
        <v>9</v>
      </c>
      <c r="L101" t="s">
        <v>191</v>
      </c>
      <c r="M101" t="s">
        <v>71</v>
      </c>
      <c r="N101" t="s">
        <v>77</v>
      </c>
      <c r="O101">
        <v>1</v>
      </c>
      <c r="Q101">
        <v>1</v>
      </c>
      <c r="S101">
        <v>1</v>
      </c>
      <c r="U101">
        <v>8.3333333333333329E-2</v>
      </c>
    </row>
    <row r="102" spans="1:21" x14ac:dyDescent="0.25">
      <c r="A102" t="s">
        <v>191</v>
      </c>
      <c r="B102" s="4" t="s">
        <v>10</v>
      </c>
      <c r="C102" s="4" t="s">
        <v>73</v>
      </c>
      <c r="D102" s="4">
        <v>46139</v>
      </c>
      <c r="E102" s="5">
        <v>0.28201388888888884</v>
      </c>
      <c r="F102">
        <v>1</v>
      </c>
      <c r="G102" t="s">
        <v>82</v>
      </c>
      <c r="H102">
        <v>2.0833333333333335</v>
      </c>
      <c r="M102" t="s">
        <v>79</v>
      </c>
      <c r="N102" t="s">
        <v>77</v>
      </c>
    </row>
    <row r="103" spans="1:21" x14ac:dyDescent="0.25">
      <c r="A103" t="s">
        <v>191</v>
      </c>
      <c r="B103" s="4" t="s">
        <v>10</v>
      </c>
      <c r="C103" s="4" t="s">
        <v>73</v>
      </c>
      <c r="D103" s="4">
        <v>46139</v>
      </c>
      <c r="E103" s="5">
        <v>0.28201388888888884</v>
      </c>
      <c r="F103">
        <v>1</v>
      </c>
      <c r="G103" t="s">
        <v>82</v>
      </c>
      <c r="H103">
        <v>8.3333333333333329E-2</v>
      </c>
      <c r="M103" t="s">
        <v>79</v>
      </c>
      <c r="N103" t="s">
        <v>77</v>
      </c>
    </row>
    <row r="104" spans="1:21" x14ac:dyDescent="0.25">
      <c r="A104" t="s">
        <v>191</v>
      </c>
      <c r="B104" s="4" t="s">
        <v>10</v>
      </c>
      <c r="C104" s="4" t="s">
        <v>73</v>
      </c>
      <c r="D104" s="4">
        <v>46139</v>
      </c>
      <c r="E104" s="5">
        <v>0.28201388888888884</v>
      </c>
      <c r="F104">
        <v>1</v>
      </c>
      <c r="G104" t="s">
        <v>82</v>
      </c>
      <c r="H104">
        <v>0</v>
      </c>
      <c r="M104" t="s">
        <v>79</v>
      </c>
      <c r="N104" t="s">
        <v>77</v>
      </c>
    </row>
    <row r="105" spans="1:21" x14ac:dyDescent="0.25">
      <c r="A105" t="s">
        <v>192</v>
      </c>
      <c r="B105" s="4" t="s">
        <v>10</v>
      </c>
      <c r="C105" s="4" t="s">
        <v>73</v>
      </c>
      <c r="D105" s="4">
        <v>46139</v>
      </c>
      <c r="E105" s="5">
        <v>0.28258101851851852</v>
      </c>
      <c r="F105">
        <v>1</v>
      </c>
      <c r="G105" t="s">
        <v>82</v>
      </c>
      <c r="H105">
        <v>35.666666666666664</v>
      </c>
      <c r="L105" t="s">
        <v>193</v>
      </c>
      <c r="M105" t="s">
        <v>74</v>
      </c>
      <c r="N105" t="s">
        <v>72</v>
      </c>
    </row>
    <row r="106" spans="1:21" x14ac:dyDescent="0.25">
      <c r="A106" t="s">
        <v>196</v>
      </c>
      <c r="B106" s="4" t="s">
        <v>10</v>
      </c>
      <c r="C106" s="4" t="s">
        <v>70</v>
      </c>
      <c r="D106" s="4">
        <v>46139</v>
      </c>
      <c r="E106" s="5">
        <v>0.2828356481481481</v>
      </c>
      <c r="F106">
        <v>1</v>
      </c>
      <c r="G106" t="s">
        <v>82</v>
      </c>
      <c r="H106">
        <v>33.75</v>
      </c>
      <c r="L106" t="s">
        <v>192</v>
      </c>
      <c r="M106" t="s">
        <v>71</v>
      </c>
      <c r="N106" t="s">
        <v>72</v>
      </c>
      <c r="O106">
        <v>1</v>
      </c>
      <c r="Q106">
        <v>1</v>
      </c>
      <c r="S106">
        <v>1</v>
      </c>
      <c r="U106">
        <v>1.9166666666666665</v>
      </c>
    </row>
    <row r="107" spans="1:21" x14ac:dyDescent="0.25">
      <c r="A107" t="s">
        <v>192</v>
      </c>
      <c r="B107" s="4" t="s">
        <v>10</v>
      </c>
      <c r="C107" s="4" t="s">
        <v>73</v>
      </c>
      <c r="D107" s="4">
        <v>46139</v>
      </c>
      <c r="E107" s="5">
        <v>0.2828356481481481</v>
      </c>
      <c r="F107">
        <v>1</v>
      </c>
      <c r="G107" t="s">
        <v>82</v>
      </c>
      <c r="H107">
        <v>1.9166666666666665</v>
      </c>
      <c r="L107" t="s">
        <v>193</v>
      </c>
      <c r="M107" t="s">
        <v>74</v>
      </c>
      <c r="N107" t="s">
        <v>72</v>
      </c>
    </row>
    <row r="108" spans="1:21" x14ac:dyDescent="0.25">
      <c r="A108" t="s">
        <v>192</v>
      </c>
      <c r="B108" s="4" t="s">
        <v>10</v>
      </c>
      <c r="C108" s="4" t="s">
        <v>73</v>
      </c>
      <c r="D108" s="4">
        <v>46139</v>
      </c>
      <c r="E108" s="5">
        <v>0.2828356481481481</v>
      </c>
      <c r="F108">
        <v>1</v>
      </c>
      <c r="G108" t="s">
        <v>82</v>
      </c>
      <c r="H108">
        <v>0</v>
      </c>
      <c r="L108" t="s">
        <v>193</v>
      </c>
      <c r="M108" t="s">
        <v>74</v>
      </c>
      <c r="N108" t="s">
        <v>72</v>
      </c>
    </row>
    <row r="109" spans="1:21" x14ac:dyDescent="0.25">
      <c r="A109" t="s">
        <v>197</v>
      </c>
      <c r="B109" s="4" t="s">
        <v>10</v>
      </c>
      <c r="C109" s="4" t="s">
        <v>70</v>
      </c>
      <c r="D109" s="4">
        <v>46139</v>
      </c>
      <c r="E109" s="5">
        <v>0.28343749999999995</v>
      </c>
      <c r="F109">
        <v>1</v>
      </c>
      <c r="G109" t="s">
        <v>82</v>
      </c>
      <c r="H109">
        <v>14.5</v>
      </c>
      <c r="L109" t="s">
        <v>198</v>
      </c>
      <c r="M109" t="s">
        <v>71</v>
      </c>
      <c r="N109" t="s">
        <v>77</v>
      </c>
      <c r="O109">
        <v>1</v>
      </c>
      <c r="S109">
        <v>1</v>
      </c>
      <c r="T109">
        <v>87.75</v>
      </c>
    </row>
    <row r="110" spans="1:21" x14ac:dyDescent="0.25">
      <c r="A110" t="s">
        <v>198</v>
      </c>
      <c r="B110" s="4" t="s">
        <v>10</v>
      </c>
      <c r="C110" s="4" t="s">
        <v>73</v>
      </c>
      <c r="D110" s="4">
        <v>46139</v>
      </c>
      <c r="E110" s="5">
        <v>0.28343749999999995</v>
      </c>
      <c r="F110">
        <v>1</v>
      </c>
      <c r="G110" t="s">
        <v>82</v>
      </c>
      <c r="H110">
        <v>87.583333333333329</v>
      </c>
      <c r="M110" t="s">
        <v>74</v>
      </c>
      <c r="N110" t="s">
        <v>77</v>
      </c>
    </row>
    <row r="111" spans="1:21" x14ac:dyDescent="0.25">
      <c r="A111" t="s">
        <v>198</v>
      </c>
      <c r="B111" s="4" t="s">
        <v>10</v>
      </c>
      <c r="C111" s="4" t="s">
        <v>73</v>
      </c>
      <c r="D111" s="4">
        <v>46139</v>
      </c>
      <c r="E111" s="5">
        <v>0.28343749999999995</v>
      </c>
      <c r="F111">
        <v>1</v>
      </c>
      <c r="G111" t="s">
        <v>82</v>
      </c>
      <c r="H111">
        <v>87.5</v>
      </c>
      <c r="M111" t="s">
        <v>74</v>
      </c>
      <c r="N111" t="s">
        <v>77</v>
      </c>
    </row>
    <row r="112" spans="1:21" x14ac:dyDescent="0.25">
      <c r="A112" t="s">
        <v>198</v>
      </c>
      <c r="B112" s="4" t="s">
        <v>10</v>
      </c>
      <c r="C112" s="4" t="s">
        <v>73</v>
      </c>
      <c r="D112" s="4">
        <v>46139</v>
      </c>
      <c r="E112" s="5">
        <v>0.28384259259259259</v>
      </c>
      <c r="F112">
        <v>1</v>
      </c>
      <c r="G112" t="s">
        <v>82</v>
      </c>
      <c r="H112">
        <v>87.75</v>
      </c>
      <c r="M112" t="s">
        <v>76</v>
      </c>
      <c r="N112" t="s">
        <v>77</v>
      </c>
    </row>
    <row r="113" spans="1:20" x14ac:dyDescent="0.25">
      <c r="A113" t="s">
        <v>201</v>
      </c>
      <c r="B113" s="4" t="s">
        <v>10</v>
      </c>
      <c r="C113" s="4" t="s">
        <v>70</v>
      </c>
      <c r="D113" s="4">
        <v>46139</v>
      </c>
      <c r="E113" s="5">
        <v>0.28450231481481481</v>
      </c>
      <c r="F113">
        <v>1</v>
      </c>
      <c r="G113" t="s">
        <v>82</v>
      </c>
      <c r="H113">
        <v>18.5</v>
      </c>
      <c r="L113" t="s">
        <v>202</v>
      </c>
      <c r="M113" t="s">
        <v>71</v>
      </c>
      <c r="N113" t="s">
        <v>77</v>
      </c>
      <c r="O113">
        <v>1</v>
      </c>
      <c r="S113">
        <v>1</v>
      </c>
      <c r="T113">
        <v>30.333333333333332</v>
      </c>
    </row>
    <row r="114" spans="1:20" x14ac:dyDescent="0.25">
      <c r="A114" t="s">
        <v>202</v>
      </c>
      <c r="B114" s="4" t="s">
        <v>10</v>
      </c>
      <c r="C114" s="4" t="s">
        <v>73</v>
      </c>
      <c r="D114" s="4">
        <v>46139</v>
      </c>
      <c r="E114" s="5">
        <v>0.28450231481481481</v>
      </c>
      <c r="F114">
        <v>1</v>
      </c>
      <c r="G114" t="s">
        <v>82</v>
      </c>
      <c r="H114">
        <v>30.5</v>
      </c>
      <c r="M114" t="s">
        <v>74</v>
      </c>
      <c r="N114" t="s">
        <v>77</v>
      </c>
    </row>
    <row r="115" spans="1:20" x14ac:dyDescent="0.25">
      <c r="A115" t="s">
        <v>202</v>
      </c>
      <c r="B115" s="4" t="s">
        <v>10</v>
      </c>
      <c r="C115" s="4" t="s">
        <v>73</v>
      </c>
      <c r="D115" s="4">
        <v>46139</v>
      </c>
      <c r="E115" s="5">
        <v>0.28450231481481481</v>
      </c>
      <c r="F115">
        <v>1</v>
      </c>
      <c r="G115" t="s">
        <v>82</v>
      </c>
      <c r="H115">
        <v>30.416666666666664</v>
      </c>
      <c r="M115" t="s">
        <v>74</v>
      </c>
      <c r="N115" t="s">
        <v>77</v>
      </c>
    </row>
    <row r="116" spans="1:20" x14ac:dyDescent="0.25">
      <c r="A116" t="s">
        <v>202</v>
      </c>
      <c r="B116" s="4" t="s">
        <v>10</v>
      </c>
      <c r="C116" s="4" t="s">
        <v>73</v>
      </c>
      <c r="D116" s="4">
        <v>46139</v>
      </c>
      <c r="E116" s="5">
        <v>0.2848148148148148</v>
      </c>
      <c r="F116">
        <v>1</v>
      </c>
      <c r="G116" t="s">
        <v>82</v>
      </c>
      <c r="H116">
        <v>30.333333333333332</v>
      </c>
      <c r="M116" t="s">
        <v>76</v>
      </c>
      <c r="N116" t="s">
        <v>77</v>
      </c>
    </row>
    <row r="117" spans="1:20" x14ac:dyDescent="0.25">
      <c r="A117" t="s">
        <v>205</v>
      </c>
      <c r="B117" s="4" t="s">
        <v>10</v>
      </c>
      <c r="C117" s="4" t="s">
        <v>73</v>
      </c>
      <c r="D117" s="4">
        <v>46139</v>
      </c>
      <c r="E117" s="5">
        <v>0.28548611111111105</v>
      </c>
      <c r="F117">
        <v>1</v>
      </c>
      <c r="G117" t="s">
        <v>82</v>
      </c>
      <c r="H117">
        <v>10.5</v>
      </c>
      <c r="M117" t="s">
        <v>74</v>
      </c>
      <c r="N117" t="s">
        <v>77</v>
      </c>
    </row>
    <row r="118" spans="1:20" x14ac:dyDescent="0.25">
      <c r="A118" t="s">
        <v>205</v>
      </c>
      <c r="B118" s="4" t="s">
        <v>10</v>
      </c>
      <c r="C118" s="4" t="s">
        <v>73</v>
      </c>
      <c r="D118" s="4">
        <v>46139</v>
      </c>
      <c r="E118" s="5">
        <v>0.28572916666666665</v>
      </c>
      <c r="F118">
        <v>1</v>
      </c>
      <c r="G118" t="s">
        <v>82</v>
      </c>
      <c r="H118">
        <v>10.25</v>
      </c>
      <c r="M118" t="s">
        <v>76</v>
      </c>
      <c r="N118" t="s">
        <v>77</v>
      </c>
    </row>
    <row r="119" spans="1:20" x14ac:dyDescent="0.25">
      <c r="A119" t="s">
        <v>207</v>
      </c>
      <c r="B119" s="4" t="s">
        <v>10</v>
      </c>
      <c r="C119" s="4" t="s">
        <v>70</v>
      </c>
      <c r="D119" s="4">
        <v>46139</v>
      </c>
      <c r="E119" s="5">
        <v>0.28652777777777777</v>
      </c>
      <c r="F119">
        <v>1</v>
      </c>
      <c r="G119" t="s">
        <v>82</v>
      </c>
      <c r="H119">
        <v>10.5</v>
      </c>
      <c r="L119" t="s">
        <v>208</v>
      </c>
      <c r="M119" t="s">
        <v>71</v>
      </c>
      <c r="N119" t="s">
        <v>80</v>
      </c>
      <c r="O119">
        <v>1</v>
      </c>
      <c r="S119">
        <v>1</v>
      </c>
      <c r="T119">
        <v>33.666666666666664</v>
      </c>
    </row>
    <row r="120" spans="1:20" x14ac:dyDescent="0.25">
      <c r="A120" t="s">
        <v>208</v>
      </c>
      <c r="B120" s="4" t="s">
        <v>10</v>
      </c>
      <c r="C120" s="4" t="s">
        <v>73</v>
      </c>
      <c r="D120" s="4">
        <v>46139</v>
      </c>
      <c r="E120" s="5">
        <v>0.28652777777777777</v>
      </c>
      <c r="F120">
        <v>1</v>
      </c>
      <c r="G120" t="s">
        <v>82</v>
      </c>
      <c r="H120">
        <v>34</v>
      </c>
      <c r="M120" t="s">
        <v>79</v>
      </c>
      <c r="N120" t="s">
        <v>80</v>
      </c>
    </row>
    <row r="121" spans="1:20" x14ac:dyDescent="0.25">
      <c r="A121" t="s">
        <v>208</v>
      </c>
      <c r="B121" s="4" t="s">
        <v>10</v>
      </c>
      <c r="C121" s="4" t="s">
        <v>73</v>
      </c>
      <c r="D121" s="4">
        <v>46139</v>
      </c>
      <c r="E121" s="5">
        <v>0.28652777777777777</v>
      </c>
      <c r="F121">
        <v>1</v>
      </c>
      <c r="G121" t="s">
        <v>82</v>
      </c>
      <c r="H121">
        <v>33.916666666666664</v>
      </c>
      <c r="M121" t="s">
        <v>79</v>
      </c>
      <c r="N121" t="s">
        <v>80</v>
      </c>
    </row>
    <row r="122" spans="1:20" x14ac:dyDescent="0.25">
      <c r="A122" t="s">
        <v>208</v>
      </c>
      <c r="B122" s="4" t="s">
        <v>10</v>
      </c>
      <c r="C122" s="4" t="s">
        <v>73</v>
      </c>
      <c r="D122" s="4">
        <v>46139</v>
      </c>
      <c r="E122" s="5">
        <v>0.28686342592592595</v>
      </c>
      <c r="F122">
        <v>1</v>
      </c>
      <c r="G122" t="s">
        <v>82</v>
      </c>
      <c r="H122">
        <v>33.666666666666664</v>
      </c>
      <c r="M122" t="s">
        <v>76</v>
      </c>
      <c r="N122" t="s">
        <v>80</v>
      </c>
    </row>
    <row r="123" spans="1:20" x14ac:dyDescent="0.25">
      <c r="A123" t="s">
        <v>209</v>
      </c>
      <c r="B123" s="4" t="s">
        <v>10</v>
      </c>
      <c r="C123" s="4" t="s">
        <v>70</v>
      </c>
      <c r="D123" s="4">
        <v>46139</v>
      </c>
      <c r="E123" s="5">
        <v>0.28756944444444443</v>
      </c>
      <c r="F123">
        <v>1</v>
      </c>
      <c r="G123" t="s">
        <v>82</v>
      </c>
      <c r="H123">
        <v>10.5</v>
      </c>
      <c r="L123" t="s">
        <v>210</v>
      </c>
      <c r="M123" t="s">
        <v>71</v>
      </c>
      <c r="N123" t="s">
        <v>80</v>
      </c>
      <c r="O123">
        <v>1</v>
      </c>
      <c r="S123">
        <v>1</v>
      </c>
      <c r="T123">
        <v>47</v>
      </c>
    </row>
    <row r="124" spans="1:20" x14ac:dyDescent="0.25">
      <c r="A124" t="s">
        <v>210</v>
      </c>
      <c r="B124" s="4" t="s">
        <v>10</v>
      </c>
      <c r="C124" s="4" t="s">
        <v>73</v>
      </c>
      <c r="D124" s="4">
        <v>46139</v>
      </c>
      <c r="E124" s="5">
        <v>0.28756944444444443</v>
      </c>
      <c r="F124">
        <v>1</v>
      </c>
      <c r="G124" t="s">
        <v>82</v>
      </c>
      <c r="H124">
        <v>46.833333333333329</v>
      </c>
      <c r="M124" t="s">
        <v>74</v>
      </c>
      <c r="N124" t="s">
        <v>80</v>
      </c>
    </row>
    <row r="125" spans="1:20" x14ac:dyDescent="0.25">
      <c r="A125" t="s">
        <v>210</v>
      </c>
      <c r="B125" s="4" t="s">
        <v>10</v>
      </c>
      <c r="C125" s="4" t="s">
        <v>73</v>
      </c>
      <c r="D125" s="4">
        <v>46139</v>
      </c>
      <c r="E125" s="5">
        <v>0.28756944444444443</v>
      </c>
      <c r="F125">
        <v>1</v>
      </c>
      <c r="G125" t="s">
        <v>82</v>
      </c>
      <c r="H125">
        <v>46.75</v>
      </c>
      <c r="M125" t="s">
        <v>74</v>
      </c>
      <c r="N125" t="s">
        <v>80</v>
      </c>
    </row>
    <row r="126" spans="1:20" x14ac:dyDescent="0.25">
      <c r="A126" t="s">
        <v>210</v>
      </c>
      <c r="B126" s="4" t="s">
        <v>10</v>
      </c>
      <c r="C126" s="4" t="s">
        <v>73</v>
      </c>
      <c r="D126" s="4">
        <v>46139</v>
      </c>
      <c r="E126" s="5">
        <v>0.28796296296296298</v>
      </c>
      <c r="F126">
        <v>1</v>
      </c>
      <c r="G126" t="s">
        <v>82</v>
      </c>
      <c r="H126">
        <v>47</v>
      </c>
      <c r="M126" t="s">
        <v>76</v>
      </c>
      <c r="N126" t="s">
        <v>80</v>
      </c>
    </row>
    <row r="127" spans="1:20" x14ac:dyDescent="0.25">
      <c r="A127" t="s">
        <v>211</v>
      </c>
      <c r="B127" s="4" t="s">
        <v>10</v>
      </c>
      <c r="C127" s="4" t="s">
        <v>70</v>
      </c>
      <c r="D127" s="4">
        <v>46139</v>
      </c>
      <c r="E127" s="5">
        <v>0.28865740740740736</v>
      </c>
      <c r="F127">
        <v>1</v>
      </c>
      <c r="G127" t="s">
        <v>82</v>
      </c>
      <c r="H127">
        <v>14.833333333333332</v>
      </c>
      <c r="L127" t="s">
        <v>212</v>
      </c>
      <c r="M127" t="s">
        <v>71</v>
      </c>
      <c r="N127" t="s">
        <v>80</v>
      </c>
      <c r="O127">
        <v>1</v>
      </c>
      <c r="R127">
        <v>1</v>
      </c>
      <c r="S127">
        <v>1</v>
      </c>
      <c r="T127">
        <v>11.166666666666666</v>
      </c>
    </row>
    <row r="128" spans="1:20" x14ac:dyDescent="0.25">
      <c r="A128" t="s">
        <v>212</v>
      </c>
      <c r="B128" s="4" t="s">
        <v>10</v>
      </c>
      <c r="C128" s="4" t="s">
        <v>73</v>
      </c>
      <c r="D128" s="4">
        <v>46139</v>
      </c>
      <c r="E128" s="5">
        <v>0.28865740740740736</v>
      </c>
      <c r="F128">
        <v>1</v>
      </c>
      <c r="G128" t="s">
        <v>82</v>
      </c>
      <c r="H128">
        <v>11.083333333333334</v>
      </c>
      <c r="M128" t="s">
        <v>79</v>
      </c>
      <c r="N128" t="s">
        <v>80</v>
      </c>
    </row>
    <row r="129" spans="1:21" x14ac:dyDescent="0.25">
      <c r="A129" t="s">
        <v>212</v>
      </c>
      <c r="B129" s="4" t="s">
        <v>10</v>
      </c>
      <c r="C129" s="4" t="s">
        <v>73</v>
      </c>
      <c r="D129" s="4">
        <v>46139</v>
      </c>
      <c r="E129" s="5">
        <v>0.28865740740740736</v>
      </c>
      <c r="F129">
        <v>1</v>
      </c>
      <c r="G129" t="s">
        <v>82</v>
      </c>
      <c r="H129">
        <v>11</v>
      </c>
      <c r="M129" t="s">
        <v>79</v>
      </c>
      <c r="N129" t="s">
        <v>80</v>
      </c>
    </row>
    <row r="130" spans="1:21" x14ac:dyDescent="0.25">
      <c r="A130" t="s">
        <v>212</v>
      </c>
      <c r="B130" s="4" t="s">
        <v>10</v>
      </c>
      <c r="C130" s="4" t="s">
        <v>73</v>
      </c>
      <c r="D130" s="4">
        <v>46139</v>
      </c>
      <c r="E130" s="5">
        <v>0.28880787037037037</v>
      </c>
      <c r="F130">
        <v>1</v>
      </c>
      <c r="G130" t="s">
        <v>82</v>
      </c>
      <c r="H130">
        <v>11.166666666666666</v>
      </c>
      <c r="L130" s="21"/>
      <c r="M130" t="s">
        <v>76</v>
      </c>
      <c r="N130" t="s">
        <v>80</v>
      </c>
    </row>
    <row r="131" spans="1:21" x14ac:dyDescent="0.25">
      <c r="A131" t="s">
        <v>213</v>
      </c>
      <c r="B131" s="4" t="s">
        <v>10</v>
      </c>
      <c r="C131" s="4" t="s">
        <v>70</v>
      </c>
      <c r="D131" s="4">
        <v>46139</v>
      </c>
      <c r="E131" s="5">
        <v>0.28944444444444445</v>
      </c>
      <c r="F131">
        <v>1</v>
      </c>
      <c r="G131" t="s">
        <v>82</v>
      </c>
      <c r="H131">
        <v>47</v>
      </c>
      <c r="L131" t="s">
        <v>214</v>
      </c>
      <c r="M131" t="s">
        <v>71</v>
      </c>
      <c r="N131" t="s">
        <v>75</v>
      </c>
      <c r="O131">
        <v>1</v>
      </c>
    </row>
    <row r="132" spans="1:21" x14ac:dyDescent="0.25">
      <c r="A132" t="s">
        <v>214</v>
      </c>
      <c r="B132" s="4" t="s">
        <v>10</v>
      </c>
      <c r="C132" s="4" t="s">
        <v>73</v>
      </c>
      <c r="D132" s="4">
        <v>46139</v>
      </c>
      <c r="E132" s="5">
        <v>0.28944444444444445</v>
      </c>
      <c r="F132">
        <v>1</v>
      </c>
      <c r="G132" t="s">
        <v>82</v>
      </c>
      <c r="H132">
        <v>272.91666666666669</v>
      </c>
      <c r="M132" t="s">
        <v>79</v>
      </c>
      <c r="N132" t="s">
        <v>75</v>
      </c>
    </row>
    <row r="133" spans="1:21" x14ac:dyDescent="0.25">
      <c r="A133" t="s">
        <v>214</v>
      </c>
      <c r="B133" s="4" t="s">
        <v>10</v>
      </c>
      <c r="C133" s="4" t="s">
        <v>73</v>
      </c>
      <c r="D133" s="4">
        <v>46139</v>
      </c>
      <c r="E133" s="5">
        <v>0.28944444444444445</v>
      </c>
      <c r="F133">
        <v>1</v>
      </c>
      <c r="G133" t="s">
        <v>82</v>
      </c>
      <c r="H133">
        <v>272.83333333333331</v>
      </c>
      <c r="M133" t="s">
        <v>79</v>
      </c>
      <c r="N133" t="s">
        <v>75</v>
      </c>
    </row>
    <row r="134" spans="1:21" x14ac:dyDescent="0.25">
      <c r="A134" t="s">
        <v>215</v>
      </c>
      <c r="B134" s="4" t="s">
        <v>10</v>
      </c>
      <c r="C134" s="4" t="s">
        <v>70</v>
      </c>
      <c r="D134" s="4">
        <v>46139</v>
      </c>
      <c r="E134" s="5">
        <v>0.28979166666666667</v>
      </c>
      <c r="F134">
        <v>1</v>
      </c>
      <c r="G134" t="s">
        <v>82</v>
      </c>
      <c r="H134">
        <v>19</v>
      </c>
      <c r="L134" t="s">
        <v>214</v>
      </c>
      <c r="M134" t="s">
        <v>71</v>
      </c>
      <c r="N134" t="s">
        <v>75</v>
      </c>
      <c r="P134">
        <v>1</v>
      </c>
      <c r="S134">
        <v>1</v>
      </c>
      <c r="T134">
        <v>253.75</v>
      </c>
    </row>
    <row r="135" spans="1:21" x14ac:dyDescent="0.25">
      <c r="A135" t="s">
        <v>214</v>
      </c>
      <c r="B135" s="4" t="s">
        <v>10</v>
      </c>
      <c r="C135" s="4" t="s">
        <v>73</v>
      </c>
      <c r="D135" s="4">
        <v>46139</v>
      </c>
      <c r="E135" s="5">
        <v>0.28979166666666667</v>
      </c>
      <c r="F135">
        <v>1</v>
      </c>
      <c r="G135" t="s">
        <v>82</v>
      </c>
      <c r="H135">
        <v>253.83333333333331</v>
      </c>
      <c r="M135" t="s">
        <v>79</v>
      </c>
      <c r="N135" t="s">
        <v>75</v>
      </c>
    </row>
    <row r="136" spans="1:21" x14ac:dyDescent="0.25">
      <c r="A136" t="s">
        <v>214</v>
      </c>
      <c r="B136" s="4" t="s">
        <v>10</v>
      </c>
      <c r="C136" s="4" t="s">
        <v>73</v>
      </c>
      <c r="D136" s="4">
        <v>46139</v>
      </c>
      <c r="E136" s="5">
        <v>0.28979166666666667</v>
      </c>
      <c r="F136">
        <v>1</v>
      </c>
      <c r="G136" t="s">
        <v>82</v>
      </c>
      <c r="H136">
        <v>253.75</v>
      </c>
      <c r="M136" t="s">
        <v>79</v>
      </c>
      <c r="N136" t="s">
        <v>75</v>
      </c>
    </row>
    <row r="137" spans="1:21" x14ac:dyDescent="0.25">
      <c r="A137" t="s">
        <v>214</v>
      </c>
      <c r="B137" s="4" t="s">
        <v>10</v>
      </c>
      <c r="C137" s="4" t="s">
        <v>73</v>
      </c>
      <c r="D137" s="4">
        <v>46139</v>
      </c>
      <c r="E137" s="5">
        <v>0.2898958333333333</v>
      </c>
      <c r="F137">
        <v>1</v>
      </c>
      <c r="G137" t="s">
        <v>82</v>
      </c>
      <c r="H137">
        <v>253.75</v>
      </c>
      <c r="M137" t="s">
        <v>76</v>
      </c>
      <c r="N137" t="s">
        <v>75</v>
      </c>
    </row>
    <row r="138" spans="1:21" x14ac:dyDescent="0.25">
      <c r="A138" t="s">
        <v>216</v>
      </c>
      <c r="B138" s="4" t="s">
        <v>10</v>
      </c>
      <c r="C138" s="4" t="s">
        <v>70</v>
      </c>
      <c r="D138" s="4">
        <v>46139</v>
      </c>
      <c r="E138" s="5">
        <v>0.29050925925925924</v>
      </c>
      <c r="F138">
        <v>1</v>
      </c>
      <c r="G138" t="s">
        <v>82</v>
      </c>
      <c r="H138">
        <v>29.5</v>
      </c>
      <c r="L138" t="s">
        <v>217</v>
      </c>
      <c r="M138" t="s">
        <v>71</v>
      </c>
      <c r="N138" t="s">
        <v>72</v>
      </c>
      <c r="O138">
        <v>1</v>
      </c>
      <c r="S138">
        <v>1</v>
      </c>
      <c r="T138">
        <v>232.75</v>
      </c>
    </row>
    <row r="139" spans="1:21" x14ac:dyDescent="0.25">
      <c r="A139" t="s">
        <v>217</v>
      </c>
      <c r="B139" s="4" t="s">
        <v>10</v>
      </c>
      <c r="C139" s="4" t="s">
        <v>73</v>
      </c>
      <c r="D139" s="4">
        <v>46139</v>
      </c>
      <c r="E139" s="5">
        <v>0.29050925925925924</v>
      </c>
      <c r="F139">
        <v>1</v>
      </c>
      <c r="G139" t="s">
        <v>82</v>
      </c>
      <c r="H139">
        <v>232.83333333333334</v>
      </c>
      <c r="M139" t="s">
        <v>74</v>
      </c>
      <c r="N139" t="s">
        <v>72</v>
      </c>
    </row>
    <row r="140" spans="1:21" x14ac:dyDescent="0.25">
      <c r="A140" t="s">
        <v>217</v>
      </c>
      <c r="B140" s="4" t="s">
        <v>10</v>
      </c>
      <c r="C140" s="4" t="s">
        <v>73</v>
      </c>
      <c r="D140" s="4">
        <v>46139</v>
      </c>
      <c r="E140" s="5">
        <v>0.29050925925925924</v>
      </c>
      <c r="F140">
        <v>1</v>
      </c>
      <c r="G140" t="s">
        <v>82</v>
      </c>
      <c r="H140">
        <v>232.75</v>
      </c>
      <c r="M140" t="s">
        <v>74</v>
      </c>
      <c r="N140" t="s">
        <v>72</v>
      </c>
    </row>
    <row r="141" spans="1:21" x14ac:dyDescent="0.25">
      <c r="A141" t="s">
        <v>217</v>
      </c>
      <c r="B141" s="4" t="s">
        <v>10</v>
      </c>
      <c r="C141" s="4" t="s">
        <v>73</v>
      </c>
      <c r="D141" s="4">
        <v>46139</v>
      </c>
      <c r="E141" s="5">
        <v>0.29059027777777779</v>
      </c>
      <c r="F141">
        <v>1</v>
      </c>
      <c r="G141" t="s">
        <v>82</v>
      </c>
      <c r="H141">
        <v>232.75</v>
      </c>
      <c r="M141" t="s">
        <v>76</v>
      </c>
      <c r="N141" t="s">
        <v>72</v>
      </c>
    </row>
    <row r="142" spans="1:21" x14ac:dyDescent="0.25">
      <c r="A142" t="s">
        <v>218</v>
      </c>
      <c r="B142" s="4" t="s">
        <v>10</v>
      </c>
      <c r="C142" s="4" t="s">
        <v>70</v>
      </c>
      <c r="D142" s="4">
        <v>46139</v>
      </c>
      <c r="E142" s="5">
        <v>0.29115740740740736</v>
      </c>
      <c r="F142">
        <v>1</v>
      </c>
      <c r="G142" t="s">
        <v>82</v>
      </c>
      <c r="H142">
        <v>13</v>
      </c>
      <c r="L142" t="s">
        <v>219</v>
      </c>
      <c r="M142" t="s">
        <v>71</v>
      </c>
      <c r="N142" t="s">
        <v>75</v>
      </c>
      <c r="O142">
        <v>1</v>
      </c>
      <c r="Q142">
        <v>1</v>
      </c>
      <c r="S142">
        <v>1</v>
      </c>
      <c r="U142">
        <v>4.9166666666666661</v>
      </c>
    </row>
    <row r="143" spans="1:21" x14ac:dyDescent="0.25">
      <c r="A143" t="s">
        <v>219</v>
      </c>
      <c r="B143" s="4" t="s">
        <v>10</v>
      </c>
      <c r="C143" s="4" t="s">
        <v>73</v>
      </c>
      <c r="D143" s="4">
        <v>46139</v>
      </c>
      <c r="E143" s="5">
        <v>0.29115740740740736</v>
      </c>
      <c r="F143">
        <v>1</v>
      </c>
      <c r="G143" t="s">
        <v>82</v>
      </c>
      <c r="H143">
        <v>4.9166666666666661</v>
      </c>
      <c r="M143" t="s">
        <v>79</v>
      </c>
      <c r="N143" t="s">
        <v>75</v>
      </c>
    </row>
    <row r="144" spans="1:21" x14ac:dyDescent="0.25">
      <c r="A144" t="s">
        <v>219</v>
      </c>
      <c r="B144" s="4" t="s">
        <v>10</v>
      </c>
      <c r="C144" s="4" t="s">
        <v>73</v>
      </c>
      <c r="D144" s="4">
        <v>46139</v>
      </c>
      <c r="E144" s="5">
        <v>0.29115740740740736</v>
      </c>
      <c r="F144">
        <v>1</v>
      </c>
      <c r="G144" t="s">
        <v>82</v>
      </c>
      <c r="H144">
        <v>0</v>
      </c>
      <c r="M144" t="s">
        <v>79</v>
      </c>
      <c r="N144" t="s">
        <v>75</v>
      </c>
    </row>
    <row r="145" spans="1:21" x14ac:dyDescent="0.25">
      <c r="A145" t="s">
        <v>220</v>
      </c>
      <c r="B145" s="4" t="s">
        <v>10</v>
      </c>
      <c r="C145" s="4" t="s">
        <v>70</v>
      </c>
      <c r="D145" s="4">
        <v>46139</v>
      </c>
      <c r="E145" s="5">
        <v>0.29173611111111108</v>
      </c>
      <c r="F145">
        <v>1</v>
      </c>
      <c r="G145" t="s">
        <v>82</v>
      </c>
      <c r="H145">
        <v>30.75</v>
      </c>
      <c r="L145" t="s">
        <v>221</v>
      </c>
      <c r="M145" t="s">
        <v>71</v>
      </c>
      <c r="N145" t="s">
        <v>75</v>
      </c>
      <c r="O145">
        <v>1</v>
      </c>
      <c r="S145">
        <v>1</v>
      </c>
      <c r="T145">
        <v>94.25</v>
      </c>
    </row>
    <row r="146" spans="1:21" x14ac:dyDescent="0.25">
      <c r="A146" t="s">
        <v>221</v>
      </c>
      <c r="B146" s="4" t="s">
        <v>10</v>
      </c>
      <c r="C146" s="4" t="s">
        <v>73</v>
      </c>
      <c r="D146" s="4">
        <v>46139</v>
      </c>
      <c r="E146" s="5">
        <v>0.29173611111111108</v>
      </c>
      <c r="F146">
        <v>1</v>
      </c>
      <c r="G146" t="s">
        <v>82</v>
      </c>
      <c r="H146">
        <v>94.333333333333329</v>
      </c>
      <c r="M146" t="s">
        <v>79</v>
      </c>
      <c r="N146" t="s">
        <v>75</v>
      </c>
    </row>
    <row r="147" spans="1:21" x14ac:dyDescent="0.25">
      <c r="A147" t="s">
        <v>221</v>
      </c>
      <c r="B147" s="4" t="s">
        <v>10</v>
      </c>
      <c r="C147" s="4" t="s">
        <v>73</v>
      </c>
      <c r="D147" s="4">
        <v>46139</v>
      </c>
      <c r="E147" s="5">
        <v>0.29173611111111108</v>
      </c>
      <c r="F147">
        <v>1</v>
      </c>
      <c r="G147" t="s">
        <v>82</v>
      </c>
      <c r="H147">
        <v>94.25</v>
      </c>
      <c r="M147" t="s">
        <v>79</v>
      </c>
      <c r="N147" t="s">
        <v>75</v>
      </c>
    </row>
    <row r="148" spans="1:21" x14ac:dyDescent="0.25">
      <c r="A148" t="s">
        <v>221</v>
      </c>
      <c r="B148" s="4" t="s">
        <v>10</v>
      </c>
      <c r="C148" s="4" t="s">
        <v>73</v>
      </c>
      <c r="D148" s="4">
        <v>46139</v>
      </c>
      <c r="E148" s="5">
        <v>0.291875</v>
      </c>
      <c r="F148">
        <v>1</v>
      </c>
      <c r="G148" t="s">
        <v>82</v>
      </c>
      <c r="H148">
        <v>94.25</v>
      </c>
      <c r="M148" t="s">
        <v>76</v>
      </c>
      <c r="N148" t="s">
        <v>75</v>
      </c>
    </row>
    <row r="149" spans="1:21" x14ac:dyDescent="0.25">
      <c r="A149" t="s">
        <v>224</v>
      </c>
      <c r="B149" s="4" t="s">
        <v>10</v>
      </c>
      <c r="C149" s="4" t="s">
        <v>70</v>
      </c>
      <c r="D149" s="4">
        <v>46139</v>
      </c>
      <c r="E149" s="5">
        <v>0.29253472222222221</v>
      </c>
      <c r="F149">
        <v>1</v>
      </c>
      <c r="G149" t="s">
        <v>82</v>
      </c>
      <c r="H149">
        <v>42</v>
      </c>
      <c r="L149" t="s">
        <v>225</v>
      </c>
      <c r="M149" t="s">
        <v>71</v>
      </c>
      <c r="N149" t="s">
        <v>72</v>
      </c>
      <c r="O149">
        <v>1</v>
      </c>
      <c r="R149">
        <v>1</v>
      </c>
      <c r="S149">
        <v>1</v>
      </c>
      <c r="T149">
        <v>23.416666666666664</v>
      </c>
    </row>
    <row r="150" spans="1:21" x14ac:dyDescent="0.25">
      <c r="A150" t="s">
        <v>225</v>
      </c>
      <c r="B150" s="4" t="s">
        <v>10</v>
      </c>
      <c r="C150" s="4" t="s">
        <v>73</v>
      </c>
      <c r="D150" s="4">
        <v>46139</v>
      </c>
      <c r="E150" s="5">
        <v>0.29253472222222221</v>
      </c>
      <c r="F150">
        <v>1</v>
      </c>
      <c r="G150" t="s">
        <v>82</v>
      </c>
      <c r="H150">
        <v>23.583333333333332</v>
      </c>
      <c r="M150" t="s">
        <v>79</v>
      </c>
      <c r="N150" t="s">
        <v>72</v>
      </c>
    </row>
    <row r="151" spans="1:21" x14ac:dyDescent="0.25">
      <c r="A151" t="s">
        <v>225</v>
      </c>
      <c r="B151" s="4" t="s">
        <v>10</v>
      </c>
      <c r="C151" s="4" t="s">
        <v>73</v>
      </c>
      <c r="D151" s="4">
        <v>46139</v>
      </c>
      <c r="E151" s="5">
        <v>0.29253472222222221</v>
      </c>
      <c r="F151">
        <v>1</v>
      </c>
      <c r="G151" t="s">
        <v>82</v>
      </c>
      <c r="H151">
        <v>23.5</v>
      </c>
      <c r="M151" t="s">
        <v>79</v>
      </c>
      <c r="N151" t="s">
        <v>72</v>
      </c>
    </row>
    <row r="152" spans="1:21" x14ac:dyDescent="0.25">
      <c r="A152" t="s">
        <v>225</v>
      </c>
      <c r="B152" s="4" t="s">
        <v>10</v>
      </c>
      <c r="C152" s="4" t="s">
        <v>73</v>
      </c>
      <c r="D152" s="4">
        <v>46139</v>
      </c>
      <c r="E152" s="5">
        <v>0.29281249999999998</v>
      </c>
      <c r="F152">
        <v>1</v>
      </c>
      <c r="G152" t="s">
        <v>82</v>
      </c>
      <c r="H152">
        <v>23.416666666666664</v>
      </c>
      <c r="M152" t="s">
        <v>76</v>
      </c>
      <c r="N152" t="s">
        <v>72</v>
      </c>
    </row>
    <row r="153" spans="1:21" x14ac:dyDescent="0.25">
      <c r="A153" t="s">
        <v>228</v>
      </c>
      <c r="B153" s="4" t="s">
        <v>10</v>
      </c>
      <c r="C153" s="4" t="s">
        <v>70</v>
      </c>
      <c r="D153" s="4">
        <v>46139</v>
      </c>
      <c r="E153" s="5">
        <v>0.2936111111111111</v>
      </c>
      <c r="F153">
        <v>1</v>
      </c>
      <c r="G153" t="s">
        <v>82</v>
      </c>
      <c r="H153">
        <v>27.25</v>
      </c>
      <c r="L153" t="s">
        <v>229</v>
      </c>
      <c r="M153" t="s">
        <v>71</v>
      </c>
      <c r="N153" t="s">
        <v>75</v>
      </c>
      <c r="O153">
        <v>1</v>
      </c>
    </row>
    <row r="154" spans="1:21" x14ac:dyDescent="0.25">
      <c r="A154" t="s">
        <v>229</v>
      </c>
      <c r="B154" s="4" t="s">
        <v>10</v>
      </c>
      <c r="C154" s="4" t="s">
        <v>73</v>
      </c>
      <c r="D154" s="4">
        <v>46139</v>
      </c>
      <c r="E154" s="5">
        <v>0.2936111111111111</v>
      </c>
      <c r="F154">
        <v>1</v>
      </c>
      <c r="G154" t="s">
        <v>82</v>
      </c>
      <c r="H154">
        <v>96.25</v>
      </c>
      <c r="M154" t="s">
        <v>79</v>
      </c>
      <c r="N154" t="s">
        <v>75</v>
      </c>
    </row>
    <row r="155" spans="1:21" x14ac:dyDescent="0.25">
      <c r="A155" t="s">
        <v>231</v>
      </c>
      <c r="B155" s="4" t="s">
        <v>10</v>
      </c>
      <c r="C155" s="4" t="s">
        <v>70</v>
      </c>
      <c r="D155" s="4">
        <v>46139</v>
      </c>
      <c r="E155" s="5">
        <v>0.29403935185185182</v>
      </c>
      <c r="F155">
        <v>1</v>
      </c>
      <c r="G155" t="s">
        <v>82</v>
      </c>
      <c r="H155">
        <v>73</v>
      </c>
      <c r="L155" t="s">
        <v>229</v>
      </c>
      <c r="M155" t="s">
        <v>71</v>
      </c>
      <c r="N155" t="s">
        <v>75</v>
      </c>
      <c r="P155">
        <v>1</v>
      </c>
    </row>
    <row r="156" spans="1:21" x14ac:dyDescent="0.25">
      <c r="A156" t="s">
        <v>229</v>
      </c>
      <c r="B156" s="4" t="s">
        <v>10</v>
      </c>
      <c r="C156" s="4" t="s">
        <v>73</v>
      </c>
      <c r="D156" s="4">
        <v>46139</v>
      </c>
      <c r="E156" s="5">
        <v>0.29403935185185182</v>
      </c>
      <c r="F156">
        <v>1</v>
      </c>
      <c r="G156" t="s">
        <v>82</v>
      </c>
      <c r="H156">
        <v>23.25</v>
      </c>
      <c r="M156" t="s">
        <v>79</v>
      </c>
      <c r="N156" t="s">
        <v>75</v>
      </c>
    </row>
    <row r="157" spans="1:21" x14ac:dyDescent="0.25">
      <c r="A157" t="s">
        <v>232</v>
      </c>
      <c r="B157" s="4" t="s">
        <v>10</v>
      </c>
      <c r="C157" s="4" t="s">
        <v>70</v>
      </c>
      <c r="D157" s="4">
        <v>46139</v>
      </c>
      <c r="E157" s="5">
        <v>0.29453703703703704</v>
      </c>
      <c r="F157">
        <v>1</v>
      </c>
      <c r="G157" t="s">
        <v>82</v>
      </c>
      <c r="H157">
        <v>22</v>
      </c>
      <c r="L157" t="s">
        <v>229</v>
      </c>
      <c r="M157" t="s">
        <v>71</v>
      </c>
      <c r="N157" t="s">
        <v>75</v>
      </c>
      <c r="P157">
        <v>1</v>
      </c>
      <c r="Q157">
        <v>1</v>
      </c>
      <c r="S157">
        <v>1</v>
      </c>
      <c r="U157">
        <v>1.25</v>
      </c>
    </row>
    <row r="158" spans="1:21" x14ac:dyDescent="0.25">
      <c r="A158" t="s">
        <v>229</v>
      </c>
      <c r="B158" s="4" t="s">
        <v>10</v>
      </c>
      <c r="C158" s="4" t="s">
        <v>73</v>
      </c>
      <c r="D158" s="4">
        <v>46139</v>
      </c>
      <c r="E158" s="5">
        <v>0.29453703703703704</v>
      </c>
      <c r="F158">
        <v>1</v>
      </c>
      <c r="G158" t="s">
        <v>82</v>
      </c>
      <c r="H158">
        <v>1.25</v>
      </c>
      <c r="M158" t="s">
        <v>79</v>
      </c>
      <c r="N158" t="s">
        <v>75</v>
      </c>
    </row>
    <row r="159" spans="1:21" x14ac:dyDescent="0.25">
      <c r="A159" t="s">
        <v>229</v>
      </c>
      <c r="B159" s="4" t="s">
        <v>10</v>
      </c>
      <c r="C159" s="4" t="s">
        <v>73</v>
      </c>
      <c r="D159" s="4">
        <v>46139</v>
      </c>
      <c r="E159" s="5">
        <v>0.29453703703703704</v>
      </c>
      <c r="F159">
        <v>1</v>
      </c>
      <c r="G159" t="s">
        <v>82</v>
      </c>
      <c r="H159">
        <v>0</v>
      </c>
      <c r="M159" t="s">
        <v>79</v>
      </c>
      <c r="N159" t="s">
        <v>75</v>
      </c>
    </row>
    <row r="160" spans="1:21" x14ac:dyDescent="0.25">
      <c r="A160" t="s">
        <v>233</v>
      </c>
      <c r="B160" s="4" t="s">
        <v>10</v>
      </c>
      <c r="C160" s="4" t="s">
        <v>70</v>
      </c>
      <c r="D160" s="4">
        <v>46139</v>
      </c>
      <c r="E160" s="5">
        <v>0.29543981481481479</v>
      </c>
      <c r="F160">
        <v>1</v>
      </c>
      <c r="G160" t="s">
        <v>82</v>
      </c>
      <c r="H160">
        <v>103.5</v>
      </c>
      <c r="L160" t="s">
        <v>234</v>
      </c>
      <c r="M160" t="s">
        <v>71</v>
      </c>
      <c r="N160" t="s">
        <v>75</v>
      </c>
      <c r="O160">
        <v>1</v>
      </c>
    </row>
    <row r="161" spans="1:21" x14ac:dyDescent="0.25">
      <c r="A161" t="s">
        <v>234</v>
      </c>
      <c r="B161" s="4" t="s">
        <v>10</v>
      </c>
      <c r="C161" s="4" t="s">
        <v>73</v>
      </c>
      <c r="D161" s="4">
        <v>46139</v>
      </c>
      <c r="E161" s="5">
        <v>0.29543981481481479</v>
      </c>
      <c r="F161">
        <v>1</v>
      </c>
      <c r="G161" t="s">
        <v>82</v>
      </c>
      <c r="H161">
        <v>49.083333333333336</v>
      </c>
      <c r="M161" t="s">
        <v>79</v>
      </c>
      <c r="N161" t="s">
        <v>75</v>
      </c>
    </row>
    <row r="162" spans="1:21" x14ac:dyDescent="0.25">
      <c r="A162" t="s">
        <v>237</v>
      </c>
      <c r="B162" s="4" t="s">
        <v>10</v>
      </c>
      <c r="C162" s="4" t="s">
        <v>70</v>
      </c>
      <c r="D162" s="4">
        <v>46139</v>
      </c>
      <c r="E162" s="5">
        <v>0.29677083333333332</v>
      </c>
      <c r="F162">
        <v>1</v>
      </c>
      <c r="G162" t="s">
        <v>82</v>
      </c>
      <c r="H162">
        <v>48</v>
      </c>
      <c r="L162" t="s">
        <v>234</v>
      </c>
      <c r="M162" t="s">
        <v>71</v>
      </c>
      <c r="N162" t="s">
        <v>75</v>
      </c>
      <c r="P162">
        <v>1</v>
      </c>
      <c r="Q162">
        <v>1</v>
      </c>
      <c r="S162">
        <v>1</v>
      </c>
      <c r="U162">
        <v>0.75</v>
      </c>
    </row>
    <row r="163" spans="1:21" x14ac:dyDescent="0.25">
      <c r="A163" t="s">
        <v>234</v>
      </c>
      <c r="B163" s="4" t="s">
        <v>10</v>
      </c>
      <c r="C163" s="4" t="s">
        <v>73</v>
      </c>
      <c r="D163" s="4">
        <v>46139</v>
      </c>
      <c r="E163" s="5">
        <v>0.29677083333333332</v>
      </c>
      <c r="F163">
        <v>1</v>
      </c>
      <c r="G163" t="s">
        <v>82</v>
      </c>
      <c r="H163">
        <v>1.0833333333333333</v>
      </c>
      <c r="M163" t="s">
        <v>79</v>
      </c>
      <c r="N163" t="s">
        <v>75</v>
      </c>
    </row>
    <row r="164" spans="1:21" x14ac:dyDescent="0.25">
      <c r="A164" t="s">
        <v>234</v>
      </c>
      <c r="B164" s="4" t="s">
        <v>10</v>
      </c>
      <c r="C164" s="4" t="s">
        <v>73</v>
      </c>
      <c r="D164" s="4">
        <v>46139</v>
      </c>
      <c r="E164" s="5">
        <v>0.29677083333333332</v>
      </c>
      <c r="F164">
        <v>1</v>
      </c>
      <c r="G164" t="s">
        <v>82</v>
      </c>
      <c r="H164">
        <v>0.75</v>
      </c>
      <c r="M164" t="s">
        <v>79</v>
      </c>
      <c r="N164" t="s">
        <v>75</v>
      </c>
    </row>
    <row r="165" spans="1:21" x14ac:dyDescent="0.25">
      <c r="A165" t="s">
        <v>234</v>
      </c>
      <c r="B165" s="4" t="s">
        <v>10</v>
      </c>
      <c r="C165" s="4" t="s">
        <v>73</v>
      </c>
      <c r="D165" s="4">
        <v>46139</v>
      </c>
      <c r="E165" s="5">
        <v>0.29677083333333332</v>
      </c>
      <c r="F165">
        <v>1</v>
      </c>
      <c r="G165" t="s">
        <v>82</v>
      </c>
      <c r="H165">
        <v>0</v>
      </c>
      <c r="M165" t="s">
        <v>79</v>
      </c>
      <c r="N165" t="s">
        <v>75</v>
      </c>
    </row>
    <row r="166" spans="1:21" x14ac:dyDescent="0.25">
      <c r="A166" t="s">
        <v>238</v>
      </c>
      <c r="B166" s="4" t="s">
        <v>10</v>
      </c>
      <c r="C166" s="4" t="s">
        <v>70</v>
      </c>
      <c r="D166" s="4">
        <v>46139</v>
      </c>
      <c r="E166" s="5">
        <v>0.2976388888888889</v>
      </c>
      <c r="F166">
        <v>1</v>
      </c>
      <c r="G166" t="s">
        <v>82</v>
      </c>
      <c r="H166">
        <v>10.5</v>
      </c>
      <c r="L166" t="s">
        <v>239</v>
      </c>
      <c r="M166" t="s">
        <v>71</v>
      </c>
      <c r="N166" t="s">
        <v>75</v>
      </c>
      <c r="O166">
        <v>1</v>
      </c>
      <c r="R166">
        <v>1</v>
      </c>
      <c r="S166">
        <v>1</v>
      </c>
      <c r="U166">
        <v>1.25</v>
      </c>
    </row>
    <row r="167" spans="1:21" x14ac:dyDescent="0.25">
      <c r="A167" t="s">
        <v>239</v>
      </c>
      <c r="B167" s="4" t="s">
        <v>10</v>
      </c>
      <c r="C167" s="4" t="s">
        <v>73</v>
      </c>
      <c r="D167" s="4">
        <v>46139</v>
      </c>
      <c r="E167" s="5">
        <v>0.2976388888888889</v>
      </c>
      <c r="F167">
        <v>1</v>
      </c>
      <c r="G167" t="s">
        <v>82</v>
      </c>
      <c r="H167">
        <v>5.916666666666667</v>
      </c>
      <c r="M167" t="s">
        <v>74</v>
      </c>
      <c r="N167" t="s">
        <v>75</v>
      </c>
    </row>
    <row r="168" spans="1:21" x14ac:dyDescent="0.25">
      <c r="A168" t="s">
        <v>239</v>
      </c>
      <c r="B168" s="4" t="s">
        <v>10</v>
      </c>
      <c r="C168" s="4" t="s">
        <v>73</v>
      </c>
      <c r="D168" s="4">
        <v>46139</v>
      </c>
      <c r="E168" s="5">
        <v>0.2976388888888889</v>
      </c>
      <c r="F168">
        <v>1</v>
      </c>
      <c r="G168" t="s">
        <v>82</v>
      </c>
      <c r="H168">
        <v>1.25</v>
      </c>
      <c r="M168" t="s">
        <v>74</v>
      </c>
      <c r="N168" t="s">
        <v>75</v>
      </c>
    </row>
    <row r="169" spans="1:21" x14ac:dyDescent="0.25">
      <c r="A169" t="s">
        <v>239</v>
      </c>
      <c r="B169" s="4" t="s">
        <v>10</v>
      </c>
      <c r="C169" s="4" t="s">
        <v>73</v>
      </c>
      <c r="D169" s="4">
        <v>46139</v>
      </c>
      <c r="E169" s="5">
        <v>0.2976388888888889</v>
      </c>
      <c r="F169">
        <v>1</v>
      </c>
      <c r="G169" t="s">
        <v>82</v>
      </c>
      <c r="H169">
        <v>0</v>
      </c>
      <c r="M169" t="s">
        <v>74</v>
      </c>
      <c r="N169" t="s">
        <v>75</v>
      </c>
    </row>
    <row r="170" spans="1:21" x14ac:dyDescent="0.25">
      <c r="A170" t="s">
        <v>241</v>
      </c>
      <c r="B170" s="4" t="s">
        <v>10</v>
      </c>
      <c r="C170" s="4" t="s">
        <v>70</v>
      </c>
      <c r="D170" s="4">
        <v>46139</v>
      </c>
      <c r="E170" s="5">
        <v>0.29824074074074075</v>
      </c>
      <c r="F170">
        <v>1</v>
      </c>
      <c r="G170" t="s">
        <v>82</v>
      </c>
      <c r="H170">
        <v>7</v>
      </c>
      <c r="L170" t="s">
        <v>242</v>
      </c>
      <c r="M170" t="s">
        <v>71</v>
      </c>
      <c r="N170" t="s">
        <v>75</v>
      </c>
      <c r="O170">
        <v>1</v>
      </c>
      <c r="S170">
        <v>1</v>
      </c>
      <c r="T170">
        <v>43.25</v>
      </c>
    </row>
    <row r="171" spans="1:21" x14ac:dyDescent="0.25">
      <c r="A171" t="s">
        <v>242</v>
      </c>
      <c r="B171" s="4" t="s">
        <v>10</v>
      </c>
      <c r="C171" s="4" t="s">
        <v>73</v>
      </c>
      <c r="D171" s="4">
        <v>46139</v>
      </c>
      <c r="E171" s="5">
        <v>0.29824074074074075</v>
      </c>
      <c r="F171">
        <v>1</v>
      </c>
      <c r="G171" t="s">
        <v>82</v>
      </c>
      <c r="H171">
        <v>43.25</v>
      </c>
      <c r="M171" t="s">
        <v>74</v>
      </c>
      <c r="N171" t="s">
        <v>75</v>
      </c>
    </row>
    <row r="172" spans="1:21" x14ac:dyDescent="0.25">
      <c r="A172" t="s">
        <v>242</v>
      </c>
      <c r="B172" s="4" t="s">
        <v>10</v>
      </c>
      <c r="C172" s="4" t="s">
        <v>73</v>
      </c>
      <c r="D172" s="4">
        <v>46139</v>
      </c>
      <c r="E172" s="5">
        <v>0.29856481481481478</v>
      </c>
      <c r="F172">
        <v>1</v>
      </c>
      <c r="G172" t="s">
        <v>82</v>
      </c>
      <c r="H172">
        <v>43.25</v>
      </c>
      <c r="M172" t="s">
        <v>76</v>
      </c>
      <c r="N172" t="s">
        <v>75</v>
      </c>
    </row>
    <row r="173" spans="1:21" x14ac:dyDescent="0.25">
      <c r="A173" t="s">
        <v>245</v>
      </c>
      <c r="B173" s="4" t="s">
        <v>10</v>
      </c>
      <c r="C173" s="4" t="s">
        <v>70</v>
      </c>
      <c r="D173" s="4">
        <v>46139</v>
      </c>
      <c r="E173" s="5">
        <v>0.2991550925925926</v>
      </c>
      <c r="F173">
        <v>1</v>
      </c>
      <c r="G173" t="s">
        <v>82</v>
      </c>
      <c r="H173">
        <v>28</v>
      </c>
      <c r="L173" t="s">
        <v>246</v>
      </c>
      <c r="M173" t="s">
        <v>71</v>
      </c>
      <c r="N173" t="s">
        <v>72</v>
      </c>
      <c r="O173">
        <v>1</v>
      </c>
      <c r="S173">
        <v>1</v>
      </c>
      <c r="T173">
        <v>79.416666666666657</v>
      </c>
    </row>
    <row r="174" spans="1:21" x14ac:dyDescent="0.25">
      <c r="A174" t="s">
        <v>246</v>
      </c>
      <c r="B174" s="4" t="s">
        <v>10</v>
      </c>
      <c r="C174" s="4" t="s">
        <v>73</v>
      </c>
      <c r="D174" s="4">
        <v>46139</v>
      </c>
      <c r="E174" s="5">
        <v>0.2991550925925926</v>
      </c>
      <c r="F174">
        <v>1</v>
      </c>
      <c r="G174" t="s">
        <v>82</v>
      </c>
      <c r="H174">
        <v>80.083333333333329</v>
      </c>
      <c r="M174" t="s">
        <v>79</v>
      </c>
      <c r="N174" t="s">
        <v>72</v>
      </c>
    </row>
    <row r="175" spans="1:21" x14ac:dyDescent="0.25">
      <c r="A175" t="s">
        <v>246</v>
      </c>
      <c r="B175" s="4" t="s">
        <v>10</v>
      </c>
      <c r="C175" s="4" t="s">
        <v>73</v>
      </c>
      <c r="D175" s="4">
        <v>46139</v>
      </c>
      <c r="E175" s="5">
        <v>0.2991550925925926</v>
      </c>
      <c r="F175">
        <v>1</v>
      </c>
      <c r="G175" t="s">
        <v>82</v>
      </c>
      <c r="H175">
        <v>80</v>
      </c>
      <c r="M175" t="s">
        <v>79</v>
      </c>
      <c r="N175" t="s">
        <v>72</v>
      </c>
    </row>
    <row r="176" spans="1:21" x14ac:dyDescent="0.25">
      <c r="A176" t="s">
        <v>246</v>
      </c>
      <c r="B176" s="4" t="s">
        <v>10</v>
      </c>
      <c r="C176" s="4" t="s">
        <v>73</v>
      </c>
      <c r="D176" s="4">
        <v>46139</v>
      </c>
      <c r="E176" s="5">
        <v>0.29944444444444446</v>
      </c>
      <c r="F176">
        <v>1</v>
      </c>
      <c r="G176" t="s">
        <v>82</v>
      </c>
      <c r="H176">
        <v>79.416666666666657</v>
      </c>
      <c r="M176" t="s">
        <v>76</v>
      </c>
      <c r="N176" t="s">
        <v>72</v>
      </c>
    </row>
    <row r="177" spans="1:21" x14ac:dyDescent="0.25">
      <c r="A177" t="s">
        <v>247</v>
      </c>
      <c r="B177" s="4" t="s">
        <v>10</v>
      </c>
      <c r="C177" s="4" t="s">
        <v>73</v>
      </c>
      <c r="D177" s="4">
        <v>46139</v>
      </c>
      <c r="E177" s="5">
        <v>0.30032407407407408</v>
      </c>
      <c r="F177">
        <v>1</v>
      </c>
      <c r="G177" t="s">
        <v>82</v>
      </c>
      <c r="H177">
        <v>22.166666666666668</v>
      </c>
      <c r="M177" t="s">
        <v>74</v>
      </c>
      <c r="N177" t="s">
        <v>72</v>
      </c>
    </row>
    <row r="178" spans="1:21" x14ac:dyDescent="0.25">
      <c r="A178" t="s">
        <v>250</v>
      </c>
      <c r="B178" s="4" t="s">
        <v>10</v>
      </c>
      <c r="C178" s="4" t="s">
        <v>70</v>
      </c>
      <c r="D178" s="4">
        <v>46139</v>
      </c>
      <c r="E178" s="5">
        <v>0.30078703703703702</v>
      </c>
      <c r="F178">
        <v>1</v>
      </c>
      <c r="G178" t="s">
        <v>82</v>
      </c>
      <c r="H178">
        <v>12.916666666666666</v>
      </c>
      <c r="L178" t="s">
        <v>247</v>
      </c>
      <c r="M178" t="s">
        <v>71</v>
      </c>
      <c r="N178" t="s">
        <v>72</v>
      </c>
      <c r="O178">
        <v>1</v>
      </c>
      <c r="R178">
        <v>1</v>
      </c>
      <c r="S178">
        <v>1</v>
      </c>
      <c r="T178">
        <v>9.25</v>
      </c>
    </row>
    <row r="179" spans="1:21" x14ac:dyDescent="0.25">
      <c r="A179" t="s">
        <v>247</v>
      </c>
      <c r="B179" s="4" t="s">
        <v>10</v>
      </c>
      <c r="C179" s="4" t="s">
        <v>73</v>
      </c>
      <c r="D179" s="4">
        <v>46139</v>
      </c>
      <c r="E179" s="5">
        <v>0.30078703703703702</v>
      </c>
      <c r="F179">
        <v>1</v>
      </c>
      <c r="G179" t="s">
        <v>82</v>
      </c>
      <c r="H179">
        <v>9.25</v>
      </c>
      <c r="M179" t="s">
        <v>74</v>
      </c>
      <c r="N179" t="s">
        <v>72</v>
      </c>
    </row>
    <row r="180" spans="1:21" x14ac:dyDescent="0.25">
      <c r="A180" t="s">
        <v>247</v>
      </c>
      <c r="B180" s="4" t="s">
        <v>10</v>
      </c>
      <c r="C180" s="4" t="s">
        <v>73</v>
      </c>
      <c r="D180" s="4">
        <v>46139</v>
      </c>
      <c r="E180" s="5">
        <v>0.30078703703703702</v>
      </c>
      <c r="F180">
        <v>1</v>
      </c>
      <c r="G180" t="s">
        <v>82</v>
      </c>
      <c r="H180">
        <v>9.1666666666666661</v>
      </c>
      <c r="M180" t="s">
        <v>74</v>
      </c>
      <c r="N180" t="s">
        <v>72</v>
      </c>
    </row>
    <row r="181" spans="1:21" x14ac:dyDescent="0.25">
      <c r="A181" t="s">
        <v>247</v>
      </c>
      <c r="B181" s="4" t="s">
        <v>10</v>
      </c>
      <c r="C181" s="4" t="s">
        <v>73</v>
      </c>
      <c r="D181" s="4">
        <v>46139</v>
      </c>
      <c r="E181" s="5">
        <v>0.30093749999999997</v>
      </c>
      <c r="F181">
        <v>1</v>
      </c>
      <c r="G181" t="s">
        <v>82</v>
      </c>
      <c r="H181">
        <v>9.25</v>
      </c>
      <c r="M181" t="s">
        <v>76</v>
      </c>
      <c r="N181" t="s">
        <v>72</v>
      </c>
    </row>
    <row r="182" spans="1:21" x14ac:dyDescent="0.25">
      <c r="A182" t="s">
        <v>251</v>
      </c>
      <c r="B182" s="4" t="s">
        <v>10</v>
      </c>
      <c r="C182" s="4" t="s">
        <v>70</v>
      </c>
      <c r="D182" s="4">
        <v>46139</v>
      </c>
      <c r="E182" s="5">
        <v>0.301724537037037</v>
      </c>
      <c r="F182">
        <v>1</v>
      </c>
      <c r="G182" t="s">
        <v>82</v>
      </c>
      <c r="H182">
        <v>44</v>
      </c>
      <c r="L182" t="s">
        <v>252</v>
      </c>
      <c r="M182" t="s">
        <v>71</v>
      </c>
      <c r="N182" t="s">
        <v>72</v>
      </c>
      <c r="O182">
        <v>1</v>
      </c>
      <c r="R182">
        <v>1</v>
      </c>
      <c r="S182">
        <v>1</v>
      </c>
      <c r="T182">
        <v>8.1666666666666661</v>
      </c>
    </row>
    <row r="183" spans="1:21" x14ac:dyDescent="0.25">
      <c r="A183" t="s">
        <v>252</v>
      </c>
      <c r="B183" s="4" t="s">
        <v>10</v>
      </c>
      <c r="C183" s="4" t="s">
        <v>73</v>
      </c>
      <c r="D183" s="4">
        <v>46139</v>
      </c>
      <c r="E183" s="5">
        <v>0.301724537037037</v>
      </c>
      <c r="F183">
        <v>1</v>
      </c>
      <c r="G183" t="s">
        <v>82</v>
      </c>
      <c r="H183">
        <v>8.4166666666666661</v>
      </c>
      <c r="M183" t="s">
        <v>79</v>
      </c>
      <c r="N183" t="s">
        <v>72</v>
      </c>
    </row>
    <row r="184" spans="1:21" x14ac:dyDescent="0.25">
      <c r="A184" t="s">
        <v>252</v>
      </c>
      <c r="B184" s="4" t="s">
        <v>10</v>
      </c>
      <c r="C184" s="4" t="s">
        <v>73</v>
      </c>
      <c r="D184" s="4">
        <v>46139</v>
      </c>
      <c r="E184" s="5">
        <v>0.301724537037037</v>
      </c>
      <c r="F184">
        <v>1</v>
      </c>
      <c r="G184" t="s">
        <v>82</v>
      </c>
      <c r="H184">
        <v>8.3333333333333339</v>
      </c>
      <c r="M184" t="s">
        <v>79</v>
      </c>
      <c r="N184" t="s">
        <v>72</v>
      </c>
    </row>
    <row r="185" spans="1:21" x14ac:dyDescent="0.25">
      <c r="A185" t="s">
        <v>252</v>
      </c>
      <c r="B185" s="4" t="s">
        <v>10</v>
      </c>
      <c r="C185" s="4" t="s">
        <v>73</v>
      </c>
      <c r="D185" s="4">
        <v>46139</v>
      </c>
      <c r="E185" s="5">
        <v>0.3019444444444444</v>
      </c>
      <c r="F185">
        <v>1</v>
      </c>
      <c r="G185" t="s">
        <v>82</v>
      </c>
      <c r="H185">
        <v>8.1666666666666661</v>
      </c>
      <c r="M185" t="s">
        <v>76</v>
      </c>
      <c r="N185" t="s">
        <v>72</v>
      </c>
    </row>
    <row r="186" spans="1:21" x14ac:dyDescent="0.25">
      <c r="A186" t="s">
        <v>255</v>
      </c>
      <c r="B186" s="4" t="s">
        <v>10</v>
      </c>
      <c r="C186" s="4" t="s">
        <v>70</v>
      </c>
      <c r="D186" s="4">
        <v>46139</v>
      </c>
      <c r="E186" s="5">
        <v>0.30251157407407409</v>
      </c>
      <c r="F186">
        <v>1</v>
      </c>
      <c r="G186" t="s">
        <v>82</v>
      </c>
      <c r="H186">
        <v>6.75</v>
      </c>
      <c r="L186" t="s">
        <v>256</v>
      </c>
      <c r="M186" t="s">
        <v>71</v>
      </c>
      <c r="N186" t="s">
        <v>72</v>
      </c>
      <c r="O186">
        <v>1</v>
      </c>
      <c r="Q186">
        <v>1</v>
      </c>
      <c r="S186">
        <v>1</v>
      </c>
      <c r="U186">
        <v>0.25</v>
      </c>
    </row>
    <row r="187" spans="1:21" x14ac:dyDescent="0.25">
      <c r="A187" t="s">
        <v>256</v>
      </c>
      <c r="B187" s="4" t="s">
        <v>10</v>
      </c>
      <c r="C187" s="4" t="s">
        <v>73</v>
      </c>
      <c r="D187" s="4">
        <v>46139</v>
      </c>
      <c r="E187" s="5">
        <v>0.30251157407407409</v>
      </c>
      <c r="F187">
        <v>1</v>
      </c>
      <c r="G187" t="s">
        <v>82</v>
      </c>
      <c r="H187">
        <v>0.25</v>
      </c>
      <c r="M187" t="s">
        <v>79</v>
      </c>
      <c r="N187" t="s">
        <v>72</v>
      </c>
    </row>
    <row r="188" spans="1:21" x14ac:dyDescent="0.25">
      <c r="A188" t="s">
        <v>256</v>
      </c>
      <c r="B188" s="4" t="s">
        <v>10</v>
      </c>
      <c r="C188" s="4" t="s">
        <v>73</v>
      </c>
      <c r="D188" s="4">
        <v>46139</v>
      </c>
      <c r="E188" s="5">
        <v>0.30251157407407409</v>
      </c>
      <c r="F188">
        <v>1</v>
      </c>
      <c r="G188" t="s">
        <v>82</v>
      </c>
      <c r="H188">
        <v>0</v>
      </c>
      <c r="M188" t="s">
        <v>79</v>
      </c>
      <c r="N188" t="s">
        <v>72</v>
      </c>
    </row>
    <row r="189" spans="1:21" x14ac:dyDescent="0.25">
      <c r="A189" t="s">
        <v>259</v>
      </c>
      <c r="B189" s="4" t="s">
        <v>10</v>
      </c>
      <c r="C189" s="4" t="s">
        <v>70</v>
      </c>
      <c r="D189" s="4">
        <v>46139</v>
      </c>
      <c r="E189" s="5">
        <v>0.30332175925925925</v>
      </c>
      <c r="F189">
        <v>1</v>
      </c>
      <c r="G189" t="s">
        <v>82</v>
      </c>
      <c r="H189">
        <v>57.25</v>
      </c>
      <c r="L189" t="s">
        <v>260</v>
      </c>
      <c r="M189" t="s">
        <v>71</v>
      </c>
      <c r="N189" t="s">
        <v>72</v>
      </c>
      <c r="O189">
        <v>1</v>
      </c>
    </row>
    <row r="190" spans="1:21" x14ac:dyDescent="0.25">
      <c r="A190" t="s">
        <v>260</v>
      </c>
      <c r="B190" s="4" t="s">
        <v>10</v>
      </c>
      <c r="C190" s="4" t="s">
        <v>73</v>
      </c>
      <c r="D190" s="4">
        <v>46139</v>
      </c>
      <c r="E190" s="5">
        <v>0.30332175925925925</v>
      </c>
      <c r="F190">
        <v>1</v>
      </c>
      <c r="G190" t="s">
        <v>82</v>
      </c>
      <c r="H190">
        <v>151.75</v>
      </c>
      <c r="M190" t="s">
        <v>79</v>
      </c>
      <c r="N190" t="s">
        <v>72</v>
      </c>
    </row>
    <row r="191" spans="1:21" x14ac:dyDescent="0.25">
      <c r="A191" t="s">
        <v>261</v>
      </c>
      <c r="B191" s="4" t="s">
        <v>10</v>
      </c>
      <c r="C191" s="4" t="s">
        <v>70</v>
      </c>
      <c r="D191" s="4">
        <v>46139</v>
      </c>
      <c r="E191" s="5">
        <v>0.30379629629629629</v>
      </c>
      <c r="F191">
        <v>1</v>
      </c>
      <c r="G191" t="s">
        <v>82</v>
      </c>
      <c r="H191">
        <v>123</v>
      </c>
      <c r="L191" t="s">
        <v>260</v>
      </c>
      <c r="M191" t="s">
        <v>71</v>
      </c>
      <c r="N191" t="s">
        <v>72</v>
      </c>
      <c r="P191">
        <v>1</v>
      </c>
    </row>
    <row r="192" spans="1:21" x14ac:dyDescent="0.25">
      <c r="A192" t="s">
        <v>260</v>
      </c>
      <c r="B192" s="4" t="s">
        <v>10</v>
      </c>
      <c r="C192" s="4" t="s">
        <v>73</v>
      </c>
      <c r="D192" s="4">
        <v>46139</v>
      </c>
      <c r="E192" s="5">
        <v>0.30379629629629629</v>
      </c>
      <c r="F192">
        <v>1</v>
      </c>
      <c r="G192" t="s">
        <v>82</v>
      </c>
      <c r="H192">
        <v>28.75</v>
      </c>
      <c r="M192" t="s">
        <v>79</v>
      </c>
      <c r="N192" t="s">
        <v>72</v>
      </c>
    </row>
    <row r="193" spans="1:21" x14ac:dyDescent="0.25">
      <c r="A193" t="s">
        <v>262</v>
      </c>
      <c r="B193" s="4" t="s">
        <v>10</v>
      </c>
      <c r="C193" s="4" t="s">
        <v>70</v>
      </c>
      <c r="D193" s="4">
        <v>46139</v>
      </c>
      <c r="E193" s="5">
        <v>0.30401620370370369</v>
      </c>
      <c r="F193">
        <v>1</v>
      </c>
      <c r="G193" t="s">
        <v>82</v>
      </c>
      <c r="H193">
        <v>26</v>
      </c>
      <c r="L193" t="s">
        <v>260</v>
      </c>
      <c r="M193" t="s">
        <v>71</v>
      </c>
      <c r="N193" t="s">
        <v>72</v>
      </c>
      <c r="P193">
        <v>1</v>
      </c>
      <c r="Q193">
        <v>1</v>
      </c>
      <c r="S193">
        <v>1</v>
      </c>
      <c r="U193">
        <v>1.3333333333333333</v>
      </c>
    </row>
    <row r="194" spans="1:21" x14ac:dyDescent="0.25">
      <c r="A194" t="s">
        <v>260</v>
      </c>
      <c r="B194" s="4" t="s">
        <v>10</v>
      </c>
      <c r="C194" s="4" t="s">
        <v>73</v>
      </c>
      <c r="D194" s="4">
        <v>46139</v>
      </c>
      <c r="E194" s="5">
        <v>0.30401620370370369</v>
      </c>
      <c r="F194">
        <v>1</v>
      </c>
      <c r="G194" t="s">
        <v>82</v>
      </c>
      <c r="H194">
        <v>2.75</v>
      </c>
      <c r="M194" t="s">
        <v>79</v>
      </c>
      <c r="N194" t="s">
        <v>72</v>
      </c>
    </row>
    <row r="195" spans="1:21" x14ac:dyDescent="0.25">
      <c r="A195" t="s">
        <v>260</v>
      </c>
      <c r="B195" s="4" t="s">
        <v>10</v>
      </c>
      <c r="C195" s="4" t="s">
        <v>73</v>
      </c>
      <c r="D195" s="4">
        <v>46139</v>
      </c>
      <c r="E195" s="5">
        <v>0.30402777777777773</v>
      </c>
      <c r="F195">
        <v>1</v>
      </c>
      <c r="G195" t="s">
        <v>82</v>
      </c>
      <c r="H195">
        <v>1.3333333333333333</v>
      </c>
      <c r="M195" t="s">
        <v>79</v>
      </c>
      <c r="N195" t="s">
        <v>72</v>
      </c>
    </row>
    <row r="196" spans="1:21" x14ac:dyDescent="0.25">
      <c r="A196" t="s">
        <v>260</v>
      </c>
      <c r="B196" s="4" t="s">
        <v>10</v>
      </c>
      <c r="C196" s="4" t="s">
        <v>73</v>
      </c>
      <c r="D196" s="4">
        <v>46139</v>
      </c>
      <c r="E196" s="5">
        <v>0.30402777777777773</v>
      </c>
      <c r="F196">
        <v>1</v>
      </c>
      <c r="G196" t="s">
        <v>82</v>
      </c>
      <c r="H196">
        <v>0</v>
      </c>
      <c r="M196" t="s">
        <v>79</v>
      </c>
      <c r="N196" t="s">
        <v>72</v>
      </c>
    </row>
    <row r="197" spans="1:21" x14ac:dyDescent="0.25">
      <c r="A197" t="s">
        <v>237</v>
      </c>
      <c r="B197" s="4" t="s">
        <v>10</v>
      </c>
      <c r="C197" s="4" t="s">
        <v>73</v>
      </c>
      <c r="D197" s="4">
        <v>46139</v>
      </c>
      <c r="E197" s="5">
        <v>0.30479166666666663</v>
      </c>
      <c r="F197">
        <v>1</v>
      </c>
      <c r="G197" t="s">
        <v>82</v>
      </c>
      <c r="H197">
        <v>48</v>
      </c>
      <c r="L197" t="s">
        <v>234</v>
      </c>
      <c r="M197" t="s">
        <v>76</v>
      </c>
      <c r="N197" t="s">
        <v>75</v>
      </c>
    </row>
    <row r="198" spans="1:21" x14ac:dyDescent="0.25">
      <c r="A198" t="s">
        <v>237</v>
      </c>
      <c r="B198" s="4" t="s">
        <v>10</v>
      </c>
      <c r="C198" s="4" t="s">
        <v>73</v>
      </c>
      <c r="D198" s="4">
        <v>46139</v>
      </c>
      <c r="E198" s="5">
        <v>0.30524305555555559</v>
      </c>
      <c r="F198">
        <v>1</v>
      </c>
      <c r="G198" t="s">
        <v>82</v>
      </c>
      <c r="H198">
        <v>9.25</v>
      </c>
      <c r="L198" t="s">
        <v>234</v>
      </c>
      <c r="M198" t="s">
        <v>76</v>
      </c>
      <c r="N198" t="s">
        <v>75</v>
      </c>
    </row>
    <row r="199" spans="1:21" x14ac:dyDescent="0.25">
      <c r="A199" t="s">
        <v>237</v>
      </c>
      <c r="B199" s="4" t="s">
        <v>10</v>
      </c>
      <c r="C199" s="4" t="s">
        <v>73</v>
      </c>
      <c r="D199" s="4">
        <v>46139</v>
      </c>
      <c r="E199" s="5">
        <v>0.30559027777777775</v>
      </c>
      <c r="F199">
        <v>1</v>
      </c>
      <c r="G199" t="s">
        <v>82</v>
      </c>
      <c r="H199">
        <v>38.916666666666664</v>
      </c>
      <c r="L199" t="s">
        <v>234</v>
      </c>
      <c r="M199" t="s">
        <v>71</v>
      </c>
      <c r="N199" t="s">
        <v>75</v>
      </c>
    </row>
    <row r="200" spans="1:21" x14ac:dyDescent="0.25">
      <c r="A200" t="s">
        <v>265</v>
      </c>
      <c r="B200" s="4" t="s">
        <v>10</v>
      </c>
      <c r="C200" s="4" t="s">
        <v>70</v>
      </c>
      <c r="D200" s="4">
        <v>46139</v>
      </c>
      <c r="E200" s="5">
        <v>0.30614583333333334</v>
      </c>
      <c r="F200">
        <v>1</v>
      </c>
      <c r="G200" t="s">
        <v>82</v>
      </c>
      <c r="H200">
        <v>21.25</v>
      </c>
      <c r="L200" t="s">
        <v>266</v>
      </c>
      <c r="M200" t="s">
        <v>71</v>
      </c>
      <c r="N200" t="s">
        <v>72</v>
      </c>
      <c r="O200">
        <v>1</v>
      </c>
      <c r="R200">
        <v>1</v>
      </c>
      <c r="S200">
        <v>1</v>
      </c>
      <c r="T200">
        <v>7.333333333333333</v>
      </c>
    </row>
    <row r="201" spans="1:21" x14ac:dyDescent="0.25">
      <c r="A201" t="s">
        <v>266</v>
      </c>
      <c r="B201" s="4" t="s">
        <v>10</v>
      </c>
      <c r="C201" s="4" t="s">
        <v>73</v>
      </c>
      <c r="D201" s="4">
        <v>46139</v>
      </c>
      <c r="E201" s="5">
        <v>0.30614583333333334</v>
      </c>
      <c r="F201">
        <v>1</v>
      </c>
      <c r="G201" t="s">
        <v>82</v>
      </c>
      <c r="H201">
        <v>7.333333333333333</v>
      </c>
      <c r="M201" t="s">
        <v>79</v>
      </c>
      <c r="N201" t="s">
        <v>72</v>
      </c>
    </row>
    <row r="202" spans="1:21" x14ac:dyDescent="0.25">
      <c r="A202" t="s">
        <v>266</v>
      </c>
      <c r="B202" s="4" t="s">
        <v>10</v>
      </c>
      <c r="C202" s="4" t="s">
        <v>73</v>
      </c>
      <c r="D202" s="4">
        <v>46139</v>
      </c>
      <c r="E202" s="5">
        <v>0.30633101851851852</v>
      </c>
      <c r="F202">
        <v>1</v>
      </c>
      <c r="G202" t="s">
        <v>82</v>
      </c>
      <c r="H202">
        <v>7.333333333333333</v>
      </c>
      <c r="M202" t="s">
        <v>76</v>
      </c>
      <c r="N202" t="s">
        <v>72</v>
      </c>
    </row>
    <row r="203" spans="1:21" x14ac:dyDescent="0.25">
      <c r="A203" t="s">
        <v>267</v>
      </c>
      <c r="B203" s="4" t="s">
        <v>10</v>
      </c>
      <c r="C203" s="4" t="s">
        <v>70</v>
      </c>
      <c r="D203" s="4">
        <v>46139</v>
      </c>
      <c r="E203" s="5">
        <v>0.30707175925925922</v>
      </c>
      <c r="F203">
        <v>1</v>
      </c>
      <c r="G203" t="s">
        <v>82</v>
      </c>
      <c r="H203">
        <v>37</v>
      </c>
      <c r="L203" t="s">
        <v>268</v>
      </c>
      <c r="M203" t="s">
        <v>71</v>
      </c>
      <c r="N203" t="s">
        <v>75</v>
      </c>
      <c r="O203">
        <v>1</v>
      </c>
      <c r="R203">
        <v>1</v>
      </c>
      <c r="S203">
        <v>1</v>
      </c>
      <c r="T203">
        <v>6.25</v>
      </c>
    </row>
    <row r="204" spans="1:21" x14ac:dyDescent="0.25">
      <c r="A204" t="s">
        <v>268</v>
      </c>
      <c r="B204" s="4" t="s">
        <v>10</v>
      </c>
      <c r="C204" s="4" t="s">
        <v>73</v>
      </c>
      <c r="D204" s="4">
        <v>46139</v>
      </c>
      <c r="E204" s="5">
        <v>0.30707175925925922</v>
      </c>
      <c r="F204">
        <v>1</v>
      </c>
      <c r="G204" t="s">
        <v>82</v>
      </c>
      <c r="H204">
        <v>6</v>
      </c>
      <c r="M204" t="s">
        <v>74</v>
      </c>
      <c r="N204" t="s">
        <v>75</v>
      </c>
    </row>
    <row r="205" spans="1:21" x14ac:dyDescent="0.25">
      <c r="A205" t="s">
        <v>268</v>
      </c>
      <c r="B205" s="4" t="s">
        <v>10</v>
      </c>
      <c r="C205" s="4" t="s">
        <v>73</v>
      </c>
      <c r="D205" s="4">
        <v>46139</v>
      </c>
      <c r="E205" s="5">
        <v>0.30707175925925922</v>
      </c>
      <c r="F205">
        <v>1</v>
      </c>
      <c r="G205" t="s">
        <v>82</v>
      </c>
      <c r="H205">
        <v>5.916666666666667</v>
      </c>
      <c r="M205" t="s">
        <v>74</v>
      </c>
      <c r="N205" t="s">
        <v>75</v>
      </c>
    </row>
    <row r="206" spans="1:21" x14ac:dyDescent="0.25">
      <c r="A206" t="s">
        <v>268</v>
      </c>
      <c r="B206" s="4" t="s">
        <v>10</v>
      </c>
      <c r="C206" s="4" t="s">
        <v>73</v>
      </c>
      <c r="D206" s="4">
        <v>46139</v>
      </c>
      <c r="E206" s="5">
        <v>0.30723379629629627</v>
      </c>
      <c r="F206">
        <v>1</v>
      </c>
      <c r="G206" t="s">
        <v>82</v>
      </c>
      <c r="H206">
        <v>6.25</v>
      </c>
      <c r="M206" t="s">
        <v>76</v>
      </c>
      <c r="N206" t="s">
        <v>75</v>
      </c>
    </row>
    <row r="207" spans="1:21" x14ac:dyDescent="0.25">
      <c r="A207" t="s">
        <v>271</v>
      </c>
      <c r="B207" s="4" t="s">
        <v>10</v>
      </c>
      <c r="C207" s="4" t="s">
        <v>70</v>
      </c>
      <c r="D207" s="4">
        <v>46139</v>
      </c>
      <c r="E207" s="5">
        <v>0.30770833333333331</v>
      </c>
      <c r="F207">
        <v>1</v>
      </c>
      <c r="G207" t="s">
        <v>82</v>
      </c>
      <c r="H207">
        <v>7</v>
      </c>
      <c r="L207" t="s">
        <v>272</v>
      </c>
      <c r="M207" t="s">
        <v>71</v>
      </c>
      <c r="N207" t="s">
        <v>75</v>
      </c>
      <c r="O207">
        <v>1</v>
      </c>
      <c r="S207">
        <v>1</v>
      </c>
      <c r="T207">
        <v>55.833333333333329</v>
      </c>
    </row>
    <row r="208" spans="1:21" x14ac:dyDescent="0.25">
      <c r="A208" t="s">
        <v>272</v>
      </c>
      <c r="B208" s="4" t="s">
        <v>10</v>
      </c>
      <c r="C208" s="4" t="s">
        <v>73</v>
      </c>
      <c r="D208" s="4">
        <v>46139</v>
      </c>
      <c r="E208" s="5">
        <v>0.30770833333333331</v>
      </c>
      <c r="F208">
        <v>1</v>
      </c>
      <c r="G208" t="s">
        <v>82</v>
      </c>
      <c r="H208">
        <v>56</v>
      </c>
      <c r="M208" t="s">
        <v>79</v>
      </c>
      <c r="N208" t="s">
        <v>75</v>
      </c>
    </row>
    <row r="209" spans="1:20" x14ac:dyDescent="0.25">
      <c r="A209" t="s">
        <v>272</v>
      </c>
      <c r="B209" s="4" t="s">
        <v>10</v>
      </c>
      <c r="C209" s="4" t="s">
        <v>73</v>
      </c>
      <c r="D209" s="4">
        <v>46139</v>
      </c>
      <c r="E209" s="5">
        <v>0.30803240740740739</v>
      </c>
      <c r="F209">
        <v>1</v>
      </c>
      <c r="G209" t="s">
        <v>82</v>
      </c>
      <c r="H209">
        <v>55.833333333333329</v>
      </c>
      <c r="M209" t="s">
        <v>76</v>
      </c>
      <c r="N209" t="s">
        <v>75</v>
      </c>
    </row>
    <row r="210" spans="1:20" x14ac:dyDescent="0.25">
      <c r="A210" t="s">
        <v>274</v>
      </c>
      <c r="B210" s="4" t="s">
        <v>10</v>
      </c>
      <c r="C210" s="4" t="s">
        <v>70</v>
      </c>
      <c r="D210" s="4">
        <v>46139</v>
      </c>
      <c r="E210" s="5">
        <v>0.30853009259259256</v>
      </c>
      <c r="F210">
        <v>1</v>
      </c>
      <c r="G210" t="s">
        <v>82</v>
      </c>
      <c r="H210">
        <v>7</v>
      </c>
      <c r="L210" t="s">
        <v>275</v>
      </c>
      <c r="M210" t="s">
        <v>71</v>
      </c>
      <c r="N210" t="s">
        <v>75</v>
      </c>
      <c r="O210">
        <v>1</v>
      </c>
      <c r="S210">
        <v>1</v>
      </c>
      <c r="T210">
        <v>53.833333333333336</v>
      </c>
    </row>
    <row r="211" spans="1:20" x14ac:dyDescent="0.25">
      <c r="A211" t="s">
        <v>275</v>
      </c>
      <c r="B211" s="4" t="s">
        <v>10</v>
      </c>
      <c r="C211" s="4" t="s">
        <v>73</v>
      </c>
      <c r="D211" s="4">
        <v>46139</v>
      </c>
      <c r="E211" s="5">
        <v>0.30853009259259256</v>
      </c>
      <c r="F211">
        <v>1</v>
      </c>
      <c r="G211" t="s">
        <v>82</v>
      </c>
      <c r="H211">
        <v>53.583333333333329</v>
      </c>
      <c r="M211" t="s">
        <v>74</v>
      </c>
      <c r="N211" t="s">
        <v>75</v>
      </c>
    </row>
    <row r="212" spans="1:20" x14ac:dyDescent="0.25">
      <c r="A212" t="s">
        <v>275</v>
      </c>
      <c r="B212" s="4" t="s">
        <v>10</v>
      </c>
      <c r="C212" s="4" t="s">
        <v>73</v>
      </c>
      <c r="D212" s="4">
        <v>46139</v>
      </c>
      <c r="E212" s="5">
        <v>0.30888888888888888</v>
      </c>
      <c r="F212">
        <v>1</v>
      </c>
      <c r="G212" t="s">
        <v>82</v>
      </c>
      <c r="H212">
        <v>53.833333333333336</v>
      </c>
      <c r="M212" t="s">
        <v>76</v>
      </c>
      <c r="N212" t="s">
        <v>75</v>
      </c>
    </row>
    <row r="213" spans="1:20" x14ac:dyDescent="0.25">
      <c r="A213" t="s">
        <v>278</v>
      </c>
      <c r="B213" s="4" t="s">
        <v>10</v>
      </c>
      <c r="C213" s="4" t="s">
        <v>70</v>
      </c>
      <c r="D213" s="4">
        <v>46139</v>
      </c>
      <c r="E213" s="5">
        <v>0.30974537037037037</v>
      </c>
      <c r="F213">
        <v>1</v>
      </c>
      <c r="G213" t="s">
        <v>82</v>
      </c>
      <c r="H213">
        <v>5</v>
      </c>
      <c r="L213" t="s">
        <v>279</v>
      </c>
      <c r="M213" t="s">
        <v>71</v>
      </c>
      <c r="N213" t="s">
        <v>75</v>
      </c>
      <c r="O213">
        <v>1</v>
      </c>
      <c r="R213">
        <v>1</v>
      </c>
      <c r="S213">
        <v>1</v>
      </c>
      <c r="T213">
        <v>5.583333333333333</v>
      </c>
    </row>
    <row r="214" spans="1:20" x14ac:dyDescent="0.25">
      <c r="A214" t="s">
        <v>279</v>
      </c>
      <c r="B214" s="4" t="s">
        <v>10</v>
      </c>
      <c r="C214" s="4" t="s">
        <v>73</v>
      </c>
      <c r="D214" s="4">
        <v>46139</v>
      </c>
      <c r="E214" s="5">
        <v>0.30974537037037037</v>
      </c>
      <c r="F214">
        <v>1</v>
      </c>
      <c r="G214" t="s">
        <v>82</v>
      </c>
      <c r="H214">
        <v>5.25</v>
      </c>
      <c r="M214" t="s">
        <v>79</v>
      </c>
      <c r="N214" t="s">
        <v>75</v>
      </c>
    </row>
    <row r="215" spans="1:20" x14ac:dyDescent="0.25">
      <c r="A215" t="s">
        <v>279</v>
      </c>
      <c r="B215" s="4" t="s">
        <v>10</v>
      </c>
      <c r="C215" s="4" t="s">
        <v>73</v>
      </c>
      <c r="D215" s="4">
        <v>46139</v>
      </c>
      <c r="E215" s="5">
        <v>0.30997685185185186</v>
      </c>
      <c r="F215">
        <v>1</v>
      </c>
      <c r="G215" t="s">
        <v>82</v>
      </c>
      <c r="H215">
        <v>5.583333333333333</v>
      </c>
      <c r="M215" t="s">
        <v>76</v>
      </c>
      <c r="N215" t="s">
        <v>75</v>
      </c>
    </row>
    <row r="216" spans="1:20" x14ac:dyDescent="0.25">
      <c r="A216" t="s">
        <v>280</v>
      </c>
      <c r="B216" s="4" t="s">
        <v>10</v>
      </c>
      <c r="C216" s="4" t="s">
        <v>70</v>
      </c>
      <c r="D216" s="4">
        <v>46139</v>
      </c>
      <c r="E216" s="5">
        <v>0.31103009259259257</v>
      </c>
      <c r="F216">
        <v>1</v>
      </c>
      <c r="G216" t="s">
        <v>82</v>
      </c>
      <c r="H216">
        <v>25.5</v>
      </c>
      <c r="L216" t="s">
        <v>281</v>
      </c>
      <c r="M216" t="s">
        <v>71</v>
      </c>
      <c r="N216" t="s">
        <v>75</v>
      </c>
      <c r="O216">
        <v>1</v>
      </c>
      <c r="S216">
        <v>1</v>
      </c>
      <c r="T216">
        <v>95.083333333333329</v>
      </c>
    </row>
    <row r="217" spans="1:20" x14ac:dyDescent="0.25">
      <c r="A217" t="s">
        <v>281</v>
      </c>
      <c r="B217" s="4" t="s">
        <v>10</v>
      </c>
      <c r="C217" s="4" t="s">
        <v>73</v>
      </c>
      <c r="D217" s="4">
        <v>46139</v>
      </c>
      <c r="E217" s="5">
        <v>0.31103009259259257</v>
      </c>
      <c r="F217">
        <v>1</v>
      </c>
      <c r="G217" t="s">
        <v>82</v>
      </c>
      <c r="H217">
        <v>95.166666666666657</v>
      </c>
      <c r="M217" t="s">
        <v>79</v>
      </c>
      <c r="N217" t="s">
        <v>75</v>
      </c>
    </row>
    <row r="218" spans="1:20" x14ac:dyDescent="0.25">
      <c r="A218" t="s">
        <v>281</v>
      </c>
      <c r="B218" s="4" t="s">
        <v>10</v>
      </c>
      <c r="C218" s="4" t="s">
        <v>73</v>
      </c>
      <c r="D218" s="4">
        <v>46139</v>
      </c>
      <c r="E218" s="5">
        <v>0.31103009259259257</v>
      </c>
      <c r="F218">
        <v>1</v>
      </c>
      <c r="G218" t="s">
        <v>82</v>
      </c>
      <c r="H218">
        <v>95.083333333333329</v>
      </c>
      <c r="M218" t="s">
        <v>79</v>
      </c>
      <c r="N218" t="s">
        <v>75</v>
      </c>
    </row>
    <row r="219" spans="1:20" x14ac:dyDescent="0.25">
      <c r="A219" t="s">
        <v>281</v>
      </c>
      <c r="B219" s="4" t="s">
        <v>10</v>
      </c>
      <c r="C219" s="4" t="s">
        <v>73</v>
      </c>
      <c r="D219" s="4">
        <v>46139</v>
      </c>
      <c r="E219" s="5">
        <v>0.31112268518518521</v>
      </c>
      <c r="F219">
        <v>1</v>
      </c>
      <c r="G219" t="s">
        <v>82</v>
      </c>
      <c r="H219">
        <v>95.083333333333329</v>
      </c>
      <c r="M219" t="s">
        <v>76</v>
      </c>
      <c r="N219" t="s">
        <v>75</v>
      </c>
    </row>
    <row r="220" spans="1:20" x14ac:dyDescent="0.25">
      <c r="A220" t="s">
        <v>284</v>
      </c>
      <c r="B220" s="4" t="s">
        <v>10</v>
      </c>
      <c r="C220" s="4" t="s">
        <v>73</v>
      </c>
      <c r="D220" s="4">
        <v>46139</v>
      </c>
      <c r="E220" s="5">
        <v>0.31166666666666665</v>
      </c>
      <c r="F220">
        <v>1</v>
      </c>
      <c r="G220" t="s">
        <v>82</v>
      </c>
      <c r="H220">
        <v>223.91666666666669</v>
      </c>
      <c r="M220" t="s">
        <v>79</v>
      </c>
      <c r="N220" t="s">
        <v>72</v>
      </c>
    </row>
    <row r="221" spans="1:20" x14ac:dyDescent="0.25">
      <c r="A221" t="s">
        <v>285</v>
      </c>
      <c r="B221" s="4" t="s">
        <v>10</v>
      </c>
      <c r="C221" s="4" t="s">
        <v>70</v>
      </c>
      <c r="D221" s="4">
        <v>46139</v>
      </c>
      <c r="E221" s="5">
        <v>0.31202546296296296</v>
      </c>
      <c r="F221">
        <v>1</v>
      </c>
      <c r="G221" t="s">
        <v>82</v>
      </c>
      <c r="H221">
        <v>60</v>
      </c>
      <c r="L221" t="s">
        <v>284</v>
      </c>
      <c r="M221" t="s">
        <v>71</v>
      </c>
      <c r="N221" t="s">
        <v>72</v>
      </c>
      <c r="O221">
        <v>1</v>
      </c>
      <c r="S221">
        <v>1</v>
      </c>
      <c r="T221">
        <v>163.83333333333331</v>
      </c>
    </row>
    <row r="222" spans="1:20" x14ac:dyDescent="0.25">
      <c r="A222" t="s">
        <v>284</v>
      </c>
      <c r="B222" s="4" t="s">
        <v>10</v>
      </c>
      <c r="C222" s="4" t="s">
        <v>73</v>
      </c>
      <c r="D222" s="4">
        <v>46139</v>
      </c>
      <c r="E222" s="5">
        <v>0.31202546296296296</v>
      </c>
      <c r="F222">
        <v>1</v>
      </c>
      <c r="G222" t="s">
        <v>82</v>
      </c>
      <c r="H222">
        <v>163.91666666666666</v>
      </c>
      <c r="M222" t="s">
        <v>79</v>
      </c>
      <c r="N222" t="s">
        <v>72</v>
      </c>
    </row>
    <row r="223" spans="1:20" x14ac:dyDescent="0.25">
      <c r="A223" t="s">
        <v>284</v>
      </c>
      <c r="B223" s="4" t="s">
        <v>10</v>
      </c>
      <c r="C223" s="4" t="s">
        <v>73</v>
      </c>
      <c r="D223" s="4">
        <v>46139</v>
      </c>
      <c r="E223" s="5">
        <v>0.31202546296296296</v>
      </c>
      <c r="F223">
        <v>1</v>
      </c>
      <c r="G223" t="s">
        <v>82</v>
      </c>
      <c r="H223">
        <v>163.83333333333331</v>
      </c>
      <c r="M223" t="s">
        <v>79</v>
      </c>
      <c r="N223" t="s">
        <v>72</v>
      </c>
    </row>
    <row r="224" spans="1:20" x14ac:dyDescent="0.25">
      <c r="A224" t="s">
        <v>284</v>
      </c>
      <c r="B224" s="4" t="s">
        <v>10</v>
      </c>
      <c r="C224" s="4" t="s">
        <v>73</v>
      </c>
      <c r="D224" s="4">
        <v>46139</v>
      </c>
      <c r="E224" s="5">
        <v>0.31212962962962959</v>
      </c>
      <c r="F224">
        <v>1</v>
      </c>
      <c r="G224" t="s">
        <v>82</v>
      </c>
      <c r="H224">
        <v>163.83333333333331</v>
      </c>
      <c r="M224" t="s">
        <v>76</v>
      </c>
      <c r="N224" t="s">
        <v>72</v>
      </c>
    </row>
    <row r="225" spans="1:21" x14ac:dyDescent="0.25">
      <c r="A225" t="s">
        <v>290</v>
      </c>
      <c r="B225" s="4" t="s">
        <v>10</v>
      </c>
      <c r="C225" s="4" t="s">
        <v>70</v>
      </c>
      <c r="D225" s="4">
        <v>46139</v>
      </c>
      <c r="E225" s="5">
        <v>0.31318287037037035</v>
      </c>
      <c r="F225">
        <v>1</v>
      </c>
      <c r="G225" t="s">
        <v>82</v>
      </c>
      <c r="H225">
        <v>60</v>
      </c>
      <c r="L225" t="s">
        <v>291</v>
      </c>
      <c r="M225" t="s">
        <v>71</v>
      </c>
      <c r="N225" t="s">
        <v>72</v>
      </c>
      <c r="O225">
        <v>1</v>
      </c>
      <c r="S225">
        <v>1</v>
      </c>
      <c r="T225">
        <v>105.91666666666666</v>
      </c>
    </row>
    <row r="226" spans="1:21" x14ac:dyDescent="0.25">
      <c r="A226" t="s">
        <v>291</v>
      </c>
      <c r="B226" s="4" t="s">
        <v>10</v>
      </c>
      <c r="C226" s="4" t="s">
        <v>73</v>
      </c>
      <c r="D226" s="4">
        <v>46139</v>
      </c>
      <c r="E226" s="5">
        <v>0.31318287037037035</v>
      </c>
      <c r="F226">
        <v>1</v>
      </c>
      <c r="G226" t="s">
        <v>82</v>
      </c>
      <c r="H226">
        <v>106</v>
      </c>
      <c r="M226" t="s">
        <v>79</v>
      </c>
      <c r="N226" t="s">
        <v>72</v>
      </c>
    </row>
    <row r="227" spans="1:21" x14ac:dyDescent="0.25">
      <c r="A227" t="s">
        <v>291</v>
      </c>
      <c r="B227" s="4" t="s">
        <v>10</v>
      </c>
      <c r="C227" s="4" t="s">
        <v>73</v>
      </c>
      <c r="D227" s="4">
        <v>46139</v>
      </c>
      <c r="E227" s="5">
        <v>0.31318287037037035</v>
      </c>
      <c r="F227">
        <v>1</v>
      </c>
      <c r="G227" t="s">
        <v>82</v>
      </c>
      <c r="H227">
        <v>105.91666666666666</v>
      </c>
      <c r="M227" t="s">
        <v>79</v>
      </c>
      <c r="N227" t="s">
        <v>72</v>
      </c>
    </row>
    <row r="228" spans="1:21" x14ac:dyDescent="0.25">
      <c r="A228" t="s">
        <v>291</v>
      </c>
      <c r="B228" s="4" t="s">
        <v>10</v>
      </c>
      <c r="C228" s="4" t="s">
        <v>73</v>
      </c>
      <c r="D228" s="4">
        <v>46139</v>
      </c>
      <c r="E228" s="5">
        <v>0.31327546296296294</v>
      </c>
      <c r="F228">
        <v>1</v>
      </c>
      <c r="G228" t="s">
        <v>82</v>
      </c>
      <c r="H228">
        <v>105.91666666666666</v>
      </c>
      <c r="M228" t="s">
        <v>76</v>
      </c>
      <c r="N228" t="s">
        <v>72</v>
      </c>
    </row>
    <row r="229" spans="1:21" x14ac:dyDescent="0.25">
      <c r="A229" t="s">
        <v>292</v>
      </c>
      <c r="B229" s="4" t="s">
        <v>10</v>
      </c>
      <c r="C229" s="4" t="s">
        <v>70</v>
      </c>
      <c r="D229" s="4">
        <v>46139</v>
      </c>
      <c r="E229" s="5">
        <v>0.31391203703703702</v>
      </c>
      <c r="F229">
        <v>1</v>
      </c>
      <c r="G229" t="s">
        <v>82</v>
      </c>
      <c r="H229">
        <v>86.25</v>
      </c>
      <c r="L229" t="s">
        <v>293</v>
      </c>
      <c r="M229" t="s">
        <v>71</v>
      </c>
      <c r="N229" t="s">
        <v>75</v>
      </c>
      <c r="O229">
        <v>1</v>
      </c>
      <c r="S229">
        <v>1</v>
      </c>
      <c r="T229">
        <v>169.66666666666666</v>
      </c>
    </row>
    <row r="230" spans="1:21" x14ac:dyDescent="0.25">
      <c r="A230" t="s">
        <v>293</v>
      </c>
      <c r="B230" s="4" t="s">
        <v>10</v>
      </c>
      <c r="C230" s="4" t="s">
        <v>73</v>
      </c>
      <c r="D230" s="4">
        <v>46139</v>
      </c>
      <c r="E230" s="5">
        <v>0.31392361111111111</v>
      </c>
      <c r="F230">
        <v>1</v>
      </c>
      <c r="G230" t="s">
        <v>82</v>
      </c>
      <c r="H230">
        <v>169.75</v>
      </c>
      <c r="L230" s="21"/>
      <c r="M230" t="s">
        <v>79</v>
      </c>
      <c r="N230" t="s">
        <v>75</v>
      </c>
    </row>
    <row r="231" spans="1:21" x14ac:dyDescent="0.25">
      <c r="A231" t="s">
        <v>293</v>
      </c>
      <c r="B231" s="4" t="s">
        <v>10</v>
      </c>
      <c r="C231" s="4" t="s">
        <v>73</v>
      </c>
      <c r="D231" s="4">
        <v>46139</v>
      </c>
      <c r="E231" s="5">
        <v>0.31392361111111111</v>
      </c>
      <c r="F231">
        <v>1</v>
      </c>
      <c r="G231" t="s">
        <v>82</v>
      </c>
      <c r="H231">
        <v>169.66666666666666</v>
      </c>
      <c r="M231" t="s">
        <v>79</v>
      </c>
      <c r="N231" t="s">
        <v>75</v>
      </c>
    </row>
    <row r="232" spans="1:21" x14ac:dyDescent="0.25">
      <c r="A232" t="s">
        <v>293</v>
      </c>
      <c r="B232" s="4" t="s">
        <v>10</v>
      </c>
      <c r="C232" s="4" t="s">
        <v>73</v>
      </c>
      <c r="D232" s="4">
        <v>46139</v>
      </c>
      <c r="E232" s="5">
        <v>0.31403935185185183</v>
      </c>
      <c r="F232">
        <v>1</v>
      </c>
      <c r="G232" t="s">
        <v>82</v>
      </c>
      <c r="H232">
        <v>169.66666666666666</v>
      </c>
      <c r="M232" t="s">
        <v>76</v>
      </c>
      <c r="N232" t="s">
        <v>75</v>
      </c>
    </row>
    <row r="233" spans="1:21" x14ac:dyDescent="0.25">
      <c r="A233" t="s">
        <v>296</v>
      </c>
      <c r="B233" s="4" t="s">
        <v>10</v>
      </c>
      <c r="C233" s="4" t="s">
        <v>73</v>
      </c>
      <c r="D233" s="4">
        <v>46139</v>
      </c>
      <c r="E233" s="5">
        <v>0.31466435185185182</v>
      </c>
      <c r="F233">
        <v>1</v>
      </c>
      <c r="G233" t="s">
        <v>82</v>
      </c>
      <c r="H233">
        <v>29.833333333333332</v>
      </c>
      <c r="M233" t="s">
        <v>79</v>
      </c>
      <c r="N233" t="s">
        <v>75</v>
      </c>
    </row>
    <row r="234" spans="1:21" x14ac:dyDescent="0.25">
      <c r="A234" t="s">
        <v>297</v>
      </c>
      <c r="B234" s="4" t="s">
        <v>10</v>
      </c>
      <c r="C234" s="4" t="s">
        <v>70</v>
      </c>
      <c r="D234" s="4">
        <v>46139</v>
      </c>
      <c r="E234" s="5">
        <v>0.31497685185185181</v>
      </c>
      <c r="F234">
        <v>1</v>
      </c>
      <c r="G234" t="s">
        <v>82</v>
      </c>
      <c r="H234">
        <v>26.916666666666668</v>
      </c>
      <c r="L234" t="s">
        <v>296</v>
      </c>
      <c r="M234" t="s">
        <v>71</v>
      </c>
      <c r="N234" t="s">
        <v>75</v>
      </c>
      <c r="O234">
        <v>1</v>
      </c>
      <c r="Q234">
        <v>1</v>
      </c>
      <c r="S234">
        <v>1</v>
      </c>
      <c r="U234">
        <v>0.16666666666666666</v>
      </c>
    </row>
    <row r="235" spans="1:21" x14ac:dyDescent="0.25">
      <c r="A235" t="s">
        <v>296</v>
      </c>
      <c r="B235" s="4" t="s">
        <v>10</v>
      </c>
      <c r="C235" s="4" t="s">
        <v>73</v>
      </c>
      <c r="D235" s="4">
        <v>46139</v>
      </c>
      <c r="E235" s="5">
        <v>0.31497685185185181</v>
      </c>
      <c r="F235">
        <v>1</v>
      </c>
      <c r="G235" t="s">
        <v>82</v>
      </c>
      <c r="H235">
        <v>2.9166666666666665</v>
      </c>
      <c r="M235" t="s">
        <v>79</v>
      </c>
      <c r="N235" t="s">
        <v>75</v>
      </c>
    </row>
    <row r="236" spans="1:21" x14ac:dyDescent="0.25">
      <c r="A236" t="s">
        <v>296</v>
      </c>
      <c r="B236" s="4" t="s">
        <v>10</v>
      </c>
      <c r="C236" s="4" t="s">
        <v>73</v>
      </c>
      <c r="D236" s="4">
        <v>46139</v>
      </c>
      <c r="E236" s="5">
        <v>0.31497685185185181</v>
      </c>
      <c r="F236">
        <v>1</v>
      </c>
      <c r="G236" t="s">
        <v>82</v>
      </c>
      <c r="H236">
        <v>0.16666666666666666</v>
      </c>
      <c r="M236" t="s">
        <v>79</v>
      </c>
      <c r="N236" t="s">
        <v>75</v>
      </c>
    </row>
    <row r="237" spans="1:21" x14ac:dyDescent="0.25">
      <c r="A237" t="s">
        <v>296</v>
      </c>
      <c r="B237" s="4" t="s">
        <v>10</v>
      </c>
      <c r="C237" s="4" t="s">
        <v>73</v>
      </c>
      <c r="D237" s="4">
        <v>46139</v>
      </c>
      <c r="E237" s="5">
        <v>0.31497685185185181</v>
      </c>
      <c r="F237">
        <v>1</v>
      </c>
      <c r="G237" t="s">
        <v>82</v>
      </c>
      <c r="H237">
        <v>0</v>
      </c>
      <c r="M237" t="s">
        <v>79</v>
      </c>
      <c r="N237" t="s">
        <v>75</v>
      </c>
    </row>
    <row r="238" spans="1:21" x14ac:dyDescent="0.25">
      <c r="A238" t="s">
        <v>298</v>
      </c>
      <c r="B238" s="4" t="s">
        <v>10</v>
      </c>
      <c r="C238" s="4" t="s">
        <v>73</v>
      </c>
      <c r="D238" s="4">
        <v>46139</v>
      </c>
      <c r="E238" s="5">
        <v>0.31563657407407408</v>
      </c>
      <c r="F238">
        <v>1</v>
      </c>
      <c r="G238" t="s">
        <v>82</v>
      </c>
      <c r="H238">
        <v>18.5</v>
      </c>
      <c r="M238" t="s">
        <v>74</v>
      </c>
      <c r="N238" t="s">
        <v>77</v>
      </c>
    </row>
    <row r="239" spans="1:21" x14ac:dyDescent="0.25">
      <c r="A239" t="s">
        <v>299</v>
      </c>
      <c r="B239" s="4" t="s">
        <v>10</v>
      </c>
      <c r="C239" s="4" t="s">
        <v>70</v>
      </c>
      <c r="D239" s="4">
        <v>46139</v>
      </c>
      <c r="E239" s="5">
        <v>0.31623842592592594</v>
      </c>
      <c r="F239">
        <v>1</v>
      </c>
      <c r="G239" t="s">
        <v>82</v>
      </c>
      <c r="H239">
        <v>16.25</v>
      </c>
      <c r="L239" t="s">
        <v>298</v>
      </c>
      <c r="M239" t="s">
        <v>71</v>
      </c>
      <c r="N239" t="s">
        <v>77</v>
      </c>
      <c r="O239">
        <v>1</v>
      </c>
      <c r="Q239">
        <v>1</v>
      </c>
      <c r="S239">
        <v>1</v>
      </c>
      <c r="U239">
        <v>0.33333333333333331</v>
      </c>
    </row>
    <row r="240" spans="1:21" x14ac:dyDescent="0.25">
      <c r="A240" t="s">
        <v>298</v>
      </c>
      <c r="B240" s="4" t="s">
        <v>10</v>
      </c>
      <c r="C240" s="4" t="s">
        <v>73</v>
      </c>
      <c r="D240" s="4">
        <v>46139</v>
      </c>
      <c r="E240" s="5">
        <v>0.31623842592592594</v>
      </c>
      <c r="F240">
        <v>1</v>
      </c>
      <c r="G240" t="s">
        <v>82</v>
      </c>
      <c r="H240">
        <v>2.25</v>
      </c>
      <c r="M240" t="s">
        <v>74</v>
      </c>
      <c r="N240" t="s">
        <v>77</v>
      </c>
    </row>
    <row r="241" spans="1:20" x14ac:dyDescent="0.25">
      <c r="A241" t="s">
        <v>298</v>
      </c>
      <c r="B241" s="4" t="s">
        <v>10</v>
      </c>
      <c r="C241" s="4" t="s">
        <v>73</v>
      </c>
      <c r="D241" s="4">
        <v>46139</v>
      </c>
      <c r="E241" s="5">
        <v>0.31623842592592594</v>
      </c>
      <c r="F241">
        <v>1</v>
      </c>
      <c r="G241" t="s">
        <v>82</v>
      </c>
      <c r="H241">
        <v>0.33333333333333331</v>
      </c>
      <c r="M241" t="s">
        <v>74</v>
      </c>
      <c r="N241" t="s">
        <v>77</v>
      </c>
    </row>
    <row r="242" spans="1:20" x14ac:dyDescent="0.25">
      <c r="A242" t="s">
        <v>298</v>
      </c>
      <c r="B242" s="4" t="s">
        <v>10</v>
      </c>
      <c r="C242" s="4" t="s">
        <v>73</v>
      </c>
      <c r="D242" s="4">
        <v>46139</v>
      </c>
      <c r="E242" s="5">
        <v>0.31623842592592594</v>
      </c>
      <c r="F242">
        <v>1</v>
      </c>
      <c r="G242" t="s">
        <v>82</v>
      </c>
      <c r="H242">
        <v>0</v>
      </c>
      <c r="M242" t="s">
        <v>74</v>
      </c>
      <c r="N242" t="s">
        <v>77</v>
      </c>
    </row>
    <row r="243" spans="1:20" x14ac:dyDescent="0.25">
      <c r="A243" t="s">
        <v>300</v>
      </c>
      <c r="B243" s="4" t="s">
        <v>10</v>
      </c>
      <c r="C243" s="4" t="s">
        <v>70</v>
      </c>
      <c r="D243" s="4">
        <v>46139</v>
      </c>
      <c r="E243" s="5">
        <v>0.31694444444444442</v>
      </c>
      <c r="F243">
        <v>1</v>
      </c>
      <c r="G243" t="s">
        <v>82</v>
      </c>
      <c r="H243">
        <v>17</v>
      </c>
      <c r="L243" t="s">
        <v>301</v>
      </c>
      <c r="M243" t="s">
        <v>71</v>
      </c>
      <c r="N243" t="s">
        <v>77</v>
      </c>
      <c r="O243">
        <v>1</v>
      </c>
      <c r="S243">
        <v>1</v>
      </c>
      <c r="T243">
        <v>40.75</v>
      </c>
    </row>
    <row r="244" spans="1:20" x14ac:dyDescent="0.25">
      <c r="A244" t="s">
        <v>301</v>
      </c>
      <c r="B244" s="4" t="s">
        <v>10</v>
      </c>
      <c r="C244" s="4" t="s">
        <v>73</v>
      </c>
      <c r="D244" s="4">
        <v>46139</v>
      </c>
      <c r="E244" s="5">
        <v>0.31694444444444442</v>
      </c>
      <c r="F244">
        <v>1</v>
      </c>
      <c r="G244" t="s">
        <v>82</v>
      </c>
      <c r="H244">
        <v>40.75</v>
      </c>
      <c r="M244" t="s">
        <v>74</v>
      </c>
      <c r="N244" t="s">
        <v>77</v>
      </c>
    </row>
    <row r="245" spans="1:20" x14ac:dyDescent="0.25">
      <c r="A245" t="s">
        <v>301</v>
      </c>
      <c r="B245" s="4" t="s">
        <v>10</v>
      </c>
      <c r="C245" s="4" t="s">
        <v>73</v>
      </c>
      <c r="D245" s="4">
        <v>46139</v>
      </c>
      <c r="E245" s="5">
        <v>0.31694444444444442</v>
      </c>
      <c r="F245">
        <v>1</v>
      </c>
      <c r="G245" t="s">
        <v>82</v>
      </c>
      <c r="H245">
        <v>40.666666666666664</v>
      </c>
      <c r="M245" t="s">
        <v>74</v>
      </c>
      <c r="N245" t="s">
        <v>77</v>
      </c>
    </row>
    <row r="246" spans="1:20" x14ac:dyDescent="0.25">
      <c r="A246" t="s">
        <v>301</v>
      </c>
      <c r="B246" s="4" t="s">
        <v>10</v>
      </c>
      <c r="C246" s="4" t="s">
        <v>73</v>
      </c>
      <c r="D246" s="4">
        <v>46139</v>
      </c>
      <c r="E246" s="5">
        <v>0.31718749999999996</v>
      </c>
      <c r="F246">
        <v>1</v>
      </c>
      <c r="G246" t="s">
        <v>82</v>
      </c>
      <c r="H246">
        <v>40.75</v>
      </c>
      <c r="M246" t="s">
        <v>76</v>
      </c>
      <c r="N246" t="s">
        <v>77</v>
      </c>
    </row>
    <row r="247" spans="1:20" x14ac:dyDescent="0.25">
      <c r="A247" t="s">
        <v>306</v>
      </c>
      <c r="B247" s="4" t="s">
        <v>10</v>
      </c>
      <c r="C247" s="4" t="s">
        <v>70</v>
      </c>
      <c r="D247" s="4">
        <v>46139</v>
      </c>
      <c r="E247" s="5">
        <v>0.3180324074074074</v>
      </c>
      <c r="F247">
        <v>1</v>
      </c>
      <c r="G247" t="s">
        <v>82</v>
      </c>
      <c r="H247">
        <v>84</v>
      </c>
      <c r="L247" t="s">
        <v>307</v>
      </c>
      <c r="M247" t="s">
        <v>71</v>
      </c>
      <c r="N247" t="s">
        <v>75</v>
      </c>
      <c r="O247">
        <v>1</v>
      </c>
      <c r="R247">
        <v>1</v>
      </c>
      <c r="S247">
        <v>1</v>
      </c>
      <c r="T247">
        <v>19.416666666666668</v>
      </c>
    </row>
    <row r="248" spans="1:20" x14ac:dyDescent="0.25">
      <c r="A248" t="s">
        <v>307</v>
      </c>
      <c r="B248" s="4" t="s">
        <v>10</v>
      </c>
      <c r="C248" s="4" t="s">
        <v>73</v>
      </c>
      <c r="D248" s="4">
        <v>46139</v>
      </c>
      <c r="E248" s="5">
        <v>0.3180324074074074</v>
      </c>
      <c r="F248">
        <v>1</v>
      </c>
      <c r="G248" t="s">
        <v>82</v>
      </c>
      <c r="H248">
        <v>21.416666666666664</v>
      </c>
      <c r="M248" t="s">
        <v>74</v>
      </c>
      <c r="N248" t="s">
        <v>75</v>
      </c>
    </row>
    <row r="249" spans="1:20" x14ac:dyDescent="0.25">
      <c r="A249" t="s">
        <v>307</v>
      </c>
      <c r="B249" s="4" t="s">
        <v>10</v>
      </c>
      <c r="C249" s="4" t="s">
        <v>73</v>
      </c>
      <c r="D249" s="4">
        <v>46139</v>
      </c>
      <c r="E249" s="5">
        <v>0.3180324074074074</v>
      </c>
      <c r="F249">
        <v>1</v>
      </c>
      <c r="G249" t="s">
        <v>82</v>
      </c>
      <c r="H249">
        <v>21.333333333333332</v>
      </c>
      <c r="M249" t="s">
        <v>74</v>
      </c>
      <c r="N249" t="s">
        <v>75</v>
      </c>
    </row>
    <row r="250" spans="1:20" x14ac:dyDescent="0.25">
      <c r="A250" t="s">
        <v>307</v>
      </c>
      <c r="B250" s="4" t="s">
        <v>10</v>
      </c>
      <c r="C250" s="4" t="s">
        <v>73</v>
      </c>
      <c r="D250" s="4">
        <v>46139</v>
      </c>
      <c r="E250" s="5">
        <v>0.31824074074074071</v>
      </c>
      <c r="F250">
        <v>1</v>
      </c>
      <c r="G250" t="s">
        <v>82</v>
      </c>
      <c r="H250">
        <v>19.416666666666668</v>
      </c>
      <c r="M250" t="s">
        <v>76</v>
      </c>
      <c r="N250" t="s">
        <v>75</v>
      </c>
    </row>
    <row r="251" spans="1:20" x14ac:dyDescent="0.25">
      <c r="A251" t="s">
        <v>308</v>
      </c>
      <c r="B251" s="4" t="s">
        <v>10</v>
      </c>
      <c r="C251" s="4" t="s">
        <v>70</v>
      </c>
      <c r="D251" s="4">
        <v>46139</v>
      </c>
      <c r="E251" s="5">
        <v>0.31900462962962961</v>
      </c>
      <c r="F251">
        <v>1</v>
      </c>
      <c r="G251" t="s">
        <v>82</v>
      </c>
      <c r="H251">
        <v>105</v>
      </c>
      <c r="L251" t="s">
        <v>309</v>
      </c>
      <c r="M251" t="s">
        <v>71</v>
      </c>
      <c r="N251" t="s">
        <v>75</v>
      </c>
      <c r="O251">
        <v>1</v>
      </c>
      <c r="S251">
        <v>1</v>
      </c>
      <c r="T251">
        <v>117.66666666666667</v>
      </c>
    </row>
    <row r="252" spans="1:20" x14ac:dyDescent="0.25">
      <c r="A252" t="s">
        <v>309</v>
      </c>
      <c r="B252" s="4" t="s">
        <v>10</v>
      </c>
      <c r="C252" s="4" t="s">
        <v>73</v>
      </c>
      <c r="D252" s="4">
        <v>46139</v>
      </c>
      <c r="E252" s="5">
        <v>0.31900462962962961</v>
      </c>
      <c r="F252">
        <v>1</v>
      </c>
      <c r="G252" t="s">
        <v>82</v>
      </c>
      <c r="H252">
        <v>117.75</v>
      </c>
      <c r="M252" t="s">
        <v>79</v>
      </c>
      <c r="N252" t="s">
        <v>75</v>
      </c>
    </row>
    <row r="253" spans="1:20" x14ac:dyDescent="0.25">
      <c r="A253" t="s">
        <v>309</v>
      </c>
      <c r="B253" s="4" t="s">
        <v>10</v>
      </c>
      <c r="C253" s="4" t="s">
        <v>73</v>
      </c>
      <c r="D253" s="4">
        <v>46139</v>
      </c>
      <c r="E253" s="5">
        <v>0.31900462962962961</v>
      </c>
      <c r="F253">
        <v>1</v>
      </c>
      <c r="G253" t="s">
        <v>82</v>
      </c>
      <c r="H253">
        <v>117.66666666666667</v>
      </c>
      <c r="M253" t="s">
        <v>79</v>
      </c>
      <c r="N253" t="s">
        <v>75</v>
      </c>
    </row>
    <row r="254" spans="1:20" x14ac:dyDescent="0.25">
      <c r="A254" t="s">
        <v>309</v>
      </c>
      <c r="B254" s="4" t="s">
        <v>10</v>
      </c>
      <c r="C254" s="4" t="s">
        <v>73</v>
      </c>
      <c r="D254" s="4">
        <v>46139</v>
      </c>
      <c r="E254" s="5">
        <v>0.31913194444444443</v>
      </c>
      <c r="F254">
        <v>1</v>
      </c>
      <c r="G254" t="s">
        <v>82</v>
      </c>
      <c r="H254">
        <v>117.66666666666667</v>
      </c>
      <c r="M254" t="s">
        <v>76</v>
      </c>
      <c r="N254" t="s">
        <v>75</v>
      </c>
    </row>
    <row r="255" spans="1:20" x14ac:dyDescent="0.25">
      <c r="A255" t="s">
        <v>310</v>
      </c>
      <c r="B255" s="4" t="s">
        <v>10</v>
      </c>
      <c r="C255" s="4" t="s">
        <v>70</v>
      </c>
      <c r="D255" s="4">
        <v>46139</v>
      </c>
      <c r="E255" s="5">
        <v>0.31984953703703706</v>
      </c>
      <c r="F255">
        <v>1</v>
      </c>
      <c r="G255" t="s">
        <v>82</v>
      </c>
      <c r="H255">
        <v>37</v>
      </c>
      <c r="L255" t="s">
        <v>311</v>
      </c>
      <c r="M255" t="s">
        <v>71</v>
      </c>
      <c r="N255" t="s">
        <v>72</v>
      </c>
      <c r="O255">
        <v>1</v>
      </c>
      <c r="S255">
        <v>1</v>
      </c>
      <c r="T255">
        <v>65.75</v>
      </c>
    </row>
    <row r="256" spans="1:20" x14ac:dyDescent="0.25">
      <c r="A256" t="s">
        <v>311</v>
      </c>
      <c r="B256" s="4" t="s">
        <v>10</v>
      </c>
      <c r="C256" s="4" t="s">
        <v>73</v>
      </c>
      <c r="D256" s="4">
        <v>46139</v>
      </c>
      <c r="E256" s="5">
        <v>0.31984953703703706</v>
      </c>
      <c r="F256">
        <v>1</v>
      </c>
      <c r="G256" t="s">
        <v>82</v>
      </c>
      <c r="H256">
        <v>66.166666666666657</v>
      </c>
      <c r="M256" t="s">
        <v>74</v>
      </c>
      <c r="N256" t="s">
        <v>72</v>
      </c>
    </row>
    <row r="257" spans="1:20" x14ac:dyDescent="0.25">
      <c r="A257" t="s">
        <v>311</v>
      </c>
      <c r="B257" s="4" t="s">
        <v>10</v>
      </c>
      <c r="C257" s="4" t="s">
        <v>73</v>
      </c>
      <c r="D257" s="4">
        <v>46139</v>
      </c>
      <c r="E257" s="5">
        <v>0.31984953703703706</v>
      </c>
      <c r="F257">
        <v>1</v>
      </c>
      <c r="G257" t="s">
        <v>82</v>
      </c>
      <c r="H257">
        <v>66.083333333333329</v>
      </c>
      <c r="M257" t="s">
        <v>74</v>
      </c>
      <c r="N257" t="s">
        <v>72</v>
      </c>
    </row>
    <row r="258" spans="1:20" x14ac:dyDescent="0.25">
      <c r="A258" t="s">
        <v>311</v>
      </c>
      <c r="B258" s="4" t="s">
        <v>10</v>
      </c>
      <c r="C258" s="4" t="s">
        <v>73</v>
      </c>
      <c r="D258" s="4">
        <v>46139</v>
      </c>
      <c r="E258" s="5">
        <v>0.32012731481481477</v>
      </c>
      <c r="F258">
        <v>1</v>
      </c>
      <c r="G258" t="s">
        <v>82</v>
      </c>
      <c r="H258">
        <v>65.75</v>
      </c>
      <c r="M258" t="s">
        <v>76</v>
      </c>
      <c r="N258" t="s">
        <v>72</v>
      </c>
    </row>
    <row r="259" spans="1:20" x14ac:dyDescent="0.25">
      <c r="A259" t="s">
        <v>314</v>
      </c>
      <c r="B259" s="4" t="s">
        <v>10</v>
      </c>
      <c r="C259" s="4" t="s">
        <v>70</v>
      </c>
      <c r="D259" s="4">
        <v>46139</v>
      </c>
      <c r="E259" s="5">
        <v>0.32079861111111108</v>
      </c>
      <c r="F259">
        <v>1</v>
      </c>
      <c r="G259" t="s">
        <v>82</v>
      </c>
      <c r="H259">
        <v>60</v>
      </c>
      <c r="L259" t="s">
        <v>315</v>
      </c>
      <c r="M259" t="s">
        <v>71</v>
      </c>
      <c r="N259" t="s">
        <v>72</v>
      </c>
      <c r="O259">
        <v>1</v>
      </c>
      <c r="S259">
        <v>1</v>
      </c>
      <c r="T259">
        <v>89.916666666666671</v>
      </c>
    </row>
    <row r="260" spans="1:20" x14ac:dyDescent="0.25">
      <c r="A260" t="s">
        <v>315</v>
      </c>
      <c r="B260" s="4" t="s">
        <v>10</v>
      </c>
      <c r="C260" s="4" t="s">
        <v>73</v>
      </c>
      <c r="D260" s="4">
        <v>46139</v>
      </c>
      <c r="E260" s="5">
        <v>0.32079861111111108</v>
      </c>
      <c r="F260">
        <v>1</v>
      </c>
      <c r="G260" t="s">
        <v>82</v>
      </c>
      <c r="H260">
        <v>90</v>
      </c>
      <c r="M260" t="s">
        <v>79</v>
      </c>
      <c r="N260" t="s">
        <v>72</v>
      </c>
    </row>
    <row r="261" spans="1:20" x14ac:dyDescent="0.25">
      <c r="A261" t="s">
        <v>315</v>
      </c>
      <c r="B261" s="4" t="s">
        <v>10</v>
      </c>
      <c r="C261" s="4" t="s">
        <v>73</v>
      </c>
      <c r="D261" s="4">
        <v>46139</v>
      </c>
      <c r="E261" s="5">
        <v>0.32079861111111108</v>
      </c>
      <c r="F261">
        <v>1</v>
      </c>
      <c r="G261" t="s">
        <v>82</v>
      </c>
      <c r="H261">
        <v>89.916666666666671</v>
      </c>
      <c r="M261" t="s">
        <v>79</v>
      </c>
      <c r="N261" t="s">
        <v>72</v>
      </c>
    </row>
    <row r="262" spans="1:20" x14ac:dyDescent="0.25">
      <c r="A262" t="s">
        <v>315</v>
      </c>
      <c r="B262" s="4" t="s">
        <v>10</v>
      </c>
      <c r="C262" s="4" t="s">
        <v>73</v>
      </c>
      <c r="D262" s="4">
        <v>46139</v>
      </c>
      <c r="E262" s="5">
        <v>0.32091435185185185</v>
      </c>
      <c r="F262">
        <v>1</v>
      </c>
      <c r="G262" t="s">
        <v>82</v>
      </c>
      <c r="H262">
        <v>89.916666666666671</v>
      </c>
      <c r="M262" t="s">
        <v>76</v>
      </c>
      <c r="N262" t="s">
        <v>72</v>
      </c>
    </row>
    <row r="263" spans="1:20" x14ac:dyDescent="0.25">
      <c r="A263" t="s">
        <v>316</v>
      </c>
      <c r="B263" s="4" t="s">
        <v>10</v>
      </c>
      <c r="C263" s="4" t="s">
        <v>70</v>
      </c>
      <c r="D263" s="4">
        <v>46139</v>
      </c>
      <c r="E263" s="5">
        <v>0.3216087962962963</v>
      </c>
      <c r="F263">
        <v>1</v>
      </c>
      <c r="G263" t="s">
        <v>82</v>
      </c>
      <c r="H263">
        <v>38.5</v>
      </c>
      <c r="L263" t="s">
        <v>317</v>
      </c>
      <c r="M263" t="s">
        <v>71</v>
      </c>
      <c r="N263" t="s">
        <v>75</v>
      </c>
      <c r="O263">
        <v>1</v>
      </c>
      <c r="S263">
        <v>1</v>
      </c>
      <c r="T263">
        <v>96.75</v>
      </c>
    </row>
    <row r="264" spans="1:20" x14ac:dyDescent="0.25">
      <c r="A264" t="s">
        <v>317</v>
      </c>
      <c r="B264" s="4" t="s">
        <v>10</v>
      </c>
      <c r="C264" s="4" t="s">
        <v>73</v>
      </c>
      <c r="D264" s="4">
        <v>46139</v>
      </c>
      <c r="E264" s="5">
        <v>0.3216087962962963</v>
      </c>
      <c r="F264">
        <v>1</v>
      </c>
      <c r="G264" t="s">
        <v>82</v>
      </c>
      <c r="H264">
        <v>96.583333333333329</v>
      </c>
      <c r="M264" t="s">
        <v>74</v>
      </c>
      <c r="N264" t="s">
        <v>75</v>
      </c>
    </row>
    <row r="265" spans="1:20" x14ac:dyDescent="0.25">
      <c r="A265" t="s">
        <v>317</v>
      </c>
      <c r="B265" s="4" t="s">
        <v>10</v>
      </c>
      <c r="C265" s="4" t="s">
        <v>73</v>
      </c>
      <c r="D265" s="4">
        <v>46139</v>
      </c>
      <c r="E265" s="5">
        <v>0.3216087962962963</v>
      </c>
      <c r="F265">
        <v>1</v>
      </c>
      <c r="G265" t="s">
        <v>82</v>
      </c>
      <c r="H265">
        <v>96.5</v>
      </c>
      <c r="M265" t="s">
        <v>74</v>
      </c>
      <c r="N265" t="s">
        <v>75</v>
      </c>
    </row>
    <row r="266" spans="1:20" x14ac:dyDescent="0.25">
      <c r="A266" t="s">
        <v>317</v>
      </c>
      <c r="B266" s="4" t="s">
        <v>10</v>
      </c>
      <c r="C266" s="4" t="s">
        <v>73</v>
      </c>
      <c r="D266" s="4">
        <v>46139</v>
      </c>
      <c r="E266" s="5">
        <v>0.32192129629629629</v>
      </c>
      <c r="F266">
        <v>1</v>
      </c>
      <c r="G266" t="s">
        <v>82</v>
      </c>
      <c r="H266">
        <v>96.75</v>
      </c>
      <c r="M266" t="s">
        <v>76</v>
      </c>
      <c r="N266" t="s">
        <v>75</v>
      </c>
    </row>
    <row r="267" spans="1:20" x14ac:dyDescent="0.25">
      <c r="A267" t="s">
        <v>320</v>
      </c>
      <c r="B267" s="4" t="s">
        <v>10</v>
      </c>
      <c r="C267" s="4" t="s">
        <v>70</v>
      </c>
      <c r="D267" s="4">
        <v>46139</v>
      </c>
      <c r="E267" s="5">
        <v>0.32251157407407405</v>
      </c>
      <c r="F267">
        <v>1</v>
      </c>
      <c r="G267" t="s">
        <v>82</v>
      </c>
      <c r="H267">
        <v>46.75</v>
      </c>
      <c r="L267" t="s">
        <v>321</v>
      </c>
      <c r="M267" t="s">
        <v>71</v>
      </c>
      <c r="N267" t="s">
        <v>75</v>
      </c>
      <c r="O267">
        <v>1</v>
      </c>
      <c r="S267">
        <v>1</v>
      </c>
      <c r="T267">
        <v>85</v>
      </c>
    </row>
    <row r="268" spans="1:20" x14ac:dyDescent="0.25">
      <c r="A268" t="s">
        <v>321</v>
      </c>
      <c r="B268" s="4" t="s">
        <v>10</v>
      </c>
      <c r="C268" s="4" t="s">
        <v>73</v>
      </c>
      <c r="D268" s="4">
        <v>46139</v>
      </c>
      <c r="E268" s="5">
        <v>0.32251157407407405</v>
      </c>
      <c r="F268">
        <v>1</v>
      </c>
      <c r="G268" t="s">
        <v>82</v>
      </c>
      <c r="H268">
        <v>85.083333333333329</v>
      </c>
      <c r="M268" t="s">
        <v>74</v>
      </c>
      <c r="N268" t="s">
        <v>75</v>
      </c>
    </row>
    <row r="269" spans="1:20" x14ac:dyDescent="0.25">
      <c r="A269" t="s">
        <v>321</v>
      </c>
      <c r="B269" s="4" t="s">
        <v>10</v>
      </c>
      <c r="C269" s="4" t="s">
        <v>73</v>
      </c>
      <c r="D269" s="4">
        <v>46139</v>
      </c>
      <c r="E269" s="5">
        <v>0.32251157407407405</v>
      </c>
      <c r="F269">
        <v>1</v>
      </c>
      <c r="G269" t="s">
        <v>82</v>
      </c>
      <c r="H269">
        <v>85</v>
      </c>
      <c r="M269" t="s">
        <v>74</v>
      </c>
      <c r="N269" t="s">
        <v>75</v>
      </c>
    </row>
    <row r="270" spans="1:20" x14ac:dyDescent="0.25">
      <c r="A270" t="s">
        <v>321</v>
      </c>
      <c r="B270" s="4" t="s">
        <v>10</v>
      </c>
      <c r="C270" s="4" t="s">
        <v>73</v>
      </c>
      <c r="D270" s="4">
        <v>46139</v>
      </c>
      <c r="E270" s="5">
        <v>0.32261574074074073</v>
      </c>
      <c r="F270">
        <v>1</v>
      </c>
      <c r="G270" t="s">
        <v>82</v>
      </c>
      <c r="H270">
        <v>85</v>
      </c>
      <c r="M270" t="s">
        <v>76</v>
      </c>
      <c r="N270" t="s">
        <v>75</v>
      </c>
    </row>
    <row r="271" spans="1:20" x14ac:dyDescent="0.25">
      <c r="A271" t="s">
        <v>324</v>
      </c>
      <c r="B271" s="4" t="s">
        <v>10</v>
      </c>
      <c r="C271" s="4" t="s">
        <v>70</v>
      </c>
      <c r="D271" s="4">
        <v>46139</v>
      </c>
      <c r="E271" s="5">
        <v>0.32318287037037036</v>
      </c>
      <c r="F271">
        <v>1</v>
      </c>
      <c r="G271" t="s">
        <v>82</v>
      </c>
      <c r="H271">
        <v>35</v>
      </c>
      <c r="L271" t="s">
        <v>325</v>
      </c>
      <c r="M271" t="s">
        <v>71</v>
      </c>
      <c r="N271" t="s">
        <v>72</v>
      </c>
      <c r="O271">
        <v>1</v>
      </c>
      <c r="S271">
        <v>1</v>
      </c>
      <c r="T271">
        <v>48.5</v>
      </c>
    </row>
    <row r="272" spans="1:20" x14ac:dyDescent="0.25">
      <c r="A272" t="s">
        <v>325</v>
      </c>
      <c r="B272" s="4" t="s">
        <v>10</v>
      </c>
      <c r="C272" s="4" t="s">
        <v>73</v>
      </c>
      <c r="D272" s="4">
        <v>46139</v>
      </c>
      <c r="E272" s="5">
        <v>0.32318287037037036</v>
      </c>
      <c r="F272">
        <v>1</v>
      </c>
      <c r="G272" t="s">
        <v>82</v>
      </c>
      <c r="H272">
        <v>49.666666666666671</v>
      </c>
      <c r="M272" t="s">
        <v>326</v>
      </c>
      <c r="N272" t="s">
        <v>72</v>
      </c>
    </row>
    <row r="273" spans="1:21" x14ac:dyDescent="0.25">
      <c r="A273" t="s">
        <v>325</v>
      </c>
      <c r="B273" s="4" t="s">
        <v>10</v>
      </c>
      <c r="C273" s="4" t="s">
        <v>73</v>
      </c>
      <c r="D273" s="4">
        <v>46139</v>
      </c>
      <c r="E273" s="5">
        <v>0.32318287037037036</v>
      </c>
      <c r="F273">
        <v>1</v>
      </c>
      <c r="G273" t="s">
        <v>82</v>
      </c>
      <c r="H273">
        <v>49.583333333333329</v>
      </c>
      <c r="M273" t="s">
        <v>326</v>
      </c>
      <c r="N273" t="s">
        <v>72</v>
      </c>
    </row>
    <row r="274" spans="1:21" x14ac:dyDescent="0.25">
      <c r="A274" t="s">
        <v>325</v>
      </c>
      <c r="B274" s="4" t="s">
        <v>10</v>
      </c>
      <c r="C274" s="4" t="s">
        <v>73</v>
      </c>
      <c r="D274" s="4">
        <v>46139</v>
      </c>
      <c r="E274" s="5">
        <v>0.32340277777777776</v>
      </c>
      <c r="F274">
        <v>1</v>
      </c>
      <c r="G274" t="s">
        <v>82</v>
      </c>
      <c r="H274">
        <v>48.5</v>
      </c>
      <c r="M274" t="s">
        <v>76</v>
      </c>
      <c r="N274" t="s">
        <v>72</v>
      </c>
    </row>
    <row r="275" spans="1:21" x14ac:dyDescent="0.25">
      <c r="A275" t="s">
        <v>329</v>
      </c>
      <c r="B275" s="4" t="s">
        <v>10</v>
      </c>
      <c r="C275" s="4" t="s">
        <v>70</v>
      </c>
      <c r="D275" s="4">
        <v>46139</v>
      </c>
      <c r="E275" s="5">
        <v>0.32406249999999998</v>
      </c>
      <c r="F275">
        <v>1</v>
      </c>
      <c r="G275" t="s">
        <v>82</v>
      </c>
      <c r="H275">
        <v>7</v>
      </c>
      <c r="L275" t="s">
        <v>330</v>
      </c>
      <c r="M275" t="s">
        <v>71</v>
      </c>
      <c r="N275" t="s">
        <v>75</v>
      </c>
      <c r="O275">
        <v>1</v>
      </c>
      <c r="Q275">
        <v>1</v>
      </c>
      <c r="S275">
        <v>1</v>
      </c>
      <c r="U275">
        <v>1.0833333333333333</v>
      </c>
    </row>
    <row r="276" spans="1:21" x14ac:dyDescent="0.25">
      <c r="A276" t="s">
        <v>330</v>
      </c>
      <c r="B276" s="4" t="s">
        <v>10</v>
      </c>
      <c r="C276" s="4" t="s">
        <v>73</v>
      </c>
      <c r="D276" s="4">
        <v>46139</v>
      </c>
      <c r="E276" s="5">
        <v>0.32406249999999998</v>
      </c>
      <c r="F276">
        <v>1</v>
      </c>
      <c r="G276" t="s">
        <v>82</v>
      </c>
      <c r="H276">
        <v>1.0833333333333333</v>
      </c>
      <c r="L276" t="s">
        <v>331</v>
      </c>
      <c r="M276" t="s">
        <v>74</v>
      </c>
      <c r="N276" t="s">
        <v>75</v>
      </c>
    </row>
    <row r="277" spans="1:21" x14ac:dyDescent="0.25">
      <c r="A277" t="s">
        <v>330</v>
      </c>
      <c r="B277" s="4" t="s">
        <v>10</v>
      </c>
      <c r="C277" s="4" t="s">
        <v>73</v>
      </c>
      <c r="D277" s="4">
        <v>46139</v>
      </c>
      <c r="E277" s="5">
        <v>0.32406249999999998</v>
      </c>
      <c r="F277">
        <v>1</v>
      </c>
      <c r="G277" t="s">
        <v>82</v>
      </c>
      <c r="H277">
        <v>0</v>
      </c>
      <c r="L277" t="s">
        <v>331</v>
      </c>
      <c r="M277" t="s">
        <v>74</v>
      </c>
      <c r="N277" t="s">
        <v>75</v>
      </c>
    </row>
    <row r="278" spans="1:21" x14ac:dyDescent="0.25">
      <c r="A278" t="s">
        <v>332</v>
      </c>
      <c r="B278" s="4" t="s">
        <v>10</v>
      </c>
      <c r="C278" s="4" t="s">
        <v>70</v>
      </c>
      <c r="D278" s="4">
        <v>46139</v>
      </c>
      <c r="E278" s="5">
        <v>0.32454861111111105</v>
      </c>
      <c r="F278">
        <v>1</v>
      </c>
      <c r="G278" t="s">
        <v>82</v>
      </c>
      <c r="H278">
        <v>16.5</v>
      </c>
      <c r="L278" t="s">
        <v>333</v>
      </c>
      <c r="M278" t="s">
        <v>71</v>
      </c>
      <c r="N278" t="s">
        <v>72</v>
      </c>
      <c r="O278">
        <v>1</v>
      </c>
      <c r="Q278">
        <v>1</v>
      </c>
      <c r="S278">
        <v>1</v>
      </c>
      <c r="U278">
        <v>2.1666666666666665</v>
      </c>
    </row>
    <row r="279" spans="1:21" x14ac:dyDescent="0.25">
      <c r="A279" t="s">
        <v>333</v>
      </c>
      <c r="B279" s="4" t="s">
        <v>10</v>
      </c>
      <c r="C279" s="4" t="s">
        <v>73</v>
      </c>
      <c r="D279" s="4">
        <v>46139</v>
      </c>
      <c r="E279" s="5">
        <v>0.32454861111111105</v>
      </c>
      <c r="F279">
        <v>1</v>
      </c>
      <c r="G279" t="s">
        <v>82</v>
      </c>
      <c r="H279">
        <v>2.1666666666666665</v>
      </c>
      <c r="M279" t="s">
        <v>74</v>
      </c>
      <c r="N279" t="s">
        <v>72</v>
      </c>
    </row>
    <row r="280" spans="1:21" x14ac:dyDescent="0.25">
      <c r="A280" t="s">
        <v>333</v>
      </c>
      <c r="B280" s="4" t="s">
        <v>10</v>
      </c>
      <c r="C280" s="4" t="s">
        <v>73</v>
      </c>
      <c r="D280" s="4">
        <v>46139</v>
      </c>
      <c r="E280" s="5">
        <v>0.32454861111111105</v>
      </c>
      <c r="F280">
        <v>1</v>
      </c>
      <c r="G280" t="s">
        <v>82</v>
      </c>
      <c r="H280">
        <v>0</v>
      </c>
      <c r="M280" t="s">
        <v>74</v>
      </c>
      <c r="N280" t="s">
        <v>72</v>
      </c>
    </row>
    <row r="281" spans="1:21" x14ac:dyDescent="0.25">
      <c r="A281" t="s">
        <v>334</v>
      </c>
      <c r="B281" s="4" t="s">
        <v>10</v>
      </c>
      <c r="C281" s="4" t="s">
        <v>70</v>
      </c>
      <c r="D281" s="4">
        <v>46139</v>
      </c>
      <c r="E281" s="5">
        <v>0.32521990740740742</v>
      </c>
      <c r="F281">
        <v>1</v>
      </c>
      <c r="G281" t="s">
        <v>82</v>
      </c>
      <c r="H281">
        <v>43</v>
      </c>
      <c r="L281" t="s">
        <v>335</v>
      </c>
      <c r="M281" t="s">
        <v>71</v>
      </c>
      <c r="N281" t="s">
        <v>72</v>
      </c>
      <c r="O281">
        <v>1</v>
      </c>
      <c r="R281">
        <v>1</v>
      </c>
      <c r="S281">
        <v>1</v>
      </c>
      <c r="T281">
        <v>12.5</v>
      </c>
    </row>
    <row r="282" spans="1:21" x14ac:dyDescent="0.25">
      <c r="A282" t="s">
        <v>335</v>
      </c>
      <c r="B282" s="4" t="s">
        <v>10</v>
      </c>
      <c r="C282" s="4" t="s">
        <v>73</v>
      </c>
      <c r="D282" s="4">
        <v>46139</v>
      </c>
      <c r="E282" s="5">
        <v>0.32521990740740742</v>
      </c>
      <c r="F282">
        <v>1</v>
      </c>
      <c r="G282" t="s">
        <v>82</v>
      </c>
      <c r="H282">
        <v>12.166666666666666</v>
      </c>
      <c r="M282" t="s">
        <v>74</v>
      </c>
      <c r="N282" t="s">
        <v>72</v>
      </c>
    </row>
    <row r="283" spans="1:21" x14ac:dyDescent="0.25">
      <c r="A283" t="s">
        <v>335</v>
      </c>
      <c r="B283" s="4" t="s">
        <v>10</v>
      </c>
      <c r="C283" s="4" t="s">
        <v>73</v>
      </c>
      <c r="D283" s="4">
        <v>46139</v>
      </c>
      <c r="E283" s="5">
        <v>0.32521990740740742</v>
      </c>
      <c r="F283">
        <v>1</v>
      </c>
      <c r="G283" t="s">
        <v>82</v>
      </c>
      <c r="H283">
        <v>12.083333333333332</v>
      </c>
      <c r="M283" t="s">
        <v>74</v>
      </c>
      <c r="N283" t="s">
        <v>72</v>
      </c>
    </row>
    <row r="284" spans="1:21" x14ac:dyDescent="0.25">
      <c r="A284" t="s">
        <v>335</v>
      </c>
      <c r="B284" s="4" t="s">
        <v>10</v>
      </c>
      <c r="C284" s="4" t="s">
        <v>73</v>
      </c>
      <c r="D284" s="4">
        <v>46139</v>
      </c>
      <c r="E284" s="5">
        <v>0.32537037037037031</v>
      </c>
      <c r="F284">
        <v>1</v>
      </c>
      <c r="G284" t="s">
        <v>82</v>
      </c>
      <c r="H284">
        <v>12.5</v>
      </c>
      <c r="M284" t="s">
        <v>76</v>
      </c>
      <c r="N284" t="s">
        <v>72</v>
      </c>
    </row>
    <row r="285" spans="1:21" x14ac:dyDescent="0.25">
      <c r="A285" t="s">
        <v>339</v>
      </c>
      <c r="B285" s="4" t="s">
        <v>10</v>
      </c>
      <c r="C285" s="4" t="s">
        <v>70</v>
      </c>
      <c r="D285" s="4">
        <v>46139</v>
      </c>
      <c r="E285" s="5">
        <v>0.32618055555555553</v>
      </c>
      <c r="F285">
        <v>1</v>
      </c>
      <c r="G285" t="s">
        <v>82</v>
      </c>
      <c r="H285">
        <v>50</v>
      </c>
      <c r="L285" t="s">
        <v>340</v>
      </c>
      <c r="M285" t="s">
        <v>71</v>
      </c>
      <c r="N285" t="s">
        <v>75</v>
      </c>
      <c r="O285">
        <v>1</v>
      </c>
      <c r="Q285">
        <v>1</v>
      </c>
      <c r="S285">
        <v>1</v>
      </c>
      <c r="U285">
        <v>2.75</v>
      </c>
    </row>
    <row r="286" spans="1:21" x14ac:dyDescent="0.25">
      <c r="A286" t="s">
        <v>340</v>
      </c>
      <c r="B286" s="4" t="s">
        <v>10</v>
      </c>
      <c r="C286" s="4" t="s">
        <v>73</v>
      </c>
      <c r="D286" s="4">
        <v>46139</v>
      </c>
      <c r="E286" s="5">
        <v>0.32618055555555553</v>
      </c>
      <c r="F286">
        <v>1</v>
      </c>
      <c r="G286" t="s">
        <v>82</v>
      </c>
      <c r="H286">
        <v>2.75</v>
      </c>
      <c r="M286" t="s">
        <v>74</v>
      </c>
      <c r="N286" t="s">
        <v>75</v>
      </c>
    </row>
    <row r="287" spans="1:21" x14ac:dyDescent="0.25">
      <c r="A287" t="s">
        <v>340</v>
      </c>
      <c r="B287" s="4" t="s">
        <v>10</v>
      </c>
      <c r="C287" s="4" t="s">
        <v>73</v>
      </c>
      <c r="D287" s="4">
        <v>46139</v>
      </c>
      <c r="E287" s="5">
        <v>0.32618055555555553</v>
      </c>
      <c r="F287">
        <v>1</v>
      </c>
      <c r="G287" t="s">
        <v>82</v>
      </c>
      <c r="H287">
        <v>0</v>
      </c>
      <c r="M287" t="s">
        <v>74</v>
      </c>
      <c r="N287" t="s">
        <v>75</v>
      </c>
    </row>
    <row r="288" spans="1:21" x14ac:dyDescent="0.25">
      <c r="A288" t="s">
        <v>343</v>
      </c>
      <c r="B288" s="4" t="s">
        <v>10</v>
      </c>
      <c r="C288" s="4" t="s">
        <v>70</v>
      </c>
      <c r="D288" s="4">
        <v>46139</v>
      </c>
      <c r="E288" s="5">
        <v>0.32678240740740738</v>
      </c>
      <c r="F288">
        <v>1</v>
      </c>
      <c r="G288" t="s">
        <v>82</v>
      </c>
      <c r="H288">
        <v>22.25</v>
      </c>
      <c r="L288" t="s">
        <v>344</v>
      </c>
      <c r="M288" t="s">
        <v>71</v>
      </c>
      <c r="N288" t="s">
        <v>75</v>
      </c>
      <c r="O288">
        <v>1</v>
      </c>
      <c r="Q288">
        <v>1</v>
      </c>
      <c r="S288">
        <v>1</v>
      </c>
      <c r="U288">
        <v>8.3333333333333329E-2</v>
      </c>
    </row>
    <row r="289" spans="1:20" x14ac:dyDescent="0.25">
      <c r="A289" t="s">
        <v>344</v>
      </c>
      <c r="B289" s="4" t="s">
        <v>10</v>
      </c>
      <c r="C289" s="4" t="s">
        <v>73</v>
      </c>
      <c r="D289" s="4">
        <v>46139</v>
      </c>
      <c r="E289" s="5">
        <v>0.32678240740740738</v>
      </c>
      <c r="F289">
        <v>1</v>
      </c>
      <c r="G289" t="s">
        <v>82</v>
      </c>
      <c r="H289">
        <v>1.75</v>
      </c>
      <c r="M289" t="s">
        <v>74</v>
      </c>
      <c r="N289" t="s">
        <v>75</v>
      </c>
    </row>
    <row r="290" spans="1:20" x14ac:dyDescent="0.25">
      <c r="A290" t="s">
        <v>344</v>
      </c>
      <c r="B290" s="4" t="s">
        <v>10</v>
      </c>
      <c r="C290" s="4" t="s">
        <v>73</v>
      </c>
      <c r="D290" s="4">
        <v>46139</v>
      </c>
      <c r="E290" s="5">
        <v>0.32678240740740738</v>
      </c>
      <c r="F290">
        <v>1</v>
      </c>
      <c r="G290" t="s">
        <v>82</v>
      </c>
      <c r="H290">
        <v>8.3333333333333329E-2</v>
      </c>
      <c r="M290" t="s">
        <v>74</v>
      </c>
      <c r="N290" t="s">
        <v>75</v>
      </c>
    </row>
    <row r="291" spans="1:20" x14ac:dyDescent="0.25">
      <c r="A291" t="s">
        <v>344</v>
      </c>
      <c r="B291" s="4" t="s">
        <v>10</v>
      </c>
      <c r="C291" s="4" t="s">
        <v>73</v>
      </c>
      <c r="D291" s="4">
        <v>46139</v>
      </c>
      <c r="E291" s="5">
        <v>0.32678240740740738</v>
      </c>
      <c r="F291">
        <v>1</v>
      </c>
      <c r="G291" t="s">
        <v>82</v>
      </c>
      <c r="H291">
        <v>0</v>
      </c>
      <c r="M291" t="s">
        <v>74</v>
      </c>
      <c r="N291" t="s">
        <v>75</v>
      </c>
    </row>
    <row r="292" spans="1:20" x14ac:dyDescent="0.25">
      <c r="A292" t="s">
        <v>345</v>
      </c>
      <c r="B292" s="4" t="s">
        <v>10</v>
      </c>
      <c r="C292" s="4" t="s">
        <v>70</v>
      </c>
      <c r="D292" s="4">
        <v>46139</v>
      </c>
      <c r="E292" s="5">
        <v>0.3273726851851852</v>
      </c>
      <c r="F292">
        <v>1</v>
      </c>
      <c r="G292" t="s">
        <v>82</v>
      </c>
      <c r="H292">
        <v>56.5</v>
      </c>
      <c r="L292" t="s">
        <v>346</v>
      </c>
      <c r="M292" t="s">
        <v>71</v>
      </c>
      <c r="N292" t="s">
        <v>75</v>
      </c>
      <c r="O292">
        <v>1</v>
      </c>
      <c r="S292">
        <v>1</v>
      </c>
      <c r="T292">
        <v>32.583333333333329</v>
      </c>
    </row>
    <row r="293" spans="1:20" x14ac:dyDescent="0.25">
      <c r="A293" t="s">
        <v>346</v>
      </c>
      <c r="B293" s="4" t="s">
        <v>10</v>
      </c>
      <c r="C293" s="4" t="s">
        <v>73</v>
      </c>
      <c r="D293" s="4">
        <v>46139</v>
      </c>
      <c r="E293" s="5">
        <v>0.3273726851851852</v>
      </c>
      <c r="F293">
        <v>1</v>
      </c>
      <c r="G293" t="s">
        <v>82</v>
      </c>
      <c r="H293">
        <v>33.166666666666664</v>
      </c>
      <c r="M293" t="s">
        <v>79</v>
      </c>
      <c r="N293" t="s">
        <v>75</v>
      </c>
    </row>
    <row r="294" spans="1:20" x14ac:dyDescent="0.25">
      <c r="A294" t="s">
        <v>346</v>
      </c>
      <c r="B294" s="4" t="s">
        <v>10</v>
      </c>
      <c r="C294" s="4" t="s">
        <v>73</v>
      </c>
      <c r="D294" s="4">
        <v>46139</v>
      </c>
      <c r="E294" s="5">
        <v>0.3273726851851852</v>
      </c>
      <c r="F294">
        <v>1</v>
      </c>
      <c r="G294" t="s">
        <v>82</v>
      </c>
      <c r="H294">
        <v>33.083333333333329</v>
      </c>
      <c r="M294" t="s">
        <v>79</v>
      </c>
      <c r="N294" t="s">
        <v>75</v>
      </c>
    </row>
    <row r="295" spans="1:20" x14ac:dyDescent="0.25">
      <c r="A295" t="s">
        <v>346</v>
      </c>
      <c r="B295" s="4" t="s">
        <v>10</v>
      </c>
      <c r="C295" s="4" t="s">
        <v>73</v>
      </c>
      <c r="D295" s="4">
        <v>46139</v>
      </c>
      <c r="E295" s="5">
        <v>0.32761574074074074</v>
      </c>
      <c r="F295">
        <v>1</v>
      </c>
      <c r="G295" t="s">
        <v>82</v>
      </c>
      <c r="H295">
        <v>32.583333333333329</v>
      </c>
      <c r="M295" t="s">
        <v>76</v>
      </c>
      <c r="N295" t="s">
        <v>75</v>
      </c>
    </row>
    <row r="296" spans="1:20" x14ac:dyDescent="0.25">
      <c r="A296" t="s">
        <v>348</v>
      </c>
      <c r="B296" s="4" t="s">
        <v>10</v>
      </c>
      <c r="C296" s="4" t="s">
        <v>73</v>
      </c>
      <c r="D296" s="4">
        <v>46139</v>
      </c>
      <c r="E296" s="5">
        <v>0.32805555555555554</v>
      </c>
      <c r="F296">
        <v>1</v>
      </c>
      <c r="G296" t="s">
        <v>82</v>
      </c>
      <c r="H296">
        <v>24.666666666666664</v>
      </c>
      <c r="M296" t="s">
        <v>79</v>
      </c>
      <c r="N296" t="s">
        <v>72</v>
      </c>
    </row>
    <row r="297" spans="1:20" x14ac:dyDescent="0.25">
      <c r="A297" t="s">
        <v>349</v>
      </c>
      <c r="B297" s="4" t="s">
        <v>10</v>
      </c>
      <c r="C297" s="4" t="s">
        <v>70</v>
      </c>
      <c r="D297" s="4">
        <v>46139</v>
      </c>
      <c r="E297" s="5">
        <v>0.3283564814814815</v>
      </c>
      <c r="F297">
        <v>1</v>
      </c>
      <c r="G297" t="s">
        <v>82</v>
      </c>
      <c r="H297">
        <v>16.5</v>
      </c>
      <c r="L297" t="s">
        <v>348</v>
      </c>
      <c r="M297" t="s">
        <v>71</v>
      </c>
      <c r="N297" t="s">
        <v>72</v>
      </c>
      <c r="O297">
        <v>1</v>
      </c>
      <c r="R297">
        <v>1</v>
      </c>
      <c r="S297">
        <v>1</v>
      </c>
      <c r="T297">
        <v>7.916666666666667</v>
      </c>
    </row>
    <row r="298" spans="1:20" x14ac:dyDescent="0.25">
      <c r="A298" t="s">
        <v>348</v>
      </c>
      <c r="B298" s="4" t="s">
        <v>10</v>
      </c>
      <c r="C298" s="4" t="s">
        <v>73</v>
      </c>
      <c r="D298" s="4">
        <v>46139</v>
      </c>
      <c r="E298" s="5">
        <v>0.3283564814814815</v>
      </c>
      <c r="F298">
        <v>1</v>
      </c>
      <c r="G298" t="s">
        <v>82</v>
      </c>
      <c r="H298">
        <v>8.1666666666666661</v>
      </c>
      <c r="M298" t="s">
        <v>79</v>
      </c>
      <c r="N298" t="s">
        <v>72</v>
      </c>
    </row>
    <row r="299" spans="1:20" x14ac:dyDescent="0.25">
      <c r="A299" t="s">
        <v>348</v>
      </c>
      <c r="B299" s="4" t="s">
        <v>10</v>
      </c>
      <c r="C299" s="4" t="s">
        <v>73</v>
      </c>
      <c r="D299" s="4">
        <v>46139</v>
      </c>
      <c r="E299" s="5">
        <v>0.3283564814814815</v>
      </c>
      <c r="F299">
        <v>1</v>
      </c>
      <c r="G299" t="s">
        <v>82</v>
      </c>
      <c r="H299">
        <v>8.0833333333333321</v>
      </c>
      <c r="M299" t="s">
        <v>79</v>
      </c>
      <c r="N299" t="s">
        <v>72</v>
      </c>
    </row>
    <row r="300" spans="1:20" x14ac:dyDescent="0.25">
      <c r="A300" t="s">
        <v>348</v>
      </c>
      <c r="B300" s="4" t="s">
        <v>10</v>
      </c>
      <c r="C300" s="4" t="s">
        <v>73</v>
      </c>
      <c r="D300" s="4">
        <v>46139</v>
      </c>
      <c r="E300" s="5">
        <v>0.32847222222222222</v>
      </c>
      <c r="F300">
        <v>1</v>
      </c>
      <c r="G300" t="s">
        <v>82</v>
      </c>
      <c r="H300">
        <v>7.916666666666667</v>
      </c>
      <c r="M300" t="s">
        <v>76</v>
      </c>
      <c r="N300" t="s">
        <v>72</v>
      </c>
    </row>
    <row r="301" spans="1:20" x14ac:dyDescent="0.25">
      <c r="A301" t="s">
        <v>352</v>
      </c>
      <c r="B301" s="4" t="s">
        <v>10</v>
      </c>
      <c r="C301" s="4" t="s">
        <v>70</v>
      </c>
      <c r="D301" s="4">
        <v>46139</v>
      </c>
      <c r="E301" s="5">
        <v>0.32923611111111106</v>
      </c>
      <c r="F301">
        <v>1</v>
      </c>
      <c r="G301" t="s">
        <v>82</v>
      </c>
      <c r="H301">
        <v>150</v>
      </c>
      <c r="L301" t="s">
        <v>353</v>
      </c>
      <c r="M301" t="s">
        <v>71</v>
      </c>
      <c r="N301" t="s">
        <v>72</v>
      </c>
      <c r="O301">
        <v>1</v>
      </c>
    </row>
    <row r="302" spans="1:20" x14ac:dyDescent="0.25">
      <c r="A302" t="s">
        <v>353</v>
      </c>
      <c r="B302" s="4" t="s">
        <v>10</v>
      </c>
      <c r="C302" s="4" t="s">
        <v>73</v>
      </c>
      <c r="D302" s="4">
        <v>46139</v>
      </c>
      <c r="E302" s="5">
        <v>0.32923611111111106</v>
      </c>
      <c r="F302">
        <v>1</v>
      </c>
      <c r="G302" t="s">
        <v>82</v>
      </c>
      <c r="H302">
        <v>25.916666666666664</v>
      </c>
      <c r="M302" t="s">
        <v>79</v>
      </c>
      <c r="N302" t="s">
        <v>72</v>
      </c>
    </row>
    <row r="303" spans="1:20" x14ac:dyDescent="0.25">
      <c r="A303" t="s">
        <v>353</v>
      </c>
      <c r="B303" s="4" t="s">
        <v>10</v>
      </c>
      <c r="C303" s="4" t="s">
        <v>73</v>
      </c>
      <c r="D303" s="4">
        <v>46139</v>
      </c>
      <c r="E303" s="5">
        <v>0.32923611111111106</v>
      </c>
      <c r="F303">
        <v>1</v>
      </c>
      <c r="G303" t="s">
        <v>82</v>
      </c>
      <c r="H303">
        <v>25.833333333333332</v>
      </c>
      <c r="M303" t="s">
        <v>79</v>
      </c>
      <c r="N303" t="s">
        <v>72</v>
      </c>
    </row>
    <row r="304" spans="1:20" x14ac:dyDescent="0.25">
      <c r="A304" t="s">
        <v>354</v>
      </c>
      <c r="B304" s="4" t="s">
        <v>10</v>
      </c>
      <c r="C304" s="4" t="s">
        <v>70</v>
      </c>
      <c r="D304" s="4">
        <v>46139</v>
      </c>
      <c r="E304" s="5">
        <v>0.32943287037037033</v>
      </c>
      <c r="F304">
        <v>1</v>
      </c>
      <c r="G304" t="s">
        <v>82</v>
      </c>
      <c r="H304">
        <v>14</v>
      </c>
      <c r="L304" t="s">
        <v>353</v>
      </c>
      <c r="M304" t="s">
        <v>71</v>
      </c>
      <c r="N304" t="s">
        <v>72</v>
      </c>
      <c r="P304">
        <v>1</v>
      </c>
      <c r="R304">
        <v>1</v>
      </c>
      <c r="S304">
        <v>1</v>
      </c>
      <c r="T304">
        <v>10.166666666666666</v>
      </c>
    </row>
    <row r="305" spans="1:20" x14ac:dyDescent="0.25">
      <c r="A305" t="s">
        <v>353</v>
      </c>
      <c r="B305" s="4" t="s">
        <v>10</v>
      </c>
      <c r="C305" s="4" t="s">
        <v>73</v>
      </c>
      <c r="D305" s="4">
        <v>46139</v>
      </c>
      <c r="E305" s="5">
        <v>0.32943287037037033</v>
      </c>
      <c r="F305">
        <v>1</v>
      </c>
      <c r="G305" t="s">
        <v>82</v>
      </c>
      <c r="H305">
        <v>11.833333333333334</v>
      </c>
      <c r="M305" t="s">
        <v>79</v>
      </c>
      <c r="N305" t="s">
        <v>72</v>
      </c>
    </row>
    <row r="306" spans="1:20" x14ac:dyDescent="0.25">
      <c r="A306" t="s">
        <v>353</v>
      </c>
      <c r="B306" s="4" t="s">
        <v>10</v>
      </c>
      <c r="C306" s="4" t="s">
        <v>73</v>
      </c>
      <c r="D306" s="4">
        <v>46139</v>
      </c>
      <c r="E306" s="5">
        <v>0.32943287037037033</v>
      </c>
      <c r="F306">
        <v>1</v>
      </c>
      <c r="G306" t="s">
        <v>82</v>
      </c>
      <c r="H306">
        <v>11.75</v>
      </c>
      <c r="M306" t="s">
        <v>79</v>
      </c>
      <c r="N306" t="s">
        <v>72</v>
      </c>
    </row>
    <row r="307" spans="1:20" x14ac:dyDescent="0.25">
      <c r="A307" t="s">
        <v>353</v>
      </c>
      <c r="B307" s="4" t="s">
        <v>10</v>
      </c>
      <c r="C307" s="4" t="s">
        <v>73</v>
      </c>
      <c r="D307" s="4">
        <v>46139</v>
      </c>
      <c r="E307" s="5">
        <v>0.32951388888888888</v>
      </c>
      <c r="F307">
        <v>1</v>
      </c>
      <c r="G307" t="s">
        <v>82</v>
      </c>
      <c r="H307">
        <v>10.166666666666666</v>
      </c>
      <c r="M307" t="s">
        <v>76</v>
      </c>
      <c r="N307" t="s">
        <v>72</v>
      </c>
    </row>
    <row r="308" spans="1:20" x14ac:dyDescent="0.25">
      <c r="A308" t="s">
        <v>355</v>
      </c>
      <c r="B308" s="4" t="s">
        <v>10</v>
      </c>
      <c r="C308" s="4" t="s">
        <v>70</v>
      </c>
      <c r="D308" s="4">
        <v>46139</v>
      </c>
      <c r="E308" s="5">
        <v>0.34203703703703703</v>
      </c>
      <c r="F308">
        <v>1</v>
      </c>
      <c r="G308" t="s">
        <v>82</v>
      </c>
      <c r="H308">
        <v>11.5</v>
      </c>
      <c r="L308" t="s">
        <v>356</v>
      </c>
      <c r="M308" t="s">
        <v>71</v>
      </c>
      <c r="N308" t="s">
        <v>75</v>
      </c>
      <c r="O308">
        <v>1</v>
      </c>
    </row>
    <row r="309" spans="1:20" x14ac:dyDescent="0.25">
      <c r="A309" t="s">
        <v>356</v>
      </c>
      <c r="B309" s="4" t="s">
        <v>10</v>
      </c>
      <c r="C309" s="4" t="s">
        <v>73</v>
      </c>
      <c r="D309" s="4">
        <v>46139</v>
      </c>
      <c r="E309" s="5">
        <v>0.34203703703703703</v>
      </c>
      <c r="F309">
        <v>1</v>
      </c>
      <c r="G309" t="s">
        <v>82</v>
      </c>
      <c r="H309">
        <v>92.416666666666671</v>
      </c>
      <c r="M309" t="s">
        <v>79</v>
      </c>
      <c r="N309" t="s">
        <v>75</v>
      </c>
    </row>
    <row r="310" spans="1:20" x14ac:dyDescent="0.25">
      <c r="A310" t="s">
        <v>356</v>
      </c>
      <c r="B310" s="4" t="s">
        <v>10</v>
      </c>
      <c r="C310" s="4" t="s">
        <v>73</v>
      </c>
      <c r="D310" s="4">
        <v>46139</v>
      </c>
      <c r="E310" s="5">
        <v>0.34203703703703703</v>
      </c>
      <c r="F310">
        <v>1</v>
      </c>
      <c r="G310" t="s">
        <v>82</v>
      </c>
      <c r="H310">
        <v>92.333333333333329</v>
      </c>
      <c r="M310" t="s">
        <v>79</v>
      </c>
      <c r="N310" t="s">
        <v>75</v>
      </c>
    </row>
    <row r="311" spans="1:20" x14ac:dyDescent="0.25">
      <c r="A311" t="s">
        <v>357</v>
      </c>
      <c r="B311" s="4" t="s">
        <v>10</v>
      </c>
      <c r="C311" s="4" t="s">
        <v>70</v>
      </c>
      <c r="D311" s="4">
        <v>46139</v>
      </c>
      <c r="E311" s="5">
        <v>0.34249999999999997</v>
      </c>
      <c r="F311">
        <v>1</v>
      </c>
      <c r="G311" t="s">
        <v>82</v>
      </c>
      <c r="H311">
        <v>14.333333333333334</v>
      </c>
      <c r="L311" t="s">
        <v>356</v>
      </c>
      <c r="M311" t="s">
        <v>71</v>
      </c>
      <c r="N311" t="s">
        <v>75</v>
      </c>
      <c r="P311">
        <v>1</v>
      </c>
    </row>
    <row r="312" spans="1:20" x14ac:dyDescent="0.25">
      <c r="A312" t="s">
        <v>356</v>
      </c>
      <c r="B312" s="4" t="s">
        <v>10</v>
      </c>
      <c r="C312" s="4" t="s">
        <v>73</v>
      </c>
      <c r="D312" s="4">
        <v>46139</v>
      </c>
      <c r="E312" s="5">
        <v>0.34251157407407407</v>
      </c>
      <c r="F312">
        <v>1</v>
      </c>
      <c r="G312" t="s">
        <v>82</v>
      </c>
      <c r="H312">
        <v>78</v>
      </c>
      <c r="M312" t="s">
        <v>79</v>
      </c>
      <c r="N312" t="s">
        <v>75</v>
      </c>
    </row>
    <row r="313" spans="1:20" x14ac:dyDescent="0.25">
      <c r="A313" t="s">
        <v>356</v>
      </c>
      <c r="B313" s="4" t="s">
        <v>10</v>
      </c>
      <c r="C313" s="4" t="s">
        <v>73</v>
      </c>
      <c r="D313" s="4">
        <v>46139</v>
      </c>
      <c r="E313" s="5">
        <v>0.34251157407407407</v>
      </c>
      <c r="F313">
        <v>1</v>
      </c>
      <c r="G313" t="s">
        <v>82</v>
      </c>
      <c r="H313">
        <v>77.916666666666671</v>
      </c>
      <c r="M313" t="s">
        <v>79</v>
      </c>
      <c r="N313" t="s">
        <v>75</v>
      </c>
    </row>
    <row r="314" spans="1:20" x14ac:dyDescent="0.25">
      <c r="A314" t="s">
        <v>358</v>
      </c>
      <c r="B314" s="4" t="s">
        <v>10</v>
      </c>
      <c r="C314" s="4" t="s">
        <v>70</v>
      </c>
      <c r="D314" s="4">
        <v>46139</v>
      </c>
      <c r="E314" s="5">
        <v>0.34313657407407405</v>
      </c>
      <c r="F314">
        <v>1</v>
      </c>
      <c r="G314" t="s">
        <v>82</v>
      </c>
      <c r="H314">
        <v>14.5</v>
      </c>
      <c r="L314" t="s">
        <v>356</v>
      </c>
      <c r="M314" t="s">
        <v>71</v>
      </c>
      <c r="N314" t="s">
        <v>75</v>
      </c>
      <c r="P314">
        <v>1</v>
      </c>
    </row>
    <row r="315" spans="1:20" x14ac:dyDescent="0.25">
      <c r="A315" t="s">
        <v>356</v>
      </c>
      <c r="B315" s="4" t="s">
        <v>10</v>
      </c>
      <c r="C315" s="4" t="s">
        <v>73</v>
      </c>
      <c r="D315" s="4">
        <v>46139</v>
      </c>
      <c r="E315" s="5">
        <v>0.34313657407407405</v>
      </c>
      <c r="F315">
        <v>1</v>
      </c>
      <c r="G315" t="s">
        <v>82</v>
      </c>
      <c r="H315">
        <v>63.416666666666664</v>
      </c>
      <c r="M315" t="s">
        <v>79</v>
      </c>
      <c r="N315" t="s">
        <v>75</v>
      </c>
    </row>
    <row r="316" spans="1:20" x14ac:dyDescent="0.25">
      <c r="A316" t="s">
        <v>356</v>
      </c>
      <c r="B316" s="4" t="s">
        <v>10</v>
      </c>
      <c r="C316" s="4" t="s">
        <v>73</v>
      </c>
      <c r="D316" s="4">
        <v>46139</v>
      </c>
      <c r="E316" s="5">
        <v>0.34313657407407405</v>
      </c>
      <c r="F316">
        <v>1</v>
      </c>
      <c r="G316" t="s">
        <v>82</v>
      </c>
      <c r="H316">
        <v>63.333333333333336</v>
      </c>
      <c r="M316" t="s">
        <v>79</v>
      </c>
      <c r="N316" t="s">
        <v>75</v>
      </c>
    </row>
    <row r="317" spans="1:20" x14ac:dyDescent="0.25">
      <c r="A317" t="s">
        <v>361</v>
      </c>
      <c r="B317" s="4" t="s">
        <v>10</v>
      </c>
      <c r="C317" s="4" t="s">
        <v>70</v>
      </c>
      <c r="D317" s="4">
        <v>46139</v>
      </c>
      <c r="E317" s="5">
        <v>0.34340277777777778</v>
      </c>
      <c r="F317">
        <v>1</v>
      </c>
      <c r="G317" t="s">
        <v>82</v>
      </c>
      <c r="H317">
        <v>18.5</v>
      </c>
      <c r="L317" t="s">
        <v>356</v>
      </c>
      <c r="M317" t="s">
        <v>71</v>
      </c>
      <c r="N317" t="s">
        <v>75</v>
      </c>
      <c r="P317">
        <v>1</v>
      </c>
    </row>
    <row r="318" spans="1:20" x14ac:dyDescent="0.25">
      <c r="A318" t="s">
        <v>356</v>
      </c>
      <c r="B318" s="4" t="s">
        <v>10</v>
      </c>
      <c r="C318" s="4" t="s">
        <v>73</v>
      </c>
      <c r="D318" s="4">
        <v>46139</v>
      </c>
      <c r="E318" s="5">
        <v>0.34340277777777778</v>
      </c>
      <c r="F318">
        <v>1</v>
      </c>
      <c r="G318" t="s">
        <v>82</v>
      </c>
      <c r="H318">
        <v>44.833333333333336</v>
      </c>
      <c r="M318" t="s">
        <v>79</v>
      </c>
      <c r="N318" t="s">
        <v>75</v>
      </c>
    </row>
    <row r="319" spans="1:20" x14ac:dyDescent="0.25">
      <c r="A319" t="s">
        <v>356</v>
      </c>
      <c r="B319" s="4" t="s">
        <v>10</v>
      </c>
      <c r="C319" s="4" t="s">
        <v>73</v>
      </c>
      <c r="D319" s="4">
        <v>46139</v>
      </c>
      <c r="E319" s="5">
        <v>0.34340277777777778</v>
      </c>
      <c r="F319">
        <v>1</v>
      </c>
      <c r="G319" t="s">
        <v>82</v>
      </c>
      <c r="H319">
        <v>44.75</v>
      </c>
      <c r="M319" t="s">
        <v>79</v>
      </c>
      <c r="N319" t="s">
        <v>75</v>
      </c>
    </row>
    <row r="320" spans="1:20" x14ac:dyDescent="0.25">
      <c r="A320" t="s">
        <v>362</v>
      </c>
      <c r="B320" s="4" t="s">
        <v>10</v>
      </c>
      <c r="C320" s="4" t="s">
        <v>70</v>
      </c>
      <c r="D320" s="4">
        <v>46139</v>
      </c>
      <c r="E320" s="5">
        <v>0.34362268518518518</v>
      </c>
      <c r="F320">
        <v>1</v>
      </c>
      <c r="G320" t="s">
        <v>82</v>
      </c>
      <c r="H320">
        <v>18</v>
      </c>
      <c r="L320" t="s">
        <v>356</v>
      </c>
      <c r="M320" t="s">
        <v>71</v>
      </c>
      <c r="N320" t="s">
        <v>75</v>
      </c>
      <c r="P320">
        <v>1</v>
      </c>
      <c r="R320">
        <v>1</v>
      </c>
      <c r="S320">
        <v>1</v>
      </c>
      <c r="T320">
        <v>25.833333333333332</v>
      </c>
    </row>
    <row r="321" spans="1:20" x14ac:dyDescent="0.25">
      <c r="A321" t="s">
        <v>356</v>
      </c>
      <c r="B321" s="4" t="s">
        <v>10</v>
      </c>
      <c r="C321" s="4" t="s">
        <v>73</v>
      </c>
      <c r="D321" s="4">
        <v>46139</v>
      </c>
      <c r="E321" s="5">
        <v>0.34362268518518518</v>
      </c>
      <c r="F321">
        <v>1</v>
      </c>
      <c r="G321" t="s">
        <v>82</v>
      </c>
      <c r="H321">
        <v>26.75</v>
      </c>
      <c r="M321" t="s">
        <v>79</v>
      </c>
      <c r="N321" t="s">
        <v>75</v>
      </c>
    </row>
    <row r="322" spans="1:20" x14ac:dyDescent="0.25">
      <c r="A322" t="s">
        <v>356</v>
      </c>
      <c r="B322" s="4" t="s">
        <v>10</v>
      </c>
      <c r="C322" s="4" t="s">
        <v>73</v>
      </c>
      <c r="D322" s="4">
        <v>46139</v>
      </c>
      <c r="E322" s="5">
        <v>0.34362268518518518</v>
      </c>
      <c r="F322">
        <v>1</v>
      </c>
      <c r="G322" t="s">
        <v>82</v>
      </c>
      <c r="H322">
        <v>26.666666666666664</v>
      </c>
      <c r="M322" t="s">
        <v>79</v>
      </c>
      <c r="N322" t="s">
        <v>75</v>
      </c>
    </row>
    <row r="323" spans="1:20" x14ac:dyDescent="0.25">
      <c r="A323" t="s">
        <v>356</v>
      </c>
      <c r="B323" s="4" t="s">
        <v>10</v>
      </c>
      <c r="C323" s="4" t="s">
        <v>73</v>
      </c>
      <c r="D323" s="4">
        <v>46139</v>
      </c>
      <c r="E323" s="5">
        <v>0.34386574074074072</v>
      </c>
      <c r="F323">
        <v>1</v>
      </c>
      <c r="G323" t="s">
        <v>82</v>
      </c>
      <c r="H323">
        <v>25.833333333333332</v>
      </c>
      <c r="M323" t="s">
        <v>76</v>
      </c>
      <c r="N323" t="s">
        <v>75</v>
      </c>
    </row>
    <row r="324" spans="1:20" x14ac:dyDescent="0.25">
      <c r="A324" t="s">
        <v>363</v>
      </c>
      <c r="B324" s="4" t="s">
        <v>10</v>
      </c>
      <c r="C324" s="4" t="s">
        <v>70</v>
      </c>
      <c r="D324" s="4">
        <v>46139</v>
      </c>
      <c r="E324" s="5">
        <v>0.34464120370370366</v>
      </c>
      <c r="F324">
        <v>1</v>
      </c>
      <c r="G324" t="s">
        <v>82</v>
      </c>
      <c r="H324">
        <v>150</v>
      </c>
      <c r="L324" t="s">
        <v>364</v>
      </c>
      <c r="M324" t="s">
        <v>71</v>
      </c>
      <c r="N324" t="s">
        <v>75</v>
      </c>
      <c r="O324">
        <v>1</v>
      </c>
      <c r="S324">
        <v>1</v>
      </c>
      <c r="T324">
        <v>114.16666666666666</v>
      </c>
    </row>
    <row r="325" spans="1:20" x14ac:dyDescent="0.25">
      <c r="A325" t="s">
        <v>364</v>
      </c>
      <c r="B325" s="4" t="s">
        <v>10</v>
      </c>
      <c r="C325" s="4" t="s">
        <v>73</v>
      </c>
      <c r="D325" s="4">
        <v>46139</v>
      </c>
      <c r="E325" s="5">
        <v>0.34464120370370366</v>
      </c>
      <c r="F325">
        <v>1</v>
      </c>
      <c r="G325" t="s">
        <v>82</v>
      </c>
      <c r="H325">
        <v>114.25</v>
      </c>
      <c r="M325" t="s">
        <v>79</v>
      </c>
      <c r="N325" t="s">
        <v>75</v>
      </c>
    </row>
    <row r="326" spans="1:20" x14ac:dyDescent="0.25">
      <c r="A326" t="s">
        <v>364</v>
      </c>
      <c r="B326" s="4" t="s">
        <v>10</v>
      </c>
      <c r="C326" s="4" t="s">
        <v>73</v>
      </c>
      <c r="D326" s="4">
        <v>46139</v>
      </c>
      <c r="E326" s="5">
        <v>0.34464120370370366</v>
      </c>
      <c r="F326">
        <v>1</v>
      </c>
      <c r="G326" t="s">
        <v>82</v>
      </c>
      <c r="H326">
        <v>114.16666666666666</v>
      </c>
      <c r="M326" t="s">
        <v>79</v>
      </c>
      <c r="N326" t="s">
        <v>75</v>
      </c>
    </row>
    <row r="327" spans="1:20" x14ac:dyDescent="0.25">
      <c r="A327" t="s">
        <v>364</v>
      </c>
      <c r="B327" s="4" t="s">
        <v>10</v>
      </c>
      <c r="C327" s="4" t="s">
        <v>73</v>
      </c>
      <c r="D327" s="4">
        <v>46139</v>
      </c>
      <c r="E327" s="5">
        <v>0.34474537037037034</v>
      </c>
      <c r="F327">
        <v>1</v>
      </c>
      <c r="G327" t="s">
        <v>82</v>
      </c>
      <c r="H327">
        <v>114.16666666666666</v>
      </c>
      <c r="M327" t="s">
        <v>76</v>
      </c>
      <c r="N327" t="s">
        <v>75</v>
      </c>
    </row>
    <row r="328" spans="1:20" x14ac:dyDescent="0.25">
      <c r="A328" t="s">
        <v>368</v>
      </c>
      <c r="B328" s="4" t="s">
        <v>10</v>
      </c>
      <c r="C328" s="4" t="s">
        <v>70</v>
      </c>
      <c r="D328" s="4">
        <v>46139</v>
      </c>
      <c r="E328" s="5">
        <v>0.34574074074074074</v>
      </c>
      <c r="F328">
        <v>1</v>
      </c>
      <c r="G328" t="s">
        <v>82</v>
      </c>
      <c r="H328">
        <v>26.25</v>
      </c>
      <c r="L328" t="s">
        <v>369</v>
      </c>
      <c r="M328" t="s">
        <v>71</v>
      </c>
      <c r="N328" t="s">
        <v>75</v>
      </c>
      <c r="O328">
        <v>1</v>
      </c>
    </row>
    <row r="329" spans="1:20" x14ac:dyDescent="0.25">
      <c r="A329" t="s">
        <v>369</v>
      </c>
      <c r="B329" s="4" t="s">
        <v>10</v>
      </c>
      <c r="C329" s="4" t="s">
        <v>73</v>
      </c>
      <c r="D329" s="4">
        <v>46139</v>
      </c>
      <c r="E329" s="5">
        <v>0.34574074074074074</v>
      </c>
      <c r="F329">
        <v>1</v>
      </c>
      <c r="G329" t="s">
        <v>82</v>
      </c>
      <c r="H329">
        <v>155.5</v>
      </c>
      <c r="M329" t="s">
        <v>79</v>
      </c>
      <c r="N329" t="s">
        <v>75</v>
      </c>
    </row>
    <row r="330" spans="1:20" x14ac:dyDescent="0.25">
      <c r="A330" t="s">
        <v>369</v>
      </c>
      <c r="B330" s="4" t="s">
        <v>10</v>
      </c>
      <c r="C330" s="4" t="s">
        <v>73</v>
      </c>
      <c r="D330" s="4">
        <v>46139</v>
      </c>
      <c r="E330" s="5">
        <v>0.34574074074074074</v>
      </c>
      <c r="F330">
        <v>1</v>
      </c>
      <c r="G330" t="s">
        <v>82</v>
      </c>
      <c r="H330">
        <v>155.41666666666666</v>
      </c>
      <c r="M330" t="s">
        <v>79</v>
      </c>
      <c r="N330" t="s">
        <v>75</v>
      </c>
    </row>
    <row r="331" spans="1:20" x14ac:dyDescent="0.25">
      <c r="A331" t="s">
        <v>372</v>
      </c>
      <c r="B331" s="4" t="s">
        <v>10</v>
      </c>
      <c r="C331" s="4" t="s">
        <v>70</v>
      </c>
      <c r="D331" s="4">
        <v>46139</v>
      </c>
      <c r="E331" s="5">
        <v>0.346099537037037</v>
      </c>
      <c r="F331">
        <v>1</v>
      </c>
      <c r="G331" t="s">
        <v>82</v>
      </c>
      <c r="H331">
        <v>58</v>
      </c>
      <c r="L331" t="s">
        <v>369</v>
      </c>
      <c r="M331" t="s">
        <v>71</v>
      </c>
      <c r="N331" t="s">
        <v>75</v>
      </c>
      <c r="P331">
        <v>1</v>
      </c>
      <c r="S331">
        <v>1</v>
      </c>
      <c r="T331">
        <v>97.333333333333329</v>
      </c>
    </row>
    <row r="332" spans="1:20" x14ac:dyDescent="0.25">
      <c r="A332" t="s">
        <v>369</v>
      </c>
      <c r="B332" s="4" t="s">
        <v>10</v>
      </c>
      <c r="C332" s="4" t="s">
        <v>73</v>
      </c>
      <c r="D332" s="4">
        <v>46139</v>
      </c>
      <c r="E332" s="5">
        <v>0.346099537037037</v>
      </c>
      <c r="F332">
        <v>1</v>
      </c>
      <c r="G332" t="s">
        <v>82</v>
      </c>
      <c r="H332">
        <v>97.416666666666657</v>
      </c>
      <c r="M332" t="s">
        <v>79</v>
      </c>
      <c r="N332" t="s">
        <v>75</v>
      </c>
    </row>
    <row r="333" spans="1:20" x14ac:dyDescent="0.25">
      <c r="A333" t="s">
        <v>369</v>
      </c>
      <c r="B333" s="4" t="s">
        <v>10</v>
      </c>
      <c r="C333" s="4" t="s">
        <v>73</v>
      </c>
      <c r="D333" s="4">
        <v>46139</v>
      </c>
      <c r="E333" s="5">
        <v>0.346099537037037</v>
      </c>
      <c r="F333">
        <v>1</v>
      </c>
      <c r="G333" t="s">
        <v>82</v>
      </c>
      <c r="H333">
        <v>97.333333333333329</v>
      </c>
      <c r="M333" t="s">
        <v>79</v>
      </c>
      <c r="N333" t="s">
        <v>75</v>
      </c>
    </row>
    <row r="334" spans="1:20" x14ac:dyDescent="0.25">
      <c r="A334" t="s">
        <v>369</v>
      </c>
      <c r="B334" s="4" t="s">
        <v>10</v>
      </c>
      <c r="C334" s="4" t="s">
        <v>73</v>
      </c>
      <c r="D334" s="4">
        <v>46139</v>
      </c>
      <c r="E334" s="5">
        <v>0.34621527777777777</v>
      </c>
      <c r="F334">
        <v>1</v>
      </c>
      <c r="G334" t="s">
        <v>82</v>
      </c>
      <c r="H334">
        <v>97.333333333333329</v>
      </c>
      <c r="M334" t="s">
        <v>76</v>
      </c>
      <c r="N334" t="s">
        <v>75</v>
      </c>
    </row>
    <row r="335" spans="1:20" x14ac:dyDescent="0.25">
      <c r="A335" t="s">
        <v>373</v>
      </c>
      <c r="B335" s="4" t="s">
        <v>10</v>
      </c>
      <c r="C335" s="4" t="s">
        <v>73</v>
      </c>
      <c r="D335" s="4">
        <v>46139</v>
      </c>
      <c r="E335" s="5">
        <v>0.34667824074074072</v>
      </c>
      <c r="F335">
        <v>1</v>
      </c>
      <c r="G335" t="s">
        <v>82</v>
      </c>
      <c r="H335">
        <v>116.91666666666666</v>
      </c>
      <c r="M335" t="s">
        <v>79</v>
      </c>
      <c r="N335" t="s">
        <v>75</v>
      </c>
    </row>
    <row r="336" spans="1:20" x14ac:dyDescent="0.25">
      <c r="A336" t="s">
        <v>374</v>
      </c>
      <c r="B336" s="4" t="s">
        <v>10</v>
      </c>
      <c r="C336" s="4" t="s">
        <v>70</v>
      </c>
      <c r="D336" s="4">
        <v>46139</v>
      </c>
      <c r="E336" s="5">
        <v>0.34697916666666667</v>
      </c>
      <c r="F336">
        <v>1</v>
      </c>
      <c r="G336" t="s">
        <v>82</v>
      </c>
      <c r="H336">
        <v>25</v>
      </c>
      <c r="L336" t="s">
        <v>373</v>
      </c>
      <c r="M336" t="s">
        <v>71</v>
      </c>
      <c r="N336" t="s">
        <v>75</v>
      </c>
      <c r="O336">
        <v>1</v>
      </c>
    </row>
    <row r="337" spans="1:21" x14ac:dyDescent="0.25">
      <c r="A337" t="s">
        <v>373</v>
      </c>
      <c r="B337" s="4" t="s">
        <v>10</v>
      </c>
      <c r="C337" s="4" t="s">
        <v>73</v>
      </c>
      <c r="D337" s="4">
        <v>46139</v>
      </c>
      <c r="E337" s="5">
        <v>0.34697916666666667</v>
      </c>
      <c r="F337">
        <v>1</v>
      </c>
      <c r="G337" t="s">
        <v>82</v>
      </c>
      <c r="H337">
        <v>91.916666666666657</v>
      </c>
      <c r="M337" t="s">
        <v>79</v>
      </c>
      <c r="N337" t="s">
        <v>75</v>
      </c>
    </row>
    <row r="338" spans="1:21" x14ac:dyDescent="0.25">
      <c r="A338" t="s">
        <v>373</v>
      </c>
      <c r="B338" s="4" t="s">
        <v>10</v>
      </c>
      <c r="C338" s="4" t="s">
        <v>73</v>
      </c>
      <c r="D338" s="4">
        <v>46139</v>
      </c>
      <c r="E338" s="5">
        <v>0.34697916666666667</v>
      </c>
      <c r="F338">
        <v>1</v>
      </c>
      <c r="G338" t="s">
        <v>82</v>
      </c>
      <c r="H338">
        <v>91.833333333333329</v>
      </c>
      <c r="M338" t="s">
        <v>79</v>
      </c>
      <c r="N338" t="s">
        <v>75</v>
      </c>
    </row>
    <row r="339" spans="1:21" x14ac:dyDescent="0.25">
      <c r="A339" t="s">
        <v>375</v>
      </c>
      <c r="B339" s="4" t="s">
        <v>10</v>
      </c>
      <c r="C339" s="4" t="s">
        <v>70</v>
      </c>
      <c r="D339" s="4">
        <v>46139</v>
      </c>
      <c r="E339" s="5">
        <v>0.34731481481481474</v>
      </c>
      <c r="F339">
        <v>1</v>
      </c>
      <c r="G339" t="s">
        <v>82</v>
      </c>
      <c r="H339">
        <v>75</v>
      </c>
      <c r="L339" t="s">
        <v>373</v>
      </c>
      <c r="M339" t="s">
        <v>71</v>
      </c>
      <c r="N339" t="s">
        <v>75</v>
      </c>
      <c r="P339">
        <v>1</v>
      </c>
      <c r="R339">
        <v>1</v>
      </c>
      <c r="S339">
        <v>1</v>
      </c>
      <c r="T339">
        <v>16</v>
      </c>
    </row>
    <row r="340" spans="1:21" x14ac:dyDescent="0.25">
      <c r="A340" t="s">
        <v>373</v>
      </c>
      <c r="B340" s="4" t="s">
        <v>10</v>
      </c>
      <c r="C340" s="4" t="s">
        <v>73</v>
      </c>
      <c r="D340" s="4">
        <v>46139</v>
      </c>
      <c r="E340" s="5">
        <v>0.34731481481481474</v>
      </c>
      <c r="F340">
        <v>1</v>
      </c>
      <c r="G340" t="s">
        <v>82</v>
      </c>
      <c r="H340">
        <v>16.833333333333332</v>
      </c>
      <c r="M340" t="s">
        <v>79</v>
      </c>
      <c r="N340" t="s">
        <v>75</v>
      </c>
    </row>
    <row r="341" spans="1:21" x14ac:dyDescent="0.25">
      <c r="A341" t="s">
        <v>373</v>
      </c>
      <c r="B341" s="4" t="s">
        <v>10</v>
      </c>
      <c r="C341" s="4" t="s">
        <v>73</v>
      </c>
      <c r="D341" s="4">
        <v>46139</v>
      </c>
      <c r="E341" s="5">
        <v>0.34731481481481474</v>
      </c>
      <c r="F341">
        <v>1</v>
      </c>
      <c r="G341" t="s">
        <v>82</v>
      </c>
      <c r="H341">
        <v>16.75</v>
      </c>
      <c r="M341" t="s">
        <v>79</v>
      </c>
      <c r="N341" t="s">
        <v>75</v>
      </c>
    </row>
    <row r="342" spans="1:21" x14ac:dyDescent="0.25">
      <c r="A342" t="s">
        <v>373</v>
      </c>
      <c r="B342" s="4" t="s">
        <v>10</v>
      </c>
      <c r="C342" s="4" t="s">
        <v>73</v>
      </c>
      <c r="D342" s="4">
        <v>46139</v>
      </c>
      <c r="E342" s="5">
        <v>0.34768518518518515</v>
      </c>
      <c r="F342">
        <v>1</v>
      </c>
      <c r="G342" t="s">
        <v>82</v>
      </c>
      <c r="H342">
        <v>16</v>
      </c>
      <c r="M342" t="s">
        <v>76</v>
      </c>
      <c r="N342" t="s">
        <v>75</v>
      </c>
    </row>
    <row r="343" spans="1:21" x14ac:dyDescent="0.25">
      <c r="A343" t="s">
        <v>378</v>
      </c>
      <c r="B343" s="4" t="s">
        <v>10</v>
      </c>
      <c r="C343" s="4" t="s">
        <v>70</v>
      </c>
      <c r="D343" s="4">
        <v>46139</v>
      </c>
      <c r="E343" s="5">
        <v>0.34826388888888887</v>
      </c>
      <c r="F343">
        <v>1</v>
      </c>
      <c r="G343" t="s">
        <v>82</v>
      </c>
      <c r="H343">
        <v>45.5</v>
      </c>
      <c r="L343" t="s">
        <v>379</v>
      </c>
      <c r="M343" t="s">
        <v>71</v>
      </c>
      <c r="N343" t="s">
        <v>75</v>
      </c>
      <c r="O343">
        <v>1</v>
      </c>
    </row>
    <row r="344" spans="1:21" x14ac:dyDescent="0.25">
      <c r="A344" t="s">
        <v>379</v>
      </c>
      <c r="B344" s="4" t="s">
        <v>10</v>
      </c>
      <c r="C344" s="4" t="s">
        <v>73</v>
      </c>
      <c r="D344" s="4">
        <v>46139</v>
      </c>
      <c r="E344" s="5">
        <v>0.34826388888888887</v>
      </c>
      <c r="F344">
        <v>1</v>
      </c>
      <c r="G344" t="s">
        <v>82</v>
      </c>
      <c r="H344">
        <v>248.75</v>
      </c>
      <c r="M344" t="s">
        <v>79</v>
      </c>
      <c r="N344" t="s">
        <v>75</v>
      </c>
    </row>
    <row r="345" spans="1:21" x14ac:dyDescent="0.25">
      <c r="A345" t="s">
        <v>381</v>
      </c>
      <c r="B345" s="4" t="s">
        <v>10</v>
      </c>
      <c r="C345" s="4" t="s">
        <v>70</v>
      </c>
      <c r="D345" s="4">
        <v>46139</v>
      </c>
      <c r="E345" s="5">
        <v>0.34855324074074073</v>
      </c>
      <c r="F345">
        <v>1</v>
      </c>
      <c r="G345" t="s">
        <v>82</v>
      </c>
      <c r="H345">
        <v>48</v>
      </c>
      <c r="L345" t="s">
        <v>379</v>
      </c>
      <c r="M345" t="s">
        <v>71</v>
      </c>
      <c r="N345" t="s">
        <v>75</v>
      </c>
      <c r="P345">
        <v>1</v>
      </c>
    </row>
    <row r="346" spans="1:21" x14ac:dyDescent="0.25">
      <c r="A346" t="s">
        <v>379</v>
      </c>
      <c r="B346" s="4" t="s">
        <v>10</v>
      </c>
      <c r="C346" s="4" t="s">
        <v>73</v>
      </c>
      <c r="D346" s="4">
        <v>46139</v>
      </c>
      <c r="E346" s="5">
        <v>0.34855324074074073</v>
      </c>
      <c r="F346">
        <v>1</v>
      </c>
      <c r="G346" t="s">
        <v>82</v>
      </c>
      <c r="H346">
        <v>200.75</v>
      </c>
      <c r="M346" t="s">
        <v>79</v>
      </c>
      <c r="N346" t="s">
        <v>75</v>
      </c>
    </row>
    <row r="347" spans="1:21" x14ac:dyDescent="0.25">
      <c r="A347" t="s">
        <v>383</v>
      </c>
      <c r="B347" s="4" t="s">
        <v>10</v>
      </c>
      <c r="C347" s="4" t="s">
        <v>70</v>
      </c>
      <c r="D347" s="4">
        <v>46139</v>
      </c>
      <c r="E347" s="5">
        <v>0.34893518518518518</v>
      </c>
      <c r="F347">
        <v>1</v>
      </c>
      <c r="G347" t="s">
        <v>82</v>
      </c>
      <c r="H347">
        <v>76</v>
      </c>
      <c r="L347" t="s">
        <v>379</v>
      </c>
      <c r="M347" t="s">
        <v>71</v>
      </c>
      <c r="N347" t="s">
        <v>75</v>
      </c>
      <c r="P347">
        <v>1</v>
      </c>
    </row>
    <row r="348" spans="1:21" x14ac:dyDescent="0.25">
      <c r="A348" t="s">
        <v>379</v>
      </c>
      <c r="B348" s="4" t="s">
        <v>10</v>
      </c>
      <c r="C348" s="4" t="s">
        <v>73</v>
      </c>
      <c r="D348" s="4">
        <v>46139</v>
      </c>
      <c r="E348" s="5">
        <v>0.34893518518518518</v>
      </c>
      <c r="F348">
        <v>1</v>
      </c>
      <c r="G348" t="s">
        <v>82</v>
      </c>
      <c r="H348">
        <v>124.75</v>
      </c>
      <c r="M348" t="s">
        <v>79</v>
      </c>
      <c r="N348" t="s">
        <v>75</v>
      </c>
    </row>
    <row r="349" spans="1:21" x14ac:dyDescent="0.25">
      <c r="A349" t="s">
        <v>384</v>
      </c>
      <c r="B349" s="4" t="s">
        <v>10</v>
      </c>
      <c r="C349" s="4" t="s">
        <v>70</v>
      </c>
      <c r="D349" s="4">
        <v>46139</v>
      </c>
      <c r="E349" s="5">
        <v>0.3493518518518518</v>
      </c>
      <c r="F349">
        <v>1</v>
      </c>
      <c r="G349" t="s">
        <v>82</v>
      </c>
      <c r="H349">
        <v>88</v>
      </c>
      <c r="L349" t="s">
        <v>379</v>
      </c>
      <c r="M349" t="s">
        <v>71</v>
      </c>
      <c r="N349" t="s">
        <v>75</v>
      </c>
      <c r="P349">
        <v>1</v>
      </c>
    </row>
    <row r="350" spans="1:21" x14ac:dyDescent="0.25">
      <c r="A350" t="s">
        <v>379</v>
      </c>
      <c r="B350" s="4" t="s">
        <v>10</v>
      </c>
      <c r="C350" s="4" t="s">
        <v>73</v>
      </c>
      <c r="D350" s="4">
        <v>46139</v>
      </c>
      <c r="E350" s="5">
        <v>0.3493518518518518</v>
      </c>
      <c r="F350">
        <v>1</v>
      </c>
      <c r="G350" t="s">
        <v>82</v>
      </c>
      <c r="H350">
        <v>36.75</v>
      </c>
      <c r="M350" t="s">
        <v>79</v>
      </c>
      <c r="N350" t="s">
        <v>75</v>
      </c>
    </row>
    <row r="351" spans="1:21" x14ac:dyDescent="0.25">
      <c r="A351" t="s">
        <v>385</v>
      </c>
      <c r="B351" s="4" t="s">
        <v>10</v>
      </c>
      <c r="C351" s="4" t="s">
        <v>70</v>
      </c>
      <c r="D351" s="4">
        <v>46139</v>
      </c>
      <c r="E351" s="5">
        <v>0.3495833333333333</v>
      </c>
      <c r="F351">
        <v>1</v>
      </c>
      <c r="G351" t="s">
        <v>82</v>
      </c>
      <c r="H351">
        <v>34.5</v>
      </c>
      <c r="L351" t="s">
        <v>379</v>
      </c>
      <c r="M351" t="s">
        <v>71</v>
      </c>
      <c r="N351" t="s">
        <v>75</v>
      </c>
      <c r="P351">
        <v>1</v>
      </c>
      <c r="Q351">
        <v>1</v>
      </c>
      <c r="S351">
        <v>1</v>
      </c>
      <c r="U351">
        <v>1.6666666666666665</v>
      </c>
    </row>
    <row r="352" spans="1:21" x14ac:dyDescent="0.25">
      <c r="A352" t="s">
        <v>379</v>
      </c>
      <c r="B352" s="4" t="s">
        <v>10</v>
      </c>
      <c r="C352" s="4" t="s">
        <v>73</v>
      </c>
      <c r="D352" s="4">
        <v>46139</v>
      </c>
      <c r="E352" s="5">
        <v>0.3495833333333333</v>
      </c>
      <c r="F352">
        <v>1</v>
      </c>
      <c r="G352" t="s">
        <v>82</v>
      </c>
      <c r="H352">
        <v>2.25</v>
      </c>
      <c r="M352" t="s">
        <v>79</v>
      </c>
      <c r="N352" t="s">
        <v>75</v>
      </c>
    </row>
    <row r="353" spans="1:20" x14ac:dyDescent="0.25">
      <c r="A353" t="s">
        <v>379</v>
      </c>
      <c r="B353" s="4" t="s">
        <v>10</v>
      </c>
      <c r="C353" s="4" t="s">
        <v>73</v>
      </c>
      <c r="D353" s="4">
        <v>46139</v>
      </c>
      <c r="E353" s="5">
        <v>0.3495833333333333</v>
      </c>
      <c r="F353">
        <v>1</v>
      </c>
      <c r="G353" t="s">
        <v>82</v>
      </c>
      <c r="H353">
        <v>1.6666666666666665</v>
      </c>
      <c r="M353" t="s">
        <v>79</v>
      </c>
      <c r="N353" t="s">
        <v>75</v>
      </c>
    </row>
    <row r="354" spans="1:20" x14ac:dyDescent="0.25">
      <c r="A354" t="s">
        <v>379</v>
      </c>
      <c r="B354" s="4" t="s">
        <v>10</v>
      </c>
      <c r="C354" s="4" t="s">
        <v>73</v>
      </c>
      <c r="D354" s="4">
        <v>46139</v>
      </c>
      <c r="E354" s="5">
        <v>0.3495833333333333</v>
      </c>
      <c r="F354">
        <v>1</v>
      </c>
      <c r="G354" t="s">
        <v>82</v>
      </c>
      <c r="H354">
        <v>0</v>
      </c>
      <c r="M354" t="s">
        <v>79</v>
      </c>
      <c r="N354" t="s">
        <v>75</v>
      </c>
    </row>
    <row r="355" spans="1:20" x14ac:dyDescent="0.25">
      <c r="A355" t="s">
        <v>386</v>
      </c>
      <c r="B355" s="4" t="s">
        <v>10</v>
      </c>
      <c r="C355" s="4" t="s">
        <v>70</v>
      </c>
      <c r="D355" s="4">
        <v>46139</v>
      </c>
      <c r="E355" s="5">
        <v>0.35037037037037039</v>
      </c>
      <c r="F355">
        <v>1</v>
      </c>
      <c r="G355" t="s">
        <v>82</v>
      </c>
      <c r="H355">
        <v>112.5</v>
      </c>
      <c r="L355" t="s">
        <v>387</v>
      </c>
      <c r="M355" t="s">
        <v>71</v>
      </c>
      <c r="N355" t="s">
        <v>75</v>
      </c>
      <c r="O355">
        <v>1</v>
      </c>
      <c r="S355">
        <v>1</v>
      </c>
      <c r="T355">
        <v>114.25</v>
      </c>
    </row>
    <row r="356" spans="1:20" x14ac:dyDescent="0.25">
      <c r="A356" t="s">
        <v>387</v>
      </c>
      <c r="B356" s="4" t="s">
        <v>10</v>
      </c>
      <c r="C356" s="4" t="s">
        <v>73</v>
      </c>
      <c r="D356" s="4">
        <v>46139</v>
      </c>
      <c r="E356" s="5">
        <v>0.35037037037037039</v>
      </c>
      <c r="F356">
        <v>1</v>
      </c>
      <c r="G356" t="s">
        <v>82</v>
      </c>
      <c r="H356">
        <v>114.33333333333333</v>
      </c>
      <c r="M356" t="s">
        <v>79</v>
      </c>
      <c r="N356" t="s">
        <v>75</v>
      </c>
    </row>
    <row r="357" spans="1:20" x14ac:dyDescent="0.25">
      <c r="A357" t="s">
        <v>387</v>
      </c>
      <c r="B357" s="4" t="s">
        <v>10</v>
      </c>
      <c r="C357" s="4" t="s">
        <v>73</v>
      </c>
      <c r="D357" s="4">
        <v>46139</v>
      </c>
      <c r="E357" s="5">
        <v>0.35037037037037039</v>
      </c>
      <c r="F357">
        <v>1</v>
      </c>
      <c r="G357" t="s">
        <v>82</v>
      </c>
      <c r="H357">
        <v>114.25</v>
      </c>
      <c r="M357" t="s">
        <v>79</v>
      </c>
      <c r="N357" t="s">
        <v>75</v>
      </c>
    </row>
    <row r="358" spans="1:20" x14ac:dyDescent="0.25">
      <c r="A358" t="s">
        <v>387</v>
      </c>
      <c r="B358" s="4" t="s">
        <v>10</v>
      </c>
      <c r="C358" s="4" t="s">
        <v>73</v>
      </c>
      <c r="D358" s="4">
        <v>46139</v>
      </c>
      <c r="E358" s="5">
        <v>0.35049768518518515</v>
      </c>
      <c r="F358">
        <v>1</v>
      </c>
      <c r="G358" t="s">
        <v>82</v>
      </c>
      <c r="H358">
        <v>114.25</v>
      </c>
      <c r="M358" t="s">
        <v>76</v>
      </c>
      <c r="N358" t="s">
        <v>75</v>
      </c>
    </row>
    <row r="359" spans="1:20" x14ac:dyDescent="0.25">
      <c r="A359" t="s">
        <v>388</v>
      </c>
      <c r="B359" s="4" t="s">
        <v>10</v>
      </c>
      <c r="C359" s="4" t="s">
        <v>70</v>
      </c>
      <c r="D359" s="4">
        <v>46139</v>
      </c>
      <c r="E359" s="5">
        <v>0.35104166666666664</v>
      </c>
      <c r="F359">
        <v>1</v>
      </c>
      <c r="G359" t="s">
        <v>82</v>
      </c>
      <c r="H359">
        <v>14</v>
      </c>
      <c r="L359" t="s">
        <v>389</v>
      </c>
      <c r="M359" t="s">
        <v>71</v>
      </c>
      <c r="N359" t="s">
        <v>72</v>
      </c>
      <c r="O359">
        <v>1</v>
      </c>
    </row>
    <row r="360" spans="1:20" x14ac:dyDescent="0.25">
      <c r="A360" t="s">
        <v>389</v>
      </c>
      <c r="B360" s="4" t="s">
        <v>10</v>
      </c>
      <c r="C360" s="4" t="s">
        <v>73</v>
      </c>
      <c r="D360" s="4">
        <v>46139</v>
      </c>
      <c r="E360" s="5">
        <v>0.35104166666666664</v>
      </c>
      <c r="F360">
        <v>1</v>
      </c>
      <c r="G360" t="s">
        <v>82</v>
      </c>
      <c r="H360">
        <v>147.91666666666666</v>
      </c>
      <c r="M360" t="s">
        <v>79</v>
      </c>
      <c r="N360" t="s">
        <v>72</v>
      </c>
    </row>
    <row r="361" spans="1:20" x14ac:dyDescent="0.25">
      <c r="A361" t="s">
        <v>389</v>
      </c>
      <c r="B361" s="4" t="s">
        <v>10</v>
      </c>
      <c r="C361" s="4" t="s">
        <v>73</v>
      </c>
      <c r="D361" s="4">
        <v>46139</v>
      </c>
      <c r="E361" s="5">
        <v>0.35104166666666664</v>
      </c>
      <c r="F361">
        <v>1</v>
      </c>
      <c r="G361" t="s">
        <v>82</v>
      </c>
      <c r="H361">
        <v>147.83333333333334</v>
      </c>
      <c r="M361" t="s">
        <v>79</v>
      </c>
      <c r="N361" t="s">
        <v>72</v>
      </c>
    </row>
    <row r="362" spans="1:20" x14ac:dyDescent="0.25">
      <c r="A362" t="s">
        <v>392</v>
      </c>
      <c r="B362" s="4" t="s">
        <v>10</v>
      </c>
      <c r="C362" s="4" t="s">
        <v>70</v>
      </c>
      <c r="D362" s="4">
        <v>46139</v>
      </c>
      <c r="E362" s="5">
        <v>0.35153935185185181</v>
      </c>
      <c r="F362">
        <v>1</v>
      </c>
      <c r="G362" t="s">
        <v>82</v>
      </c>
      <c r="H362">
        <v>135</v>
      </c>
      <c r="L362" t="s">
        <v>389</v>
      </c>
      <c r="M362" t="s">
        <v>71</v>
      </c>
      <c r="N362" t="s">
        <v>72</v>
      </c>
      <c r="P362">
        <v>1</v>
      </c>
      <c r="R362">
        <v>1</v>
      </c>
      <c r="S362">
        <v>1</v>
      </c>
      <c r="T362">
        <v>13</v>
      </c>
    </row>
    <row r="363" spans="1:20" x14ac:dyDescent="0.25">
      <c r="A363" t="s">
        <v>389</v>
      </c>
      <c r="B363" s="4" t="s">
        <v>10</v>
      </c>
      <c r="C363" s="4" t="s">
        <v>73</v>
      </c>
      <c r="D363" s="4">
        <v>46139</v>
      </c>
      <c r="E363" s="5">
        <v>0.35153935185185181</v>
      </c>
      <c r="F363">
        <v>1</v>
      </c>
      <c r="G363" t="s">
        <v>82</v>
      </c>
      <c r="H363">
        <v>12.833333333333334</v>
      </c>
      <c r="M363" t="s">
        <v>79</v>
      </c>
      <c r="N363" t="s">
        <v>72</v>
      </c>
    </row>
    <row r="364" spans="1:20" x14ac:dyDescent="0.25">
      <c r="A364" t="s">
        <v>389</v>
      </c>
      <c r="B364" s="4" t="s">
        <v>10</v>
      </c>
      <c r="C364" s="4" t="s">
        <v>73</v>
      </c>
      <c r="D364" s="4">
        <v>46139</v>
      </c>
      <c r="E364" s="5">
        <v>0.35153935185185181</v>
      </c>
      <c r="F364">
        <v>1</v>
      </c>
      <c r="G364" t="s">
        <v>82</v>
      </c>
      <c r="H364">
        <v>12.75</v>
      </c>
      <c r="M364" t="s">
        <v>79</v>
      </c>
      <c r="N364" t="s">
        <v>72</v>
      </c>
    </row>
    <row r="365" spans="1:20" x14ac:dyDescent="0.25">
      <c r="A365" t="s">
        <v>389</v>
      </c>
      <c r="B365" s="4" t="s">
        <v>10</v>
      </c>
      <c r="C365" s="4" t="s">
        <v>73</v>
      </c>
      <c r="D365" s="4">
        <v>46139</v>
      </c>
      <c r="E365" s="5">
        <v>0.35165509259259259</v>
      </c>
      <c r="F365">
        <v>1</v>
      </c>
      <c r="G365" t="s">
        <v>82</v>
      </c>
      <c r="H365">
        <v>13</v>
      </c>
      <c r="M365" t="s">
        <v>76</v>
      </c>
      <c r="N365" t="s">
        <v>72</v>
      </c>
    </row>
    <row r="366" spans="1:20" x14ac:dyDescent="0.25">
      <c r="A366" t="s">
        <v>393</v>
      </c>
      <c r="B366" s="4" t="s">
        <v>10</v>
      </c>
      <c r="C366" s="4" t="s">
        <v>70</v>
      </c>
      <c r="D366" s="4">
        <v>46139</v>
      </c>
      <c r="E366" s="5">
        <v>0.35249999999999998</v>
      </c>
      <c r="F366">
        <v>1</v>
      </c>
      <c r="G366" t="s">
        <v>82</v>
      </c>
      <c r="H366">
        <v>195</v>
      </c>
      <c r="L366" t="s">
        <v>394</v>
      </c>
      <c r="M366" t="s">
        <v>71</v>
      </c>
      <c r="N366" t="s">
        <v>72</v>
      </c>
      <c r="O366">
        <v>1</v>
      </c>
      <c r="S366">
        <v>1</v>
      </c>
      <c r="T366">
        <v>107</v>
      </c>
    </row>
    <row r="367" spans="1:20" x14ac:dyDescent="0.25">
      <c r="A367" t="s">
        <v>394</v>
      </c>
      <c r="B367" s="4" t="s">
        <v>10</v>
      </c>
      <c r="C367" s="4" t="s">
        <v>73</v>
      </c>
      <c r="D367" s="4">
        <v>46139</v>
      </c>
      <c r="E367" s="5">
        <v>0.35249999999999998</v>
      </c>
      <c r="F367">
        <v>1</v>
      </c>
      <c r="G367" t="s">
        <v>82</v>
      </c>
      <c r="H367">
        <v>107.08333333333333</v>
      </c>
      <c r="M367" t="s">
        <v>79</v>
      </c>
      <c r="N367" t="s">
        <v>72</v>
      </c>
    </row>
    <row r="368" spans="1:20" x14ac:dyDescent="0.25">
      <c r="A368" t="s">
        <v>394</v>
      </c>
      <c r="B368" s="4" t="s">
        <v>10</v>
      </c>
      <c r="C368" s="4" t="s">
        <v>73</v>
      </c>
      <c r="D368" s="4">
        <v>46139</v>
      </c>
      <c r="E368" s="5">
        <v>0.35249999999999998</v>
      </c>
      <c r="F368">
        <v>1</v>
      </c>
      <c r="G368" t="s">
        <v>82</v>
      </c>
      <c r="H368">
        <v>107</v>
      </c>
      <c r="M368" t="s">
        <v>79</v>
      </c>
      <c r="N368" t="s">
        <v>72</v>
      </c>
    </row>
    <row r="369" spans="1:20" x14ac:dyDescent="0.25">
      <c r="A369" t="s">
        <v>394</v>
      </c>
      <c r="B369" s="4" t="s">
        <v>10</v>
      </c>
      <c r="C369" s="4" t="s">
        <v>73</v>
      </c>
      <c r="D369" s="4">
        <v>46139</v>
      </c>
      <c r="E369" s="5">
        <v>0.35260416666666666</v>
      </c>
      <c r="F369">
        <v>1</v>
      </c>
      <c r="G369" t="s">
        <v>82</v>
      </c>
      <c r="H369">
        <v>107</v>
      </c>
      <c r="M369" t="s">
        <v>76</v>
      </c>
      <c r="N369" t="s">
        <v>72</v>
      </c>
    </row>
    <row r="370" spans="1:20" x14ac:dyDescent="0.25">
      <c r="A370" t="s">
        <v>398</v>
      </c>
      <c r="B370" s="4" t="s">
        <v>10</v>
      </c>
      <c r="C370" s="4" t="s">
        <v>70</v>
      </c>
      <c r="D370" s="4">
        <v>46139</v>
      </c>
      <c r="E370" s="5">
        <v>0.35300925925925924</v>
      </c>
      <c r="F370">
        <v>1</v>
      </c>
      <c r="G370" t="s">
        <v>82</v>
      </c>
      <c r="H370">
        <v>9</v>
      </c>
      <c r="L370" t="s">
        <v>399</v>
      </c>
      <c r="M370" t="s">
        <v>71</v>
      </c>
      <c r="N370" t="s">
        <v>72</v>
      </c>
      <c r="O370">
        <v>1</v>
      </c>
      <c r="S370">
        <v>1</v>
      </c>
      <c r="T370">
        <v>78.75</v>
      </c>
    </row>
    <row r="371" spans="1:20" x14ac:dyDescent="0.25">
      <c r="A371" t="s">
        <v>399</v>
      </c>
      <c r="B371" s="4" t="s">
        <v>10</v>
      </c>
      <c r="C371" s="4" t="s">
        <v>73</v>
      </c>
      <c r="D371" s="4">
        <v>46139</v>
      </c>
      <c r="E371" s="5">
        <v>0.35300925925925924</v>
      </c>
      <c r="F371">
        <v>1</v>
      </c>
      <c r="G371" t="s">
        <v>82</v>
      </c>
      <c r="H371">
        <v>79.416666666666657</v>
      </c>
      <c r="M371" t="s">
        <v>79</v>
      </c>
      <c r="N371" t="s">
        <v>72</v>
      </c>
    </row>
    <row r="372" spans="1:20" x14ac:dyDescent="0.25">
      <c r="A372" t="s">
        <v>399</v>
      </c>
      <c r="B372" s="4" t="s">
        <v>10</v>
      </c>
      <c r="C372" s="4" t="s">
        <v>73</v>
      </c>
      <c r="D372" s="4">
        <v>46139</v>
      </c>
      <c r="E372" s="5">
        <v>0.35300925925925924</v>
      </c>
      <c r="F372">
        <v>1</v>
      </c>
      <c r="G372" t="s">
        <v>82</v>
      </c>
      <c r="H372">
        <v>79.333333333333329</v>
      </c>
      <c r="M372" t="s">
        <v>79</v>
      </c>
      <c r="N372" t="s">
        <v>72</v>
      </c>
    </row>
    <row r="373" spans="1:20" x14ac:dyDescent="0.25">
      <c r="A373" t="s">
        <v>399</v>
      </c>
      <c r="B373" s="4" t="s">
        <v>10</v>
      </c>
      <c r="C373" s="4" t="s">
        <v>73</v>
      </c>
      <c r="D373" s="4">
        <v>46139</v>
      </c>
      <c r="E373" s="5">
        <v>0.35341435185185183</v>
      </c>
      <c r="F373">
        <v>1</v>
      </c>
      <c r="G373" t="s">
        <v>82</v>
      </c>
      <c r="H373">
        <v>78.75</v>
      </c>
      <c r="M373" t="s">
        <v>76</v>
      </c>
      <c r="N373" t="s">
        <v>72</v>
      </c>
    </row>
    <row r="374" spans="1:20" x14ac:dyDescent="0.25">
      <c r="A374" t="s">
        <v>401</v>
      </c>
      <c r="B374" s="4" t="s">
        <v>10</v>
      </c>
      <c r="C374" s="4" t="s">
        <v>70</v>
      </c>
      <c r="D374" s="4">
        <v>46139</v>
      </c>
      <c r="E374" s="5">
        <v>0.35422453703703699</v>
      </c>
      <c r="F374">
        <v>1</v>
      </c>
      <c r="G374" t="s">
        <v>82</v>
      </c>
      <c r="H374">
        <v>150</v>
      </c>
      <c r="L374" t="s">
        <v>402</v>
      </c>
      <c r="M374" t="s">
        <v>71</v>
      </c>
      <c r="N374" t="s">
        <v>75</v>
      </c>
      <c r="O374">
        <v>1</v>
      </c>
      <c r="S374">
        <v>1</v>
      </c>
      <c r="T374">
        <v>109</v>
      </c>
    </row>
    <row r="375" spans="1:20" x14ac:dyDescent="0.25">
      <c r="A375" t="s">
        <v>402</v>
      </c>
      <c r="B375" s="4" t="s">
        <v>10</v>
      </c>
      <c r="C375" s="4" t="s">
        <v>73</v>
      </c>
      <c r="D375" s="4">
        <v>46139</v>
      </c>
      <c r="E375" s="5">
        <v>0.35422453703703699</v>
      </c>
      <c r="F375">
        <v>1</v>
      </c>
      <c r="G375" t="s">
        <v>82</v>
      </c>
      <c r="H375">
        <v>109.08333333333333</v>
      </c>
      <c r="M375" t="s">
        <v>79</v>
      </c>
      <c r="N375" t="s">
        <v>75</v>
      </c>
    </row>
    <row r="376" spans="1:20" x14ac:dyDescent="0.25">
      <c r="A376" t="s">
        <v>402</v>
      </c>
      <c r="B376" s="4" t="s">
        <v>10</v>
      </c>
      <c r="C376" s="4" t="s">
        <v>73</v>
      </c>
      <c r="D376" s="4">
        <v>46139</v>
      </c>
      <c r="E376" s="5">
        <v>0.35422453703703699</v>
      </c>
      <c r="F376">
        <v>1</v>
      </c>
      <c r="G376" t="s">
        <v>82</v>
      </c>
      <c r="H376">
        <v>109</v>
      </c>
      <c r="M376" t="s">
        <v>79</v>
      </c>
      <c r="N376" t="s">
        <v>75</v>
      </c>
    </row>
    <row r="377" spans="1:20" x14ac:dyDescent="0.25">
      <c r="A377" t="s">
        <v>402</v>
      </c>
      <c r="B377" s="4" t="s">
        <v>10</v>
      </c>
      <c r="C377" s="4" t="s">
        <v>73</v>
      </c>
      <c r="D377" s="4">
        <v>46139</v>
      </c>
      <c r="E377" s="5">
        <v>0.35435185185185181</v>
      </c>
      <c r="F377">
        <v>1</v>
      </c>
      <c r="G377" t="s">
        <v>82</v>
      </c>
      <c r="H377">
        <v>109</v>
      </c>
      <c r="M377" t="s">
        <v>76</v>
      </c>
      <c r="N377" t="s">
        <v>75</v>
      </c>
    </row>
    <row r="378" spans="1:20" x14ac:dyDescent="0.25">
      <c r="A378" t="s">
        <v>404</v>
      </c>
      <c r="B378" s="4" t="s">
        <v>10</v>
      </c>
      <c r="C378" s="4" t="s">
        <v>70</v>
      </c>
      <c r="D378" s="4">
        <v>46139</v>
      </c>
      <c r="E378" s="5">
        <v>0.35498842592592589</v>
      </c>
      <c r="F378">
        <v>1</v>
      </c>
      <c r="G378" t="s">
        <v>82</v>
      </c>
      <c r="H378">
        <v>86.666666666666657</v>
      </c>
      <c r="L378" t="s">
        <v>405</v>
      </c>
      <c r="M378" t="s">
        <v>71</v>
      </c>
      <c r="N378" t="s">
        <v>75</v>
      </c>
      <c r="O378">
        <v>1</v>
      </c>
      <c r="S378">
        <v>1</v>
      </c>
      <c r="T378">
        <v>133.08333333333331</v>
      </c>
    </row>
    <row r="379" spans="1:20" x14ac:dyDescent="0.25">
      <c r="A379" t="s">
        <v>405</v>
      </c>
      <c r="B379" s="4" t="s">
        <v>10</v>
      </c>
      <c r="C379" s="4" t="s">
        <v>73</v>
      </c>
      <c r="D379" s="4">
        <v>46139</v>
      </c>
      <c r="E379" s="5">
        <v>0.35498842592592589</v>
      </c>
      <c r="F379">
        <v>1</v>
      </c>
      <c r="G379" t="s">
        <v>82</v>
      </c>
      <c r="H379">
        <v>133.16666666666666</v>
      </c>
      <c r="M379" t="s">
        <v>74</v>
      </c>
      <c r="N379" t="s">
        <v>75</v>
      </c>
    </row>
    <row r="380" spans="1:20" x14ac:dyDescent="0.25">
      <c r="A380" t="s">
        <v>405</v>
      </c>
      <c r="B380" s="4" t="s">
        <v>10</v>
      </c>
      <c r="C380" s="4" t="s">
        <v>73</v>
      </c>
      <c r="D380" s="4">
        <v>46139</v>
      </c>
      <c r="E380" s="5">
        <v>0.35498842592592589</v>
      </c>
      <c r="F380">
        <v>1</v>
      </c>
      <c r="G380" t="s">
        <v>82</v>
      </c>
      <c r="H380">
        <v>133.08333333333331</v>
      </c>
      <c r="M380" t="s">
        <v>74</v>
      </c>
      <c r="N380" t="s">
        <v>75</v>
      </c>
    </row>
    <row r="381" spans="1:20" x14ac:dyDescent="0.25">
      <c r="A381" t="s">
        <v>405</v>
      </c>
      <c r="B381" s="4" t="s">
        <v>10</v>
      </c>
      <c r="C381" s="4" t="s">
        <v>73</v>
      </c>
      <c r="D381" s="4">
        <v>46139</v>
      </c>
      <c r="E381" s="5">
        <v>0.35509259259259257</v>
      </c>
      <c r="F381">
        <v>1</v>
      </c>
      <c r="G381" t="s">
        <v>82</v>
      </c>
      <c r="H381">
        <v>133.08333333333331</v>
      </c>
      <c r="M381" t="s">
        <v>76</v>
      </c>
      <c r="N381" t="s">
        <v>75</v>
      </c>
    </row>
    <row r="382" spans="1:20" x14ac:dyDescent="0.25">
      <c r="A382" t="s">
        <v>408</v>
      </c>
      <c r="B382" s="4" t="s">
        <v>10</v>
      </c>
      <c r="C382" s="4" t="s">
        <v>70</v>
      </c>
      <c r="D382" s="4">
        <v>46139</v>
      </c>
      <c r="E382" s="5">
        <v>0.35554398148148147</v>
      </c>
      <c r="F382">
        <v>1</v>
      </c>
      <c r="G382" t="s">
        <v>82</v>
      </c>
      <c r="H382">
        <v>14</v>
      </c>
      <c r="L382" t="s">
        <v>409</v>
      </c>
      <c r="M382" t="s">
        <v>71</v>
      </c>
      <c r="N382" t="s">
        <v>75</v>
      </c>
      <c r="O382">
        <v>1</v>
      </c>
    </row>
    <row r="383" spans="1:20" x14ac:dyDescent="0.25">
      <c r="A383" t="s">
        <v>409</v>
      </c>
      <c r="B383" s="4" t="s">
        <v>10</v>
      </c>
      <c r="C383" s="4" t="s">
        <v>73</v>
      </c>
      <c r="D383" s="4">
        <v>46139</v>
      </c>
      <c r="E383" s="5">
        <v>0.35554398148148147</v>
      </c>
      <c r="F383">
        <v>1</v>
      </c>
      <c r="G383" t="s">
        <v>82</v>
      </c>
      <c r="H383">
        <v>277.91666666666669</v>
      </c>
      <c r="M383" t="s">
        <v>74</v>
      </c>
      <c r="N383" t="s">
        <v>75</v>
      </c>
    </row>
    <row r="384" spans="1:20" x14ac:dyDescent="0.25">
      <c r="A384" t="s">
        <v>409</v>
      </c>
      <c r="B384" s="4" t="s">
        <v>10</v>
      </c>
      <c r="C384" s="4" t="s">
        <v>73</v>
      </c>
      <c r="D384" s="4">
        <v>46139</v>
      </c>
      <c r="E384" s="5">
        <v>0.35554398148148147</v>
      </c>
      <c r="F384">
        <v>1</v>
      </c>
      <c r="G384" t="s">
        <v>82</v>
      </c>
      <c r="H384">
        <v>277.83333333333331</v>
      </c>
      <c r="M384" t="s">
        <v>74</v>
      </c>
      <c r="N384" t="s">
        <v>75</v>
      </c>
    </row>
    <row r="385" spans="1:20" x14ac:dyDescent="0.25">
      <c r="A385" t="s">
        <v>410</v>
      </c>
      <c r="B385" s="4" t="s">
        <v>10</v>
      </c>
      <c r="C385" s="4" t="s">
        <v>70</v>
      </c>
      <c r="D385" s="4">
        <v>46139</v>
      </c>
      <c r="E385" s="5">
        <v>0.35575231481481479</v>
      </c>
      <c r="F385">
        <v>1</v>
      </c>
      <c r="G385" t="s">
        <v>82</v>
      </c>
      <c r="H385">
        <v>14</v>
      </c>
      <c r="L385" t="s">
        <v>409</v>
      </c>
      <c r="M385" t="s">
        <v>71</v>
      </c>
      <c r="N385" t="s">
        <v>75</v>
      </c>
      <c r="P385">
        <v>1</v>
      </c>
    </row>
    <row r="386" spans="1:20" x14ac:dyDescent="0.25">
      <c r="A386" t="s">
        <v>409</v>
      </c>
      <c r="B386" s="4" t="s">
        <v>10</v>
      </c>
      <c r="C386" s="4" t="s">
        <v>73</v>
      </c>
      <c r="D386" s="4">
        <v>46139</v>
      </c>
      <c r="E386" s="5">
        <v>0.35575231481481479</v>
      </c>
      <c r="F386">
        <v>1</v>
      </c>
      <c r="G386" t="s">
        <v>82</v>
      </c>
      <c r="H386">
        <v>263.83333333333331</v>
      </c>
      <c r="M386" t="s">
        <v>74</v>
      </c>
      <c r="N386" t="s">
        <v>75</v>
      </c>
    </row>
    <row r="387" spans="1:20" x14ac:dyDescent="0.25">
      <c r="A387" t="s">
        <v>409</v>
      </c>
      <c r="B387" s="4" t="s">
        <v>10</v>
      </c>
      <c r="C387" s="4" t="s">
        <v>73</v>
      </c>
      <c r="D387" s="4">
        <v>46139</v>
      </c>
      <c r="E387" s="5">
        <v>0.35575231481481479</v>
      </c>
      <c r="F387">
        <v>1</v>
      </c>
      <c r="G387" t="s">
        <v>82</v>
      </c>
      <c r="H387">
        <v>263.75</v>
      </c>
      <c r="M387" t="s">
        <v>74</v>
      </c>
      <c r="N387" t="s">
        <v>75</v>
      </c>
    </row>
    <row r="388" spans="1:20" x14ac:dyDescent="0.25">
      <c r="A388" t="s">
        <v>411</v>
      </c>
      <c r="B388" s="4" t="s">
        <v>10</v>
      </c>
      <c r="C388" s="4" t="s">
        <v>70</v>
      </c>
      <c r="D388" s="4">
        <v>46139</v>
      </c>
      <c r="E388" s="5">
        <v>0.35605324074074068</v>
      </c>
      <c r="F388">
        <v>1</v>
      </c>
      <c r="G388" t="s">
        <v>82</v>
      </c>
      <c r="H388">
        <v>15</v>
      </c>
      <c r="L388" t="s">
        <v>409</v>
      </c>
      <c r="M388" t="s">
        <v>71</v>
      </c>
      <c r="N388" t="s">
        <v>75</v>
      </c>
      <c r="P388">
        <v>1</v>
      </c>
    </row>
    <row r="389" spans="1:20" x14ac:dyDescent="0.25">
      <c r="A389" t="s">
        <v>409</v>
      </c>
      <c r="B389" s="4" t="s">
        <v>10</v>
      </c>
      <c r="C389" s="4" t="s">
        <v>73</v>
      </c>
      <c r="D389" s="4">
        <v>46139</v>
      </c>
      <c r="E389" s="5">
        <v>0.35605324074074068</v>
      </c>
      <c r="F389">
        <v>1</v>
      </c>
      <c r="G389" t="s">
        <v>82</v>
      </c>
      <c r="H389">
        <v>248.75</v>
      </c>
      <c r="M389" t="s">
        <v>74</v>
      </c>
      <c r="N389" t="s">
        <v>75</v>
      </c>
    </row>
    <row r="390" spans="1:20" x14ac:dyDescent="0.25">
      <c r="A390" t="s">
        <v>409</v>
      </c>
      <c r="B390" s="4" t="s">
        <v>10</v>
      </c>
      <c r="C390" s="4" t="s">
        <v>73</v>
      </c>
      <c r="D390" s="4">
        <v>46139</v>
      </c>
      <c r="E390" s="5">
        <v>0.35605324074074068</v>
      </c>
      <c r="F390">
        <v>1</v>
      </c>
      <c r="G390" t="s">
        <v>82</v>
      </c>
      <c r="H390">
        <v>248.66666666666666</v>
      </c>
      <c r="M390" t="s">
        <v>74</v>
      </c>
      <c r="N390" t="s">
        <v>75</v>
      </c>
    </row>
    <row r="391" spans="1:20" x14ac:dyDescent="0.25">
      <c r="A391" t="s">
        <v>412</v>
      </c>
      <c r="B391" s="4" t="s">
        <v>10</v>
      </c>
      <c r="C391" s="4" t="s">
        <v>70</v>
      </c>
      <c r="D391" s="4">
        <v>46139</v>
      </c>
      <c r="E391" s="5">
        <v>0.356412037037037</v>
      </c>
      <c r="F391">
        <v>1</v>
      </c>
      <c r="G391" t="s">
        <v>82</v>
      </c>
      <c r="H391">
        <v>46</v>
      </c>
      <c r="L391" t="s">
        <v>409</v>
      </c>
      <c r="M391" t="s">
        <v>71</v>
      </c>
      <c r="N391" t="s">
        <v>75</v>
      </c>
      <c r="P391">
        <v>1</v>
      </c>
    </row>
    <row r="392" spans="1:20" x14ac:dyDescent="0.25">
      <c r="A392" t="s">
        <v>409</v>
      </c>
      <c r="B392" s="4" t="s">
        <v>10</v>
      </c>
      <c r="C392" s="4" t="s">
        <v>73</v>
      </c>
      <c r="D392" s="4">
        <v>46139</v>
      </c>
      <c r="E392" s="5">
        <v>0.356412037037037</v>
      </c>
      <c r="F392">
        <v>1</v>
      </c>
      <c r="G392" t="s">
        <v>82</v>
      </c>
      <c r="H392">
        <v>202.66666666666663</v>
      </c>
      <c r="M392" t="s">
        <v>74</v>
      </c>
      <c r="N392" t="s">
        <v>75</v>
      </c>
    </row>
    <row r="393" spans="1:20" x14ac:dyDescent="0.25">
      <c r="A393" t="s">
        <v>409</v>
      </c>
      <c r="B393" s="4" t="s">
        <v>10</v>
      </c>
      <c r="C393" s="4" t="s">
        <v>73</v>
      </c>
      <c r="D393" s="4">
        <v>46139</v>
      </c>
      <c r="E393" s="5">
        <v>0.356412037037037</v>
      </c>
      <c r="F393">
        <v>1</v>
      </c>
      <c r="G393" t="s">
        <v>82</v>
      </c>
      <c r="H393">
        <v>202.58333333333334</v>
      </c>
      <c r="M393" t="s">
        <v>74</v>
      </c>
      <c r="N393" t="s">
        <v>75</v>
      </c>
    </row>
    <row r="394" spans="1:20" x14ac:dyDescent="0.25">
      <c r="A394" t="s">
        <v>413</v>
      </c>
      <c r="B394" s="4" t="s">
        <v>10</v>
      </c>
      <c r="C394" s="4" t="s">
        <v>70</v>
      </c>
      <c r="D394" s="4">
        <v>46139</v>
      </c>
      <c r="E394" s="5">
        <v>0.35668981481481482</v>
      </c>
      <c r="F394">
        <v>1</v>
      </c>
      <c r="G394" t="s">
        <v>82</v>
      </c>
      <c r="H394">
        <v>47</v>
      </c>
      <c r="L394" t="s">
        <v>409</v>
      </c>
      <c r="M394" t="s">
        <v>71</v>
      </c>
      <c r="N394" t="s">
        <v>75</v>
      </c>
      <c r="P394">
        <v>1</v>
      </c>
      <c r="S394">
        <v>1</v>
      </c>
      <c r="T394">
        <v>155.5</v>
      </c>
    </row>
    <row r="395" spans="1:20" x14ac:dyDescent="0.25">
      <c r="A395" t="s">
        <v>409</v>
      </c>
      <c r="B395" s="4" t="s">
        <v>10</v>
      </c>
      <c r="C395" s="4" t="s">
        <v>73</v>
      </c>
      <c r="D395" s="4">
        <v>46139</v>
      </c>
      <c r="E395" s="5">
        <v>0.35668981481481482</v>
      </c>
      <c r="F395">
        <v>1</v>
      </c>
      <c r="G395" t="s">
        <v>82</v>
      </c>
      <c r="H395">
        <v>155.58333333333331</v>
      </c>
      <c r="M395" t="s">
        <v>74</v>
      </c>
      <c r="N395" t="s">
        <v>75</v>
      </c>
    </row>
    <row r="396" spans="1:20" x14ac:dyDescent="0.25">
      <c r="A396" t="s">
        <v>409</v>
      </c>
      <c r="B396" s="4" t="s">
        <v>10</v>
      </c>
      <c r="C396" s="4" t="s">
        <v>73</v>
      </c>
      <c r="D396" s="4">
        <v>46139</v>
      </c>
      <c r="E396" s="5">
        <v>0.35668981481481482</v>
      </c>
      <c r="F396">
        <v>1</v>
      </c>
      <c r="G396" t="s">
        <v>82</v>
      </c>
      <c r="H396">
        <v>155.5</v>
      </c>
      <c r="M396" t="s">
        <v>74</v>
      </c>
      <c r="N396" t="s">
        <v>75</v>
      </c>
    </row>
    <row r="397" spans="1:20" x14ac:dyDescent="0.25">
      <c r="A397" t="s">
        <v>409</v>
      </c>
      <c r="B397" s="4" t="s">
        <v>10</v>
      </c>
      <c r="C397" s="4" t="s">
        <v>73</v>
      </c>
      <c r="D397" s="4">
        <v>46139</v>
      </c>
      <c r="E397" s="5">
        <v>0.35679398148148145</v>
      </c>
      <c r="F397">
        <v>1</v>
      </c>
      <c r="G397" t="s">
        <v>82</v>
      </c>
      <c r="H397">
        <v>155.5</v>
      </c>
      <c r="M397" t="s">
        <v>76</v>
      </c>
      <c r="N397" t="s">
        <v>75</v>
      </c>
    </row>
    <row r="398" spans="1:20" x14ac:dyDescent="0.25">
      <c r="A398" t="s">
        <v>417</v>
      </c>
      <c r="B398" s="4" t="s">
        <v>10</v>
      </c>
      <c r="C398" s="4" t="s">
        <v>70</v>
      </c>
      <c r="D398" s="4">
        <v>46139</v>
      </c>
      <c r="E398" s="5">
        <v>0.35729166666666667</v>
      </c>
      <c r="F398">
        <v>1</v>
      </c>
      <c r="G398" t="s">
        <v>82</v>
      </c>
      <c r="H398">
        <v>26.083333333333336</v>
      </c>
      <c r="L398" t="s">
        <v>418</v>
      </c>
      <c r="M398" t="s">
        <v>71</v>
      </c>
      <c r="N398" t="s">
        <v>75</v>
      </c>
      <c r="O398">
        <v>1</v>
      </c>
      <c r="S398">
        <v>1</v>
      </c>
      <c r="T398">
        <v>146.58333333333334</v>
      </c>
    </row>
    <row r="399" spans="1:20" x14ac:dyDescent="0.25">
      <c r="A399" t="s">
        <v>418</v>
      </c>
      <c r="B399" s="4" t="s">
        <v>10</v>
      </c>
      <c r="C399" s="4" t="s">
        <v>73</v>
      </c>
      <c r="D399" s="4">
        <v>46139</v>
      </c>
      <c r="E399" s="5">
        <v>0.35729166666666667</v>
      </c>
      <c r="F399">
        <v>1</v>
      </c>
      <c r="G399" t="s">
        <v>82</v>
      </c>
      <c r="H399">
        <v>146.66666666666666</v>
      </c>
      <c r="M399" t="s">
        <v>79</v>
      </c>
      <c r="N399" t="s">
        <v>75</v>
      </c>
    </row>
    <row r="400" spans="1:20" x14ac:dyDescent="0.25">
      <c r="A400" t="s">
        <v>418</v>
      </c>
      <c r="B400" s="4" t="s">
        <v>10</v>
      </c>
      <c r="C400" s="4" t="s">
        <v>73</v>
      </c>
      <c r="D400" s="4">
        <v>46139</v>
      </c>
      <c r="E400" s="5">
        <v>0.35729166666666667</v>
      </c>
      <c r="F400">
        <v>1</v>
      </c>
      <c r="G400" t="s">
        <v>82</v>
      </c>
      <c r="H400">
        <v>146.58333333333334</v>
      </c>
      <c r="M400" t="s">
        <v>79</v>
      </c>
      <c r="N400" t="s">
        <v>75</v>
      </c>
    </row>
    <row r="401" spans="1:20" x14ac:dyDescent="0.25">
      <c r="A401" t="s">
        <v>418</v>
      </c>
      <c r="B401" s="4" t="s">
        <v>10</v>
      </c>
      <c r="C401" s="4" t="s">
        <v>73</v>
      </c>
      <c r="D401" s="4">
        <v>46139</v>
      </c>
      <c r="E401" s="5">
        <v>0.3573958333333333</v>
      </c>
      <c r="F401">
        <v>1</v>
      </c>
      <c r="G401" t="s">
        <v>82</v>
      </c>
      <c r="H401">
        <v>146.58333333333334</v>
      </c>
      <c r="M401" t="s">
        <v>76</v>
      </c>
      <c r="N401" t="s">
        <v>75</v>
      </c>
    </row>
    <row r="402" spans="1:20" x14ac:dyDescent="0.25">
      <c r="A402" t="s">
        <v>419</v>
      </c>
      <c r="B402" s="4" t="s">
        <v>10</v>
      </c>
      <c r="C402" s="4" t="s">
        <v>70</v>
      </c>
      <c r="D402" s="4">
        <v>46139</v>
      </c>
      <c r="E402" s="5">
        <v>0.35789351851851847</v>
      </c>
      <c r="F402">
        <v>1</v>
      </c>
      <c r="G402" t="s">
        <v>82</v>
      </c>
      <c r="H402">
        <v>5</v>
      </c>
      <c r="L402" t="s">
        <v>420</v>
      </c>
      <c r="M402" t="s">
        <v>71</v>
      </c>
      <c r="N402" t="s">
        <v>72</v>
      </c>
      <c r="O402">
        <v>1</v>
      </c>
    </row>
    <row r="403" spans="1:20" x14ac:dyDescent="0.25">
      <c r="A403" t="s">
        <v>420</v>
      </c>
      <c r="B403" s="4" t="s">
        <v>10</v>
      </c>
      <c r="C403" s="4" t="s">
        <v>73</v>
      </c>
      <c r="D403" s="4">
        <v>46139</v>
      </c>
      <c r="E403" s="5">
        <v>0.35789351851851847</v>
      </c>
      <c r="F403">
        <v>1</v>
      </c>
      <c r="G403" t="s">
        <v>82</v>
      </c>
      <c r="H403">
        <v>102.5</v>
      </c>
      <c r="M403" t="s">
        <v>79</v>
      </c>
      <c r="N403" t="s">
        <v>72</v>
      </c>
    </row>
    <row r="404" spans="1:20" x14ac:dyDescent="0.25">
      <c r="A404" t="s">
        <v>422</v>
      </c>
      <c r="B404" s="4" t="s">
        <v>10</v>
      </c>
      <c r="C404" s="4" t="s">
        <v>70</v>
      </c>
      <c r="D404" s="4">
        <v>46139</v>
      </c>
      <c r="E404" s="5">
        <v>0.35826388888888888</v>
      </c>
      <c r="F404">
        <v>1</v>
      </c>
      <c r="G404" t="s">
        <v>82</v>
      </c>
      <c r="H404">
        <v>34.5</v>
      </c>
      <c r="L404" t="s">
        <v>420</v>
      </c>
      <c r="M404" t="s">
        <v>71</v>
      </c>
      <c r="N404" t="s">
        <v>72</v>
      </c>
      <c r="P404">
        <v>1</v>
      </c>
      <c r="S404">
        <v>1</v>
      </c>
      <c r="T404">
        <v>66.75</v>
      </c>
    </row>
    <row r="405" spans="1:20" x14ac:dyDescent="0.25">
      <c r="A405" t="s">
        <v>420</v>
      </c>
      <c r="B405" s="4" t="s">
        <v>10</v>
      </c>
      <c r="C405" s="4" t="s">
        <v>73</v>
      </c>
      <c r="D405" s="4">
        <v>46139</v>
      </c>
      <c r="E405" s="5">
        <v>0.35826388888888888</v>
      </c>
      <c r="F405">
        <v>1</v>
      </c>
      <c r="G405" t="s">
        <v>82</v>
      </c>
      <c r="H405">
        <v>68</v>
      </c>
      <c r="M405" t="s">
        <v>79</v>
      </c>
      <c r="N405" t="s">
        <v>72</v>
      </c>
    </row>
    <row r="406" spans="1:20" x14ac:dyDescent="0.25">
      <c r="A406" t="s">
        <v>420</v>
      </c>
      <c r="B406" s="4" t="s">
        <v>10</v>
      </c>
      <c r="C406" s="4" t="s">
        <v>73</v>
      </c>
      <c r="D406" s="4">
        <v>46139</v>
      </c>
      <c r="E406" s="5">
        <v>0.35854166666666665</v>
      </c>
      <c r="F406">
        <v>1</v>
      </c>
      <c r="G406" t="s">
        <v>82</v>
      </c>
      <c r="H406">
        <v>66.75</v>
      </c>
      <c r="M406" t="s">
        <v>76</v>
      </c>
      <c r="N406" t="s">
        <v>72</v>
      </c>
    </row>
    <row r="407" spans="1:20" x14ac:dyDescent="0.25">
      <c r="A407" t="s">
        <v>425</v>
      </c>
      <c r="B407" s="4" t="s">
        <v>10</v>
      </c>
      <c r="C407" s="4" t="s">
        <v>70</v>
      </c>
      <c r="D407" s="4">
        <v>46139</v>
      </c>
      <c r="E407" s="5">
        <v>0.35909722222222223</v>
      </c>
      <c r="F407">
        <v>1</v>
      </c>
      <c r="G407" t="s">
        <v>82</v>
      </c>
      <c r="H407">
        <v>11.5</v>
      </c>
      <c r="L407" t="s">
        <v>426</v>
      </c>
      <c r="M407" t="s">
        <v>71</v>
      </c>
      <c r="N407" t="s">
        <v>72</v>
      </c>
      <c r="O407">
        <v>1</v>
      </c>
      <c r="S407">
        <v>1</v>
      </c>
      <c r="T407">
        <v>34.416666666666664</v>
      </c>
    </row>
    <row r="408" spans="1:20" x14ac:dyDescent="0.25">
      <c r="A408" t="s">
        <v>426</v>
      </c>
      <c r="B408" s="4" t="s">
        <v>10</v>
      </c>
      <c r="C408" s="4" t="s">
        <v>73</v>
      </c>
      <c r="D408" s="4">
        <v>46139</v>
      </c>
      <c r="E408" s="5">
        <v>0.35909722222222223</v>
      </c>
      <c r="F408">
        <v>1</v>
      </c>
      <c r="G408" t="s">
        <v>82</v>
      </c>
      <c r="H408">
        <v>34.583333333333336</v>
      </c>
      <c r="M408" t="s">
        <v>79</v>
      </c>
      <c r="N408" t="s">
        <v>72</v>
      </c>
    </row>
    <row r="409" spans="1:20" x14ac:dyDescent="0.25">
      <c r="A409" t="s">
        <v>426</v>
      </c>
      <c r="B409" s="4" t="s">
        <v>10</v>
      </c>
      <c r="C409" s="4" t="s">
        <v>73</v>
      </c>
      <c r="D409" s="4">
        <v>46139</v>
      </c>
      <c r="E409" s="5">
        <v>0.35909722222222223</v>
      </c>
      <c r="F409">
        <v>1</v>
      </c>
      <c r="G409" t="s">
        <v>82</v>
      </c>
      <c r="H409">
        <v>34.5</v>
      </c>
      <c r="M409" t="s">
        <v>79</v>
      </c>
      <c r="N409" t="s">
        <v>72</v>
      </c>
    </row>
    <row r="410" spans="1:20" x14ac:dyDescent="0.25">
      <c r="A410" t="s">
        <v>426</v>
      </c>
      <c r="B410" s="4" t="s">
        <v>10</v>
      </c>
      <c r="C410" s="4" t="s">
        <v>73</v>
      </c>
      <c r="D410" s="4">
        <v>46139</v>
      </c>
      <c r="E410" s="5">
        <v>0.35936342592592591</v>
      </c>
      <c r="F410">
        <v>1</v>
      </c>
      <c r="G410" t="s">
        <v>82</v>
      </c>
      <c r="H410">
        <v>34.416666666666664</v>
      </c>
      <c r="M410" t="s">
        <v>76</v>
      </c>
      <c r="N410" t="s">
        <v>72</v>
      </c>
    </row>
    <row r="411" spans="1:20" x14ac:dyDescent="0.25">
      <c r="A411" t="s">
        <v>428</v>
      </c>
      <c r="B411" s="4" t="s">
        <v>10</v>
      </c>
      <c r="C411" s="4" t="s">
        <v>70</v>
      </c>
      <c r="D411" s="4">
        <v>46139</v>
      </c>
      <c r="E411" s="5">
        <v>0.35988425925925921</v>
      </c>
      <c r="F411">
        <v>1</v>
      </c>
      <c r="G411" t="s">
        <v>82</v>
      </c>
      <c r="H411">
        <v>50.5</v>
      </c>
      <c r="L411" t="s">
        <v>429</v>
      </c>
      <c r="M411" t="s">
        <v>71</v>
      </c>
      <c r="N411" t="s">
        <v>72</v>
      </c>
      <c r="O411">
        <v>1</v>
      </c>
      <c r="S411">
        <v>1</v>
      </c>
      <c r="T411">
        <v>137.41666666666666</v>
      </c>
    </row>
    <row r="412" spans="1:20" x14ac:dyDescent="0.25">
      <c r="A412" t="s">
        <v>429</v>
      </c>
      <c r="B412" s="4" t="s">
        <v>10</v>
      </c>
      <c r="C412" s="4" t="s">
        <v>73</v>
      </c>
      <c r="D412" s="4">
        <v>46139</v>
      </c>
      <c r="E412" s="5">
        <v>0.35988425925925921</v>
      </c>
      <c r="F412">
        <v>1</v>
      </c>
      <c r="G412" t="s">
        <v>82</v>
      </c>
      <c r="H412">
        <v>137.5</v>
      </c>
      <c r="M412" t="s">
        <v>79</v>
      </c>
      <c r="N412" t="s">
        <v>72</v>
      </c>
    </row>
    <row r="413" spans="1:20" x14ac:dyDescent="0.25">
      <c r="A413" t="s">
        <v>429</v>
      </c>
      <c r="B413" s="4" t="s">
        <v>10</v>
      </c>
      <c r="C413" s="4" t="s">
        <v>73</v>
      </c>
      <c r="D413" s="4">
        <v>46139</v>
      </c>
      <c r="E413" s="5">
        <v>0.35988425925925921</v>
      </c>
      <c r="F413">
        <v>1</v>
      </c>
      <c r="G413" t="s">
        <v>82</v>
      </c>
      <c r="H413">
        <v>137.41666666666666</v>
      </c>
      <c r="M413" t="s">
        <v>79</v>
      </c>
      <c r="N413" t="s">
        <v>72</v>
      </c>
    </row>
    <row r="414" spans="1:20" x14ac:dyDescent="0.25">
      <c r="A414" t="s">
        <v>429</v>
      </c>
      <c r="B414" s="4" t="s">
        <v>10</v>
      </c>
      <c r="C414" s="4" t="s">
        <v>73</v>
      </c>
      <c r="D414" s="4">
        <v>46139</v>
      </c>
      <c r="E414" s="5">
        <v>0.35997685185185185</v>
      </c>
      <c r="F414">
        <v>1</v>
      </c>
      <c r="G414" t="s">
        <v>82</v>
      </c>
      <c r="H414">
        <v>137.41666666666666</v>
      </c>
      <c r="M414" t="s">
        <v>76</v>
      </c>
      <c r="N414" t="s">
        <v>72</v>
      </c>
    </row>
    <row r="415" spans="1:20" x14ac:dyDescent="0.25">
      <c r="A415" t="s">
        <v>430</v>
      </c>
      <c r="B415" s="4" t="s">
        <v>10</v>
      </c>
      <c r="C415" s="4" t="s">
        <v>70</v>
      </c>
      <c r="D415" s="4">
        <v>46139</v>
      </c>
      <c r="E415" s="5">
        <v>0.36062499999999997</v>
      </c>
      <c r="F415">
        <v>1</v>
      </c>
      <c r="G415" t="s">
        <v>82</v>
      </c>
      <c r="H415">
        <v>100</v>
      </c>
      <c r="L415" t="s">
        <v>431</v>
      </c>
      <c r="M415" t="s">
        <v>71</v>
      </c>
      <c r="N415" t="s">
        <v>72</v>
      </c>
      <c r="O415">
        <v>1</v>
      </c>
    </row>
    <row r="416" spans="1:20" x14ac:dyDescent="0.25">
      <c r="A416" t="s">
        <v>431</v>
      </c>
      <c r="B416" s="4" t="s">
        <v>10</v>
      </c>
      <c r="C416" s="4" t="s">
        <v>73</v>
      </c>
      <c r="D416" s="4">
        <v>46139</v>
      </c>
      <c r="E416" s="5">
        <v>0.36062499999999997</v>
      </c>
      <c r="F416">
        <v>1</v>
      </c>
      <c r="G416" t="s">
        <v>82</v>
      </c>
      <c r="H416">
        <v>174.83333333333334</v>
      </c>
      <c r="M416" t="s">
        <v>79</v>
      </c>
      <c r="N416" t="s">
        <v>72</v>
      </c>
    </row>
    <row r="417" spans="1:21" x14ac:dyDescent="0.25">
      <c r="A417" t="s">
        <v>431</v>
      </c>
      <c r="B417" s="4" t="s">
        <v>10</v>
      </c>
      <c r="C417" s="4" t="s">
        <v>73</v>
      </c>
      <c r="D417" s="4">
        <v>46139</v>
      </c>
      <c r="E417" s="5">
        <v>0.36062499999999997</v>
      </c>
      <c r="F417">
        <v>1</v>
      </c>
      <c r="G417" t="s">
        <v>82</v>
      </c>
      <c r="H417">
        <v>174.75</v>
      </c>
      <c r="M417" t="s">
        <v>79</v>
      </c>
      <c r="N417" t="s">
        <v>72</v>
      </c>
    </row>
    <row r="418" spans="1:21" x14ac:dyDescent="0.25">
      <c r="A418" t="s">
        <v>432</v>
      </c>
      <c r="B418" s="4" t="s">
        <v>10</v>
      </c>
      <c r="C418" s="4" t="s">
        <v>70</v>
      </c>
      <c r="D418" s="4">
        <v>46139</v>
      </c>
      <c r="E418" s="5">
        <v>0.36104166666666665</v>
      </c>
      <c r="F418">
        <v>1</v>
      </c>
      <c r="G418" t="s">
        <v>82</v>
      </c>
      <c r="H418">
        <v>116.5</v>
      </c>
      <c r="L418" t="s">
        <v>431</v>
      </c>
      <c r="M418" t="s">
        <v>71</v>
      </c>
      <c r="N418" t="s">
        <v>72</v>
      </c>
      <c r="P418">
        <v>1</v>
      </c>
      <c r="S418">
        <v>1</v>
      </c>
      <c r="T418">
        <v>56.666666666666657</v>
      </c>
    </row>
    <row r="419" spans="1:21" x14ac:dyDescent="0.25">
      <c r="A419" t="s">
        <v>431</v>
      </c>
      <c r="B419" s="4" t="s">
        <v>10</v>
      </c>
      <c r="C419" s="4" t="s">
        <v>73</v>
      </c>
      <c r="D419" s="4">
        <v>46139</v>
      </c>
      <c r="E419" s="5">
        <v>0.36104166666666665</v>
      </c>
      <c r="F419">
        <v>1</v>
      </c>
      <c r="G419" t="s">
        <v>82</v>
      </c>
      <c r="H419">
        <v>58.25</v>
      </c>
      <c r="M419" t="s">
        <v>79</v>
      </c>
      <c r="N419" t="s">
        <v>72</v>
      </c>
    </row>
    <row r="420" spans="1:21" x14ac:dyDescent="0.25">
      <c r="A420" t="s">
        <v>431</v>
      </c>
      <c r="B420" s="4" t="s">
        <v>10</v>
      </c>
      <c r="C420" s="4" t="s">
        <v>73</v>
      </c>
      <c r="D420" s="4">
        <v>46139</v>
      </c>
      <c r="E420" s="5">
        <v>0.36104166666666665</v>
      </c>
      <c r="F420">
        <v>1</v>
      </c>
      <c r="G420" t="s">
        <v>82</v>
      </c>
      <c r="H420">
        <v>58.166666666666671</v>
      </c>
      <c r="M420" t="s">
        <v>79</v>
      </c>
      <c r="N420" t="s">
        <v>72</v>
      </c>
    </row>
    <row r="421" spans="1:21" x14ac:dyDescent="0.25">
      <c r="A421" t="s">
        <v>431</v>
      </c>
      <c r="B421" s="4" t="s">
        <v>10</v>
      </c>
      <c r="C421" s="4" t="s">
        <v>73</v>
      </c>
      <c r="D421" s="4">
        <v>46139</v>
      </c>
      <c r="E421" s="5">
        <v>0.36130787037037032</v>
      </c>
      <c r="F421">
        <v>1</v>
      </c>
      <c r="G421" t="s">
        <v>82</v>
      </c>
      <c r="H421">
        <v>56.666666666666657</v>
      </c>
      <c r="M421" t="s">
        <v>76</v>
      </c>
      <c r="N421" t="s">
        <v>72</v>
      </c>
    </row>
    <row r="422" spans="1:21" x14ac:dyDescent="0.25">
      <c r="A422" t="s">
        <v>436</v>
      </c>
      <c r="B422" s="4" t="s">
        <v>10</v>
      </c>
      <c r="C422" s="4" t="s">
        <v>70</v>
      </c>
      <c r="D422" s="4">
        <v>46139</v>
      </c>
      <c r="E422" s="5">
        <v>0.36204861111111108</v>
      </c>
      <c r="F422">
        <v>1</v>
      </c>
      <c r="G422" t="s">
        <v>82</v>
      </c>
      <c r="H422">
        <v>67.75</v>
      </c>
      <c r="L422" t="s">
        <v>437</v>
      </c>
      <c r="M422" t="s">
        <v>71</v>
      </c>
      <c r="N422" t="s">
        <v>75</v>
      </c>
      <c r="O422">
        <v>1</v>
      </c>
      <c r="Q422">
        <v>1</v>
      </c>
      <c r="S422">
        <v>1</v>
      </c>
      <c r="U422">
        <v>0.16666666666666666</v>
      </c>
    </row>
    <row r="423" spans="1:21" x14ac:dyDescent="0.25">
      <c r="A423" t="s">
        <v>437</v>
      </c>
      <c r="B423" s="4" t="s">
        <v>10</v>
      </c>
      <c r="C423" s="4" t="s">
        <v>73</v>
      </c>
      <c r="D423" s="4">
        <v>46139</v>
      </c>
      <c r="E423" s="5">
        <v>0.36204861111111108</v>
      </c>
      <c r="F423">
        <v>1</v>
      </c>
      <c r="G423" t="s">
        <v>82</v>
      </c>
      <c r="H423">
        <v>2.5833333333333335</v>
      </c>
      <c r="L423" t="s">
        <v>438</v>
      </c>
      <c r="M423" t="s">
        <v>79</v>
      </c>
      <c r="N423" t="s">
        <v>75</v>
      </c>
    </row>
    <row r="424" spans="1:21" x14ac:dyDescent="0.25">
      <c r="A424" t="s">
        <v>437</v>
      </c>
      <c r="B424" s="4" t="s">
        <v>10</v>
      </c>
      <c r="C424" s="4" t="s">
        <v>73</v>
      </c>
      <c r="D424" s="4">
        <v>46139</v>
      </c>
      <c r="E424" s="5">
        <v>0.36204861111111108</v>
      </c>
      <c r="F424">
        <v>1</v>
      </c>
      <c r="G424" t="s">
        <v>82</v>
      </c>
      <c r="H424">
        <v>0.16666666666666666</v>
      </c>
      <c r="L424" t="s">
        <v>438</v>
      </c>
      <c r="M424" t="s">
        <v>79</v>
      </c>
      <c r="N424" t="s">
        <v>75</v>
      </c>
    </row>
    <row r="425" spans="1:21" x14ac:dyDescent="0.25">
      <c r="A425" t="s">
        <v>437</v>
      </c>
      <c r="B425" s="4" t="s">
        <v>10</v>
      </c>
      <c r="C425" s="4" t="s">
        <v>73</v>
      </c>
      <c r="D425" s="4">
        <v>46139</v>
      </c>
      <c r="E425" s="5">
        <v>0.36204861111111108</v>
      </c>
      <c r="F425">
        <v>1</v>
      </c>
      <c r="G425" t="s">
        <v>82</v>
      </c>
      <c r="H425">
        <v>0</v>
      </c>
      <c r="L425" t="s">
        <v>438</v>
      </c>
      <c r="M425" t="s">
        <v>79</v>
      </c>
      <c r="N425" t="s">
        <v>75</v>
      </c>
    </row>
    <row r="426" spans="1:21" x14ac:dyDescent="0.25">
      <c r="A426" t="s">
        <v>440</v>
      </c>
      <c r="B426" s="4" t="s">
        <v>10</v>
      </c>
      <c r="C426" s="4" t="s">
        <v>70</v>
      </c>
      <c r="D426" s="4">
        <v>46139</v>
      </c>
      <c r="E426" s="5">
        <v>0.36274305555555553</v>
      </c>
      <c r="F426">
        <v>1</v>
      </c>
      <c r="G426" t="s">
        <v>82</v>
      </c>
      <c r="H426">
        <v>55.166666666666664</v>
      </c>
      <c r="L426" t="s">
        <v>441</v>
      </c>
      <c r="M426" t="s">
        <v>71</v>
      </c>
      <c r="N426" t="s">
        <v>78</v>
      </c>
      <c r="O426">
        <v>1</v>
      </c>
    </row>
    <row r="427" spans="1:21" x14ac:dyDescent="0.25">
      <c r="A427" t="s">
        <v>441</v>
      </c>
      <c r="B427" s="4" t="s">
        <v>10</v>
      </c>
      <c r="C427" s="4" t="s">
        <v>73</v>
      </c>
      <c r="D427" s="4">
        <v>46139</v>
      </c>
      <c r="E427" s="5">
        <v>0.36274305555555553</v>
      </c>
      <c r="F427">
        <v>1</v>
      </c>
      <c r="G427" t="s">
        <v>82</v>
      </c>
      <c r="H427">
        <v>248.91666666666666</v>
      </c>
      <c r="M427" t="s">
        <v>79</v>
      </c>
      <c r="N427" t="s">
        <v>78</v>
      </c>
    </row>
    <row r="428" spans="1:21" x14ac:dyDescent="0.25">
      <c r="A428" t="s">
        <v>442</v>
      </c>
      <c r="B428" s="4" t="s">
        <v>10</v>
      </c>
      <c r="C428" s="4" t="s">
        <v>70</v>
      </c>
      <c r="D428" s="4">
        <v>46139</v>
      </c>
      <c r="E428" s="5">
        <v>0.36312499999999998</v>
      </c>
      <c r="F428">
        <v>1</v>
      </c>
      <c r="G428" t="s">
        <v>82</v>
      </c>
      <c r="H428">
        <v>58</v>
      </c>
      <c r="L428" t="s">
        <v>441</v>
      </c>
      <c r="M428" t="s">
        <v>71</v>
      </c>
      <c r="N428" t="s">
        <v>78</v>
      </c>
      <c r="P428">
        <v>1</v>
      </c>
    </row>
    <row r="429" spans="1:21" x14ac:dyDescent="0.25">
      <c r="A429" t="s">
        <v>441</v>
      </c>
      <c r="B429" s="4" t="s">
        <v>10</v>
      </c>
      <c r="C429" s="4" t="s">
        <v>73</v>
      </c>
      <c r="D429" s="4">
        <v>46139</v>
      </c>
      <c r="E429" s="5">
        <v>0.36312499999999998</v>
      </c>
      <c r="F429">
        <v>1</v>
      </c>
      <c r="G429" t="s">
        <v>82</v>
      </c>
      <c r="H429">
        <v>190.91666666666666</v>
      </c>
      <c r="M429" t="s">
        <v>79</v>
      </c>
      <c r="N429" t="s">
        <v>78</v>
      </c>
    </row>
    <row r="430" spans="1:21" x14ac:dyDescent="0.25">
      <c r="A430" t="s">
        <v>445</v>
      </c>
      <c r="B430" s="4" t="s">
        <v>10</v>
      </c>
      <c r="C430" s="4" t="s">
        <v>70</v>
      </c>
      <c r="D430" s="4">
        <v>46139</v>
      </c>
      <c r="E430" s="5">
        <v>0.36375000000000002</v>
      </c>
      <c r="F430">
        <v>1</v>
      </c>
      <c r="G430" t="s">
        <v>82</v>
      </c>
      <c r="H430">
        <v>138</v>
      </c>
      <c r="L430" t="s">
        <v>441</v>
      </c>
      <c r="M430" t="s">
        <v>71</v>
      </c>
      <c r="N430" t="s">
        <v>78</v>
      </c>
      <c r="P430">
        <v>1</v>
      </c>
    </row>
    <row r="431" spans="1:21" x14ac:dyDescent="0.25">
      <c r="A431" t="s">
        <v>441</v>
      </c>
      <c r="B431" s="4" t="s">
        <v>10</v>
      </c>
      <c r="C431" s="4" t="s">
        <v>73</v>
      </c>
      <c r="D431" s="4">
        <v>46139</v>
      </c>
      <c r="E431" s="5">
        <v>0.36375000000000002</v>
      </c>
      <c r="F431">
        <v>1</v>
      </c>
      <c r="G431" t="s">
        <v>82</v>
      </c>
      <c r="H431">
        <v>52.916666666666664</v>
      </c>
      <c r="M431" t="s">
        <v>79</v>
      </c>
      <c r="N431" t="s">
        <v>78</v>
      </c>
    </row>
    <row r="432" spans="1:21" x14ac:dyDescent="0.25">
      <c r="A432" t="s">
        <v>446</v>
      </c>
      <c r="B432" s="4" t="s">
        <v>10</v>
      </c>
      <c r="C432" s="4" t="s">
        <v>70</v>
      </c>
      <c r="D432" s="4">
        <v>46139</v>
      </c>
      <c r="E432" s="5">
        <v>0.36400462962962959</v>
      </c>
      <c r="F432">
        <v>1</v>
      </c>
      <c r="G432" t="s">
        <v>82</v>
      </c>
      <c r="H432">
        <v>48</v>
      </c>
      <c r="L432" t="s">
        <v>441</v>
      </c>
      <c r="M432" t="s">
        <v>71</v>
      </c>
      <c r="N432" t="s">
        <v>78</v>
      </c>
      <c r="P432">
        <v>1</v>
      </c>
      <c r="Q432">
        <v>1</v>
      </c>
      <c r="S432">
        <v>1</v>
      </c>
      <c r="U432">
        <v>1.6666666666666665</v>
      </c>
    </row>
    <row r="433" spans="1:20" x14ac:dyDescent="0.25">
      <c r="A433" t="s">
        <v>441</v>
      </c>
      <c r="B433" s="4" t="s">
        <v>10</v>
      </c>
      <c r="C433" s="4" t="s">
        <v>73</v>
      </c>
      <c r="D433" s="4">
        <v>46139</v>
      </c>
      <c r="E433" s="5">
        <v>0.36400462962962959</v>
      </c>
      <c r="F433">
        <v>1</v>
      </c>
      <c r="G433" t="s">
        <v>82</v>
      </c>
      <c r="H433">
        <v>4.9166666666666661</v>
      </c>
      <c r="M433" t="s">
        <v>79</v>
      </c>
      <c r="N433" t="s">
        <v>78</v>
      </c>
    </row>
    <row r="434" spans="1:20" x14ac:dyDescent="0.25">
      <c r="A434" t="s">
        <v>441</v>
      </c>
      <c r="B434" s="4" t="s">
        <v>10</v>
      </c>
      <c r="C434" s="4" t="s">
        <v>73</v>
      </c>
      <c r="D434" s="4">
        <v>46139</v>
      </c>
      <c r="E434" s="5">
        <v>0.36400462962962959</v>
      </c>
      <c r="F434">
        <v>1</v>
      </c>
      <c r="G434" t="s">
        <v>82</v>
      </c>
      <c r="H434">
        <v>1.6666666666666665</v>
      </c>
      <c r="M434" t="s">
        <v>79</v>
      </c>
      <c r="N434" t="s">
        <v>78</v>
      </c>
    </row>
    <row r="435" spans="1:20" x14ac:dyDescent="0.25">
      <c r="A435" t="s">
        <v>441</v>
      </c>
      <c r="B435" s="4" t="s">
        <v>10</v>
      </c>
      <c r="C435" s="4" t="s">
        <v>73</v>
      </c>
      <c r="D435" s="4">
        <v>46139</v>
      </c>
      <c r="E435" s="5">
        <v>0.36400462962962959</v>
      </c>
      <c r="F435">
        <v>1</v>
      </c>
      <c r="G435" t="s">
        <v>82</v>
      </c>
      <c r="H435">
        <v>0</v>
      </c>
      <c r="M435" t="s">
        <v>79</v>
      </c>
      <c r="N435" t="s">
        <v>78</v>
      </c>
    </row>
    <row r="436" spans="1:20" x14ac:dyDescent="0.25">
      <c r="A436" t="s">
        <v>448</v>
      </c>
      <c r="B436" s="4" t="s">
        <v>10</v>
      </c>
      <c r="C436" s="4" t="s">
        <v>70</v>
      </c>
      <c r="D436" s="4">
        <v>46139</v>
      </c>
      <c r="E436" s="5">
        <v>0.36528935185185185</v>
      </c>
      <c r="F436">
        <v>1</v>
      </c>
      <c r="G436" t="s">
        <v>82</v>
      </c>
      <c r="H436">
        <v>21.25</v>
      </c>
      <c r="L436" t="s">
        <v>449</v>
      </c>
      <c r="M436" t="s">
        <v>71</v>
      </c>
      <c r="N436" t="s">
        <v>72</v>
      </c>
      <c r="O436">
        <v>1</v>
      </c>
      <c r="S436">
        <v>1</v>
      </c>
      <c r="T436">
        <v>54.916666666666664</v>
      </c>
    </row>
    <row r="437" spans="1:20" x14ac:dyDescent="0.25">
      <c r="A437" t="s">
        <v>449</v>
      </c>
      <c r="B437" s="4" t="s">
        <v>10</v>
      </c>
      <c r="C437" s="4" t="s">
        <v>73</v>
      </c>
      <c r="D437" s="4">
        <v>46139</v>
      </c>
      <c r="E437" s="5">
        <v>0.36528935185185185</v>
      </c>
      <c r="F437">
        <v>1</v>
      </c>
      <c r="G437" t="s">
        <v>82</v>
      </c>
      <c r="H437">
        <v>55.333333333333329</v>
      </c>
      <c r="M437" t="s">
        <v>79</v>
      </c>
      <c r="N437" t="s">
        <v>72</v>
      </c>
    </row>
    <row r="438" spans="1:20" x14ac:dyDescent="0.25">
      <c r="A438" t="s">
        <v>449</v>
      </c>
      <c r="B438" s="4" t="s">
        <v>10</v>
      </c>
      <c r="C438" s="4" t="s">
        <v>73</v>
      </c>
      <c r="D438" s="4">
        <v>46139</v>
      </c>
      <c r="E438" s="5">
        <v>0.36528935185185185</v>
      </c>
      <c r="F438">
        <v>1</v>
      </c>
      <c r="G438" t="s">
        <v>82</v>
      </c>
      <c r="H438">
        <v>55.25</v>
      </c>
      <c r="M438" t="s">
        <v>79</v>
      </c>
      <c r="N438" t="s">
        <v>72</v>
      </c>
    </row>
    <row r="439" spans="1:20" x14ac:dyDescent="0.25">
      <c r="A439" t="s">
        <v>449</v>
      </c>
      <c r="B439" s="4" t="s">
        <v>10</v>
      </c>
      <c r="C439" s="4" t="s">
        <v>73</v>
      </c>
      <c r="D439" s="4">
        <v>46139</v>
      </c>
      <c r="E439" s="5">
        <v>0.36553240740740739</v>
      </c>
      <c r="F439">
        <v>1</v>
      </c>
      <c r="G439" t="s">
        <v>82</v>
      </c>
      <c r="H439">
        <v>54.916666666666664</v>
      </c>
      <c r="M439" t="s">
        <v>76</v>
      </c>
      <c r="N439" t="s">
        <v>72</v>
      </c>
    </row>
    <row r="440" spans="1:20" x14ac:dyDescent="0.25">
      <c r="A440" t="s">
        <v>451</v>
      </c>
      <c r="B440" s="4" t="s">
        <v>10</v>
      </c>
      <c r="C440" s="4" t="s">
        <v>73</v>
      </c>
      <c r="D440" s="4">
        <v>46139</v>
      </c>
      <c r="E440" s="5">
        <v>0.36604166666666665</v>
      </c>
      <c r="F440">
        <v>1</v>
      </c>
      <c r="G440" t="s">
        <v>82</v>
      </c>
      <c r="H440">
        <v>39.083333333333329</v>
      </c>
      <c r="M440" t="s">
        <v>79</v>
      </c>
      <c r="N440" t="s">
        <v>72</v>
      </c>
    </row>
    <row r="441" spans="1:20" x14ac:dyDescent="0.25">
      <c r="A441" t="s">
        <v>452</v>
      </c>
      <c r="B441" s="4" t="s">
        <v>10</v>
      </c>
      <c r="C441" s="4" t="s">
        <v>70</v>
      </c>
      <c r="D441" s="4">
        <v>46139</v>
      </c>
      <c r="E441" s="5">
        <v>0.3661921296296296</v>
      </c>
      <c r="F441">
        <v>1</v>
      </c>
      <c r="G441" t="s">
        <v>82</v>
      </c>
      <c r="H441">
        <v>8.25</v>
      </c>
      <c r="L441" t="s">
        <v>451</v>
      </c>
      <c r="M441" t="s">
        <v>71</v>
      </c>
      <c r="N441" t="s">
        <v>72</v>
      </c>
      <c r="O441">
        <v>1</v>
      </c>
    </row>
    <row r="442" spans="1:20" x14ac:dyDescent="0.25">
      <c r="A442" t="s">
        <v>451</v>
      </c>
      <c r="B442" s="4" t="s">
        <v>10</v>
      </c>
      <c r="C442" s="4" t="s">
        <v>73</v>
      </c>
      <c r="D442" s="4">
        <v>46139</v>
      </c>
      <c r="E442" s="5">
        <v>0.3661921296296296</v>
      </c>
      <c r="F442">
        <v>1</v>
      </c>
      <c r="G442" t="s">
        <v>82</v>
      </c>
      <c r="H442">
        <v>30.833333333333329</v>
      </c>
      <c r="M442" t="s">
        <v>79</v>
      </c>
      <c r="N442" t="s">
        <v>72</v>
      </c>
    </row>
    <row r="443" spans="1:20" x14ac:dyDescent="0.25">
      <c r="A443" t="s">
        <v>451</v>
      </c>
      <c r="B443" s="4" t="s">
        <v>10</v>
      </c>
      <c r="C443" s="4" t="s">
        <v>73</v>
      </c>
      <c r="D443" s="4">
        <v>46139</v>
      </c>
      <c r="E443" s="5">
        <v>0.3661921296296296</v>
      </c>
      <c r="F443">
        <v>1</v>
      </c>
      <c r="G443" t="s">
        <v>82</v>
      </c>
      <c r="H443">
        <v>30.75</v>
      </c>
      <c r="M443" t="s">
        <v>79</v>
      </c>
      <c r="N443" t="s">
        <v>72</v>
      </c>
    </row>
    <row r="444" spans="1:20" x14ac:dyDescent="0.25">
      <c r="A444" t="s">
        <v>455</v>
      </c>
      <c r="B444" s="4" t="s">
        <v>10</v>
      </c>
      <c r="C444" s="4" t="s">
        <v>70</v>
      </c>
      <c r="D444" s="4">
        <v>46139</v>
      </c>
      <c r="E444" s="5">
        <v>0.36648148148148146</v>
      </c>
      <c r="F444">
        <v>1</v>
      </c>
      <c r="G444" t="s">
        <v>82</v>
      </c>
      <c r="H444">
        <v>16</v>
      </c>
      <c r="L444" t="s">
        <v>451</v>
      </c>
      <c r="M444" t="s">
        <v>71</v>
      </c>
      <c r="N444" t="s">
        <v>72</v>
      </c>
      <c r="P444">
        <v>1</v>
      </c>
      <c r="R444">
        <v>1</v>
      </c>
      <c r="S444">
        <v>1</v>
      </c>
      <c r="T444">
        <v>14.416666666666666</v>
      </c>
    </row>
    <row r="445" spans="1:20" x14ac:dyDescent="0.25">
      <c r="A445" t="s">
        <v>451</v>
      </c>
      <c r="B445" s="4" t="s">
        <v>10</v>
      </c>
      <c r="C445" s="4" t="s">
        <v>73</v>
      </c>
      <c r="D445" s="4">
        <v>46139</v>
      </c>
      <c r="E445" s="5">
        <v>0.36648148148148146</v>
      </c>
      <c r="F445">
        <v>1</v>
      </c>
      <c r="G445" t="s">
        <v>82</v>
      </c>
      <c r="H445">
        <v>14.75</v>
      </c>
      <c r="M445" t="s">
        <v>79</v>
      </c>
      <c r="N445" t="s">
        <v>72</v>
      </c>
    </row>
    <row r="446" spans="1:20" x14ac:dyDescent="0.25">
      <c r="A446" t="s">
        <v>451</v>
      </c>
      <c r="B446" s="4" t="s">
        <v>10</v>
      </c>
      <c r="C446" s="4" t="s">
        <v>73</v>
      </c>
      <c r="D446" s="4">
        <v>46139</v>
      </c>
      <c r="E446" s="5">
        <v>0.36648148148148146</v>
      </c>
      <c r="F446">
        <v>1</v>
      </c>
      <c r="G446" t="s">
        <v>82</v>
      </c>
      <c r="H446">
        <v>14.666666666666666</v>
      </c>
      <c r="M446" t="s">
        <v>79</v>
      </c>
      <c r="N446" t="s">
        <v>72</v>
      </c>
    </row>
    <row r="447" spans="1:20" x14ac:dyDescent="0.25">
      <c r="A447" t="s">
        <v>451</v>
      </c>
      <c r="B447" s="4" t="s">
        <v>10</v>
      </c>
      <c r="C447" s="4" t="s">
        <v>73</v>
      </c>
      <c r="D447" s="4">
        <v>46139</v>
      </c>
      <c r="E447" s="5">
        <v>0.3666550925925926</v>
      </c>
      <c r="F447">
        <v>1</v>
      </c>
      <c r="G447" t="s">
        <v>82</v>
      </c>
      <c r="H447">
        <v>14.416666666666666</v>
      </c>
      <c r="M447" t="s">
        <v>76</v>
      </c>
      <c r="N447" t="s">
        <v>72</v>
      </c>
    </row>
    <row r="448" spans="1:20" x14ac:dyDescent="0.25">
      <c r="A448" t="s">
        <v>458</v>
      </c>
      <c r="B448" s="4" t="s">
        <v>10</v>
      </c>
      <c r="C448" s="4" t="s">
        <v>70</v>
      </c>
      <c r="D448" s="4">
        <v>46139</v>
      </c>
      <c r="E448" s="5">
        <v>0.36717592592592591</v>
      </c>
      <c r="F448">
        <v>1</v>
      </c>
      <c r="G448" t="s">
        <v>82</v>
      </c>
      <c r="H448">
        <v>14</v>
      </c>
      <c r="L448" t="s">
        <v>459</v>
      </c>
      <c r="M448" t="s">
        <v>71</v>
      </c>
      <c r="N448" t="s">
        <v>72</v>
      </c>
      <c r="O448">
        <v>1</v>
      </c>
      <c r="R448">
        <v>1</v>
      </c>
      <c r="S448">
        <v>1</v>
      </c>
      <c r="T448">
        <v>8.3333333333333339</v>
      </c>
    </row>
    <row r="449" spans="1:20" x14ac:dyDescent="0.25">
      <c r="A449" t="s">
        <v>459</v>
      </c>
      <c r="B449" s="4" t="s">
        <v>10</v>
      </c>
      <c r="C449" s="4" t="s">
        <v>73</v>
      </c>
      <c r="D449" s="4">
        <v>46139</v>
      </c>
      <c r="E449" s="5">
        <v>0.36717592592592591</v>
      </c>
      <c r="F449">
        <v>1</v>
      </c>
      <c r="G449" t="s">
        <v>82</v>
      </c>
      <c r="H449">
        <v>8.5</v>
      </c>
      <c r="M449" t="s">
        <v>79</v>
      </c>
      <c r="N449" t="s">
        <v>72</v>
      </c>
    </row>
    <row r="450" spans="1:20" x14ac:dyDescent="0.25">
      <c r="A450" t="s">
        <v>459</v>
      </c>
      <c r="B450" s="4" t="s">
        <v>10</v>
      </c>
      <c r="C450" s="4" t="s">
        <v>73</v>
      </c>
      <c r="D450" s="4">
        <v>46139</v>
      </c>
      <c r="E450" s="5">
        <v>0.36717592592592591</v>
      </c>
      <c r="F450">
        <v>1</v>
      </c>
      <c r="G450" t="s">
        <v>82</v>
      </c>
      <c r="H450">
        <v>8.4166666666666661</v>
      </c>
      <c r="M450" t="s">
        <v>79</v>
      </c>
      <c r="N450" t="s">
        <v>72</v>
      </c>
    </row>
    <row r="451" spans="1:20" x14ac:dyDescent="0.25">
      <c r="A451" t="s">
        <v>459</v>
      </c>
      <c r="B451" s="4" t="s">
        <v>10</v>
      </c>
      <c r="C451" s="4" t="s">
        <v>73</v>
      </c>
      <c r="D451" s="4">
        <v>46139</v>
      </c>
      <c r="E451" s="5">
        <v>0.36730324074074072</v>
      </c>
      <c r="F451">
        <v>1</v>
      </c>
      <c r="G451" t="s">
        <v>82</v>
      </c>
      <c r="H451">
        <v>8.3333333333333339</v>
      </c>
      <c r="M451" t="s">
        <v>76</v>
      </c>
      <c r="N451" t="s">
        <v>72</v>
      </c>
    </row>
    <row r="452" spans="1:20" x14ac:dyDescent="0.25">
      <c r="A452" t="s">
        <v>460</v>
      </c>
      <c r="B452" s="4" t="s">
        <v>10</v>
      </c>
      <c r="C452" s="4" t="s">
        <v>70</v>
      </c>
      <c r="D452" s="4">
        <v>46139</v>
      </c>
      <c r="E452" s="5">
        <v>0.36804398148148149</v>
      </c>
      <c r="F452">
        <v>1</v>
      </c>
      <c r="G452" t="s">
        <v>82</v>
      </c>
      <c r="H452">
        <v>66</v>
      </c>
      <c r="L452" t="s">
        <v>461</v>
      </c>
      <c r="M452" t="s">
        <v>71</v>
      </c>
      <c r="N452" t="s">
        <v>75</v>
      </c>
      <c r="O452">
        <v>1</v>
      </c>
      <c r="S452">
        <v>1</v>
      </c>
      <c r="T452">
        <v>67.083333333333329</v>
      </c>
    </row>
    <row r="453" spans="1:20" x14ac:dyDescent="0.25">
      <c r="A453" t="s">
        <v>461</v>
      </c>
      <c r="B453" s="4" t="s">
        <v>10</v>
      </c>
      <c r="C453" s="4" t="s">
        <v>73</v>
      </c>
      <c r="D453" s="4">
        <v>46139</v>
      </c>
      <c r="E453" s="5">
        <v>0.36804398148148149</v>
      </c>
      <c r="F453">
        <v>1</v>
      </c>
      <c r="G453" t="s">
        <v>82</v>
      </c>
      <c r="H453">
        <v>68.75</v>
      </c>
      <c r="M453" t="s">
        <v>79</v>
      </c>
      <c r="N453" t="s">
        <v>75</v>
      </c>
    </row>
    <row r="454" spans="1:20" x14ac:dyDescent="0.25">
      <c r="A454" t="s">
        <v>461</v>
      </c>
      <c r="B454" s="4" t="s">
        <v>10</v>
      </c>
      <c r="C454" s="4" t="s">
        <v>73</v>
      </c>
      <c r="D454" s="4">
        <v>46139</v>
      </c>
      <c r="E454" s="5">
        <v>0.36804398148148149</v>
      </c>
      <c r="F454">
        <v>1</v>
      </c>
      <c r="G454" t="s">
        <v>82</v>
      </c>
      <c r="H454">
        <v>68.666666666666657</v>
      </c>
      <c r="M454" t="s">
        <v>79</v>
      </c>
      <c r="N454" t="s">
        <v>75</v>
      </c>
    </row>
    <row r="455" spans="1:20" x14ac:dyDescent="0.25">
      <c r="A455" t="s">
        <v>461</v>
      </c>
      <c r="B455" s="4" t="s">
        <v>10</v>
      </c>
      <c r="C455" s="4" t="s">
        <v>73</v>
      </c>
      <c r="D455" s="4">
        <v>46139</v>
      </c>
      <c r="E455" s="5">
        <v>0.36859953703703702</v>
      </c>
      <c r="F455">
        <v>1</v>
      </c>
      <c r="G455" t="s">
        <v>82</v>
      </c>
      <c r="H455">
        <v>67.083333333333329</v>
      </c>
      <c r="M455" t="s">
        <v>76</v>
      </c>
      <c r="N455" t="s">
        <v>75</v>
      </c>
    </row>
    <row r="456" spans="1:20" x14ac:dyDescent="0.25">
      <c r="A456" t="s">
        <v>464</v>
      </c>
      <c r="B456" s="4" t="s">
        <v>10</v>
      </c>
      <c r="C456" s="4" t="s">
        <v>70</v>
      </c>
      <c r="D456" s="4">
        <v>46139</v>
      </c>
      <c r="E456" s="5">
        <v>0.36990740740740735</v>
      </c>
      <c r="F456">
        <v>1</v>
      </c>
      <c r="G456" t="s">
        <v>82</v>
      </c>
      <c r="H456">
        <v>9.3333333333333321</v>
      </c>
      <c r="L456" t="s">
        <v>465</v>
      </c>
      <c r="M456" t="s">
        <v>71</v>
      </c>
      <c r="N456" t="s">
        <v>80</v>
      </c>
      <c r="O456">
        <v>1</v>
      </c>
    </row>
    <row r="457" spans="1:20" x14ac:dyDescent="0.25">
      <c r="A457" t="s">
        <v>465</v>
      </c>
      <c r="B457" s="4" t="s">
        <v>10</v>
      </c>
      <c r="C457" s="4" t="s">
        <v>73</v>
      </c>
      <c r="D457" s="4">
        <v>46139</v>
      </c>
      <c r="E457" s="5">
        <v>0.36990740740740735</v>
      </c>
      <c r="F457">
        <v>1</v>
      </c>
      <c r="G457" t="s">
        <v>82</v>
      </c>
      <c r="H457">
        <v>12.166666666666666</v>
      </c>
      <c r="M457" t="s">
        <v>79</v>
      </c>
      <c r="N457" t="s">
        <v>80</v>
      </c>
    </row>
    <row r="458" spans="1:20" x14ac:dyDescent="0.25">
      <c r="A458" t="s">
        <v>465</v>
      </c>
      <c r="B458" s="4" t="s">
        <v>10</v>
      </c>
      <c r="C458" s="4" t="s">
        <v>73</v>
      </c>
      <c r="D458" s="4">
        <v>46139</v>
      </c>
      <c r="E458" s="5">
        <v>0.36990740740740735</v>
      </c>
      <c r="F458">
        <v>1</v>
      </c>
      <c r="G458" t="s">
        <v>82</v>
      </c>
      <c r="H458">
        <v>12.083333333333332</v>
      </c>
      <c r="M458" t="s">
        <v>79</v>
      </c>
      <c r="N458" t="s">
        <v>80</v>
      </c>
    </row>
    <row r="459" spans="1:20" x14ac:dyDescent="0.25">
      <c r="A459" t="s">
        <v>466</v>
      </c>
      <c r="B459" s="4" t="s">
        <v>10</v>
      </c>
      <c r="C459" s="4" t="s">
        <v>70</v>
      </c>
      <c r="D459" s="4">
        <v>46139</v>
      </c>
      <c r="E459" s="5">
        <v>0.37013888888888885</v>
      </c>
      <c r="F459">
        <v>1</v>
      </c>
      <c r="G459" t="s">
        <v>82</v>
      </c>
      <c r="H459">
        <v>4.833333333333333</v>
      </c>
      <c r="L459" t="s">
        <v>465</v>
      </c>
      <c r="M459" t="s">
        <v>71</v>
      </c>
      <c r="N459" t="s">
        <v>80</v>
      </c>
      <c r="P459">
        <v>1</v>
      </c>
      <c r="R459">
        <v>1</v>
      </c>
      <c r="S459">
        <v>1</v>
      </c>
      <c r="T459">
        <v>7.0833333333333321</v>
      </c>
    </row>
    <row r="460" spans="1:20" x14ac:dyDescent="0.25">
      <c r="A460" t="s">
        <v>465</v>
      </c>
      <c r="B460" s="4" t="s">
        <v>10</v>
      </c>
      <c r="C460" s="4" t="s">
        <v>73</v>
      </c>
      <c r="D460" s="4">
        <v>46139</v>
      </c>
      <c r="E460" s="5">
        <v>0.37013888888888885</v>
      </c>
      <c r="F460">
        <v>1</v>
      </c>
      <c r="G460" t="s">
        <v>82</v>
      </c>
      <c r="H460">
        <v>7.25</v>
      </c>
      <c r="M460" t="s">
        <v>79</v>
      </c>
      <c r="N460" t="s">
        <v>80</v>
      </c>
    </row>
    <row r="461" spans="1:20" x14ac:dyDescent="0.25">
      <c r="A461" t="s">
        <v>465</v>
      </c>
      <c r="B461" s="4" t="s">
        <v>10</v>
      </c>
      <c r="C461" s="4" t="s">
        <v>73</v>
      </c>
      <c r="D461" s="4">
        <v>46139</v>
      </c>
      <c r="E461" s="5">
        <v>0.37013888888888885</v>
      </c>
      <c r="F461">
        <v>1</v>
      </c>
      <c r="G461" t="s">
        <v>82</v>
      </c>
      <c r="H461">
        <v>7.166666666666667</v>
      </c>
      <c r="M461" t="s">
        <v>79</v>
      </c>
      <c r="N461" t="s">
        <v>80</v>
      </c>
    </row>
    <row r="462" spans="1:20" x14ac:dyDescent="0.25">
      <c r="A462" t="s">
        <v>465</v>
      </c>
      <c r="B462" s="4" t="s">
        <v>10</v>
      </c>
      <c r="C462" s="4" t="s">
        <v>73</v>
      </c>
      <c r="D462" s="4">
        <v>46139</v>
      </c>
      <c r="E462" s="5">
        <v>0.37038194444444444</v>
      </c>
      <c r="F462">
        <v>1</v>
      </c>
      <c r="G462" t="s">
        <v>82</v>
      </c>
      <c r="H462">
        <v>7.0833333333333321</v>
      </c>
      <c r="M462" t="s">
        <v>76</v>
      </c>
      <c r="N462" t="s">
        <v>80</v>
      </c>
    </row>
    <row r="463" spans="1:20" x14ac:dyDescent="0.25">
      <c r="A463" t="s">
        <v>467</v>
      </c>
      <c r="B463" s="4" t="s">
        <v>10</v>
      </c>
      <c r="C463" s="4" t="s">
        <v>70</v>
      </c>
      <c r="D463" s="4">
        <v>46139</v>
      </c>
      <c r="E463" s="5">
        <v>0.37101851851851853</v>
      </c>
      <c r="F463">
        <v>1</v>
      </c>
      <c r="G463" t="s">
        <v>82</v>
      </c>
      <c r="H463">
        <v>16</v>
      </c>
      <c r="L463" t="s">
        <v>468</v>
      </c>
      <c r="M463" t="s">
        <v>71</v>
      </c>
      <c r="N463" t="s">
        <v>77</v>
      </c>
      <c r="O463">
        <v>1</v>
      </c>
      <c r="S463">
        <v>1</v>
      </c>
      <c r="T463">
        <v>53.083333333333329</v>
      </c>
    </row>
    <row r="464" spans="1:20" x14ac:dyDescent="0.25">
      <c r="A464" t="s">
        <v>468</v>
      </c>
      <c r="B464" s="4" t="s">
        <v>10</v>
      </c>
      <c r="C464" s="4" t="s">
        <v>73</v>
      </c>
      <c r="D464" s="4">
        <v>46139</v>
      </c>
      <c r="E464" s="5">
        <v>0.37101851851851853</v>
      </c>
      <c r="F464">
        <v>1</v>
      </c>
      <c r="G464" t="s">
        <v>82</v>
      </c>
      <c r="H464">
        <v>53.333333333333329</v>
      </c>
      <c r="M464" t="s">
        <v>79</v>
      </c>
      <c r="N464" t="s">
        <v>77</v>
      </c>
    </row>
    <row r="465" spans="1:22" x14ac:dyDescent="0.25">
      <c r="A465" t="s">
        <v>468</v>
      </c>
      <c r="B465" s="4" t="s">
        <v>10</v>
      </c>
      <c r="C465" s="4" t="s">
        <v>73</v>
      </c>
      <c r="D465" s="4">
        <v>46139</v>
      </c>
      <c r="E465" s="5">
        <v>0.37101851851851853</v>
      </c>
      <c r="F465">
        <v>1</v>
      </c>
      <c r="G465" t="s">
        <v>82</v>
      </c>
      <c r="H465">
        <v>53.25</v>
      </c>
      <c r="M465" t="s">
        <v>79</v>
      </c>
      <c r="N465" t="s">
        <v>77</v>
      </c>
    </row>
    <row r="466" spans="1:22" x14ac:dyDescent="0.25">
      <c r="A466" t="s">
        <v>468</v>
      </c>
      <c r="B466" s="4" t="s">
        <v>10</v>
      </c>
      <c r="C466" s="4" t="s">
        <v>73</v>
      </c>
      <c r="D466" s="4">
        <v>46139</v>
      </c>
      <c r="E466" s="5">
        <v>0.37133101851851852</v>
      </c>
      <c r="F466">
        <v>1</v>
      </c>
      <c r="G466" t="s">
        <v>82</v>
      </c>
      <c r="H466">
        <v>53.083333333333329</v>
      </c>
      <c r="M466" t="s">
        <v>76</v>
      </c>
      <c r="N466" t="s">
        <v>77</v>
      </c>
    </row>
    <row r="467" spans="1:22" x14ac:dyDescent="0.25">
      <c r="A467" t="s">
        <v>472</v>
      </c>
      <c r="B467" s="4" t="s">
        <v>10</v>
      </c>
      <c r="C467" s="4" t="s">
        <v>70</v>
      </c>
      <c r="D467" s="4">
        <v>46139</v>
      </c>
      <c r="E467" s="5">
        <v>0.37185185185185182</v>
      </c>
      <c r="F467">
        <v>1</v>
      </c>
      <c r="G467" t="s">
        <v>82</v>
      </c>
      <c r="H467">
        <v>12.5</v>
      </c>
      <c r="L467" t="s">
        <v>473</v>
      </c>
      <c r="M467" t="s">
        <v>71</v>
      </c>
      <c r="N467" t="s">
        <v>77</v>
      </c>
      <c r="O467">
        <v>1</v>
      </c>
      <c r="Q467">
        <v>1</v>
      </c>
      <c r="S467">
        <v>1</v>
      </c>
      <c r="U467">
        <v>1.75</v>
      </c>
    </row>
    <row r="468" spans="1:22" x14ac:dyDescent="0.25">
      <c r="A468" t="s">
        <v>473</v>
      </c>
      <c r="B468" s="4" t="s">
        <v>10</v>
      </c>
      <c r="C468" s="4" t="s">
        <v>73</v>
      </c>
      <c r="D468" s="4">
        <v>46139</v>
      </c>
      <c r="E468" s="5">
        <v>0.37185185185185182</v>
      </c>
      <c r="F468">
        <v>1</v>
      </c>
      <c r="G468" t="s">
        <v>82</v>
      </c>
      <c r="H468">
        <v>1.75</v>
      </c>
      <c r="M468" t="s">
        <v>79</v>
      </c>
      <c r="N468" t="s">
        <v>77</v>
      </c>
    </row>
    <row r="469" spans="1:22" x14ac:dyDescent="0.25">
      <c r="A469" t="s">
        <v>473</v>
      </c>
      <c r="B469" s="4" t="s">
        <v>10</v>
      </c>
      <c r="C469" s="4" t="s">
        <v>73</v>
      </c>
      <c r="D469" s="4">
        <v>46139</v>
      </c>
      <c r="E469" s="5">
        <v>0.37185185185185182</v>
      </c>
      <c r="F469">
        <v>1</v>
      </c>
      <c r="G469" t="s">
        <v>82</v>
      </c>
      <c r="H469">
        <v>0</v>
      </c>
      <c r="M469" t="s">
        <v>79</v>
      </c>
      <c r="N469" t="s">
        <v>77</v>
      </c>
    </row>
    <row r="470" spans="1:22" x14ac:dyDescent="0.25">
      <c r="A470" t="s">
        <v>474</v>
      </c>
      <c r="B470" s="4" t="s">
        <v>10</v>
      </c>
      <c r="C470" s="4" t="s">
        <v>70</v>
      </c>
      <c r="D470" s="4">
        <v>46139</v>
      </c>
      <c r="E470" s="5">
        <v>0.37296296296296294</v>
      </c>
      <c r="F470">
        <v>1</v>
      </c>
      <c r="G470" t="s">
        <v>82</v>
      </c>
      <c r="H470">
        <v>7</v>
      </c>
      <c r="L470" t="s">
        <v>475</v>
      </c>
      <c r="M470" t="s">
        <v>71</v>
      </c>
      <c r="N470" t="s">
        <v>75</v>
      </c>
      <c r="O470">
        <v>1</v>
      </c>
      <c r="R470">
        <v>1</v>
      </c>
      <c r="S470">
        <v>1</v>
      </c>
      <c r="T470">
        <v>5.916666666666667</v>
      </c>
    </row>
    <row r="471" spans="1:22" x14ac:dyDescent="0.25">
      <c r="A471" t="s">
        <v>475</v>
      </c>
      <c r="B471" s="4" t="s">
        <v>10</v>
      </c>
      <c r="C471" s="4" t="s">
        <v>73</v>
      </c>
      <c r="D471" s="4">
        <v>46139</v>
      </c>
      <c r="E471" s="5">
        <v>0.37296296296296294</v>
      </c>
      <c r="F471">
        <v>1</v>
      </c>
      <c r="G471" t="s">
        <v>82</v>
      </c>
      <c r="H471">
        <v>5.75</v>
      </c>
      <c r="M471" t="s">
        <v>79</v>
      </c>
      <c r="N471" t="s">
        <v>75</v>
      </c>
    </row>
    <row r="472" spans="1:22" x14ac:dyDescent="0.25">
      <c r="A472" t="s">
        <v>475</v>
      </c>
      <c r="B472" s="4" t="s">
        <v>10</v>
      </c>
      <c r="C472" s="4" t="s">
        <v>73</v>
      </c>
      <c r="D472" s="4">
        <v>46139</v>
      </c>
      <c r="E472" s="5">
        <v>0.37314814814814812</v>
      </c>
      <c r="F472">
        <v>1</v>
      </c>
      <c r="G472" t="s">
        <v>82</v>
      </c>
      <c r="H472">
        <v>5.916666666666667</v>
      </c>
      <c r="M472" t="s">
        <v>76</v>
      </c>
      <c r="N472" t="s">
        <v>75</v>
      </c>
    </row>
    <row r="473" spans="1:22" x14ac:dyDescent="0.25">
      <c r="A473" t="s">
        <v>476</v>
      </c>
      <c r="B473" s="4" t="s">
        <v>10</v>
      </c>
      <c r="C473" s="4" t="s">
        <v>70</v>
      </c>
      <c r="D473" s="4">
        <v>46139</v>
      </c>
      <c r="E473" s="5">
        <v>0.37340277777777775</v>
      </c>
      <c r="F473">
        <v>1</v>
      </c>
      <c r="G473" t="s">
        <v>85</v>
      </c>
      <c r="H473">
        <v>17</v>
      </c>
      <c r="L473" t="s">
        <v>477</v>
      </c>
      <c r="M473" t="s">
        <v>71</v>
      </c>
      <c r="N473" t="s">
        <v>75</v>
      </c>
      <c r="O473">
        <v>1</v>
      </c>
      <c r="Q473">
        <v>1</v>
      </c>
      <c r="S473">
        <v>1</v>
      </c>
      <c r="V473">
        <v>0.25</v>
      </c>
    </row>
    <row r="474" spans="1:22" x14ac:dyDescent="0.25">
      <c r="A474" t="s">
        <v>477</v>
      </c>
      <c r="B474" s="4" t="s">
        <v>10</v>
      </c>
      <c r="C474" s="4" t="s">
        <v>73</v>
      </c>
      <c r="D474" s="4">
        <v>46139</v>
      </c>
      <c r="E474" s="5">
        <v>0.37340277777777775</v>
      </c>
      <c r="F474">
        <v>1</v>
      </c>
      <c r="G474" t="s">
        <v>85</v>
      </c>
      <c r="H474">
        <v>0.25</v>
      </c>
      <c r="L474" t="s">
        <v>478</v>
      </c>
      <c r="M474" t="s">
        <v>71</v>
      </c>
      <c r="N474" t="s">
        <v>75</v>
      </c>
    </row>
    <row r="475" spans="1:22" x14ac:dyDescent="0.25">
      <c r="A475" t="s">
        <v>479</v>
      </c>
      <c r="B475" s="4" t="s">
        <v>10</v>
      </c>
      <c r="C475" s="4" t="s">
        <v>70</v>
      </c>
      <c r="D475" s="4">
        <v>46139</v>
      </c>
      <c r="E475" s="5">
        <v>0.37373842592592593</v>
      </c>
      <c r="F475">
        <v>1</v>
      </c>
      <c r="G475" t="s">
        <v>82</v>
      </c>
      <c r="H475">
        <v>15.5</v>
      </c>
      <c r="L475" t="s">
        <v>480</v>
      </c>
      <c r="M475" t="s">
        <v>71</v>
      </c>
      <c r="N475" t="s">
        <v>72</v>
      </c>
      <c r="O475">
        <v>1</v>
      </c>
      <c r="Q475">
        <v>1</v>
      </c>
      <c r="S475">
        <v>1</v>
      </c>
      <c r="U475">
        <v>8.3333333333333329E-2</v>
      </c>
    </row>
    <row r="476" spans="1:22" x14ac:dyDescent="0.25">
      <c r="A476" t="s">
        <v>480</v>
      </c>
      <c r="B476" s="4" t="s">
        <v>10</v>
      </c>
      <c r="C476" s="4" t="s">
        <v>73</v>
      </c>
      <c r="D476" s="4">
        <v>46139</v>
      </c>
      <c r="E476" s="5">
        <v>0.37373842592592593</v>
      </c>
      <c r="F476">
        <v>1</v>
      </c>
      <c r="G476" t="s">
        <v>82</v>
      </c>
      <c r="H476">
        <v>0.5</v>
      </c>
      <c r="M476" t="s">
        <v>79</v>
      </c>
      <c r="N476" t="s">
        <v>72</v>
      </c>
    </row>
    <row r="477" spans="1:22" x14ac:dyDescent="0.25">
      <c r="A477" t="s">
        <v>480</v>
      </c>
      <c r="B477" s="4" t="s">
        <v>10</v>
      </c>
      <c r="C477" s="4" t="s">
        <v>73</v>
      </c>
      <c r="D477" s="4">
        <v>46139</v>
      </c>
      <c r="E477" s="5">
        <v>0.37373842592592593</v>
      </c>
      <c r="F477">
        <v>1</v>
      </c>
      <c r="G477" t="s">
        <v>82</v>
      </c>
      <c r="H477">
        <v>8.3333333333333329E-2</v>
      </c>
      <c r="M477" t="s">
        <v>79</v>
      </c>
      <c r="N477" t="s">
        <v>72</v>
      </c>
    </row>
    <row r="478" spans="1:22" x14ac:dyDescent="0.25">
      <c r="A478" t="s">
        <v>480</v>
      </c>
      <c r="B478" s="4" t="s">
        <v>10</v>
      </c>
      <c r="C478" s="4" t="s">
        <v>73</v>
      </c>
      <c r="D478" s="4">
        <v>46139</v>
      </c>
      <c r="E478" s="5">
        <v>0.37373842592592593</v>
      </c>
      <c r="F478">
        <v>1</v>
      </c>
      <c r="G478" t="s">
        <v>82</v>
      </c>
      <c r="H478">
        <v>0</v>
      </c>
      <c r="M478" t="s">
        <v>79</v>
      </c>
      <c r="N478" t="s">
        <v>72</v>
      </c>
    </row>
    <row r="479" spans="1:22" x14ac:dyDescent="0.25">
      <c r="A479" t="s">
        <v>481</v>
      </c>
      <c r="B479" s="4" t="s">
        <v>10</v>
      </c>
      <c r="C479" s="4" t="s">
        <v>70</v>
      </c>
      <c r="D479" s="4">
        <v>46139</v>
      </c>
      <c r="E479" s="5">
        <v>0.37425925925925924</v>
      </c>
      <c r="F479">
        <v>1</v>
      </c>
      <c r="G479" t="s">
        <v>82</v>
      </c>
      <c r="H479">
        <v>8.5</v>
      </c>
      <c r="L479" t="s">
        <v>482</v>
      </c>
      <c r="M479" t="s">
        <v>71</v>
      </c>
      <c r="N479" t="s">
        <v>75</v>
      </c>
      <c r="O479">
        <v>1</v>
      </c>
      <c r="R479">
        <v>1</v>
      </c>
      <c r="S479">
        <v>1</v>
      </c>
      <c r="T479">
        <v>6.25</v>
      </c>
    </row>
    <row r="480" spans="1:22" x14ac:dyDescent="0.25">
      <c r="A480" t="s">
        <v>482</v>
      </c>
      <c r="B480" s="4" t="s">
        <v>10</v>
      </c>
      <c r="C480" s="4" t="s">
        <v>73</v>
      </c>
      <c r="D480" s="4">
        <v>46139</v>
      </c>
      <c r="E480" s="5">
        <v>0.37425925925925924</v>
      </c>
      <c r="F480">
        <v>1</v>
      </c>
      <c r="G480" t="s">
        <v>82</v>
      </c>
      <c r="H480">
        <v>6.083333333333333</v>
      </c>
      <c r="M480" t="s">
        <v>74</v>
      </c>
      <c r="N480" t="s">
        <v>75</v>
      </c>
    </row>
    <row r="481" spans="1:20" x14ac:dyDescent="0.25">
      <c r="A481" t="s">
        <v>482</v>
      </c>
      <c r="B481" s="4" t="s">
        <v>10</v>
      </c>
      <c r="C481" s="4" t="s">
        <v>73</v>
      </c>
      <c r="D481" s="4">
        <v>46139</v>
      </c>
      <c r="E481" s="5">
        <v>0.37445601851851851</v>
      </c>
      <c r="F481">
        <v>1</v>
      </c>
      <c r="G481" t="s">
        <v>82</v>
      </c>
      <c r="H481">
        <v>6.25</v>
      </c>
      <c r="M481" t="s">
        <v>76</v>
      </c>
      <c r="N481" t="s">
        <v>75</v>
      </c>
    </row>
    <row r="482" spans="1:20" x14ac:dyDescent="0.25">
      <c r="A482" t="s">
        <v>483</v>
      </c>
      <c r="B482" s="4" t="s">
        <v>10</v>
      </c>
      <c r="C482" s="4" t="s">
        <v>70</v>
      </c>
      <c r="D482" s="4">
        <v>46139</v>
      </c>
      <c r="E482" s="5">
        <v>0.37509259259259253</v>
      </c>
      <c r="F482">
        <v>1</v>
      </c>
      <c r="G482" t="s">
        <v>82</v>
      </c>
      <c r="H482">
        <v>19</v>
      </c>
      <c r="L482" t="s">
        <v>484</v>
      </c>
      <c r="M482" t="s">
        <v>71</v>
      </c>
      <c r="N482" t="s">
        <v>75</v>
      </c>
      <c r="O482">
        <v>1</v>
      </c>
      <c r="R482">
        <v>1</v>
      </c>
      <c r="S482">
        <v>1</v>
      </c>
      <c r="T482">
        <v>8.8333333333333339</v>
      </c>
    </row>
    <row r="483" spans="1:20" x14ac:dyDescent="0.25">
      <c r="A483" t="s">
        <v>484</v>
      </c>
      <c r="B483" s="4" t="s">
        <v>10</v>
      </c>
      <c r="C483" s="4" t="s">
        <v>73</v>
      </c>
      <c r="D483" s="4">
        <v>46139</v>
      </c>
      <c r="E483" s="5">
        <v>0.37509259259259253</v>
      </c>
      <c r="F483">
        <v>1</v>
      </c>
      <c r="G483" t="s">
        <v>82</v>
      </c>
      <c r="H483">
        <v>8.8333333333333339</v>
      </c>
      <c r="M483" t="s">
        <v>74</v>
      </c>
      <c r="N483" t="s">
        <v>75</v>
      </c>
    </row>
    <row r="484" spans="1:20" x14ac:dyDescent="0.25">
      <c r="A484" t="s">
        <v>484</v>
      </c>
      <c r="B484" s="4" t="s">
        <v>10</v>
      </c>
      <c r="C484" s="4" t="s">
        <v>73</v>
      </c>
      <c r="D484" s="4">
        <v>46139</v>
      </c>
      <c r="E484" s="5">
        <v>0.37521990740740735</v>
      </c>
      <c r="F484">
        <v>1</v>
      </c>
      <c r="G484" t="s">
        <v>82</v>
      </c>
      <c r="H484">
        <v>8.8333333333333339</v>
      </c>
      <c r="M484" t="s">
        <v>76</v>
      </c>
      <c r="N484" t="s">
        <v>75</v>
      </c>
    </row>
    <row r="485" spans="1:20" x14ac:dyDescent="0.25">
      <c r="A485" t="s">
        <v>487</v>
      </c>
      <c r="B485" s="4" t="s">
        <v>10</v>
      </c>
      <c r="C485" s="4" t="s">
        <v>70</v>
      </c>
      <c r="D485" s="4">
        <v>46139</v>
      </c>
      <c r="E485" s="5">
        <v>0.37593749999999998</v>
      </c>
      <c r="F485">
        <v>1</v>
      </c>
      <c r="G485" t="s">
        <v>82</v>
      </c>
      <c r="H485">
        <v>14</v>
      </c>
      <c r="L485" t="s">
        <v>488</v>
      </c>
      <c r="M485" t="s">
        <v>71</v>
      </c>
      <c r="N485" t="s">
        <v>72</v>
      </c>
      <c r="O485">
        <v>1</v>
      </c>
      <c r="S485">
        <v>1</v>
      </c>
      <c r="T485">
        <v>65.666666666666671</v>
      </c>
    </row>
    <row r="486" spans="1:20" x14ac:dyDescent="0.25">
      <c r="A486" t="s">
        <v>488</v>
      </c>
      <c r="B486" s="4" t="s">
        <v>10</v>
      </c>
      <c r="C486" s="4" t="s">
        <v>73</v>
      </c>
      <c r="D486" s="4">
        <v>46139</v>
      </c>
      <c r="E486" s="5">
        <v>0.37593749999999998</v>
      </c>
      <c r="F486">
        <v>1</v>
      </c>
      <c r="G486" t="s">
        <v>82</v>
      </c>
      <c r="H486">
        <v>65.833333333333329</v>
      </c>
      <c r="M486" t="s">
        <v>74</v>
      </c>
      <c r="N486" t="s">
        <v>72</v>
      </c>
    </row>
    <row r="487" spans="1:20" x14ac:dyDescent="0.25">
      <c r="A487" t="s">
        <v>488</v>
      </c>
      <c r="B487" s="4" t="s">
        <v>10</v>
      </c>
      <c r="C487" s="4" t="s">
        <v>73</v>
      </c>
      <c r="D487" s="4">
        <v>46139</v>
      </c>
      <c r="E487" s="5">
        <v>0.37593749999999998</v>
      </c>
      <c r="F487">
        <v>1</v>
      </c>
      <c r="G487" t="s">
        <v>82</v>
      </c>
      <c r="H487">
        <v>65.75</v>
      </c>
      <c r="M487" t="s">
        <v>74</v>
      </c>
      <c r="N487" t="s">
        <v>72</v>
      </c>
    </row>
    <row r="488" spans="1:20" x14ac:dyDescent="0.25">
      <c r="A488" t="s">
        <v>488</v>
      </c>
      <c r="B488" s="4" t="s">
        <v>10</v>
      </c>
      <c r="C488" s="4" t="s">
        <v>73</v>
      </c>
      <c r="D488" s="4">
        <v>46139</v>
      </c>
      <c r="E488" s="5">
        <v>0.37623842592592588</v>
      </c>
      <c r="F488">
        <v>1</v>
      </c>
      <c r="G488" t="s">
        <v>82</v>
      </c>
      <c r="H488">
        <v>65.666666666666671</v>
      </c>
      <c r="M488" t="s">
        <v>76</v>
      </c>
      <c r="N488" t="s">
        <v>72</v>
      </c>
    </row>
    <row r="489" spans="1:20" x14ac:dyDescent="0.25">
      <c r="A489" t="s">
        <v>490</v>
      </c>
      <c r="B489" s="4" t="s">
        <v>10</v>
      </c>
      <c r="C489" s="4" t="s">
        <v>70</v>
      </c>
      <c r="D489" s="4">
        <v>46139</v>
      </c>
      <c r="E489" s="5">
        <v>0.37751157407407404</v>
      </c>
      <c r="F489">
        <v>1</v>
      </c>
      <c r="G489" t="s">
        <v>82</v>
      </c>
      <c r="H489">
        <v>26</v>
      </c>
      <c r="L489" t="s">
        <v>491</v>
      </c>
      <c r="M489" t="s">
        <v>71</v>
      </c>
      <c r="N489" t="s">
        <v>75</v>
      </c>
      <c r="O489">
        <v>1</v>
      </c>
      <c r="R489">
        <v>1</v>
      </c>
      <c r="S489">
        <v>1</v>
      </c>
      <c r="T489">
        <v>15.5</v>
      </c>
    </row>
    <row r="490" spans="1:20" x14ac:dyDescent="0.25">
      <c r="A490" t="s">
        <v>491</v>
      </c>
      <c r="B490" s="4" t="s">
        <v>10</v>
      </c>
      <c r="C490" s="4" t="s">
        <v>73</v>
      </c>
      <c r="D490" s="4">
        <v>46139</v>
      </c>
      <c r="E490" s="5">
        <v>0.37751157407407404</v>
      </c>
      <c r="F490">
        <v>1</v>
      </c>
      <c r="G490" t="s">
        <v>82</v>
      </c>
      <c r="H490">
        <v>15.666666666666664</v>
      </c>
      <c r="M490" t="s">
        <v>74</v>
      </c>
      <c r="N490" t="s">
        <v>75</v>
      </c>
    </row>
    <row r="491" spans="1:20" x14ac:dyDescent="0.25">
      <c r="A491" t="s">
        <v>491</v>
      </c>
      <c r="B491" s="4" t="s">
        <v>10</v>
      </c>
      <c r="C491" s="4" t="s">
        <v>73</v>
      </c>
      <c r="D491" s="4">
        <v>46139</v>
      </c>
      <c r="E491" s="5">
        <v>0.37751157407407404</v>
      </c>
      <c r="F491">
        <v>1</v>
      </c>
      <c r="G491" t="s">
        <v>82</v>
      </c>
      <c r="H491">
        <v>15.583333333333334</v>
      </c>
      <c r="M491" t="s">
        <v>74</v>
      </c>
      <c r="N491" t="s">
        <v>75</v>
      </c>
    </row>
    <row r="492" spans="1:20" x14ac:dyDescent="0.25">
      <c r="A492" t="s">
        <v>491</v>
      </c>
      <c r="B492" s="4" t="s">
        <v>10</v>
      </c>
      <c r="C492" s="4" t="s">
        <v>73</v>
      </c>
      <c r="D492" s="4">
        <v>46139</v>
      </c>
      <c r="E492" s="5">
        <v>0.37766203703703699</v>
      </c>
      <c r="F492">
        <v>1</v>
      </c>
      <c r="G492" t="s">
        <v>82</v>
      </c>
      <c r="H492">
        <v>15.5</v>
      </c>
      <c r="M492" t="s">
        <v>76</v>
      </c>
      <c r="N492" t="s">
        <v>75</v>
      </c>
    </row>
    <row r="493" spans="1:20" x14ac:dyDescent="0.25">
      <c r="A493" t="s">
        <v>494</v>
      </c>
      <c r="B493" s="4" t="s">
        <v>10</v>
      </c>
      <c r="C493" s="4" t="s">
        <v>70</v>
      </c>
      <c r="D493" s="4">
        <v>46139</v>
      </c>
      <c r="E493" s="5">
        <v>0.37827546296296294</v>
      </c>
      <c r="F493">
        <v>1</v>
      </c>
      <c r="G493" t="s">
        <v>82</v>
      </c>
      <c r="H493">
        <v>10.5</v>
      </c>
      <c r="L493" t="s">
        <v>495</v>
      </c>
      <c r="M493" t="s">
        <v>71</v>
      </c>
      <c r="N493" t="s">
        <v>80</v>
      </c>
      <c r="O493">
        <v>1</v>
      </c>
      <c r="S493">
        <v>1</v>
      </c>
      <c r="T493">
        <v>62.166666666666664</v>
      </c>
    </row>
    <row r="494" spans="1:20" x14ac:dyDescent="0.25">
      <c r="A494" t="s">
        <v>495</v>
      </c>
      <c r="B494" s="4" t="s">
        <v>10</v>
      </c>
      <c r="C494" s="4" t="s">
        <v>73</v>
      </c>
      <c r="D494" s="4">
        <v>46139</v>
      </c>
      <c r="E494" s="5">
        <v>0.37827546296296294</v>
      </c>
      <c r="F494">
        <v>1</v>
      </c>
      <c r="G494" t="s">
        <v>82</v>
      </c>
      <c r="H494">
        <v>64.5</v>
      </c>
      <c r="M494" t="s">
        <v>79</v>
      </c>
      <c r="N494" t="s">
        <v>80</v>
      </c>
    </row>
    <row r="495" spans="1:20" x14ac:dyDescent="0.25">
      <c r="A495" t="s">
        <v>495</v>
      </c>
      <c r="B495" s="4" t="s">
        <v>10</v>
      </c>
      <c r="C495" s="4" t="s">
        <v>73</v>
      </c>
      <c r="D495" s="4">
        <v>46139</v>
      </c>
      <c r="E495" s="5">
        <v>0.37827546296296294</v>
      </c>
      <c r="F495">
        <v>1</v>
      </c>
      <c r="G495" t="s">
        <v>82</v>
      </c>
      <c r="H495">
        <v>64.416666666666671</v>
      </c>
      <c r="M495" t="s">
        <v>79</v>
      </c>
      <c r="N495" t="s">
        <v>80</v>
      </c>
    </row>
    <row r="496" spans="1:20" x14ac:dyDescent="0.25">
      <c r="A496" t="s">
        <v>495</v>
      </c>
      <c r="B496" s="4" t="s">
        <v>10</v>
      </c>
      <c r="C496" s="4" t="s">
        <v>73</v>
      </c>
      <c r="D496" s="4">
        <v>46139</v>
      </c>
      <c r="E496" s="5">
        <v>0.37872685185185184</v>
      </c>
      <c r="F496">
        <v>1</v>
      </c>
      <c r="G496" t="s">
        <v>82</v>
      </c>
      <c r="H496">
        <v>62.166666666666664</v>
      </c>
      <c r="M496" t="s">
        <v>76</v>
      </c>
      <c r="N496" t="s">
        <v>80</v>
      </c>
    </row>
    <row r="497" spans="1:20" x14ac:dyDescent="0.25">
      <c r="A497" t="s">
        <v>496</v>
      </c>
      <c r="B497" s="4" t="s">
        <v>10</v>
      </c>
      <c r="C497" s="4" t="s">
        <v>70</v>
      </c>
      <c r="D497" s="4">
        <v>46139</v>
      </c>
      <c r="E497" s="5">
        <v>0.37945601851851851</v>
      </c>
      <c r="F497">
        <v>1</v>
      </c>
      <c r="G497" t="s">
        <v>82</v>
      </c>
      <c r="H497">
        <v>80</v>
      </c>
      <c r="L497" t="s">
        <v>497</v>
      </c>
      <c r="M497" t="s">
        <v>71</v>
      </c>
      <c r="N497" t="s">
        <v>72</v>
      </c>
      <c r="O497">
        <v>1</v>
      </c>
    </row>
    <row r="498" spans="1:20" x14ac:dyDescent="0.25">
      <c r="A498" t="s">
        <v>497</v>
      </c>
      <c r="B498" s="4" t="s">
        <v>10</v>
      </c>
      <c r="C498" s="4" t="s">
        <v>73</v>
      </c>
      <c r="D498" s="4">
        <v>46139</v>
      </c>
      <c r="E498" s="5">
        <v>0.37945601851851851</v>
      </c>
      <c r="F498">
        <v>1</v>
      </c>
      <c r="G498" t="s">
        <v>82</v>
      </c>
      <c r="H498">
        <v>117.41666666666666</v>
      </c>
      <c r="M498" t="s">
        <v>79</v>
      </c>
      <c r="N498" t="s">
        <v>72</v>
      </c>
    </row>
    <row r="499" spans="1:20" x14ac:dyDescent="0.25">
      <c r="A499" t="s">
        <v>497</v>
      </c>
      <c r="B499" s="4" t="s">
        <v>10</v>
      </c>
      <c r="C499" s="4" t="s">
        <v>73</v>
      </c>
      <c r="D499" s="4">
        <v>46139</v>
      </c>
      <c r="E499" s="5">
        <v>0.37945601851851851</v>
      </c>
      <c r="F499">
        <v>1</v>
      </c>
      <c r="G499" t="s">
        <v>82</v>
      </c>
      <c r="H499">
        <v>117.33333333333333</v>
      </c>
      <c r="M499" t="s">
        <v>79</v>
      </c>
      <c r="N499" t="s">
        <v>72</v>
      </c>
    </row>
    <row r="500" spans="1:20" x14ac:dyDescent="0.25">
      <c r="A500" t="s">
        <v>498</v>
      </c>
      <c r="B500" s="4" t="s">
        <v>10</v>
      </c>
      <c r="C500" s="4" t="s">
        <v>70</v>
      </c>
      <c r="D500" s="4">
        <v>46139</v>
      </c>
      <c r="E500" s="5">
        <v>0.37982638888888887</v>
      </c>
      <c r="F500">
        <v>1</v>
      </c>
      <c r="G500" t="s">
        <v>82</v>
      </c>
      <c r="H500">
        <v>92</v>
      </c>
      <c r="L500" t="s">
        <v>497</v>
      </c>
      <c r="M500" t="s">
        <v>71</v>
      </c>
      <c r="N500" t="s">
        <v>72</v>
      </c>
      <c r="P500">
        <v>1</v>
      </c>
      <c r="R500">
        <v>1</v>
      </c>
      <c r="S500">
        <v>1</v>
      </c>
      <c r="T500">
        <v>24.25</v>
      </c>
    </row>
    <row r="501" spans="1:20" x14ac:dyDescent="0.25">
      <c r="A501" t="s">
        <v>497</v>
      </c>
      <c r="B501" s="4" t="s">
        <v>10</v>
      </c>
      <c r="C501" s="4" t="s">
        <v>73</v>
      </c>
      <c r="D501" s="4">
        <v>46139</v>
      </c>
      <c r="E501" s="5">
        <v>0.37982638888888887</v>
      </c>
      <c r="F501">
        <v>1</v>
      </c>
      <c r="G501" t="s">
        <v>82</v>
      </c>
      <c r="H501">
        <v>25.333333333333329</v>
      </c>
      <c r="M501" t="s">
        <v>79</v>
      </c>
      <c r="N501" t="s">
        <v>72</v>
      </c>
    </row>
    <row r="502" spans="1:20" x14ac:dyDescent="0.25">
      <c r="A502" t="s">
        <v>497</v>
      </c>
      <c r="B502" s="4" t="s">
        <v>10</v>
      </c>
      <c r="C502" s="4" t="s">
        <v>73</v>
      </c>
      <c r="D502" s="4">
        <v>46139</v>
      </c>
      <c r="E502" s="5">
        <v>0.37982638888888887</v>
      </c>
      <c r="F502">
        <v>1</v>
      </c>
      <c r="G502" t="s">
        <v>82</v>
      </c>
      <c r="H502">
        <v>25.25</v>
      </c>
      <c r="M502" t="s">
        <v>79</v>
      </c>
      <c r="N502" t="s">
        <v>72</v>
      </c>
    </row>
    <row r="503" spans="1:20" x14ac:dyDescent="0.25">
      <c r="A503" t="s">
        <v>497</v>
      </c>
      <c r="B503" s="4" t="s">
        <v>10</v>
      </c>
      <c r="C503" s="4" t="s">
        <v>73</v>
      </c>
      <c r="D503" s="4">
        <v>46139</v>
      </c>
      <c r="E503" s="5">
        <v>0.3800694444444444</v>
      </c>
      <c r="F503">
        <v>1</v>
      </c>
      <c r="G503" t="s">
        <v>82</v>
      </c>
      <c r="H503">
        <v>24.25</v>
      </c>
      <c r="M503" t="s">
        <v>76</v>
      </c>
      <c r="N503" t="s">
        <v>72</v>
      </c>
    </row>
    <row r="504" spans="1:20" x14ac:dyDescent="0.25">
      <c r="A504" t="s">
        <v>499</v>
      </c>
      <c r="B504" s="4" t="s">
        <v>10</v>
      </c>
      <c r="C504" s="4" t="s">
        <v>70</v>
      </c>
      <c r="D504" s="4">
        <v>46139</v>
      </c>
      <c r="E504" s="5">
        <v>0.38065972222222222</v>
      </c>
      <c r="F504">
        <v>1</v>
      </c>
      <c r="G504" t="s">
        <v>82</v>
      </c>
      <c r="H504">
        <v>57</v>
      </c>
      <c r="L504" t="s">
        <v>500</v>
      </c>
      <c r="M504" t="s">
        <v>71</v>
      </c>
      <c r="N504" t="s">
        <v>75</v>
      </c>
      <c r="O504">
        <v>1</v>
      </c>
      <c r="S504">
        <v>1</v>
      </c>
      <c r="T504">
        <v>70.833333333333329</v>
      </c>
    </row>
    <row r="505" spans="1:20" x14ac:dyDescent="0.25">
      <c r="A505" t="s">
        <v>500</v>
      </c>
      <c r="B505" s="4" t="s">
        <v>10</v>
      </c>
      <c r="C505" s="4" t="s">
        <v>73</v>
      </c>
      <c r="D505" s="4">
        <v>46139</v>
      </c>
      <c r="E505" s="5">
        <v>0.38065972222222222</v>
      </c>
      <c r="F505">
        <v>1</v>
      </c>
      <c r="G505" t="s">
        <v>82</v>
      </c>
      <c r="H505">
        <v>70.5</v>
      </c>
      <c r="L505" t="s">
        <v>501</v>
      </c>
      <c r="M505" t="s">
        <v>74</v>
      </c>
      <c r="N505" t="s">
        <v>75</v>
      </c>
    </row>
    <row r="506" spans="1:20" x14ac:dyDescent="0.25">
      <c r="A506" t="s">
        <v>500</v>
      </c>
      <c r="B506" s="4" t="s">
        <v>10</v>
      </c>
      <c r="C506" s="4" t="s">
        <v>73</v>
      </c>
      <c r="D506" s="4">
        <v>46139</v>
      </c>
      <c r="E506" s="5">
        <v>0.38065972222222222</v>
      </c>
      <c r="F506">
        <v>1</v>
      </c>
      <c r="G506" t="s">
        <v>82</v>
      </c>
      <c r="H506">
        <v>70.416666666666671</v>
      </c>
      <c r="L506" t="s">
        <v>501</v>
      </c>
      <c r="M506" t="s">
        <v>74</v>
      </c>
      <c r="N506" t="s">
        <v>75</v>
      </c>
    </row>
    <row r="507" spans="1:20" x14ac:dyDescent="0.25">
      <c r="A507" t="s">
        <v>500</v>
      </c>
      <c r="B507" s="4" t="s">
        <v>10</v>
      </c>
      <c r="C507" s="4" t="s">
        <v>73</v>
      </c>
      <c r="D507" s="4">
        <v>46139</v>
      </c>
      <c r="E507" s="5">
        <v>0.38094907407407408</v>
      </c>
      <c r="F507">
        <v>1</v>
      </c>
      <c r="G507" t="s">
        <v>82</v>
      </c>
      <c r="H507">
        <v>70.833333333333329</v>
      </c>
      <c r="L507" t="s">
        <v>501</v>
      </c>
      <c r="M507" t="s">
        <v>76</v>
      </c>
      <c r="N507" t="s">
        <v>75</v>
      </c>
    </row>
    <row r="508" spans="1:20" x14ac:dyDescent="0.25">
      <c r="A508" t="s">
        <v>502</v>
      </c>
      <c r="B508" s="4" t="s">
        <v>10</v>
      </c>
      <c r="C508" s="4" t="s">
        <v>70</v>
      </c>
      <c r="D508" s="4">
        <v>46139</v>
      </c>
      <c r="E508" s="5">
        <v>0.38163194444444443</v>
      </c>
      <c r="F508">
        <v>1</v>
      </c>
      <c r="G508" t="s">
        <v>82</v>
      </c>
      <c r="H508">
        <v>27.25</v>
      </c>
      <c r="L508" t="s">
        <v>503</v>
      </c>
      <c r="M508" t="s">
        <v>71</v>
      </c>
      <c r="N508" t="s">
        <v>72</v>
      </c>
      <c r="O508">
        <v>1</v>
      </c>
      <c r="S508">
        <v>1</v>
      </c>
      <c r="T508">
        <v>61.583333333333329</v>
      </c>
    </row>
    <row r="509" spans="1:20" x14ac:dyDescent="0.25">
      <c r="A509" t="s">
        <v>503</v>
      </c>
      <c r="B509" s="4" t="s">
        <v>10</v>
      </c>
      <c r="C509" s="4" t="s">
        <v>73</v>
      </c>
      <c r="D509" s="4">
        <v>46139</v>
      </c>
      <c r="E509" s="5">
        <v>0.38163194444444443</v>
      </c>
      <c r="F509">
        <v>1</v>
      </c>
      <c r="G509" t="s">
        <v>82</v>
      </c>
      <c r="H509">
        <v>63.583333333333336</v>
      </c>
      <c r="M509" t="s">
        <v>74</v>
      </c>
      <c r="N509" t="s">
        <v>72</v>
      </c>
    </row>
    <row r="510" spans="1:20" x14ac:dyDescent="0.25">
      <c r="A510" t="s">
        <v>503</v>
      </c>
      <c r="B510" s="4" t="s">
        <v>10</v>
      </c>
      <c r="C510" s="4" t="s">
        <v>73</v>
      </c>
      <c r="D510" s="4">
        <v>46139</v>
      </c>
      <c r="E510" s="5">
        <v>0.38163194444444443</v>
      </c>
      <c r="F510">
        <v>1</v>
      </c>
      <c r="G510" t="s">
        <v>82</v>
      </c>
      <c r="H510">
        <v>63.5</v>
      </c>
      <c r="M510" t="s">
        <v>74</v>
      </c>
      <c r="N510" t="s">
        <v>72</v>
      </c>
    </row>
    <row r="511" spans="1:20" x14ac:dyDescent="0.25">
      <c r="A511" t="s">
        <v>503</v>
      </c>
      <c r="B511" s="4" t="s">
        <v>10</v>
      </c>
      <c r="C511" s="4" t="s">
        <v>73</v>
      </c>
      <c r="D511" s="4">
        <v>46139</v>
      </c>
      <c r="E511" s="5">
        <v>0.38188657407407406</v>
      </c>
      <c r="F511">
        <v>1</v>
      </c>
      <c r="G511" t="s">
        <v>82</v>
      </c>
      <c r="H511">
        <v>61.583333333333329</v>
      </c>
      <c r="M511" t="s">
        <v>76</v>
      </c>
      <c r="N511" t="s">
        <v>72</v>
      </c>
    </row>
    <row r="512" spans="1:20" x14ac:dyDescent="0.25">
      <c r="A512" t="s">
        <v>506</v>
      </c>
      <c r="B512" s="4" t="s">
        <v>10</v>
      </c>
      <c r="C512" s="4" t="s">
        <v>73</v>
      </c>
      <c r="D512" s="4">
        <v>46139</v>
      </c>
      <c r="E512" s="5">
        <v>0.38274305555555554</v>
      </c>
      <c r="F512">
        <v>1</v>
      </c>
      <c r="G512" t="s">
        <v>82</v>
      </c>
      <c r="H512">
        <v>21.083333333333332</v>
      </c>
      <c r="M512" t="s">
        <v>74</v>
      </c>
      <c r="N512" t="s">
        <v>72</v>
      </c>
    </row>
    <row r="513" spans="1:20" x14ac:dyDescent="0.25">
      <c r="A513" t="s">
        <v>507</v>
      </c>
      <c r="B513" s="4" t="s">
        <v>10</v>
      </c>
      <c r="C513" s="4" t="s">
        <v>70</v>
      </c>
      <c r="D513" s="4">
        <v>46139</v>
      </c>
      <c r="E513" s="5">
        <v>0.38290509259259259</v>
      </c>
      <c r="F513">
        <v>1</v>
      </c>
      <c r="G513" t="s">
        <v>82</v>
      </c>
      <c r="H513">
        <v>8</v>
      </c>
      <c r="L513" t="s">
        <v>506</v>
      </c>
      <c r="M513" t="s">
        <v>71</v>
      </c>
      <c r="N513" t="s">
        <v>72</v>
      </c>
      <c r="O513">
        <v>1</v>
      </c>
      <c r="R513">
        <v>1</v>
      </c>
      <c r="S513">
        <v>1</v>
      </c>
      <c r="T513">
        <v>12.916666666666666</v>
      </c>
    </row>
    <row r="514" spans="1:20" x14ac:dyDescent="0.25">
      <c r="A514" t="s">
        <v>506</v>
      </c>
      <c r="B514" s="4" t="s">
        <v>10</v>
      </c>
      <c r="C514" s="4" t="s">
        <v>73</v>
      </c>
      <c r="D514" s="4">
        <v>46139</v>
      </c>
      <c r="E514" s="5">
        <v>0.38290509259259259</v>
      </c>
      <c r="F514">
        <v>1</v>
      </c>
      <c r="G514" t="s">
        <v>82</v>
      </c>
      <c r="H514">
        <v>13.083333333333332</v>
      </c>
      <c r="M514" t="s">
        <v>74</v>
      </c>
      <c r="N514" t="s">
        <v>72</v>
      </c>
    </row>
    <row r="515" spans="1:20" x14ac:dyDescent="0.25">
      <c r="A515" t="s">
        <v>506</v>
      </c>
      <c r="B515" s="4" t="s">
        <v>10</v>
      </c>
      <c r="C515" s="4" t="s">
        <v>73</v>
      </c>
      <c r="D515" s="4">
        <v>46139</v>
      </c>
      <c r="E515" s="5">
        <v>0.38290509259259259</v>
      </c>
      <c r="F515">
        <v>1</v>
      </c>
      <c r="G515" t="s">
        <v>82</v>
      </c>
      <c r="H515">
        <v>13</v>
      </c>
      <c r="M515" t="s">
        <v>74</v>
      </c>
      <c r="N515" t="s">
        <v>72</v>
      </c>
    </row>
    <row r="516" spans="1:20" x14ac:dyDescent="0.25">
      <c r="A516" t="s">
        <v>506</v>
      </c>
      <c r="B516" s="4" t="s">
        <v>10</v>
      </c>
      <c r="C516" s="4" t="s">
        <v>73</v>
      </c>
      <c r="D516" s="4">
        <v>46139</v>
      </c>
      <c r="E516" s="5">
        <v>0.38313657407407409</v>
      </c>
      <c r="F516">
        <v>1</v>
      </c>
      <c r="G516" t="s">
        <v>82</v>
      </c>
      <c r="H516">
        <v>12.916666666666666</v>
      </c>
      <c r="M516" t="s">
        <v>76</v>
      </c>
      <c r="N516" t="s">
        <v>72</v>
      </c>
    </row>
    <row r="517" spans="1:20" x14ac:dyDescent="0.25">
      <c r="A517" t="s">
        <v>508</v>
      </c>
      <c r="B517" s="4" t="s">
        <v>10</v>
      </c>
      <c r="C517" s="4" t="s">
        <v>70</v>
      </c>
      <c r="D517" s="4">
        <v>46139</v>
      </c>
      <c r="E517" s="5">
        <v>0.38376157407407402</v>
      </c>
      <c r="F517">
        <v>1</v>
      </c>
      <c r="G517" t="s">
        <v>82</v>
      </c>
      <c r="H517">
        <v>12</v>
      </c>
      <c r="L517" t="s">
        <v>509</v>
      </c>
      <c r="M517" t="s">
        <v>71</v>
      </c>
      <c r="N517" t="s">
        <v>75</v>
      </c>
      <c r="O517">
        <v>1</v>
      </c>
      <c r="R517">
        <v>1</v>
      </c>
      <c r="S517">
        <v>1</v>
      </c>
      <c r="T517">
        <v>7.333333333333333</v>
      </c>
    </row>
    <row r="518" spans="1:20" x14ac:dyDescent="0.25">
      <c r="A518" t="s">
        <v>509</v>
      </c>
      <c r="B518" s="4" t="s">
        <v>10</v>
      </c>
      <c r="C518" s="4" t="s">
        <v>73</v>
      </c>
      <c r="D518" s="4">
        <v>46139</v>
      </c>
      <c r="E518" s="5">
        <v>0.38376157407407402</v>
      </c>
      <c r="F518">
        <v>1</v>
      </c>
      <c r="G518" t="s">
        <v>82</v>
      </c>
      <c r="H518">
        <v>7.583333333333333</v>
      </c>
      <c r="M518" t="s">
        <v>74</v>
      </c>
      <c r="N518" t="s">
        <v>75</v>
      </c>
    </row>
    <row r="519" spans="1:20" x14ac:dyDescent="0.25">
      <c r="A519" t="s">
        <v>509</v>
      </c>
      <c r="B519" s="4" t="s">
        <v>10</v>
      </c>
      <c r="C519" s="4" t="s">
        <v>73</v>
      </c>
      <c r="D519" s="4">
        <v>46139</v>
      </c>
      <c r="E519" s="5">
        <v>0.38376157407407402</v>
      </c>
      <c r="F519">
        <v>1</v>
      </c>
      <c r="G519" t="s">
        <v>82</v>
      </c>
      <c r="H519">
        <v>7.5</v>
      </c>
      <c r="M519" t="s">
        <v>74</v>
      </c>
      <c r="N519" t="s">
        <v>75</v>
      </c>
    </row>
    <row r="520" spans="1:20" x14ac:dyDescent="0.25">
      <c r="A520" t="s">
        <v>509</v>
      </c>
      <c r="B520" s="4" t="s">
        <v>10</v>
      </c>
      <c r="C520" s="4" t="s">
        <v>73</v>
      </c>
      <c r="D520" s="4">
        <v>46139</v>
      </c>
      <c r="E520" s="5">
        <v>0.38390046296296299</v>
      </c>
      <c r="F520">
        <v>1</v>
      </c>
      <c r="G520" t="s">
        <v>82</v>
      </c>
      <c r="H520">
        <v>7.333333333333333</v>
      </c>
      <c r="M520" t="s">
        <v>76</v>
      </c>
      <c r="N520" t="s">
        <v>75</v>
      </c>
    </row>
    <row r="521" spans="1:20" x14ac:dyDescent="0.25">
      <c r="A521" t="s">
        <v>512</v>
      </c>
      <c r="B521" s="4" t="s">
        <v>10</v>
      </c>
      <c r="C521" s="4" t="s">
        <v>70</v>
      </c>
      <c r="D521" s="4">
        <v>46139</v>
      </c>
      <c r="E521" s="5">
        <v>0.38482638888888887</v>
      </c>
      <c r="F521">
        <v>1</v>
      </c>
      <c r="G521" t="s">
        <v>82</v>
      </c>
      <c r="H521">
        <v>17.5</v>
      </c>
      <c r="L521" t="s">
        <v>513</v>
      </c>
      <c r="M521" t="s">
        <v>71</v>
      </c>
      <c r="N521" t="s">
        <v>75</v>
      </c>
      <c r="O521">
        <v>1</v>
      </c>
      <c r="R521">
        <v>1</v>
      </c>
      <c r="S521">
        <v>1</v>
      </c>
      <c r="T521">
        <v>5.166666666666667</v>
      </c>
    </row>
    <row r="522" spans="1:20" x14ac:dyDescent="0.25">
      <c r="A522" t="s">
        <v>513</v>
      </c>
      <c r="B522" s="4" t="s">
        <v>10</v>
      </c>
      <c r="C522" s="4" t="s">
        <v>73</v>
      </c>
      <c r="D522" s="4">
        <v>46139</v>
      </c>
      <c r="E522" s="5">
        <v>0.38482638888888887</v>
      </c>
      <c r="F522">
        <v>1</v>
      </c>
      <c r="G522" t="s">
        <v>82</v>
      </c>
      <c r="H522">
        <v>5.5</v>
      </c>
      <c r="M522" t="s">
        <v>79</v>
      </c>
      <c r="N522" t="s">
        <v>75</v>
      </c>
    </row>
    <row r="523" spans="1:20" x14ac:dyDescent="0.25">
      <c r="A523" t="s">
        <v>513</v>
      </c>
      <c r="B523" s="4" t="s">
        <v>10</v>
      </c>
      <c r="C523" s="4" t="s">
        <v>73</v>
      </c>
      <c r="D523" s="4">
        <v>46139</v>
      </c>
      <c r="E523" s="5">
        <v>0.38502314814814814</v>
      </c>
      <c r="F523">
        <v>1</v>
      </c>
      <c r="G523" t="s">
        <v>82</v>
      </c>
      <c r="H523">
        <v>5.166666666666667</v>
      </c>
      <c r="M523" t="s">
        <v>76</v>
      </c>
      <c r="N523" t="s">
        <v>75</v>
      </c>
    </row>
    <row r="524" spans="1:20" x14ac:dyDescent="0.25">
      <c r="A524" t="s">
        <v>514</v>
      </c>
      <c r="B524" s="4" t="s">
        <v>10</v>
      </c>
      <c r="C524" s="4" t="s">
        <v>70</v>
      </c>
      <c r="D524" s="4">
        <v>46139</v>
      </c>
      <c r="E524" s="5">
        <v>0.38572916666666662</v>
      </c>
      <c r="F524">
        <v>1</v>
      </c>
      <c r="G524" t="s">
        <v>82</v>
      </c>
      <c r="H524">
        <v>17</v>
      </c>
      <c r="L524" t="s">
        <v>515</v>
      </c>
      <c r="M524" t="s">
        <v>71</v>
      </c>
      <c r="N524" t="s">
        <v>72</v>
      </c>
      <c r="O524">
        <v>1</v>
      </c>
      <c r="Q524">
        <v>1</v>
      </c>
      <c r="S524">
        <v>1</v>
      </c>
      <c r="T524">
        <v>5.166666666666667</v>
      </c>
    </row>
    <row r="525" spans="1:20" x14ac:dyDescent="0.25">
      <c r="A525" t="s">
        <v>515</v>
      </c>
      <c r="B525" s="4" t="s">
        <v>10</v>
      </c>
      <c r="C525" s="4" t="s">
        <v>73</v>
      </c>
      <c r="D525" s="4">
        <v>46139</v>
      </c>
      <c r="E525" s="5">
        <v>0.38572916666666662</v>
      </c>
      <c r="F525">
        <v>1</v>
      </c>
      <c r="G525" t="s">
        <v>82</v>
      </c>
      <c r="H525">
        <v>5</v>
      </c>
      <c r="M525" t="s">
        <v>79</v>
      </c>
      <c r="N525" t="s">
        <v>72</v>
      </c>
    </row>
    <row r="526" spans="1:20" x14ac:dyDescent="0.25">
      <c r="A526" t="s">
        <v>515</v>
      </c>
      <c r="B526" s="4" t="s">
        <v>10</v>
      </c>
      <c r="C526" s="4" t="s">
        <v>73</v>
      </c>
      <c r="D526" s="4">
        <v>46139</v>
      </c>
      <c r="E526" s="5">
        <v>0.38587962962962963</v>
      </c>
      <c r="F526">
        <v>1</v>
      </c>
      <c r="G526" t="s">
        <v>82</v>
      </c>
      <c r="H526">
        <v>5.166666666666667</v>
      </c>
      <c r="M526" t="s">
        <v>76</v>
      </c>
      <c r="N526" t="s">
        <v>72</v>
      </c>
    </row>
    <row r="527" spans="1:20" x14ac:dyDescent="0.25">
      <c r="A527" t="s">
        <v>516</v>
      </c>
      <c r="B527" s="4" t="s">
        <v>10</v>
      </c>
      <c r="C527" s="4" t="s">
        <v>70</v>
      </c>
      <c r="D527" s="4">
        <v>46139</v>
      </c>
      <c r="E527" s="5">
        <v>0.38650462962962961</v>
      </c>
      <c r="F527">
        <v>1</v>
      </c>
      <c r="G527" t="s">
        <v>82</v>
      </c>
      <c r="H527">
        <v>31.5</v>
      </c>
      <c r="L527" t="s">
        <v>517</v>
      </c>
      <c r="M527" t="s">
        <v>71</v>
      </c>
      <c r="N527" t="s">
        <v>75</v>
      </c>
      <c r="O527">
        <v>1</v>
      </c>
    </row>
    <row r="528" spans="1:20" x14ac:dyDescent="0.25">
      <c r="A528" t="s">
        <v>517</v>
      </c>
      <c r="B528" s="4" t="s">
        <v>10</v>
      </c>
      <c r="C528" s="4" t="s">
        <v>73</v>
      </c>
      <c r="D528" s="4">
        <v>46139</v>
      </c>
      <c r="E528" s="5">
        <v>0.38650462962962961</v>
      </c>
      <c r="F528">
        <v>1</v>
      </c>
      <c r="G528" t="s">
        <v>82</v>
      </c>
      <c r="H528">
        <v>116.25</v>
      </c>
      <c r="M528" t="s">
        <v>79</v>
      </c>
      <c r="N528" t="s">
        <v>75</v>
      </c>
    </row>
    <row r="529" spans="1:20" x14ac:dyDescent="0.25">
      <c r="A529" t="s">
        <v>517</v>
      </c>
      <c r="B529" s="4" t="s">
        <v>10</v>
      </c>
      <c r="C529" s="4" t="s">
        <v>73</v>
      </c>
      <c r="D529" s="4">
        <v>46139</v>
      </c>
      <c r="E529" s="5">
        <v>0.38650462962962961</v>
      </c>
      <c r="F529">
        <v>1</v>
      </c>
      <c r="G529" t="s">
        <v>82</v>
      </c>
      <c r="H529">
        <v>116.16666666666666</v>
      </c>
      <c r="M529" t="s">
        <v>79</v>
      </c>
      <c r="N529" t="s">
        <v>75</v>
      </c>
    </row>
    <row r="530" spans="1:20" x14ac:dyDescent="0.25">
      <c r="A530" t="s">
        <v>522</v>
      </c>
      <c r="B530" s="4" t="s">
        <v>10</v>
      </c>
      <c r="C530" s="4" t="s">
        <v>70</v>
      </c>
      <c r="D530" s="4">
        <v>46139</v>
      </c>
      <c r="E530" s="5">
        <v>0.38702546296296292</v>
      </c>
      <c r="F530">
        <v>1</v>
      </c>
      <c r="G530" t="s">
        <v>82</v>
      </c>
      <c r="H530">
        <v>100.75</v>
      </c>
      <c r="L530" t="s">
        <v>517</v>
      </c>
      <c r="M530" t="s">
        <v>71</v>
      </c>
      <c r="N530" t="s">
        <v>75</v>
      </c>
      <c r="P530">
        <v>1</v>
      </c>
      <c r="R530">
        <v>1</v>
      </c>
      <c r="S530">
        <v>1</v>
      </c>
      <c r="T530">
        <v>14.666666666666666</v>
      </c>
    </row>
    <row r="531" spans="1:20" x14ac:dyDescent="0.25">
      <c r="A531" t="s">
        <v>517</v>
      </c>
      <c r="B531" s="4" t="s">
        <v>10</v>
      </c>
      <c r="C531" s="4" t="s">
        <v>73</v>
      </c>
      <c r="D531" s="4">
        <v>46139</v>
      </c>
      <c r="E531" s="5">
        <v>0.38702546296296292</v>
      </c>
      <c r="F531">
        <v>1</v>
      </c>
      <c r="G531" t="s">
        <v>82</v>
      </c>
      <c r="H531">
        <v>15.416666666666664</v>
      </c>
      <c r="M531" t="s">
        <v>79</v>
      </c>
      <c r="N531" t="s">
        <v>75</v>
      </c>
    </row>
    <row r="532" spans="1:20" x14ac:dyDescent="0.25">
      <c r="A532" t="s">
        <v>517</v>
      </c>
      <c r="B532" s="4" t="s">
        <v>10</v>
      </c>
      <c r="C532" s="4" t="s">
        <v>73</v>
      </c>
      <c r="D532" s="4">
        <v>46139</v>
      </c>
      <c r="E532" s="5">
        <v>0.38702546296296292</v>
      </c>
      <c r="F532">
        <v>1</v>
      </c>
      <c r="G532" t="s">
        <v>82</v>
      </c>
      <c r="H532">
        <v>15.333333333333332</v>
      </c>
      <c r="M532" t="s">
        <v>79</v>
      </c>
      <c r="N532" t="s">
        <v>75</v>
      </c>
    </row>
    <row r="533" spans="1:20" x14ac:dyDescent="0.25">
      <c r="A533" t="s">
        <v>517</v>
      </c>
      <c r="B533" s="4" t="s">
        <v>10</v>
      </c>
      <c r="C533" s="4" t="s">
        <v>73</v>
      </c>
      <c r="D533" s="4">
        <v>46139</v>
      </c>
      <c r="E533" s="5">
        <v>0.38715277777777779</v>
      </c>
      <c r="F533">
        <v>1</v>
      </c>
      <c r="G533" t="s">
        <v>82</v>
      </c>
      <c r="H533">
        <v>14.666666666666666</v>
      </c>
      <c r="M533" t="s">
        <v>76</v>
      </c>
      <c r="N533" t="s">
        <v>75</v>
      </c>
    </row>
    <row r="534" spans="1:20" x14ac:dyDescent="0.25">
      <c r="A534" t="s">
        <v>525</v>
      </c>
      <c r="B534" s="4" t="s">
        <v>10</v>
      </c>
      <c r="C534" s="4" t="s">
        <v>70</v>
      </c>
      <c r="D534" s="4">
        <v>46139</v>
      </c>
      <c r="E534" s="5">
        <v>0.38791666666666669</v>
      </c>
      <c r="F534">
        <v>1</v>
      </c>
      <c r="G534" t="s">
        <v>82</v>
      </c>
      <c r="H534">
        <v>57</v>
      </c>
      <c r="L534" t="s">
        <v>526</v>
      </c>
      <c r="M534" t="s">
        <v>71</v>
      </c>
      <c r="N534" t="s">
        <v>75</v>
      </c>
      <c r="O534">
        <v>1</v>
      </c>
      <c r="R534">
        <v>1</v>
      </c>
      <c r="S534">
        <v>1</v>
      </c>
      <c r="T534">
        <v>12.416666666666668</v>
      </c>
    </row>
    <row r="535" spans="1:20" x14ac:dyDescent="0.25">
      <c r="A535" t="s">
        <v>526</v>
      </c>
      <c r="B535" s="4" t="s">
        <v>10</v>
      </c>
      <c r="C535" s="4" t="s">
        <v>73</v>
      </c>
      <c r="D535" s="4">
        <v>46139</v>
      </c>
      <c r="E535" s="5">
        <v>0.38791666666666669</v>
      </c>
      <c r="F535">
        <v>1</v>
      </c>
      <c r="G535" t="s">
        <v>82</v>
      </c>
      <c r="H535">
        <v>13.333333333333332</v>
      </c>
      <c r="M535" t="s">
        <v>74</v>
      </c>
      <c r="N535" t="s">
        <v>75</v>
      </c>
    </row>
    <row r="536" spans="1:20" x14ac:dyDescent="0.25">
      <c r="A536" t="s">
        <v>526</v>
      </c>
      <c r="B536" s="4" t="s">
        <v>10</v>
      </c>
      <c r="C536" s="4" t="s">
        <v>73</v>
      </c>
      <c r="D536" s="4">
        <v>46139</v>
      </c>
      <c r="E536" s="5">
        <v>0.38791666666666669</v>
      </c>
      <c r="F536">
        <v>1</v>
      </c>
      <c r="G536" t="s">
        <v>82</v>
      </c>
      <c r="H536">
        <v>13.25</v>
      </c>
      <c r="M536" t="s">
        <v>74</v>
      </c>
      <c r="N536" t="s">
        <v>75</v>
      </c>
    </row>
    <row r="537" spans="1:20" x14ac:dyDescent="0.25">
      <c r="A537" t="s">
        <v>526</v>
      </c>
      <c r="B537" s="4" t="s">
        <v>10</v>
      </c>
      <c r="C537" s="4" t="s">
        <v>73</v>
      </c>
      <c r="D537" s="4">
        <v>46139</v>
      </c>
      <c r="E537" s="5">
        <v>0.38825231481481481</v>
      </c>
      <c r="F537">
        <v>1</v>
      </c>
      <c r="G537" t="s">
        <v>82</v>
      </c>
      <c r="H537">
        <v>12.416666666666668</v>
      </c>
      <c r="M537" t="s">
        <v>76</v>
      </c>
      <c r="N537" t="s">
        <v>75</v>
      </c>
    </row>
    <row r="538" spans="1:20" x14ac:dyDescent="0.25">
      <c r="A538" t="s">
        <v>530</v>
      </c>
      <c r="B538" s="4" t="s">
        <v>10</v>
      </c>
      <c r="C538" s="4" t="s">
        <v>70</v>
      </c>
      <c r="D538" s="4">
        <v>46139</v>
      </c>
      <c r="E538" s="5">
        <v>0.38878472222222227</v>
      </c>
      <c r="F538">
        <v>1</v>
      </c>
      <c r="G538" t="s">
        <v>82</v>
      </c>
      <c r="H538">
        <v>15</v>
      </c>
      <c r="L538" t="s">
        <v>531</v>
      </c>
      <c r="M538" t="s">
        <v>71</v>
      </c>
      <c r="N538" t="s">
        <v>72</v>
      </c>
      <c r="O538">
        <v>1</v>
      </c>
      <c r="S538">
        <v>1</v>
      </c>
      <c r="T538">
        <v>80.916666666666657</v>
      </c>
    </row>
    <row r="539" spans="1:20" x14ac:dyDescent="0.25">
      <c r="A539" t="s">
        <v>531</v>
      </c>
      <c r="B539" s="4" t="s">
        <v>10</v>
      </c>
      <c r="C539" s="4" t="s">
        <v>73</v>
      </c>
      <c r="D539" s="4">
        <v>46139</v>
      </c>
      <c r="E539" s="5">
        <v>0.38878472222222227</v>
      </c>
      <c r="F539">
        <v>1</v>
      </c>
      <c r="G539" t="s">
        <v>82</v>
      </c>
      <c r="H539">
        <v>81</v>
      </c>
      <c r="M539" t="s">
        <v>79</v>
      </c>
      <c r="N539" t="s">
        <v>72</v>
      </c>
    </row>
    <row r="540" spans="1:20" x14ac:dyDescent="0.25">
      <c r="A540" t="s">
        <v>531</v>
      </c>
      <c r="B540" s="4" t="s">
        <v>10</v>
      </c>
      <c r="C540" s="4" t="s">
        <v>73</v>
      </c>
      <c r="D540" s="4">
        <v>46139</v>
      </c>
      <c r="E540" s="5">
        <v>0.38878472222222227</v>
      </c>
      <c r="F540">
        <v>1</v>
      </c>
      <c r="G540" t="s">
        <v>82</v>
      </c>
      <c r="H540">
        <v>80.916666666666657</v>
      </c>
      <c r="M540" t="s">
        <v>79</v>
      </c>
      <c r="N540" t="s">
        <v>72</v>
      </c>
    </row>
    <row r="541" spans="1:20" x14ac:dyDescent="0.25">
      <c r="A541" t="s">
        <v>531</v>
      </c>
      <c r="B541" s="4" t="s">
        <v>10</v>
      </c>
      <c r="C541" s="4" t="s">
        <v>73</v>
      </c>
      <c r="D541" s="4">
        <v>46139</v>
      </c>
      <c r="E541" s="5">
        <v>0.38894675925925926</v>
      </c>
      <c r="F541">
        <v>1</v>
      </c>
      <c r="G541" t="s">
        <v>82</v>
      </c>
      <c r="H541">
        <v>80.916666666666657</v>
      </c>
      <c r="M541" t="s">
        <v>76</v>
      </c>
      <c r="N541" t="s">
        <v>72</v>
      </c>
    </row>
    <row r="542" spans="1:20" x14ac:dyDescent="0.25">
      <c r="A542" t="s">
        <v>532</v>
      </c>
      <c r="B542" s="4" t="s">
        <v>10</v>
      </c>
      <c r="C542" s="4" t="s">
        <v>70</v>
      </c>
      <c r="D542" s="4">
        <v>46139</v>
      </c>
      <c r="E542" s="5">
        <v>0.3895601851851852</v>
      </c>
      <c r="F542">
        <v>1</v>
      </c>
      <c r="G542" t="s">
        <v>82</v>
      </c>
      <c r="H542">
        <v>12</v>
      </c>
      <c r="L542" t="s">
        <v>533</v>
      </c>
      <c r="M542" t="s">
        <v>71</v>
      </c>
      <c r="N542" t="s">
        <v>78</v>
      </c>
      <c r="O542">
        <v>1</v>
      </c>
    </row>
    <row r="543" spans="1:20" x14ac:dyDescent="0.25">
      <c r="A543" t="s">
        <v>533</v>
      </c>
      <c r="B543" s="4" t="s">
        <v>10</v>
      </c>
      <c r="C543" s="4" t="s">
        <v>73</v>
      </c>
      <c r="D543" s="4">
        <v>46139</v>
      </c>
      <c r="E543" s="5">
        <v>0.3895601851851852</v>
      </c>
      <c r="F543">
        <v>1</v>
      </c>
      <c r="G543" t="s">
        <v>82</v>
      </c>
      <c r="H543">
        <v>46.666666666666664</v>
      </c>
      <c r="M543" t="s">
        <v>79</v>
      </c>
      <c r="N543" t="s">
        <v>78</v>
      </c>
    </row>
    <row r="544" spans="1:20" x14ac:dyDescent="0.25">
      <c r="A544" t="s">
        <v>533</v>
      </c>
      <c r="B544" s="4" t="s">
        <v>10</v>
      </c>
      <c r="C544" s="4" t="s">
        <v>73</v>
      </c>
      <c r="D544" s="4">
        <v>46139</v>
      </c>
      <c r="E544" s="5">
        <v>0.3895601851851852</v>
      </c>
      <c r="F544">
        <v>1</v>
      </c>
      <c r="G544" t="s">
        <v>82</v>
      </c>
      <c r="H544">
        <v>46.583333333333329</v>
      </c>
      <c r="M544" t="s">
        <v>79</v>
      </c>
      <c r="N544" t="s">
        <v>78</v>
      </c>
    </row>
    <row r="545" spans="1:20" x14ac:dyDescent="0.25">
      <c r="A545" t="s">
        <v>535</v>
      </c>
      <c r="B545" s="4" t="s">
        <v>10</v>
      </c>
      <c r="C545" s="4" t="s">
        <v>70</v>
      </c>
      <c r="D545" s="4">
        <v>46139</v>
      </c>
      <c r="E545" s="5">
        <v>0.38983796296296297</v>
      </c>
      <c r="F545">
        <v>1</v>
      </c>
      <c r="G545" t="s">
        <v>82</v>
      </c>
      <c r="H545">
        <v>31</v>
      </c>
      <c r="L545" t="s">
        <v>533</v>
      </c>
      <c r="M545" t="s">
        <v>71</v>
      </c>
      <c r="N545" t="s">
        <v>78</v>
      </c>
      <c r="P545">
        <v>1</v>
      </c>
      <c r="R545">
        <v>1</v>
      </c>
      <c r="S545">
        <v>1</v>
      </c>
      <c r="T545">
        <v>15.333333333333332</v>
      </c>
    </row>
    <row r="546" spans="1:20" x14ac:dyDescent="0.25">
      <c r="A546" t="s">
        <v>533</v>
      </c>
      <c r="B546" s="4" t="s">
        <v>10</v>
      </c>
      <c r="C546" s="4" t="s">
        <v>73</v>
      </c>
      <c r="D546" s="4">
        <v>46139</v>
      </c>
      <c r="E546" s="5">
        <v>0.38983796296296297</v>
      </c>
      <c r="F546">
        <v>1</v>
      </c>
      <c r="G546" t="s">
        <v>82</v>
      </c>
      <c r="H546">
        <v>15.583333333333334</v>
      </c>
      <c r="M546" t="s">
        <v>79</v>
      </c>
      <c r="N546" t="s">
        <v>78</v>
      </c>
    </row>
    <row r="547" spans="1:20" x14ac:dyDescent="0.25">
      <c r="A547" t="s">
        <v>533</v>
      </c>
      <c r="B547" s="4" t="s">
        <v>10</v>
      </c>
      <c r="C547" s="4" t="s">
        <v>73</v>
      </c>
      <c r="D547" s="4">
        <v>46139</v>
      </c>
      <c r="E547" s="5">
        <v>0.38983796296296297</v>
      </c>
      <c r="F547">
        <v>1</v>
      </c>
      <c r="G547" t="s">
        <v>82</v>
      </c>
      <c r="H547">
        <v>15.5</v>
      </c>
      <c r="M547" t="s">
        <v>79</v>
      </c>
      <c r="N547" t="s">
        <v>78</v>
      </c>
    </row>
    <row r="548" spans="1:20" x14ac:dyDescent="0.25">
      <c r="A548" t="s">
        <v>533</v>
      </c>
      <c r="B548" s="4" t="s">
        <v>10</v>
      </c>
      <c r="C548" s="4" t="s">
        <v>73</v>
      </c>
      <c r="D548" s="4">
        <v>46139</v>
      </c>
      <c r="E548" s="5">
        <v>0.38997685185185182</v>
      </c>
      <c r="F548">
        <v>1</v>
      </c>
      <c r="G548" t="s">
        <v>82</v>
      </c>
      <c r="H548">
        <v>15.333333333333332</v>
      </c>
      <c r="M548" t="s">
        <v>76</v>
      </c>
      <c r="N548" t="s">
        <v>78</v>
      </c>
    </row>
    <row r="549" spans="1:20" x14ac:dyDescent="0.25">
      <c r="A549" t="s">
        <v>538</v>
      </c>
      <c r="B549" s="4" t="s">
        <v>10</v>
      </c>
      <c r="C549" s="4" t="s">
        <v>70</v>
      </c>
      <c r="D549" s="4">
        <v>46139</v>
      </c>
      <c r="E549" s="5">
        <v>0.39092592592592595</v>
      </c>
      <c r="F549">
        <v>1</v>
      </c>
      <c r="G549" t="s">
        <v>82</v>
      </c>
      <c r="H549">
        <v>132</v>
      </c>
      <c r="L549" t="s">
        <v>539</v>
      </c>
      <c r="M549" t="s">
        <v>71</v>
      </c>
      <c r="N549" t="s">
        <v>72</v>
      </c>
      <c r="O549">
        <v>1</v>
      </c>
      <c r="S549">
        <v>1</v>
      </c>
      <c r="T549">
        <v>84.416666666666657</v>
      </c>
    </row>
    <row r="550" spans="1:20" x14ac:dyDescent="0.25">
      <c r="A550" t="s">
        <v>539</v>
      </c>
      <c r="B550" s="4" t="s">
        <v>10</v>
      </c>
      <c r="C550" s="4" t="s">
        <v>73</v>
      </c>
      <c r="D550" s="4">
        <v>46139</v>
      </c>
      <c r="E550" s="5">
        <v>0.39092592592592595</v>
      </c>
      <c r="F550">
        <v>1</v>
      </c>
      <c r="G550" t="s">
        <v>82</v>
      </c>
      <c r="H550">
        <v>84.5</v>
      </c>
      <c r="L550" s="21"/>
      <c r="M550" t="s">
        <v>79</v>
      </c>
      <c r="N550" t="s">
        <v>72</v>
      </c>
    </row>
    <row r="551" spans="1:20" x14ac:dyDescent="0.25">
      <c r="A551" t="s">
        <v>539</v>
      </c>
      <c r="B551" s="4" t="s">
        <v>10</v>
      </c>
      <c r="C551" s="4" t="s">
        <v>73</v>
      </c>
      <c r="D551" s="4">
        <v>46139</v>
      </c>
      <c r="E551" s="5">
        <v>0.39092592592592595</v>
      </c>
      <c r="F551">
        <v>1</v>
      </c>
      <c r="G551" t="s">
        <v>82</v>
      </c>
      <c r="H551">
        <v>84.416666666666657</v>
      </c>
      <c r="M551" t="s">
        <v>79</v>
      </c>
      <c r="N551" t="s">
        <v>72</v>
      </c>
    </row>
    <row r="552" spans="1:20" x14ac:dyDescent="0.25">
      <c r="A552" t="s">
        <v>539</v>
      </c>
      <c r="B552" s="4" t="s">
        <v>10</v>
      </c>
      <c r="C552" s="4" t="s">
        <v>73</v>
      </c>
      <c r="D552" s="4">
        <v>46139</v>
      </c>
      <c r="E552" s="5">
        <v>0.39103009259259258</v>
      </c>
      <c r="F552">
        <v>1</v>
      </c>
      <c r="G552" t="s">
        <v>82</v>
      </c>
      <c r="H552">
        <v>84.416666666666657</v>
      </c>
      <c r="M552" t="s">
        <v>76</v>
      </c>
      <c r="N552" t="s">
        <v>72</v>
      </c>
    </row>
    <row r="553" spans="1:20" x14ac:dyDescent="0.25">
      <c r="A553" t="s">
        <v>543</v>
      </c>
      <c r="B553" s="4" t="s">
        <v>10</v>
      </c>
      <c r="C553" s="4" t="s">
        <v>70</v>
      </c>
      <c r="D553" s="4">
        <v>46139</v>
      </c>
      <c r="E553" s="5">
        <v>0.39159722222222221</v>
      </c>
      <c r="F553">
        <v>1</v>
      </c>
      <c r="G553" t="s">
        <v>82</v>
      </c>
      <c r="H553">
        <v>15.25</v>
      </c>
      <c r="L553" t="s">
        <v>544</v>
      </c>
      <c r="M553" t="s">
        <v>71</v>
      </c>
      <c r="N553" t="s">
        <v>72</v>
      </c>
      <c r="O553">
        <v>1</v>
      </c>
      <c r="S553">
        <v>1</v>
      </c>
      <c r="T553">
        <v>54.25</v>
      </c>
    </row>
    <row r="554" spans="1:20" x14ac:dyDescent="0.25">
      <c r="A554" t="s">
        <v>544</v>
      </c>
      <c r="B554" s="4" t="s">
        <v>10</v>
      </c>
      <c r="C554" s="4" t="s">
        <v>73</v>
      </c>
      <c r="D554" s="4">
        <v>46139</v>
      </c>
      <c r="E554" s="5">
        <v>0.39159722222222221</v>
      </c>
      <c r="F554">
        <v>1</v>
      </c>
      <c r="G554" t="s">
        <v>82</v>
      </c>
      <c r="H554">
        <v>54.5</v>
      </c>
      <c r="M554" t="s">
        <v>79</v>
      </c>
      <c r="N554" t="s">
        <v>72</v>
      </c>
    </row>
    <row r="555" spans="1:20" x14ac:dyDescent="0.25">
      <c r="A555" t="s">
        <v>544</v>
      </c>
      <c r="B555" s="4" t="s">
        <v>10</v>
      </c>
      <c r="C555" s="4" t="s">
        <v>73</v>
      </c>
      <c r="D555" s="4">
        <v>46139</v>
      </c>
      <c r="E555" s="5">
        <v>0.39188657407407401</v>
      </c>
      <c r="F555">
        <v>1</v>
      </c>
      <c r="G555" t="s">
        <v>82</v>
      </c>
      <c r="H555">
        <v>54.25</v>
      </c>
      <c r="M555" t="s">
        <v>76</v>
      </c>
      <c r="N555" t="s">
        <v>72</v>
      </c>
    </row>
    <row r="556" spans="1:20" x14ac:dyDescent="0.25">
      <c r="A556" t="s">
        <v>547</v>
      </c>
      <c r="B556" s="4" t="s">
        <v>10</v>
      </c>
      <c r="C556" s="4" t="s">
        <v>70</v>
      </c>
      <c r="D556" s="4">
        <v>46139</v>
      </c>
      <c r="E556" s="5">
        <v>0.39299768518518519</v>
      </c>
      <c r="F556">
        <v>1</v>
      </c>
      <c r="G556" t="s">
        <v>82</v>
      </c>
      <c r="H556">
        <v>143.5</v>
      </c>
      <c r="L556" t="s">
        <v>548</v>
      </c>
      <c r="M556" t="s">
        <v>71</v>
      </c>
      <c r="N556" t="s">
        <v>75</v>
      </c>
      <c r="O556">
        <v>1</v>
      </c>
      <c r="S556">
        <v>1</v>
      </c>
      <c r="T556">
        <v>34.666666666666664</v>
      </c>
    </row>
    <row r="557" spans="1:20" x14ac:dyDescent="0.25">
      <c r="A557" t="s">
        <v>548</v>
      </c>
      <c r="B557" s="4" t="s">
        <v>10</v>
      </c>
      <c r="C557" s="4" t="s">
        <v>73</v>
      </c>
      <c r="D557" s="4">
        <v>46139</v>
      </c>
      <c r="E557" s="5">
        <v>0.39299768518518519</v>
      </c>
      <c r="F557">
        <v>1</v>
      </c>
      <c r="G557" t="s">
        <v>82</v>
      </c>
      <c r="H557">
        <v>33.666666666666664</v>
      </c>
      <c r="M557" t="s">
        <v>79</v>
      </c>
      <c r="N557" t="s">
        <v>75</v>
      </c>
    </row>
    <row r="558" spans="1:20" x14ac:dyDescent="0.25">
      <c r="A558" t="s">
        <v>548</v>
      </c>
      <c r="B558" s="4" t="s">
        <v>10</v>
      </c>
      <c r="C558" s="4" t="s">
        <v>73</v>
      </c>
      <c r="D558" s="4">
        <v>46139</v>
      </c>
      <c r="E558" s="5">
        <v>0.39299768518518519</v>
      </c>
      <c r="F558">
        <v>1</v>
      </c>
      <c r="G558" t="s">
        <v>82</v>
      </c>
      <c r="H558">
        <v>33.583333333333329</v>
      </c>
      <c r="M558" t="s">
        <v>79</v>
      </c>
      <c r="N558" t="s">
        <v>75</v>
      </c>
    </row>
    <row r="559" spans="1:20" x14ac:dyDescent="0.25">
      <c r="A559" t="s">
        <v>548</v>
      </c>
      <c r="B559" s="4" t="s">
        <v>10</v>
      </c>
      <c r="C559" s="4" t="s">
        <v>73</v>
      </c>
      <c r="D559" s="4">
        <v>46139</v>
      </c>
      <c r="E559" s="5">
        <v>0.39322916666666669</v>
      </c>
      <c r="F559">
        <v>1</v>
      </c>
      <c r="G559" t="s">
        <v>82</v>
      </c>
      <c r="H559">
        <v>34.666666666666664</v>
      </c>
      <c r="M559" t="s">
        <v>76</v>
      </c>
      <c r="N559" t="s">
        <v>75</v>
      </c>
    </row>
    <row r="560" spans="1:20" x14ac:dyDescent="0.25">
      <c r="A560" t="s">
        <v>551</v>
      </c>
      <c r="B560" s="4" t="s">
        <v>10</v>
      </c>
      <c r="C560" s="4" t="s">
        <v>70</v>
      </c>
      <c r="D560" s="4">
        <v>46139</v>
      </c>
      <c r="E560" s="5">
        <v>0.39401620370370366</v>
      </c>
      <c r="F560">
        <v>1</v>
      </c>
      <c r="G560" t="s">
        <v>82</v>
      </c>
      <c r="H560">
        <v>28.5</v>
      </c>
      <c r="L560" t="s">
        <v>552</v>
      </c>
      <c r="M560" t="s">
        <v>71</v>
      </c>
      <c r="N560" t="s">
        <v>75</v>
      </c>
      <c r="O560">
        <v>1</v>
      </c>
      <c r="S560">
        <v>1</v>
      </c>
      <c r="T560">
        <v>100.75</v>
      </c>
    </row>
    <row r="561" spans="1:20" x14ac:dyDescent="0.25">
      <c r="A561" t="s">
        <v>552</v>
      </c>
      <c r="B561" s="4" t="s">
        <v>10</v>
      </c>
      <c r="C561" s="4" t="s">
        <v>73</v>
      </c>
      <c r="D561" s="4">
        <v>46139</v>
      </c>
      <c r="E561" s="5">
        <v>0.39401620370370366</v>
      </c>
      <c r="F561">
        <v>1</v>
      </c>
      <c r="G561" t="s">
        <v>82</v>
      </c>
      <c r="H561">
        <v>100.83333333333333</v>
      </c>
      <c r="M561" t="s">
        <v>79</v>
      </c>
      <c r="N561" t="s">
        <v>75</v>
      </c>
    </row>
    <row r="562" spans="1:20" x14ac:dyDescent="0.25">
      <c r="A562" t="s">
        <v>552</v>
      </c>
      <c r="B562" s="4" t="s">
        <v>10</v>
      </c>
      <c r="C562" s="4" t="s">
        <v>73</v>
      </c>
      <c r="D562" s="4">
        <v>46139</v>
      </c>
      <c r="E562" s="5">
        <v>0.39401620370370366</v>
      </c>
      <c r="F562">
        <v>1</v>
      </c>
      <c r="G562" t="s">
        <v>82</v>
      </c>
      <c r="H562">
        <v>100.75</v>
      </c>
      <c r="M562" t="s">
        <v>79</v>
      </c>
      <c r="N562" t="s">
        <v>75</v>
      </c>
    </row>
    <row r="563" spans="1:20" x14ac:dyDescent="0.25">
      <c r="A563" t="s">
        <v>552</v>
      </c>
      <c r="B563" s="4" t="s">
        <v>10</v>
      </c>
      <c r="C563" s="4" t="s">
        <v>73</v>
      </c>
      <c r="D563" s="4">
        <v>46139</v>
      </c>
      <c r="E563" s="5">
        <v>0.3941087962962963</v>
      </c>
      <c r="F563">
        <v>1</v>
      </c>
      <c r="G563" t="s">
        <v>82</v>
      </c>
      <c r="H563">
        <v>100.75</v>
      </c>
      <c r="M563" t="s">
        <v>76</v>
      </c>
      <c r="N563" t="s">
        <v>75</v>
      </c>
    </row>
    <row r="564" spans="1:20" x14ac:dyDescent="0.25">
      <c r="A564" t="s">
        <v>555</v>
      </c>
      <c r="B564" s="4" t="s">
        <v>10</v>
      </c>
      <c r="C564" s="4" t="s">
        <v>73</v>
      </c>
      <c r="D564" s="4">
        <v>46139</v>
      </c>
      <c r="E564" s="5">
        <v>0.39457175925925919</v>
      </c>
      <c r="F564">
        <v>1</v>
      </c>
      <c r="G564" t="s">
        <v>82</v>
      </c>
      <c r="H564">
        <v>144.25</v>
      </c>
      <c r="M564" t="s">
        <v>79</v>
      </c>
      <c r="N564" t="s">
        <v>72</v>
      </c>
    </row>
    <row r="565" spans="1:20" x14ac:dyDescent="0.25">
      <c r="A565" t="s">
        <v>558</v>
      </c>
      <c r="B565" s="4" t="s">
        <v>10</v>
      </c>
      <c r="C565" s="4" t="s">
        <v>70</v>
      </c>
      <c r="D565" s="4">
        <v>46139</v>
      </c>
      <c r="E565" s="5">
        <v>0.39484953703703696</v>
      </c>
      <c r="F565">
        <v>1</v>
      </c>
      <c r="G565" t="s">
        <v>82</v>
      </c>
      <c r="H565">
        <v>19</v>
      </c>
      <c r="L565" t="s">
        <v>555</v>
      </c>
      <c r="M565" t="s">
        <v>71</v>
      </c>
      <c r="N565" t="s">
        <v>72</v>
      </c>
      <c r="O565">
        <v>1</v>
      </c>
      <c r="S565">
        <v>1</v>
      </c>
      <c r="T565">
        <v>125.16666666666666</v>
      </c>
    </row>
    <row r="566" spans="1:20" x14ac:dyDescent="0.25">
      <c r="A566" t="s">
        <v>555</v>
      </c>
      <c r="B566" s="4" t="s">
        <v>10</v>
      </c>
      <c r="C566" s="4" t="s">
        <v>73</v>
      </c>
      <c r="D566" s="4">
        <v>46139</v>
      </c>
      <c r="E566" s="5">
        <v>0.39484953703703696</v>
      </c>
      <c r="F566">
        <v>1</v>
      </c>
      <c r="G566" t="s">
        <v>82</v>
      </c>
      <c r="H566">
        <v>125.25</v>
      </c>
      <c r="M566" t="s">
        <v>79</v>
      </c>
      <c r="N566" t="s">
        <v>72</v>
      </c>
    </row>
    <row r="567" spans="1:20" x14ac:dyDescent="0.25">
      <c r="A567" t="s">
        <v>555</v>
      </c>
      <c r="B567" s="4" t="s">
        <v>10</v>
      </c>
      <c r="C567" s="4" t="s">
        <v>73</v>
      </c>
      <c r="D567" s="4">
        <v>46139</v>
      </c>
      <c r="E567" s="5">
        <v>0.39484953703703696</v>
      </c>
      <c r="F567">
        <v>1</v>
      </c>
      <c r="G567" t="s">
        <v>82</v>
      </c>
      <c r="H567">
        <v>125.16666666666666</v>
      </c>
      <c r="M567" t="s">
        <v>79</v>
      </c>
      <c r="N567" t="s">
        <v>72</v>
      </c>
    </row>
    <row r="568" spans="1:20" x14ac:dyDescent="0.25">
      <c r="A568" t="s">
        <v>555</v>
      </c>
      <c r="B568" s="4" t="s">
        <v>10</v>
      </c>
      <c r="C568" s="4" t="s">
        <v>73</v>
      </c>
      <c r="D568" s="4">
        <v>46139</v>
      </c>
      <c r="E568" s="5">
        <v>0.39498842592592592</v>
      </c>
      <c r="F568">
        <v>1</v>
      </c>
      <c r="G568" t="s">
        <v>82</v>
      </c>
      <c r="H568">
        <v>125.16666666666666</v>
      </c>
      <c r="M568" t="s">
        <v>76</v>
      </c>
      <c r="N568" t="s">
        <v>72</v>
      </c>
    </row>
    <row r="569" spans="1:20" x14ac:dyDescent="0.25">
      <c r="A569" t="s">
        <v>559</v>
      </c>
      <c r="B569" s="4" t="s">
        <v>10</v>
      </c>
      <c r="C569" s="4" t="s">
        <v>70</v>
      </c>
      <c r="D569" s="4">
        <v>46139</v>
      </c>
      <c r="E569" s="5">
        <v>0.39556712962962964</v>
      </c>
      <c r="F569">
        <v>1</v>
      </c>
      <c r="G569" t="s">
        <v>82</v>
      </c>
      <c r="H569">
        <v>14</v>
      </c>
      <c r="L569" t="s">
        <v>560</v>
      </c>
      <c r="M569" t="s">
        <v>71</v>
      </c>
      <c r="N569" t="s">
        <v>72</v>
      </c>
      <c r="O569">
        <v>1</v>
      </c>
      <c r="R569">
        <v>1</v>
      </c>
      <c r="S569">
        <v>1</v>
      </c>
      <c r="T569">
        <v>6.083333333333333</v>
      </c>
    </row>
    <row r="570" spans="1:20" x14ac:dyDescent="0.25">
      <c r="A570" t="s">
        <v>560</v>
      </c>
      <c r="B570" s="4" t="s">
        <v>10</v>
      </c>
      <c r="C570" s="4" t="s">
        <v>73</v>
      </c>
      <c r="D570" s="4">
        <v>46139</v>
      </c>
      <c r="E570" s="5">
        <v>0.39556712962962964</v>
      </c>
      <c r="F570">
        <v>1</v>
      </c>
      <c r="G570" t="s">
        <v>82</v>
      </c>
      <c r="H570">
        <v>6.25</v>
      </c>
      <c r="M570" t="s">
        <v>79</v>
      </c>
      <c r="N570" t="s">
        <v>72</v>
      </c>
    </row>
    <row r="571" spans="1:20" x14ac:dyDescent="0.25">
      <c r="A571" t="s">
        <v>560</v>
      </c>
      <c r="B571" s="4" t="s">
        <v>10</v>
      </c>
      <c r="C571" s="4" t="s">
        <v>73</v>
      </c>
      <c r="D571" s="4">
        <v>46139</v>
      </c>
      <c r="E571" s="5">
        <v>0.39556712962962964</v>
      </c>
      <c r="F571">
        <v>1</v>
      </c>
      <c r="G571" t="s">
        <v>82</v>
      </c>
      <c r="H571">
        <v>6.1666666666666661</v>
      </c>
      <c r="M571" t="s">
        <v>79</v>
      </c>
      <c r="N571" t="s">
        <v>72</v>
      </c>
    </row>
    <row r="572" spans="1:20" x14ac:dyDescent="0.25">
      <c r="A572" t="s">
        <v>560</v>
      </c>
      <c r="B572" s="4" t="s">
        <v>10</v>
      </c>
      <c r="C572" s="4" t="s">
        <v>73</v>
      </c>
      <c r="D572" s="4">
        <v>46139</v>
      </c>
      <c r="E572" s="5">
        <v>0.3957754629629629</v>
      </c>
      <c r="F572">
        <v>1</v>
      </c>
      <c r="G572" t="s">
        <v>82</v>
      </c>
      <c r="H572">
        <v>6.083333333333333</v>
      </c>
      <c r="M572" t="s">
        <v>76</v>
      </c>
      <c r="N572" t="s">
        <v>72</v>
      </c>
    </row>
    <row r="573" spans="1:20" x14ac:dyDescent="0.25">
      <c r="A573" t="s">
        <v>563</v>
      </c>
      <c r="B573" s="4" t="s">
        <v>10</v>
      </c>
      <c r="C573" s="4" t="s">
        <v>70</v>
      </c>
      <c r="D573" s="4">
        <v>46139</v>
      </c>
      <c r="E573" s="5">
        <v>0.39633101851851854</v>
      </c>
      <c r="F573">
        <v>1</v>
      </c>
      <c r="G573" t="s">
        <v>82</v>
      </c>
      <c r="H573">
        <v>30</v>
      </c>
      <c r="L573" t="s">
        <v>564</v>
      </c>
      <c r="M573" t="s">
        <v>71</v>
      </c>
      <c r="N573" t="s">
        <v>75</v>
      </c>
      <c r="O573">
        <v>1</v>
      </c>
    </row>
    <row r="574" spans="1:20" x14ac:dyDescent="0.25">
      <c r="A574" t="s">
        <v>564</v>
      </c>
      <c r="B574" s="4" t="s">
        <v>10</v>
      </c>
      <c r="C574" s="4" t="s">
        <v>73</v>
      </c>
      <c r="D574" s="4">
        <v>46139</v>
      </c>
      <c r="E574" s="5">
        <v>0.39633101851851854</v>
      </c>
      <c r="F574">
        <v>1</v>
      </c>
      <c r="G574" t="s">
        <v>82</v>
      </c>
      <c r="H574">
        <v>239.33333333333334</v>
      </c>
      <c r="M574" t="s">
        <v>79</v>
      </c>
      <c r="N574" t="s">
        <v>75</v>
      </c>
    </row>
    <row r="575" spans="1:20" x14ac:dyDescent="0.25">
      <c r="A575" t="s">
        <v>565</v>
      </c>
      <c r="B575" s="4" t="s">
        <v>10</v>
      </c>
      <c r="C575" s="4" t="s">
        <v>70</v>
      </c>
      <c r="D575" s="4">
        <v>46139</v>
      </c>
      <c r="E575" s="5">
        <v>0.39667824074074076</v>
      </c>
      <c r="F575">
        <v>1</v>
      </c>
      <c r="G575" t="s">
        <v>82</v>
      </c>
      <c r="H575">
        <v>59.25</v>
      </c>
      <c r="L575" t="s">
        <v>564</v>
      </c>
      <c r="M575" t="s">
        <v>71</v>
      </c>
      <c r="N575" t="s">
        <v>75</v>
      </c>
      <c r="P575">
        <v>1</v>
      </c>
    </row>
    <row r="576" spans="1:20" x14ac:dyDescent="0.25">
      <c r="A576" t="s">
        <v>564</v>
      </c>
      <c r="B576" s="4" t="s">
        <v>10</v>
      </c>
      <c r="C576" s="4" t="s">
        <v>73</v>
      </c>
      <c r="D576" s="4">
        <v>46139</v>
      </c>
      <c r="E576" s="5">
        <v>0.39667824074074076</v>
      </c>
      <c r="F576">
        <v>1</v>
      </c>
      <c r="G576" t="s">
        <v>82</v>
      </c>
      <c r="H576">
        <v>180.08333333333331</v>
      </c>
      <c r="M576" t="s">
        <v>79</v>
      </c>
      <c r="N576" t="s">
        <v>75</v>
      </c>
    </row>
    <row r="577" spans="1:21" x14ac:dyDescent="0.25">
      <c r="A577" t="s">
        <v>568</v>
      </c>
      <c r="B577" s="4" t="s">
        <v>10</v>
      </c>
      <c r="C577" s="4" t="s">
        <v>70</v>
      </c>
      <c r="D577" s="4">
        <v>46139</v>
      </c>
      <c r="E577" s="5">
        <v>0.39733796296296298</v>
      </c>
      <c r="F577">
        <v>1</v>
      </c>
      <c r="G577" t="s">
        <v>82</v>
      </c>
      <c r="H577">
        <v>150</v>
      </c>
      <c r="L577" t="s">
        <v>564</v>
      </c>
      <c r="M577" t="s">
        <v>71</v>
      </c>
      <c r="N577" t="s">
        <v>75</v>
      </c>
      <c r="P577">
        <v>1</v>
      </c>
      <c r="S577">
        <v>1</v>
      </c>
      <c r="T577">
        <v>28.25</v>
      </c>
    </row>
    <row r="578" spans="1:21" x14ac:dyDescent="0.25">
      <c r="A578" t="s">
        <v>564</v>
      </c>
      <c r="B578" s="4" t="s">
        <v>10</v>
      </c>
      <c r="C578" s="4" t="s">
        <v>73</v>
      </c>
      <c r="D578" s="4">
        <v>46139</v>
      </c>
      <c r="E578" s="5">
        <v>0.39733796296296298</v>
      </c>
      <c r="F578">
        <v>1</v>
      </c>
      <c r="G578" t="s">
        <v>82</v>
      </c>
      <c r="H578">
        <v>30.083333333333332</v>
      </c>
      <c r="M578" t="s">
        <v>79</v>
      </c>
      <c r="N578" t="s">
        <v>75</v>
      </c>
    </row>
    <row r="579" spans="1:21" x14ac:dyDescent="0.25">
      <c r="A579" t="s">
        <v>564</v>
      </c>
      <c r="B579" s="4" t="s">
        <v>10</v>
      </c>
      <c r="C579" s="4" t="s">
        <v>73</v>
      </c>
      <c r="D579" s="4">
        <v>46139</v>
      </c>
      <c r="E579" s="5">
        <v>0.39759259259259261</v>
      </c>
      <c r="F579">
        <v>1</v>
      </c>
      <c r="G579" t="s">
        <v>82</v>
      </c>
      <c r="H579">
        <v>28.25</v>
      </c>
      <c r="M579" t="s">
        <v>76</v>
      </c>
      <c r="N579" t="s">
        <v>75</v>
      </c>
    </row>
    <row r="580" spans="1:21" x14ac:dyDescent="0.25">
      <c r="A580" t="s">
        <v>570</v>
      </c>
      <c r="B580" s="4" t="s">
        <v>10</v>
      </c>
      <c r="C580" s="4" t="s">
        <v>70</v>
      </c>
      <c r="D580" s="4">
        <v>46139</v>
      </c>
      <c r="E580" s="5">
        <v>0.39814814814814814</v>
      </c>
      <c r="F580">
        <v>1</v>
      </c>
      <c r="G580" t="s">
        <v>82</v>
      </c>
      <c r="H580">
        <v>19.75</v>
      </c>
      <c r="L580" t="s">
        <v>571</v>
      </c>
      <c r="M580" t="s">
        <v>71</v>
      </c>
      <c r="N580" t="s">
        <v>72</v>
      </c>
      <c r="O580">
        <v>1</v>
      </c>
      <c r="S580">
        <v>1</v>
      </c>
      <c r="T580">
        <v>132.41666666666666</v>
      </c>
    </row>
    <row r="581" spans="1:21" x14ac:dyDescent="0.25">
      <c r="A581" t="s">
        <v>571</v>
      </c>
      <c r="B581" s="4" t="s">
        <v>10</v>
      </c>
      <c r="C581" s="4" t="s">
        <v>73</v>
      </c>
      <c r="D581" s="4">
        <v>46139</v>
      </c>
      <c r="E581" s="5">
        <v>0.39814814814814814</v>
      </c>
      <c r="F581">
        <v>1</v>
      </c>
      <c r="G581" t="s">
        <v>82</v>
      </c>
      <c r="H581">
        <v>132.5</v>
      </c>
      <c r="M581" t="s">
        <v>79</v>
      </c>
      <c r="N581" t="s">
        <v>72</v>
      </c>
    </row>
    <row r="582" spans="1:21" x14ac:dyDescent="0.25">
      <c r="A582" t="s">
        <v>571</v>
      </c>
      <c r="B582" s="4" t="s">
        <v>10</v>
      </c>
      <c r="C582" s="4" t="s">
        <v>73</v>
      </c>
      <c r="D582" s="4">
        <v>46139</v>
      </c>
      <c r="E582" s="5">
        <v>0.39814814814814814</v>
      </c>
      <c r="F582">
        <v>1</v>
      </c>
      <c r="G582" t="s">
        <v>82</v>
      </c>
      <c r="H582">
        <v>132.41666666666666</v>
      </c>
      <c r="M582" t="s">
        <v>79</v>
      </c>
      <c r="N582" t="s">
        <v>72</v>
      </c>
    </row>
    <row r="583" spans="1:21" x14ac:dyDescent="0.25">
      <c r="A583" t="s">
        <v>571</v>
      </c>
      <c r="B583" s="4" t="s">
        <v>10</v>
      </c>
      <c r="C583" s="4" t="s">
        <v>73</v>
      </c>
      <c r="D583" s="4">
        <v>46139</v>
      </c>
      <c r="E583" s="5">
        <v>0.39825231481481477</v>
      </c>
      <c r="F583">
        <v>1</v>
      </c>
      <c r="G583" t="s">
        <v>82</v>
      </c>
      <c r="H583">
        <v>132.41666666666666</v>
      </c>
      <c r="M583" t="s">
        <v>76</v>
      </c>
      <c r="N583" t="s">
        <v>72</v>
      </c>
    </row>
    <row r="584" spans="1:21" x14ac:dyDescent="0.25">
      <c r="A584" t="s">
        <v>572</v>
      </c>
      <c r="B584" s="4" t="s">
        <v>10</v>
      </c>
      <c r="C584" s="4" t="s">
        <v>70</v>
      </c>
      <c r="D584" s="4">
        <v>46139</v>
      </c>
      <c r="E584" s="5">
        <v>0.39883101851851849</v>
      </c>
      <c r="F584">
        <v>1</v>
      </c>
      <c r="G584" t="s">
        <v>82</v>
      </c>
      <c r="H584">
        <v>80.5</v>
      </c>
      <c r="L584" t="s">
        <v>573</v>
      </c>
      <c r="M584" t="s">
        <v>71</v>
      </c>
      <c r="N584" t="s">
        <v>72</v>
      </c>
      <c r="O584">
        <v>1</v>
      </c>
      <c r="Q584">
        <v>1</v>
      </c>
      <c r="S584">
        <v>1</v>
      </c>
      <c r="U584">
        <v>0.5</v>
      </c>
    </row>
    <row r="585" spans="1:21" x14ac:dyDescent="0.25">
      <c r="A585" t="s">
        <v>573</v>
      </c>
      <c r="B585" s="4" t="s">
        <v>10</v>
      </c>
      <c r="C585" s="4" t="s">
        <v>73</v>
      </c>
      <c r="D585" s="4">
        <v>46139</v>
      </c>
      <c r="E585" s="5">
        <v>0.39883101851851849</v>
      </c>
      <c r="F585">
        <v>1</v>
      </c>
      <c r="G585" t="s">
        <v>82</v>
      </c>
      <c r="H585">
        <v>4.333333333333333</v>
      </c>
      <c r="M585" t="s">
        <v>79</v>
      </c>
      <c r="N585" t="s">
        <v>72</v>
      </c>
    </row>
    <row r="586" spans="1:21" x14ac:dyDescent="0.25">
      <c r="A586" t="s">
        <v>573</v>
      </c>
      <c r="B586" s="4" t="s">
        <v>10</v>
      </c>
      <c r="C586" s="4" t="s">
        <v>73</v>
      </c>
      <c r="D586" s="4">
        <v>46139</v>
      </c>
      <c r="E586" s="5">
        <v>0.39883101851851849</v>
      </c>
      <c r="F586">
        <v>1</v>
      </c>
      <c r="G586" t="s">
        <v>82</v>
      </c>
      <c r="H586">
        <v>0.5</v>
      </c>
      <c r="M586" t="s">
        <v>79</v>
      </c>
      <c r="N586" t="s">
        <v>72</v>
      </c>
    </row>
    <row r="587" spans="1:21" x14ac:dyDescent="0.25">
      <c r="A587" t="s">
        <v>573</v>
      </c>
      <c r="B587" s="4" t="s">
        <v>10</v>
      </c>
      <c r="C587" s="4" t="s">
        <v>73</v>
      </c>
      <c r="D587" s="4">
        <v>46139</v>
      </c>
      <c r="E587" s="5">
        <v>0.39883101851851849</v>
      </c>
      <c r="F587">
        <v>1</v>
      </c>
      <c r="G587" t="s">
        <v>82</v>
      </c>
      <c r="H587">
        <v>0</v>
      </c>
      <c r="M587" t="s">
        <v>79</v>
      </c>
      <c r="N587" t="s">
        <v>72</v>
      </c>
    </row>
    <row r="588" spans="1:21" x14ac:dyDescent="0.25">
      <c r="A588" t="s">
        <v>576</v>
      </c>
      <c r="B588" s="4" t="s">
        <v>10</v>
      </c>
      <c r="C588" s="4" t="s">
        <v>70</v>
      </c>
      <c r="D588" s="4">
        <v>46139</v>
      </c>
      <c r="E588" s="5">
        <v>0.39975694444444443</v>
      </c>
      <c r="F588">
        <v>1</v>
      </c>
      <c r="G588" t="s">
        <v>82</v>
      </c>
      <c r="H588">
        <v>90</v>
      </c>
      <c r="L588" t="s">
        <v>577</v>
      </c>
      <c r="M588" t="s">
        <v>71</v>
      </c>
      <c r="N588" t="s">
        <v>75</v>
      </c>
      <c r="O588">
        <v>1</v>
      </c>
      <c r="S588">
        <v>1</v>
      </c>
      <c r="T588">
        <v>193.66666666666666</v>
      </c>
    </row>
    <row r="589" spans="1:21" x14ac:dyDescent="0.25">
      <c r="A589" t="s">
        <v>577</v>
      </c>
      <c r="B589" s="4" t="s">
        <v>10</v>
      </c>
      <c r="C589" s="4" t="s">
        <v>73</v>
      </c>
      <c r="D589" s="4">
        <v>46139</v>
      </c>
      <c r="E589" s="5">
        <v>0.39975694444444443</v>
      </c>
      <c r="F589">
        <v>1</v>
      </c>
      <c r="G589" t="s">
        <v>82</v>
      </c>
      <c r="H589">
        <v>193.75</v>
      </c>
      <c r="M589" t="s">
        <v>79</v>
      </c>
      <c r="N589" t="s">
        <v>75</v>
      </c>
    </row>
    <row r="590" spans="1:21" x14ac:dyDescent="0.25">
      <c r="A590" t="s">
        <v>577</v>
      </c>
      <c r="B590" s="4" t="s">
        <v>10</v>
      </c>
      <c r="C590" s="4" t="s">
        <v>73</v>
      </c>
      <c r="D590" s="4">
        <v>46139</v>
      </c>
      <c r="E590" s="5">
        <v>0.39975694444444443</v>
      </c>
      <c r="F590">
        <v>1</v>
      </c>
      <c r="G590" t="s">
        <v>82</v>
      </c>
      <c r="H590">
        <v>193.66666666666666</v>
      </c>
      <c r="M590" t="s">
        <v>79</v>
      </c>
      <c r="N590" t="s">
        <v>75</v>
      </c>
    </row>
    <row r="591" spans="1:21" x14ac:dyDescent="0.25">
      <c r="A591" t="s">
        <v>577</v>
      </c>
      <c r="B591" s="4" t="s">
        <v>10</v>
      </c>
      <c r="C591" s="4" t="s">
        <v>73</v>
      </c>
      <c r="D591" s="4">
        <v>46139</v>
      </c>
      <c r="E591" s="5">
        <v>0.39986111111111106</v>
      </c>
      <c r="F591">
        <v>1</v>
      </c>
      <c r="G591" t="s">
        <v>82</v>
      </c>
      <c r="H591">
        <v>193.66666666666666</v>
      </c>
      <c r="M591" t="s">
        <v>76</v>
      </c>
      <c r="N591" t="s">
        <v>75</v>
      </c>
    </row>
    <row r="592" spans="1:21" x14ac:dyDescent="0.25">
      <c r="A592" t="s">
        <v>578</v>
      </c>
      <c r="B592" s="4" t="s">
        <v>10</v>
      </c>
      <c r="C592" s="4" t="s">
        <v>70</v>
      </c>
      <c r="D592" s="4">
        <v>46139</v>
      </c>
      <c r="E592" s="5">
        <v>0.40038194444444447</v>
      </c>
      <c r="F592">
        <v>1</v>
      </c>
      <c r="G592" t="s">
        <v>82</v>
      </c>
      <c r="H592">
        <v>8.25</v>
      </c>
      <c r="L592" t="s">
        <v>579</v>
      </c>
      <c r="M592" t="s">
        <v>71</v>
      </c>
      <c r="N592" t="s">
        <v>75</v>
      </c>
      <c r="O592">
        <v>1</v>
      </c>
      <c r="R592">
        <v>1</v>
      </c>
      <c r="S592">
        <v>1</v>
      </c>
      <c r="T592">
        <v>8</v>
      </c>
    </row>
    <row r="593" spans="1:20" x14ac:dyDescent="0.25">
      <c r="A593" t="s">
        <v>579</v>
      </c>
      <c r="B593" s="4" t="s">
        <v>10</v>
      </c>
      <c r="C593" s="4" t="s">
        <v>73</v>
      </c>
      <c r="D593" s="4">
        <v>46139</v>
      </c>
      <c r="E593" s="5">
        <v>0.40038194444444447</v>
      </c>
      <c r="F593">
        <v>1</v>
      </c>
      <c r="G593" t="s">
        <v>82</v>
      </c>
      <c r="H593">
        <v>8.1666666666666661</v>
      </c>
      <c r="M593" t="s">
        <v>79</v>
      </c>
      <c r="N593" t="s">
        <v>75</v>
      </c>
    </row>
    <row r="594" spans="1:20" x14ac:dyDescent="0.25">
      <c r="A594" t="s">
        <v>579</v>
      </c>
      <c r="B594" s="4" t="s">
        <v>10</v>
      </c>
      <c r="C594" s="4" t="s">
        <v>73</v>
      </c>
      <c r="D594" s="4">
        <v>46139</v>
      </c>
      <c r="E594" s="5">
        <v>0.40074074074074073</v>
      </c>
      <c r="F594">
        <v>1</v>
      </c>
      <c r="G594" t="s">
        <v>82</v>
      </c>
      <c r="H594">
        <v>8</v>
      </c>
      <c r="M594" t="s">
        <v>76</v>
      </c>
      <c r="N594" t="s">
        <v>75</v>
      </c>
    </row>
    <row r="595" spans="1:20" x14ac:dyDescent="0.25">
      <c r="A595" t="s">
        <v>580</v>
      </c>
      <c r="B595" s="4" t="s">
        <v>10</v>
      </c>
      <c r="C595" s="4" t="s">
        <v>70</v>
      </c>
      <c r="D595" s="4">
        <v>46139</v>
      </c>
      <c r="E595" s="5">
        <v>0.40144675925925921</v>
      </c>
      <c r="F595">
        <v>1</v>
      </c>
      <c r="G595" t="s">
        <v>82</v>
      </c>
      <c r="H595">
        <v>77</v>
      </c>
      <c r="L595" t="s">
        <v>581</v>
      </c>
      <c r="M595" t="s">
        <v>71</v>
      </c>
      <c r="N595" t="s">
        <v>78</v>
      </c>
      <c r="O595">
        <v>1</v>
      </c>
      <c r="S595">
        <v>1</v>
      </c>
      <c r="T595">
        <v>98.833333333333329</v>
      </c>
    </row>
    <row r="596" spans="1:20" x14ac:dyDescent="0.25">
      <c r="A596" t="s">
        <v>581</v>
      </c>
      <c r="B596" s="4" t="s">
        <v>10</v>
      </c>
      <c r="C596" s="4" t="s">
        <v>73</v>
      </c>
      <c r="D596" s="4">
        <v>46139</v>
      </c>
      <c r="E596" s="5">
        <v>0.40144675925925921</v>
      </c>
      <c r="F596">
        <v>1</v>
      </c>
      <c r="G596" t="s">
        <v>82</v>
      </c>
      <c r="H596">
        <v>98.916666666666657</v>
      </c>
      <c r="M596" t="s">
        <v>79</v>
      </c>
      <c r="N596" t="s">
        <v>78</v>
      </c>
    </row>
    <row r="597" spans="1:20" x14ac:dyDescent="0.25">
      <c r="A597" t="s">
        <v>581</v>
      </c>
      <c r="B597" s="4" t="s">
        <v>10</v>
      </c>
      <c r="C597" s="4" t="s">
        <v>73</v>
      </c>
      <c r="D597" s="4">
        <v>46139</v>
      </c>
      <c r="E597" s="5">
        <v>0.40144675925925921</v>
      </c>
      <c r="F597">
        <v>1</v>
      </c>
      <c r="G597" t="s">
        <v>82</v>
      </c>
      <c r="H597">
        <v>98.833333333333329</v>
      </c>
      <c r="M597" t="s">
        <v>79</v>
      </c>
      <c r="N597" t="s">
        <v>78</v>
      </c>
    </row>
    <row r="598" spans="1:20" x14ac:dyDescent="0.25">
      <c r="A598" t="s">
        <v>581</v>
      </c>
      <c r="B598" s="4" t="s">
        <v>10</v>
      </c>
      <c r="C598" s="4" t="s">
        <v>73</v>
      </c>
      <c r="D598" s="4">
        <v>46139</v>
      </c>
      <c r="E598" s="5">
        <v>0.40153935185185186</v>
      </c>
      <c r="F598">
        <v>1</v>
      </c>
      <c r="G598" t="s">
        <v>82</v>
      </c>
      <c r="H598">
        <v>98.833333333333329</v>
      </c>
      <c r="M598" t="s">
        <v>76</v>
      </c>
      <c r="N598" t="s">
        <v>78</v>
      </c>
    </row>
    <row r="599" spans="1:20" x14ac:dyDescent="0.25">
      <c r="A599" t="s">
        <v>582</v>
      </c>
      <c r="B599" s="4" t="s">
        <v>10</v>
      </c>
      <c r="C599" s="4" t="s">
        <v>70</v>
      </c>
      <c r="D599" s="4">
        <v>46139</v>
      </c>
      <c r="E599" s="5">
        <v>0.40210648148148148</v>
      </c>
      <c r="F599">
        <v>1</v>
      </c>
      <c r="G599" t="s">
        <v>82</v>
      </c>
      <c r="H599">
        <v>24.5</v>
      </c>
      <c r="L599" t="s">
        <v>583</v>
      </c>
      <c r="M599" t="s">
        <v>71</v>
      </c>
      <c r="N599" t="s">
        <v>72</v>
      </c>
      <c r="O599">
        <v>1</v>
      </c>
      <c r="S599">
        <v>1</v>
      </c>
      <c r="T599">
        <v>79.916666666666671</v>
      </c>
    </row>
    <row r="600" spans="1:20" x14ac:dyDescent="0.25">
      <c r="A600" t="s">
        <v>583</v>
      </c>
      <c r="B600" s="4" t="s">
        <v>10</v>
      </c>
      <c r="C600" s="4" t="s">
        <v>73</v>
      </c>
      <c r="D600" s="4">
        <v>46139</v>
      </c>
      <c r="E600" s="5">
        <v>0.40210648148148148</v>
      </c>
      <c r="F600">
        <v>1</v>
      </c>
      <c r="G600" t="s">
        <v>82</v>
      </c>
      <c r="H600">
        <v>80.583333333333329</v>
      </c>
      <c r="M600" t="s">
        <v>79</v>
      </c>
      <c r="N600" t="s">
        <v>72</v>
      </c>
    </row>
    <row r="601" spans="1:20" x14ac:dyDescent="0.25">
      <c r="A601" t="s">
        <v>583</v>
      </c>
      <c r="B601" s="4" t="s">
        <v>10</v>
      </c>
      <c r="C601" s="4" t="s">
        <v>73</v>
      </c>
      <c r="D601" s="4">
        <v>46139</v>
      </c>
      <c r="E601" s="5">
        <v>0.40210648148148148</v>
      </c>
      <c r="F601">
        <v>1</v>
      </c>
      <c r="G601" t="s">
        <v>82</v>
      </c>
      <c r="H601">
        <v>80.5</v>
      </c>
      <c r="M601" t="s">
        <v>79</v>
      </c>
      <c r="N601" t="s">
        <v>72</v>
      </c>
    </row>
    <row r="602" spans="1:20" x14ac:dyDescent="0.25">
      <c r="A602" t="s">
        <v>583</v>
      </c>
      <c r="B602" s="4" t="s">
        <v>10</v>
      </c>
      <c r="C602" s="4" t="s">
        <v>73</v>
      </c>
      <c r="D602" s="4">
        <v>46139</v>
      </c>
      <c r="E602" s="5">
        <v>0.40239583333333329</v>
      </c>
      <c r="F602">
        <v>1</v>
      </c>
      <c r="G602" t="s">
        <v>82</v>
      </c>
      <c r="H602">
        <v>79.916666666666671</v>
      </c>
      <c r="M602" t="s">
        <v>76</v>
      </c>
      <c r="N602" t="s">
        <v>72</v>
      </c>
    </row>
    <row r="603" spans="1:20" x14ac:dyDescent="0.25">
      <c r="A603" t="s">
        <v>587</v>
      </c>
      <c r="B603" s="4" t="s">
        <v>10</v>
      </c>
      <c r="C603" s="4" t="s">
        <v>70</v>
      </c>
      <c r="D603" s="4">
        <v>46139</v>
      </c>
      <c r="E603" s="5">
        <v>0.40285879629629628</v>
      </c>
      <c r="F603">
        <v>1</v>
      </c>
      <c r="G603" t="s">
        <v>82</v>
      </c>
      <c r="H603">
        <v>1</v>
      </c>
      <c r="L603" t="s">
        <v>588</v>
      </c>
      <c r="M603" t="s">
        <v>71</v>
      </c>
      <c r="N603" t="s">
        <v>80</v>
      </c>
      <c r="O603">
        <v>1</v>
      </c>
      <c r="S603">
        <v>1</v>
      </c>
      <c r="T603">
        <v>56.5</v>
      </c>
    </row>
    <row r="604" spans="1:20" x14ac:dyDescent="0.25">
      <c r="A604" t="s">
        <v>588</v>
      </c>
      <c r="B604" s="4" t="s">
        <v>10</v>
      </c>
      <c r="C604" s="4" t="s">
        <v>73</v>
      </c>
      <c r="D604" s="4">
        <v>46139</v>
      </c>
      <c r="E604" s="5">
        <v>0.40285879629629628</v>
      </c>
      <c r="F604">
        <v>1</v>
      </c>
      <c r="G604" t="s">
        <v>82</v>
      </c>
      <c r="H604">
        <v>58.083333333333329</v>
      </c>
      <c r="M604" t="s">
        <v>79</v>
      </c>
      <c r="N604" t="s">
        <v>80</v>
      </c>
    </row>
    <row r="605" spans="1:20" x14ac:dyDescent="0.25">
      <c r="A605" t="s">
        <v>588</v>
      </c>
      <c r="B605" s="4" t="s">
        <v>10</v>
      </c>
      <c r="C605" s="4" t="s">
        <v>73</v>
      </c>
      <c r="D605" s="4">
        <v>46139</v>
      </c>
      <c r="E605" s="5">
        <v>0.40285879629629628</v>
      </c>
      <c r="F605">
        <v>1</v>
      </c>
      <c r="G605" t="s">
        <v>82</v>
      </c>
      <c r="H605">
        <v>58</v>
      </c>
      <c r="M605" t="s">
        <v>79</v>
      </c>
      <c r="N605" t="s">
        <v>80</v>
      </c>
    </row>
    <row r="606" spans="1:20" x14ac:dyDescent="0.25">
      <c r="A606" t="s">
        <v>588</v>
      </c>
      <c r="B606" s="4" t="s">
        <v>10</v>
      </c>
      <c r="C606" s="4" t="s">
        <v>73</v>
      </c>
      <c r="D606" s="4">
        <v>46139</v>
      </c>
      <c r="E606" s="5">
        <v>0.40329861111111109</v>
      </c>
      <c r="F606">
        <v>1</v>
      </c>
      <c r="G606" t="s">
        <v>82</v>
      </c>
      <c r="H606">
        <v>56.5</v>
      </c>
      <c r="M606" t="s">
        <v>76</v>
      </c>
      <c r="N606" t="s">
        <v>80</v>
      </c>
    </row>
    <row r="607" spans="1:20" x14ac:dyDescent="0.25">
      <c r="A607" t="s">
        <v>592</v>
      </c>
      <c r="B607" s="4" t="s">
        <v>10</v>
      </c>
      <c r="C607" s="4" t="s">
        <v>73</v>
      </c>
      <c r="D607" s="4">
        <v>46139</v>
      </c>
      <c r="E607" s="5">
        <v>0.40428240740740734</v>
      </c>
      <c r="F607">
        <v>1</v>
      </c>
      <c r="G607" t="s">
        <v>82</v>
      </c>
      <c r="H607">
        <v>148.25</v>
      </c>
      <c r="M607" t="s">
        <v>76</v>
      </c>
      <c r="N607" t="s">
        <v>78</v>
      </c>
    </row>
    <row r="608" spans="1:20" x14ac:dyDescent="0.25">
      <c r="A608" t="s">
        <v>594</v>
      </c>
      <c r="B608" s="4" t="s">
        <v>10</v>
      </c>
      <c r="C608" s="4" t="s">
        <v>70</v>
      </c>
      <c r="D608" s="4">
        <v>46139</v>
      </c>
      <c r="E608" s="5">
        <v>0.40490740740740738</v>
      </c>
      <c r="F608">
        <v>1</v>
      </c>
      <c r="G608" t="s">
        <v>82</v>
      </c>
      <c r="H608">
        <v>8.25</v>
      </c>
      <c r="L608" t="s">
        <v>595</v>
      </c>
      <c r="M608" t="s">
        <v>71</v>
      </c>
      <c r="N608" t="s">
        <v>72</v>
      </c>
      <c r="O608">
        <v>1</v>
      </c>
      <c r="S608">
        <v>1</v>
      </c>
      <c r="T608">
        <v>66.833333333333329</v>
      </c>
    </row>
    <row r="609" spans="1:20" x14ac:dyDescent="0.25">
      <c r="A609" t="s">
        <v>595</v>
      </c>
      <c r="B609" s="4" t="s">
        <v>10</v>
      </c>
      <c r="C609" s="4" t="s">
        <v>73</v>
      </c>
      <c r="D609" s="4">
        <v>46139</v>
      </c>
      <c r="E609" s="5">
        <v>0.40490740740740738</v>
      </c>
      <c r="F609">
        <v>1</v>
      </c>
      <c r="G609" t="s">
        <v>82</v>
      </c>
      <c r="H609">
        <v>67.083333333333329</v>
      </c>
      <c r="M609" t="s">
        <v>79</v>
      </c>
      <c r="N609" t="s">
        <v>72</v>
      </c>
    </row>
    <row r="610" spans="1:20" x14ac:dyDescent="0.25">
      <c r="A610" t="s">
        <v>595</v>
      </c>
      <c r="B610" s="4" t="s">
        <v>10</v>
      </c>
      <c r="C610" s="4" t="s">
        <v>73</v>
      </c>
      <c r="D610" s="4">
        <v>46139</v>
      </c>
      <c r="E610" s="5">
        <v>0.40490740740740738</v>
      </c>
      <c r="F610">
        <v>1</v>
      </c>
      <c r="G610" t="s">
        <v>82</v>
      </c>
      <c r="H610">
        <v>67</v>
      </c>
      <c r="M610" t="s">
        <v>79</v>
      </c>
      <c r="N610" t="s">
        <v>72</v>
      </c>
    </row>
    <row r="611" spans="1:20" x14ac:dyDescent="0.25">
      <c r="A611" t="s">
        <v>595</v>
      </c>
      <c r="B611" s="4" t="s">
        <v>10</v>
      </c>
      <c r="C611" s="4" t="s">
        <v>73</v>
      </c>
      <c r="D611" s="4">
        <v>46139</v>
      </c>
      <c r="E611" s="5">
        <v>0.40527777777777774</v>
      </c>
      <c r="F611">
        <v>1</v>
      </c>
      <c r="G611" t="s">
        <v>82</v>
      </c>
      <c r="H611">
        <v>66.833333333333329</v>
      </c>
      <c r="M611" t="s">
        <v>76</v>
      </c>
      <c r="N611" t="s">
        <v>72</v>
      </c>
    </row>
    <row r="612" spans="1:20" x14ac:dyDescent="0.25">
      <c r="A612" t="s">
        <v>596</v>
      </c>
      <c r="B612" s="4" t="s">
        <v>10</v>
      </c>
      <c r="C612" s="4" t="s">
        <v>70</v>
      </c>
      <c r="D612" s="4">
        <v>46139</v>
      </c>
      <c r="E612" s="5">
        <v>0.40611111111111103</v>
      </c>
      <c r="F612">
        <v>1</v>
      </c>
      <c r="G612" t="s">
        <v>82</v>
      </c>
      <c r="H612">
        <v>135</v>
      </c>
      <c r="L612" t="s">
        <v>597</v>
      </c>
      <c r="M612" t="s">
        <v>71</v>
      </c>
      <c r="N612" t="s">
        <v>75</v>
      </c>
      <c r="O612">
        <v>1</v>
      </c>
      <c r="S612">
        <v>1</v>
      </c>
      <c r="T612">
        <v>130.91666666666666</v>
      </c>
    </row>
    <row r="613" spans="1:20" x14ac:dyDescent="0.25">
      <c r="A613" t="s">
        <v>597</v>
      </c>
      <c r="B613" s="4" t="s">
        <v>10</v>
      </c>
      <c r="C613" s="4" t="s">
        <v>73</v>
      </c>
      <c r="D613" s="4">
        <v>46139</v>
      </c>
      <c r="E613" s="5">
        <v>0.40611111111111103</v>
      </c>
      <c r="F613">
        <v>1</v>
      </c>
      <c r="G613" t="s">
        <v>82</v>
      </c>
      <c r="H613">
        <v>130.91666666666666</v>
      </c>
      <c r="M613" t="s">
        <v>79</v>
      </c>
      <c r="N613" t="s">
        <v>75</v>
      </c>
    </row>
    <row r="614" spans="1:20" x14ac:dyDescent="0.25">
      <c r="A614" t="s">
        <v>597</v>
      </c>
      <c r="B614" s="4" t="s">
        <v>10</v>
      </c>
      <c r="C614" s="4" t="s">
        <v>73</v>
      </c>
      <c r="D614" s="4">
        <v>46139</v>
      </c>
      <c r="E614" s="5">
        <v>0.40619212962962964</v>
      </c>
      <c r="F614">
        <v>1</v>
      </c>
      <c r="G614" t="s">
        <v>82</v>
      </c>
      <c r="H614">
        <v>130.91666666666666</v>
      </c>
      <c r="M614" t="s">
        <v>76</v>
      </c>
      <c r="N614" t="s">
        <v>75</v>
      </c>
    </row>
    <row r="615" spans="1:20" x14ac:dyDescent="0.25">
      <c r="A615" t="s">
        <v>598</v>
      </c>
      <c r="B615" s="4" t="s">
        <v>10</v>
      </c>
      <c r="C615" s="4" t="s">
        <v>70</v>
      </c>
      <c r="D615" s="4">
        <v>46139</v>
      </c>
      <c r="E615" s="5">
        <v>0.40680555555555553</v>
      </c>
      <c r="F615">
        <v>1</v>
      </c>
      <c r="G615" t="s">
        <v>82</v>
      </c>
      <c r="H615">
        <v>21</v>
      </c>
      <c r="L615" t="s">
        <v>599</v>
      </c>
      <c r="M615" t="s">
        <v>71</v>
      </c>
      <c r="N615" t="s">
        <v>75</v>
      </c>
      <c r="O615">
        <v>1</v>
      </c>
      <c r="S615">
        <v>1</v>
      </c>
      <c r="T615">
        <v>76.583333333333329</v>
      </c>
    </row>
    <row r="616" spans="1:20" x14ac:dyDescent="0.25">
      <c r="A616" t="s">
        <v>599</v>
      </c>
      <c r="B616" s="4" t="s">
        <v>10</v>
      </c>
      <c r="C616" s="4" t="s">
        <v>73</v>
      </c>
      <c r="D616" s="4">
        <v>46139</v>
      </c>
      <c r="E616" s="5">
        <v>0.40680555555555553</v>
      </c>
      <c r="F616">
        <v>1</v>
      </c>
      <c r="G616" t="s">
        <v>82</v>
      </c>
      <c r="H616">
        <v>76.666666666666671</v>
      </c>
      <c r="M616" t="s">
        <v>79</v>
      </c>
      <c r="N616" t="s">
        <v>75</v>
      </c>
    </row>
    <row r="617" spans="1:20" x14ac:dyDescent="0.25">
      <c r="A617" t="s">
        <v>599</v>
      </c>
      <c r="B617" s="4" t="s">
        <v>10</v>
      </c>
      <c r="C617" s="4" t="s">
        <v>73</v>
      </c>
      <c r="D617" s="4">
        <v>46139</v>
      </c>
      <c r="E617" s="5">
        <v>0.40680555555555553</v>
      </c>
      <c r="F617">
        <v>1</v>
      </c>
      <c r="G617" t="s">
        <v>82</v>
      </c>
      <c r="H617">
        <v>76.583333333333329</v>
      </c>
      <c r="M617" t="s">
        <v>79</v>
      </c>
      <c r="N617" t="s">
        <v>75</v>
      </c>
    </row>
    <row r="618" spans="1:20" x14ac:dyDescent="0.25">
      <c r="A618" t="s">
        <v>599</v>
      </c>
      <c r="B618" s="4" t="s">
        <v>10</v>
      </c>
      <c r="C618" s="4" t="s">
        <v>73</v>
      </c>
      <c r="D618" s="4">
        <v>46139</v>
      </c>
      <c r="E618" s="5">
        <v>0.40695601851851854</v>
      </c>
      <c r="F618">
        <v>1</v>
      </c>
      <c r="G618" t="s">
        <v>82</v>
      </c>
      <c r="H618">
        <v>76.583333333333329</v>
      </c>
      <c r="M618" t="s">
        <v>76</v>
      </c>
      <c r="N618" t="s">
        <v>75</v>
      </c>
    </row>
    <row r="619" spans="1:20" x14ac:dyDescent="0.25">
      <c r="A619" t="s">
        <v>601</v>
      </c>
      <c r="B619" s="4" t="s">
        <v>10</v>
      </c>
      <c r="C619" s="4" t="s">
        <v>70</v>
      </c>
      <c r="D619" s="4">
        <v>46139</v>
      </c>
      <c r="E619" s="5">
        <v>0.40755787037037039</v>
      </c>
      <c r="F619">
        <v>1</v>
      </c>
      <c r="G619" t="s">
        <v>82</v>
      </c>
      <c r="H619">
        <v>68</v>
      </c>
      <c r="L619" t="s">
        <v>602</v>
      </c>
      <c r="M619" t="s">
        <v>71</v>
      </c>
      <c r="N619" t="s">
        <v>75</v>
      </c>
      <c r="O619">
        <v>1</v>
      </c>
    </row>
    <row r="620" spans="1:20" x14ac:dyDescent="0.25">
      <c r="A620" t="s">
        <v>602</v>
      </c>
      <c r="B620" s="4" t="s">
        <v>10</v>
      </c>
      <c r="C620" s="4" t="s">
        <v>73</v>
      </c>
      <c r="D620" s="4">
        <v>46139</v>
      </c>
      <c r="E620" s="5">
        <v>0.40755787037037039</v>
      </c>
      <c r="F620">
        <v>1</v>
      </c>
      <c r="G620" t="s">
        <v>82</v>
      </c>
      <c r="H620">
        <v>227.41666666666666</v>
      </c>
      <c r="M620" t="s">
        <v>79</v>
      </c>
      <c r="N620" t="s">
        <v>75</v>
      </c>
    </row>
    <row r="621" spans="1:20" x14ac:dyDescent="0.25">
      <c r="A621" t="s">
        <v>603</v>
      </c>
      <c r="B621" s="4" t="s">
        <v>10</v>
      </c>
      <c r="C621" s="4" t="s">
        <v>70</v>
      </c>
      <c r="D621" s="4">
        <v>46139</v>
      </c>
      <c r="E621" s="5">
        <v>0.40802083333333328</v>
      </c>
      <c r="F621">
        <v>1</v>
      </c>
      <c r="G621" t="s">
        <v>82</v>
      </c>
      <c r="H621">
        <v>88</v>
      </c>
      <c r="L621" t="s">
        <v>602</v>
      </c>
      <c r="M621" t="s">
        <v>71</v>
      </c>
      <c r="N621" t="s">
        <v>75</v>
      </c>
      <c r="P621">
        <v>1</v>
      </c>
    </row>
    <row r="622" spans="1:20" x14ac:dyDescent="0.25">
      <c r="A622" t="s">
        <v>602</v>
      </c>
      <c r="B622" s="4" t="s">
        <v>10</v>
      </c>
      <c r="C622" s="4" t="s">
        <v>73</v>
      </c>
      <c r="D622" s="4">
        <v>46139</v>
      </c>
      <c r="E622" s="5">
        <v>0.40802083333333328</v>
      </c>
      <c r="F622">
        <v>1</v>
      </c>
      <c r="G622" t="s">
        <v>82</v>
      </c>
      <c r="H622">
        <v>139.41666666666666</v>
      </c>
      <c r="M622" t="s">
        <v>79</v>
      </c>
      <c r="N622" t="s">
        <v>75</v>
      </c>
    </row>
    <row r="623" spans="1:20" x14ac:dyDescent="0.25">
      <c r="A623" t="s">
        <v>604</v>
      </c>
      <c r="B623" s="4" t="s">
        <v>10</v>
      </c>
      <c r="C623" s="4" t="s">
        <v>70</v>
      </c>
      <c r="D623" s="4">
        <v>46139</v>
      </c>
      <c r="E623" s="5">
        <v>0.40840277777777773</v>
      </c>
      <c r="F623">
        <v>1</v>
      </c>
      <c r="G623" t="s">
        <v>82</v>
      </c>
      <c r="H623">
        <v>103</v>
      </c>
      <c r="L623" t="s">
        <v>602</v>
      </c>
      <c r="M623" t="s">
        <v>71</v>
      </c>
      <c r="N623" t="s">
        <v>75</v>
      </c>
      <c r="P623">
        <v>1</v>
      </c>
      <c r="S623">
        <v>1</v>
      </c>
      <c r="T623">
        <v>35</v>
      </c>
    </row>
    <row r="624" spans="1:20" x14ac:dyDescent="0.25">
      <c r="A624" t="s">
        <v>602</v>
      </c>
      <c r="B624" s="4" t="s">
        <v>10</v>
      </c>
      <c r="C624" s="4" t="s">
        <v>73</v>
      </c>
      <c r="D624" s="4">
        <v>46139</v>
      </c>
      <c r="E624" s="5">
        <v>0.40840277777777773</v>
      </c>
      <c r="F624">
        <v>1</v>
      </c>
      <c r="G624" t="s">
        <v>82</v>
      </c>
      <c r="H624">
        <v>36.416666666666664</v>
      </c>
      <c r="M624" t="s">
        <v>79</v>
      </c>
      <c r="N624" t="s">
        <v>75</v>
      </c>
    </row>
    <row r="625" spans="1:20" x14ac:dyDescent="0.25">
      <c r="A625" t="s">
        <v>602</v>
      </c>
      <c r="B625" s="4" t="s">
        <v>10</v>
      </c>
      <c r="C625" s="4" t="s">
        <v>73</v>
      </c>
      <c r="D625" s="4">
        <v>46139</v>
      </c>
      <c r="E625" s="5">
        <v>0.40863425925925922</v>
      </c>
      <c r="F625">
        <v>1</v>
      </c>
      <c r="G625" t="s">
        <v>82</v>
      </c>
      <c r="H625">
        <v>35</v>
      </c>
      <c r="M625" t="s">
        <v>76</v>
      </c>
      <c r="N625" t="s">
        <v>75</v>
      </c>
    </row>
    <row r="626" spans="1:20" x14ac:dyDescent="0.25">
      <c r="A626" t="s">
        <v>605</v>
      </c>
      <c r="B626" s="4" t="s">
        <v>10</v>
      </c>
      <c r="C626" s="4" t="s">
        <v>73</v>
      </c>
      <c r="D626" s="4">
        <v>46139</v>
      </c>
      <c r="E626" s="5">
        <v>0.40910879629629626</v>
      </c>
      <c r="F626">
        <v>1</v>
      </c>
      <c r="G626" t="s">
        <v>82</v>
      </c>
      <c r="H626">
        <v>85.25</v>
      </c>
      <c r="M626" t="s">
        <v>79</v>
      </c>
      <c r="N626" t="s">
        <v>75</v>
      </c>
    </row>
    <row r="627" spans="1:20" x14ac:dyDescent="0.25">
      <c r="A627" t="s">
        <v>606</v>
      </c>
      <c r="B627" s="4" t="s">
        <v>10</v>
      </c>
      <c r="C627" s="4" t="s">
        <v>70</v>
      </c>
      <c r="D627" s="4">
        <v>46139</v>
      </c>
      <c r="E627" s="5">
        <v>0.40961805555555553</v>
      </c>
      <c r="F627">
        <v>1</v>
      </c>
      <c r="G627" t="s">
        <v>82</v>
      </c>
      <c r="H627">
        <v>78</v>
      </c>
      <c r="L627" t="s">
        <v>605</v>
      </c>
      <c r="M627" t="s">
        <v>71</v>
      </c>
      <c r="N627" t="s">
        <v>75</v>
      </c>
      <c r="O627">
        <v>1</v>
      </c>
      <c r="R627">
        <v>1</v>
      </c>
      <c r="S627">
        <v>1</v>
      </c>
      <c r="T627">
        <v>6.416666666666667</v>
      </c>
    </row>
    <row r="628" spans="1:20" x14ac:dyDescent="0.25">
      <c r="A628" t="s">
        <v>605</v>
      </c>
      <c r="B628" s="4" t="s">
        <v>10</v>
      </c>
      <c r="C628" s="4" t="s">
        <v>73</v>
      </c>
      <c r="D628" s="4">
        <v>46139</v>
      </c>
      <c r="E628" s="5">
        <v>0.40961805555555553</v>
      </c>
      <c r="F628">
        <v>1</v>
      </c>
      <c r="G628" t="s">
        <v>82</v>
      </c>
      <c r="H628">
        <v>7.25</v>
      </c>
      <c r="M628" t="s">
        <v>79</v>
      </c>
      <c r="N628" t="s">
        <v>75</v>
      </c>
    </row>
    <row r="629" spans="1:20" x14ac:dyDescent="0.25">
      <c r="A629" t="s">
        <v>605</v>
      </c>
      <c r="B629" s="4" t="s">
        <v>10</v>
      </c>
      <c r="C629" s="4" t="s">
        <v>73</v>
      </c>
      <c r="D629" s="4">
        <v>46139</v>
      </c>
      <c r="E629" s="5">
        <v>0.40961805555555553</v>
      </c>
      <c r="F629">
        <v>1</v>
      </c>
      <c r="G629" t="s">
        <v>82</v>
      </c>
      <c r="H629">
        <v>7.166666666666667</v>
      </c>
      <c r="M629" t="s">
        <v>79</v>
      </c>
      <c r="N629" t="s">
        <v>75</v>
      </c>
    </row>
    <row r="630" spans="1:20" x14ac:dyDescent="0.25">
      <c r="A630" t="s">
        <v>605</v>
      </c>
      <c r="B630" s="4" t="s">
        <v>10</v>
      </c>
      <c r="C630" s="4" t="s">
        <v>73</v>
      </c>
      <c r="D630" s="4">
        <v>46139</v>
      </c>
      <c r="E630" s="5">
        <v>0.40979166666666667</v>
      </c>
      <c r="F630">
        <v>1</v>
      </c>
      <c r="G630" t="s">
        <v>82</v>
      </c>
      <c r="H630">
        <v>6.416666666666667</v>
      </c>
      <c r="M630" t="s">
        <v>76</v>
      </c>
      <c r="N630" t="s">
        <v>75</v>
      </c>
    </row>
    <row r="631" spans="1:20" x14ac:dyDescent="0.25">
      <c r="A631" t="s">
        <v>607</v>
      </c>
      <c r="B631" s="4" t="s">
        <v>10</v>
      </c>
      <c r="C631" s="4" t="s">
        <v>70</v>
      </c>
      <c r="D631" s="4">
        <v>46139</v>
      </c>
      <c r="E631" s="5">
        <v>0.41019675925925925</v>
      </c>
      <c r="F631">
        <v>1</v>
      </c>
      <c r="G631" t="s">
        <v>82</v>
      </c>
      <c r="H631">
        <v>1</v>
      </c>
      <c r="L631" t="s">
        <v>608</v>
      </c>
      <c r="M631" t="s">
        <v>71</v>
      </c>
      <c r="N631" t="s">
        <v>75</v>
      </c>
      <c r="O631">
        <v>1</v>
      </c>
      <c r="S631">
        <v>1</v>
      </c>
      <c r="T631">
        <v>88.666666666666671</v>
      </c>
    </row>
    <row r="632" spans="1:20" x14ac:dyDescent="0.25">
      <c r="A632" t="s">
        <v>608</v>
      </c>
      <c r="B632" s="4" t="s">
        <v>10</v>
      </c>
      <c r="C632" s="4" t="s">
        <v>73</v>
      </c>
      <c r="D632" s="4">
        <v>46139</v>
      </c>
      <c r="E632" s="5">
        <v>0.41019675925925925</v>
      </c>
      <c r="F632">
        <v>1</v>
      </c>
      <c r="G632" t="s">
        <v>82</v>
      </c>
      <c r="H632">
        <v>87.333333333333329</v>
      </c>
      <c r="M632" t="s">
        <v>79</v>
      </c>
      <c r="N632" t="s">
        <v>75</v>
      </c>
    </row>
    <row r="633" spans="1:20" x14ac:dyDescent="0.25">
      <c r="A633" t="s">
        <v>608</v>
      </c>
      <c r="B633" s="4" t="s">
        <v>10</v>
      </c>
      <c r="C633" s="4" t="s">
        <v>73</v>
      </c>
      <c r="D633" s="4">
        <v>46139</v>
      </c>
      <c r="E633" s="5">
        <v>0.41019675925925925</v>
      </c>
      <c r="F633">
        <v>1</v>
      </c>
      <c r="G633" t="s">
        <v>82</v>
      </c>
      <c r="H633">
        <v>87.25</v>
      </c>
      <c r="M633" t="s">
        <v>79</v>
      </c>
      <c r="N633" t="s">
        <v>75</v>
      </c>
    </row>
    <row r="634" spans="1:20" x14ac:dyDescent="0.25">
      <c r="A634" t="s">
        <v>608</v>
      </c>
      <c r="B634" s="4" t="s">
        <v>10</v>
      </c>
      <c r="C634" s="4" t="s">
        <v>73</v>
      </c>
      <c r="D634" s="4">
        <v>46139</v>
      </c>
      <c r="E634" s="5">
        <v>0.41065972222222219</v>
      </c>
      <c r="F634">
        <v>1</v>
      </c>
      <c r="G634" t="s">
        <v>82</v>
      </c>
      <c r="H634">
        <v>88.666666666666671</v>
      </c>
      <c r="M634" t="s">
        <v>76</v>
      </c>
      <c r="N634" t="s">
        <v>75</v>
      </c>
    </row>
    <row r="635" spans="1:20" x14ac:dyDescent="0.25">
      <c r="A635" t="s">
        <v>609</v>
      </c>
      <c r="B635" s="4" t="s">
        <v>10</v>
      </c>
      <c r="C635" s="4" t="s">
        <v>70</v>
      </c>
      <c r="D635" s="4">
        <v>46139</v>
      </c>
      <c r="E635" s="5">
        <v>0.41164351851851844</v>
      </c>
      <c r="F635">
        <v>1</v>
      </c>
      <c r="G635" t="s">
        <v>82</v>
      </c>
      <c r="H635">
        <v>1</v>
      </c>
      <c r="L635" t="s">
        <v>610</v>
      </c>
      <c r="M635" t="s">
        <v>71</v>
      </c>
      <c r="N635" t="s">
        <v>75</v>
      </c>
      <c r="O635">
        <v>1</v>
      </c>
    </row>
    <row r="636" spans="1:20" x14ac:dyDescent="0.25">
      <c r="A636" t="s">
        <v>610</v>
      </c>
      <c r="B636" s="4" t="s">
        <v>10</v>
      </c>
      <c r="C636" s="4" t="s">
        <v>73</v>
      </c>
      <c r="D636" s="4">
        <v>46139</v>
      </c>
      <c r="E636" s="5">
        <v>0.41164351851851844</v>
      </c>
      <c r="F636">
        <v>1</v>
      </c>
      <c r="G636" t="s">
        <v>82</v>
      </c>
      <c r="H636">
        <v>23.25</v>
      </c>
      <c r="M636" t="s">
        <v>79</v>
      </c>
      <c r="N636" t="s">
        <v>75</v>
      </c>
    </row>
    <row r="637" spans="1:20" x14ac:dyDescent="0.25">
      <c r="A637" t="s">
        <v>610</v>
      </c>
      <c r="B637" s="4" t="s">
        <v>10</v>
      </c>
      <c r="C637" s="4" t="s">
        <v>73</v>
      </c>
      <c r="D637" s="4">
        <v>46139</v>
      </c>
      <c r="E637" s="5">
        <v>0.41164351851851844</v>
      </c>
      <c r="F637">
        <v>1</v>
      </c>
      <c r="G637" t="s">
        <v>82</v>
      </c>
      <c r="H637">
        <v>23.166666666666664</v>
      </c>
      <c r="M637" t="s">
        <v>79</v>
      </c>
      <c r="N637" t="s">
        <v>75</v>
      </c>
    </row>
    <row r="638" spans="1:20" x14ac:dyDescent="0.25">
      <c r="A638" t="s">
        <v>613</v>
      </c>
      <c r="B638" s="4" t="s">
        <v>10</v>
      </c>
      <c r="C638" s="4" t="s">
        <v>70</v>
      </c>
      <c r="D638" s="4">
        <v>46139</v>
      </c>
      <c r="E638" s="5">
        <v>0.41190972222222216</v>
      </c>
      <c r="F638">
        <v>1</v>
      </c>
      <c r="G638" t="s">
        <v>82</v>
      </c>
      <c r="H638">
        <v>3</v>
      </c>
      <c r="L638" t="s">
        <v>610</v>
      </c>
      <c r="M638" t="s">
        <v>71</v>
      </c>
      <c r="N638" t="s">
        <v>75</v>
      </c>
      <c r="P638">
        <v>1</v>
      </c>
      <c r="R638">
        <v>1</v>
      </c>
      <c r="S638">
        <v>1</v>
      </c>
      <c r="T638">
        <v>20.083333333333332</v>
      </c>
    </row>
    <row r="639" spans="1:20" x14ac:dyDescent="0.25">
      <c r="A639" t="s">
        <v>610</v>
      </c>
      <c r="B639" s="4" t="s">
        <v>10</v>
      </c>
      <c r="C639" s="4" t="s">
        <v>73</v>
      </c>
      <c r="D639" s="4">
        <v>46139</v>
      </c>
      <c r="E639" s="5">
        <v>0.41190972222222216</v>
      </c>
      <c r="F639">
        <v>1</v>
      </c>
      <c r="G639" t="s">
        <v>82</v>
      </c>
      <c r="H639">
        <v>20.166666666666664</v>
      </c>
      <c r="M639" t="s">
        <v>79</v>
      </c>
      <c r="N639" t="s">
        <v>75</v>
      </c>
    </row>
    <row r="640" spans="1:20" x14ac:dyDescent="0.25">
      <c r="A640" t="s">
        <v>610</v>
      </c>
      <c r="B640" s="4" t="s">
        <v>10</v>
      </c>
      <c r="C640" s="4" t="s">
        <v>73</v>
      </c>
      <c r="D640" s="4">
        <v>46139</v>
      </c>
      <c r="E640" s="5">
        <v>0.41190972222222216</v>
      </c>
      <c r="F640">
        <v>1</v>
      </c>
      <c r="G640" t="s">
        <v>82</v>
      </c>
      <c r="H640">
        <v>20.083333333333332</v>
      </c>
      <c r="M640" t="s">
        <v>79</v>
      </c>
      <c r="N640" t="s">
        <v>75</v>
      </c>
    </row>
    <row r="641" spans="1:21" x14ac:dyDescent="0.25">
      <c r="A641" t="s">
        <v>610</v>
      </c>
      <c r="B641" s="4" t="s">
        <v>10</v>
      </c>
      <c r="C641" s="4" t="s">
        <v>73</v>
      </c>
      <c r="D641" s="4">
        <v>46139</v>
      </c>
      <c r="E641" s="5">
        <v>0.41224537037037029</v>
      </c>
      <c r="F641">
        <v>1</v>
      </c>
      <c r="G641" t="s">
        <v>82</v>
      </c>
      <c r="H641">
        <v>20.083333333333332</v>
      </c>
      <c r="M641" t="s">
        <v>76</v>
      </c>
      <c r="N641" t="s">
        <v>75</v>
      </c>
    </row>
    <row r="642" spans="1:21" x14ac:dyDescent="0.25">
      <c r="A642" t="s">
        <v>616</v>
      </c>
      <c r="B642" s="4" t="s">
        <v>10</v>
      </c>
      <c r="C642" s="4" t="s">
        <v>70</v>
      </c>
      <c r="D642" s="4">
        <v>46139</v>
      </c>
      <c r="E642" s="5">
        <v>0.43314814814814817</v>
      </c>
      <c r="F642">
        <v>1</v>
      </c>
      <c r="G642" t="s">
        <v>82</v>
      </c>
      <c r="H642">
        <v>25</v>
      </c>
      <c r="L642" t="s">
        <v>617</v>
      </c>
      <c r="M642" t="s">
        <v>71</v>
      </c>
      <c r="N642" t="s">
        <v>75</v>
      </c>
      <c r="O642">
        <v>1</v>
      </c>
      <c r="Q642">
        <v>1</v>
      </c>
      <c r="S642">
        <v>1</v>
      </c>
      <c r="U642">
        <v>3.6666666666666665</v>
      </c>
    </row>
    <row r="643" spans="1:21" x14ac:dyDescent="0.25">
      <c r="A643" t="s">
        <v>617</v>
      </c>
      <c r="B643" s="4" t="s">
        <v>10</v>
      </c>
      <c r="C643" s="4" t="s">
        <v>73</v>
      </c>
      <c r="D643" s="4">
        <v>46139</v>
      </c>
      <c r="E643" s="5">
        <v>0.43314814814814817</v>
      </c>
      <c r="F643">
        <v>1</v>
      </c>
      <c r="G643" t="s">
        <v>82</v>
      </c>
      <c r="H643">
        <v>3.6666666666666665</v>
      </c>
      <c r="L643" s="21"/>
      <c r="M643" t="s">
        <v>79</v>
      </c>
      <c r="N643" t="s">
        <v>75</v>
      </c>
    </row>
    <row r="644" spans="1:21" x14ac:dyDescent="0.25">
      <c r="A644" t="s">
        <v>617</v>
      </c>
      <c r="B644" s="4" t="s">
        <v>10</v>
      </c>
      <c r="C644" s="4" t="s">
        <v>73</v>
      </c>
      <c r="D644" s="4">
        <v>46139</v>
      </c>
      <c r="E644" s="5">
        <v>0.43314814814814817</v>
      </c>
      <c r="F644">
        <v>1</v>
      </c>
      <c r="G644" t="s">
        <v>82</v>
      </c>
      <c r="H644">
        <v>0</v>
      </c>
      <c r="M644" t="s">
        <v>79</v>
      </c>
      <c r="N644" t="s">
        <v>75</v>
      </c>
    </row>
    <row r="645" spans="1:21" x14ac:dyDescent="0.25">
      <c r="A645" t="s">
        <v>618</v>
      </c>
      <c r="B645" s="4" t="s">
        <v>10</v>
      </c>
      <c r="C645" s="4" t="s">
        <v>70</v>
      </c>
      <c r="D645" s="4">
        <v>46139</v>
      </c>
      <c r="E645" s="5">
        <v>0.4340046296296296</v>
      </c>
      <c r="F645">
        <v>1</v>
      </c>
      <c r="G645" t="s">
        <v>82</v>
      </c>
      <c r="H645">
        <v>125</v>
      </c>
      <c r="L645" t="s">
        <v>619</v>
      </c>
      <c r="M645" t="s">
        <v>71</v>
      </c>
      <c r="N645" t="s">
        <v>75</v>
      </c>
      <c r="O645">
        <v>1</v>
      </c>
    </row>
    <row r="646" spans="1:21" x14ac:dyDescent="0.25">
      <c r="A646" t="s">
        <v>619</v>
      </c>
      <c r="B646" s="4" t="s">
        <v>10</v>
      </c>
      <c r="C646" s="4" t="s">
        <v>73</v>
      </c>
      <c r="D646" s="4">
        <v>46139</v>
      </c>
      <c r="E646" s="5">
        <v>0.4340046296296296</v>
      </c>
      <c r="F646">
        <v>1</v>
      </c>
      <c r="G646" t="s">
        <v>82</v>
      </c>
      <c r="H646">
        <v>175.66666666666666</v>
      </c>
      <c r="M646" t="s">
        <v>79</v>
      </c>
      <c r="N646" t="s">
        <v>75</v>
      </c>
    </row>
    <row r="647" spans="1:21" x14ac:dyDescent="0.25">
      <c r="A647" t="s">
        <v>622</v>
      </c>
      <c r="B647" s="4" t="s">
        <v>10</v>
      </c>
      <c r="C647" s="4" t="s">
        <v>70</v>
      </c>
      <c r="D647" s="4">
        <v>46139</v>
      </c>
      <c r="E647" s="5">
        <v>0.43444444444444441</v>
      </c>
      <c r="F647">
        <v>1</v>
      </c>
      <c r="G647" t="s">
        <v>82</v>
      </c>
      <c r="H647">
        <v>136.25</v>
      </c>
      <c r="L647" t="s">
        <v>619</v>
      </c>
      <c r="M647" t="s">
        <v>71</v>
      </c>
      <c r="N647" t="s">
        <v>75</v>
      </c>
      <c r="P647">
        <v>1</v>
      </c>
    </row>
    <row r="648" spans="1:21" x14ac:dyDescent="0.25">
      <c r="A648" t="s">
        <v>619</v>
      </c>
      <c r="B648" s="4" t="s">
        <v>10</v>
      </c>
      <c r="C648" s="4" t="s">
        <v>73</v>
      </c>
      <c r="D648" s="4">
        <v>46139</v>
      </c>
      <c r="E648" s="5">
        <v>0.43444444444444441</v>
      </c>
      <c r="F648">
        <v>1</v>
      </c>
      <c r="G648" t="s">
        <v>82</v>
      </c>
      <c r="H648">
        <v>39.416666666666664</v>
      </c>
      <c r="M648" t="s">
        <v>79</v>
      </c>
      <c r="N648" t="s">
        <v>75</v>
      </c>
    </row>
    <row r="649" spans="1:21" x14ac:dyDescent="0.25">
      <c r="A649" t="s">
        <v>623</v>
      </c>
      <c r="B649" s="4" t="s">
        <v>10</v>
      </c>
      <c r="C649" s="4" t="s">
        <v>70</v>
      </c>
      <c r="D649" s="4">
        <v>46139</v>
      </c>
      <c r="E649" s="5">
        <v>0.4346875</v>
      </c>
      <c r="F649">
        <v>1</v>
      </c>
      <c r="G649" t="s">
        <v>82</v>
      </c>
      <c r="H649">
        <v>37.75</v>
      </c>
      <c r="L649" t="s">
        <v>619</v>
      </c>
      <c r="M649" t="s">
        <v>71</v>
      </c>
      <c r="N649" t="s">
        <v>75</v>
      </c>
      <c r="P649">
        <v>1</v>
      </c>
      <c r="Q649">
        <v>1</v>
      </c>
      <c r="S649">
        <v>1</v>
      </c>
      <c r="U649">
        <v>1.25</v>
      </c>
    </row>
    <row r="650" spans="1:21" x14ac:dyDescent="0.25">
      <c r="A650" t="s">
        <v>619</v>
      </c>
      <c r="B650" s="4" t="s">
        <v>10</v>
      </c>
      <c r="C650" s="4" t="s">
        <v>73</v>
      </c>
      <c r="D650" s="4">
        <v>46139</v>
      </c>
      <c r="E650" s="5">
        <v>0.4346875</v>
      </c>
      <c r="F650">
        <v>1</v>
      </c>
      <c r="G650" t="s">
        <v>82</v>
      </c>
      <c r="H650">
        <v>1.6666666666666665</v>
      </c>
      <c r="M650" t="s">
        <v>79</v>
      </c>
      <c r="N650" t="s">
        <v>75</v>
      </c>
    </row>
    <row r="651" spans="1:21" x14ac:dyDescent="0.25">
      <c r="A651" t="s">
        <v>619</v>
      </c>
      <c r="B651" s="4" t="s">
        <v>10</v>
      </c>
      <c r="C651" s="4" t="s">
        <v>73</v>
      </c>
      <c r="D651" s="4">
        <v>46139</v>
      </c>
      <c r="E651" s="5">
        <v>0.4346875</v>
      </c>
      <c r="F651">
        <v>1</v>
      </c>
      <c r="G651" t="s">
        <v>82</v>
      </c>
      <c r="H651">
        <v>1.25</v>
      </c>
      <c r="M651" t="s">
        <v>79</v>
      </c>
      <c r="N651" t="s">
        <v>75</v>
      </c>
    </row>
    <row r="652" spans="1:21" x14ac:dyDescent="0.25">
      <c r="A652" t="s">
        <v>619</v>
      </c>
      <c r="B652" s="4" t="s">
        <v>10</v>
      </c>
      <c r="C652" s="4" t="s">
        <v>73</v>
      </c>
      <c r="D652" s="4">
        <v>46139</v>
      </c>
      <c r="E652" s="5">
        <v>0.4346875</v>
      </c>
      <c r="F652">
        <v>1</v>
      </c>
      <c r="G652" t="s">
        <v>82</v>
      </c>
      <c r="H652">
        <v>0</v>
      </c>
      <c r="M652" t="s">
        <v>79</v>
      </c>
      <c r="N652" t="s">
        <v>75</v>
      </c>
    </row>
    <row r="653" spans="1:21" x14ac:dyDescent="0.25">
      <c r="A653" t="s">
        <v>624</v>
      </c>
      <c r="B653" s="4" t="s">
        <v>10</v>
      </c>
      <c r="C653" s="4" t="s">
        <v>70</v>
      </c>
      <c r="D653" s="4">
        <v>46139</v>
      </c>
      <c r="E653" s="5">
        <v>0.43524305555555554</v>
      </c>
      <c r="F653">
        <v>1</v>
      </c>
      <c r="G653" t="s">
        <v>82</v>
      </c>
      <c r="H653">
        <v>44.25</v>
      </c>
      <c r="L653" t="s">
        <v>625</v>
      </c>
      <c r="M653" t="s">
        <v>71</v>
      </c>
      <c r="N653" t="s">
        <v>77</v>
      </c>
      <c r="O653">
        <v>1</v>
      </c>
      <c r="S653">
        <v>1</v>
      </c>
      <c r="T653">
        <v>88.416666666666671</v>
      </c>
    </row>
    <row r="654" spans="1:21" x14ac:dyDescent="0.25">
      <c r="A654" t="s">
        <v>625</v>
      </c>
      <c r="B654" s="4" t="s">
        <v>10</v>
      </c>
      <c r="C654" s="4" t="s">
        <v>73</v>
      </c>
      <c r="D654" s="4">
        <v>46139</v>
      </c>
      <c r="E654" s="5">
        <v>0.43524305555555554</v>
      </c>
      <c r="F654">
        <v>1</v>
      </c>
      <c r="G654" t="s">
        <v>82</v>
      </c>
      <c r="H654">
        <v>89.333333333333329</v>
      </c>
      <c r="M654" t="s">
        <v>74</v>
      </c>
      <c r="N654" t="s">
        <v>77</v>
      </c>
    </row>
    <row r="655" spans="1:21" x14ac:dyDescent="0.25">
      <c r="A655" t="s">
        <v>625</v>
      </c>
      <c r="B655" s="4" t="s">
        <v>10</v>
      </c>
      <c r="C655" s="4" t="s">
        <v>73</v>
      </c>
      <c r="D655" s="4">
        <v>46139</v>
      </c>
      <c r="E655" s="5">
        <v>0.43524305555555554</v>
      </c>
      <c r="F655">
        <v>1</v>
      </c>
      <c r="G655" t="s">
        <v>82</v>
      </c>
      <c r="H655">
        <v>89.25</v>
      </c>
      <c r="M655" t="s">
        <v>74</v>
      </c>
      <c r="N655" t="s">
        <v>77</v>
      </c>
    </row>
    <row r="656" spans="1:21" x14ac:dyDescent="0.25">
      <c r="A656" t="s">
        <v>625</v>
      </c>
      <c r="B656" s="4" t="s">
        <v>10</v>
      </c>
      <c r="C656" s="4" t="s">
        <v>73</v>
      </c>
      <c r="D656" s="4">
        <v>46139</v>
      </c>
      <c r="E656" s="5">
        <v>0.43555555555555558</v>
      </c>
      <c r="F656">
        <v>1</v>
      </c>
      <c r="G656" t="s">
        <v>82</v>
      </c>
      <c r="H656">
        <v>88.416666666666671</v>
      </c>
      <c r="M656" t="s">
        <v>76</v>
      </c>
      <c r="N656" t="s">
        <v>77</v>
      </c>
    </row>
    <row r="657" spans="1:20" x14ac:dyDescent="0.25">
      <c r="A657" t="s">
        <v>626</v>
      </c>
      <c r="B657" s="4" t="s">
        <v>10</v>
      </c>
      <c r="C657" s="4" t="s">
        <v>73</v>
      </c>
      <c r="D657" s="4">
        <v>46139</v>
      </c>
      <c r="E657" s="5">
        <v>0.43618055555555552</v>
      </c>
      <c r="F657">
        <v>1</v>
      </c>
      <c r="G657" t="s">
        <v>82</v>
      </c>
      <c r="H657">
        <v>78.916666666666671</v>
      </c>
      <c r="M657" t="s">
        <v>79</v>
      </c>
      <c r="N657" t="s">
        <v>75</v>
      </c>
    </row>
    <row r="658" spans="1:20" x14ac:dyDescent="0.25">
      <c r="A658" t="s">
        <v>629</v>
      </c>
      <c r="B658" s="4" t="s">
        <v>10</v>
      </c>
      <c r="C658" s="4" t="s">
        <v>70</v>
      </c>
      <c r="D658" s="4">
        <v>46139</v>
      </c>
      <c r="E658" s="5">
        <v>0.43659722222222225</v>
      </c>
      <c r="F658">
        <v>1</v>
      </c>
      <c r="G658" t="s">
        <v>82</v>
      </c>
      <c r="H658">
        <v>28</v>
      </c>
      <c r="L658" t="s">
        <v>626</v>
      </c>
      <c r="M658" t="s">
        <v>71</v>
      </c>
      <c r="N658" t="s">
        <v>75</v>
      </c>
      <c r="O658">
        <v>1</v>
      </c>
    </row>
    <row r="659" spans="1:20" x14ac:dyDescent="0.25">
      <c r="A659" t="s">
        <v>626</v>
      </c>
      <c r="B659" s="4" t="s">
        <v>10</v>
      </c>
      <c r="C659" s="4" t="s">
        <v>73</v>
      </c>
      <c r="D659" s="4">
        <v>46139</v>
      </c>
      <c r="E659" s="5">
        <v>0.43659722222222225</v>
      </c>
      <c r="F659">
        <v>1</v>
      </c>
      <c r="G659" t="s">
        <v>82</v>
      </c>
      <c r="H659">
        <v>50.916666666666671</v>
      </c>
      <c r="M659" t="s">
        <v>79</v>
      </c>
      <c r="N659" t="s">
        <v>75</v>
      </c>
    </row>
    <row r="660" spans="1:20" x14ac:dyDescent="0.25">
      <c r="A660" t="s">
        <v>630</v>
      </c>
      <c r="B660" s="4" t="s">
        <v>10</v>
      </c>
      <c r="C660" s="4" t="s">
        <v>70</v>
      </c>
      <c r="D660" s="4">
        <v>46139</v>
      </c>
      <c r="E660" s="5">
        <v>0.43684027777777773</v>
      </c>
      <c r="F660">
        <v>1</v>
      </c>
      <c r="G660" t="s">
        <v>82</v>
      </c>
      <c r="H660">
        <v>36.5</v>
      </c>
      <c r="L660" t="s">
        <v>626</v>
      </c>
      <c r="M660" t="s">
        <v>71</v>
      </c>
      <c r="N660" t="s">
        <v>75</v>
      </c>
      <c r="P660">
        <v>1</v>
      </c>
      <c r="R660">
        <v>1</v>
      </c>
      <c r="S660">
        <v>1</v>
      </c>
      <c r="T660">
        <v>13.333333333333332</v>
      </c>
    </row>
    <row r="661" spans="1:20" x14ac:dyDescent="0.25">
      <c r="A661" t="s">
        <v>626</v>
      </c>
      <c r="B661" s="4" t="s">
        <v>10</v>
      </c>
      <c r="C661" s="4" t="s">
        <v>73</v>
      </c>
      <c r="D661" s="4">
        <v>46139</v>
      </c>
      <c r="E661" s="5">
        <v>0.43684027777777773</v>
      </c>
      <c r="F661">
        <v>1</v>
      </c>
      <c r="G661" t="s">
        <v>82</v>
      </c>
      <c r="H661">
        <v>14.416666666666666</v>
      </c>
      <c r="M661" t="s">
        <v>79</v>
      </c>
      <c r="N661" t="s">
        <v>75</v>
      </c>
    </row>
    <row r="662" spans="1:20" x14ac:dyDescent="0.25">
      <c r="A662" t="s">
        <v>626</v>
      </c>
      <c r="B662" s="4" t="s">
        <v>10</v>
      </c>
      <c r="C662" s="4" t="s">
        <v>73</v>
      </c>
      <c r="D662" s="4">
        <v>46139</v>
      </c>
      <c r="E662" s="5">
        <v>0.43717592592592591</v>
      </c>
      <c r="F662">
        <v>1</v>
      </c>
      <c r="G662" t="s">
        <v>82</v>
      </c>
      <c r="H662">
        <v>13.333333333333332</v>
      </c>
      <c r="M662" t="s">
        <v>76</v>
      </c>
      <c r="N662" t="s">
        <v>75</v>
      </c>
    </row>
    <row r="663" spans="1:20" x14ac:dyDescent="0.25">
      <c r="A663" t="s">
        <v>637</v>
      </c>
      <c r="B663" s="4" t="s">
        <v>10</v>
      </c>
      <c r="C663" s="4" t="s">
        <v>70</v>
      </c>
      <c r="D663" s="4">
        <v>46139</v>
      </c>
      <c r="E663" s="5">
        <v>0.43766203703703699</v>
      </c>
      <c r="F663">
        <v>1</v>
      </c>
      <c r="G663" t="s">
        <v>82</v>
      </c>
      <c r="H663">
        <v>1</v>
      </c>
      <c r="L663" t="s">
        <v>638</v>
      </c>
      <c r="M663" t="s">
        <v>71</v>
      </c>
      <c r="N663" t="s">
        <v>75</v>
      </c>
      <c r="O663">
        <v>1</v>
      </c>
      <c r="S663">
        <v>1</v>
      </c>
      <c r="T663">
        <v>58.833333333333336</v>
      </c>
    </row>
    <row r="664" spans="1:20" x14ac:dyDescent="0.25">
      <c r="A664" t="s">
        <v>638</v>
      </c>
      <c r="B664" s="4" t="s">
        <v>10</v>
      </c>
      <c r="C664" s="4" t="s">
        <v>73</v>
      </c>
      <c r="D664" s="4">
        <v>46139</v>
      </c>
      <c r="E664" s="5">
        <v>0.43767361111111108</v>
      </c>
      <c r="F664">
        <v>1</v>
      </c>
      <c r="G664" t="s">
        <v>82</v>
      </c>
      <c r="H664">
        <v>58.916666666666664</v>
      </c>
      <c r="M664" t="s">
        <v>79</v>
      </c>
      <c r="N664" t="s">
        <v>75</v>
      </c>
    </row>
    <row r="665" spans="1:20" x14ac:dyDescent="0.25">
      <c r="A665" t="s">
        <v>638</v>
      </c>
      <c r="B665" s="4" t="s">
        <v>10</v>
      </c>
      <c r="C665" s="4" t="s">
        <v>73</v>
      </c>
      <c r="D665" s="4">
        <v>46139</v>
      </c>
      <c r="E665" s="5">
        <v>0.43767361111111108</v>
      </c>
      <c r="F665">
        <v>1</v>
      </c>
      <c r="G665" t="s">
        <v>82</v>
      </c>
      <c r="H665">
        <v>58.833333333333336</v>
      </c>
      <c r="M665" t="s">
        <v>79</v>
      </c>
      <c r="N665" t="s">
        <v>75</v>
      </c>
    </row>
    <row r="666" spans="1:20" x14ac:dyDescent="0.25">
      <c r="A666" t="s">
        <v>638</v>
      </c>
      <c r="B666" s="4" t="s">
        <v>10</v>
      </c>
      <c r="C666" s="4" t="s">
        <v>73</v>
      </c>
      <c r="D666" s="4">
        <v>46139</v>
      </c>
      <c r="E666" s="5">
        <v>0.43806712962962963</v>
      </c>
      <c r="F666">
        <v>1</v>
      </c>
      <c r="G666" t="s">
        <v>82</v>
      </c>
      <c r="H666">
        <v>58.833333333333336</v>
      </c>
      <c r="M666" t="s">
        <v>76</v>
      </c>
      <c r="N666" t="s">
        <v>75</v>
      </c>
    </row>
    <row r="667" spans="1:20" x14ac:dyDescent="0.25">
      <c r="A667" t="s">
        <v>641</v>
      </c>
      <c r="B667" s="4" t="s">
        <v>10</v>
      </c>
      <c r="C667" s="4" t="s">
        <v>70</v>
      </c>
      <c r="D667" s="4">
        <v>46139</v>
      </c>
      <c r="E667" s="5">
        <v>0.43861111111111106</v>
      </c>
      <c r="F667">
        <v>1</v>
      </c>
      <c r="G667" t="s">
        <v>82</v>
      </c>
      <c r="H667">
        <v>37</v>
      </c>
      <c r="L667" t="s">
        <v>642</v>
      </c>
      <c r="M667" t="s">
        <v>71</v>
      </c>
      <c r="N667" t="s">
        <v>72</v>
      </c>
      <c r="O667">
        <v>1</v>
      </c>
      <c r="S667">
        <v>1</v>
      </c>
      <c r="T667">
        <v>165.16666666666666</v>
      </c>
    </row>
    <row r="668" spans="1:20" x14ac:dyDescent="0.25">
      <c r="A668" t="s">
        <v>642</v>
      </c>
      <c r="B668" s="4" t="s">
        <v>10</v>
      </c>
      <c r="C668" s="4" t="s">
        <v>73</v>
      </c>
      <c r="D668" s="4">
        <v>46139</v>
      </c>
      <c r="E668" s="5">
        <v>0.43861111111111106</v>
      </c>
      <c r="F668">
        <v>1</v>
      </c>
      <c r="G668" t="s">
        <v>82</v>
      </c>
      <c r="H668">
        <v>165.25</v>
      </c>
      <c r="M668" t="s">
        <v>79</v>
      </c>
      <c r="N668" t="s">
        <v>72</v>
      </c>
    </row>
    <row r="669" spans="1:20" x14ac:dyDescent="0.25">
      <c r="A669" t="s">
        <v>642</v>
      </c>
      <c r="B669" s="4" t="s">
        <v>10</v>
      </c>
      <c r="C669" s="4" t="s">
        <v>73</v>
      </c>
      <c r="D669" s="4">
        <v>46139</v>
      </c>
      <c r="E669" s="5">
        <v>0.43861111111111106</v>
      </c>
      <c r="F669">
        <v>1</v>
      </c>
      <c r="G669" t="s">
        <v>82</v>
      </c>
      <c r="H669">
        <v>165.16666666666666</v>
      </c>
      <c r="M669" t="s">
        <v>79</v>
      </c>
      <c r="N669" t="s">
        <v>72</v>
      </c>
    </row>
    <row r="670" spans="1:20" x14ac:dyDescent="0.25">
      <c r="A670" t="s">
        <v>642</v>
      </c>
      <c r="B670" s="4" t="s">
        <v>10</v>
      </c>
      <c r="C670" s="4" t="s">
        <v>73</v>
      </c>
      <c r="D670" s="4">
        <v>46139</v>
      </c>
      <c r="E670" s="5">
        <v>0.4387268518518519</v>
      </c>
      <c r="F670">
        <v>1</v>
      </c>
      <c r="G670" t="s">
        <v>82</v>
      </c>
      <c r="H670">
        <v>165.16666666666666</v>
      </c>
      <c r="M670" t="s">
        <v>76</v>
      </c>
      <c r="N670" t="s">
        <v>72</v>
      </c>
    </row>
    <row r="671" spans="1:20" x14ac:dyDescent="0.25">
      <c r="A671" t="s">
        <v>645</v>
      </c>
      <c r="B671" s="4" t="s">
        <v>10</v>
      </c>
      <c r="C671" s="4" t="s">
        <v>70</v>
      </c>
      <c r="D671" s="4">
        <v>46139</v>
      </c>
      <c r="E671" s="5">
        <v>0.43961805555555555</v>
      </c>
      <c r="F671">
        <v>1</v>
      </c>
      <c r="G671" t="s">
        <v>82</v>
      </c>
      <c r="H671">
        <v>112.5</v>
      </c>
      <c r="L671" t="s">
        <v>646</v>
      </c>
      <c r="M671" t="s">
        <v>71</v>
      </c>
      <c r="N671" t="s">
        <v>75</v>
      </c>
      <c r="O671">
        <v>1</v>
      </c>
      <c r="S671">
        <v>1</v>
      </c>
      <c r="T671">
        <v>37.416666666666664</v>
      </c>
    </row>
    <row r="672" spans="1:20" x14ac:dyDescent="0.25">
      <c r="A672" t="s">
        <v>646</v>
      </c>
      <c r="B672" s="4" t="s">
        <v>10</v>
      </c>
      <c r="C672" s="4" t="s">
        <v>73</v>
      </c>
      <c r="D672" s="4">
        <v>46139</v>
      </c>
      <c r="E672" s="5">
        <v>0.43961805555555555</v>
      </c>
      <c r="F672">
        <v>1</v>
      </c>
      <c r="G672" t="s">
        <v>82</v>
      </c>
      <c r="H672">
        <v>37.5</v>
      </c>
      <c r="M672" t="s">
        <v>79</v>
      </c>
      <c r="N672" t="s">
        <v>75</v>
      </c>
    </row>
    <row r="673" spans="1:20" x14ac:dyDescent="0.25">
      <c r="A673" t="s">
        <v>646</v>
      </c>
      <c r="B673" s="4" t="s">
        <v>10</v>
      </c>
      <c r="C673" s="4" t="s">
        <v>73</v>
      </c>
      <c r="D673" s="4">
        <v>46139</v>
      </c>
      <c r="E673" s="5">
        <v>0.43961805555555555</v>
      </c>
      <c r="F673">
        <v>1</v>
      </c>
      <c r="G673" t="s">
        <v>82</v>
      </c>
      <c r="H673">
        <v>37.416666666666664</v>
      </c>
      <c r="M673" t="s">
        <v>79</v>
      </c>
      <c r="N673" t="s">
        <v>75</v>
      </c>
    </row>
    <row r="674" spans="1:20" x14ac:dyDescent="0.25">
      <c r="A674" t="s">
        <v>646</v>
      </c>
      <c r="B674" s="4" t="s">
        <v>10</v>
      </c>
      <c r="C674" s="4" t="s">
        <v>73</v>
      </c>
      <c r="D674" s="4">
        <v>46139</v>
      </c>
      <c r="E674" s="5">
        <v>0.44001157407407404</v>
      </c>
      <c r="F674">
        <v>1</v>
      </c>
      <c r="G674" t="s">
        <v>82</v>
      </c>
      <c r="H674">
        <v>37.416666666666664</v>
      </c>
      <c r="M674" t="s">
        <v>76</v>
      </c>
      <c r="N674" t="s">
        <v>75</v>
      </c>
    </row>
    <row r="675" spans="1:20" x14ac:dyDescent="0.25">
      <c r="A675" t="s">
        <v>651</v>
      </c>
      <c r="B675" s="4" t="s">
        <v>10</v>
      </c>
      <c r="C675" s="4" t="s">
        <v>73</v>
      </c>
      <c r="D675" s="4">
        <v>46139</v>
      </c>
      <c r="E675" s="5">
        <v>0.44099537037037034</v>
      </c>
      <c r="F675">
        <v>1</v>
      </c>
      <c r="G675" t="s">
        <v>82</v>
      </c>
      <c r="H675">
        <v>70.166666666666657</v>
      </c>
      <c r="M675" t="s">
        <v>79</v>
      </c>
      <c r="N675" t="s">
        <v>72</v>
      </c>
    </row>
    <row r="676" spans="1:20" x14ac:dyDescent="0.25">
      <c r="A676" t="s">
        <v>652</v>
      </c>
      <c r="B676" s="4" t="s">
        <v>10</v>
      </c>
      <c r="C676" s="4" t="s">
        <v>70</v>
      </c>
      <c r="D676" s="4">
        <v>46139</v>
      </c>
      <c r="E676" s="5">
        <v>0.44116898148148143</v>
      </c>
      <c r="F676">
        <v>1</v>
      </c>
      <c r="G676" t="s">
        <v>82</v>
      </c>
      <c r="H676">
        <v>1</v>
      </c>
      <c r="L676" t="s">
        <v>651</v>
      </c>
      <c r="M676" t="s">
        <v>71</v>
      </c>
      <c r="N676" t="s">
        <v>72</v>
      </c>
      <c r="O676">
        <v>1</v>
      </c>
      <c r="S676">
        <v>1</v>
      </c>
      <c r="T676">
        <v>68.166666666666671</v>
      </c>
    </row>
    <row r="677" spans="1:20" x14ac:dyDescent="0.25">
      <c r="A677" t="s">
        <v>651</v>
      </c>
      <c r="B677" s="4" t="s">
        <v>10</v>
      </c>
      <c r="C677" s="4" t="s">
        <v>73</v>
      </c>
      <c r="D677" s="4">
        <v>46139</v>
      </c>
      <c r="E677" s="5">
        <v>0.44116898148148143</v>
      </c>
      <c r="F677">
        <v>1</v>
      </c>
      <c r="G677" t="s">
        <v>82</v>
      </c>
      <c r="H677">
        <v>69.166666666666671</v>
      </c>
      <c r="M677" t="s">
        <v>79</v>
      </c>
      <c r="N677" t="s">
        <v>72</v>
      </c>
    </row>
    <row r="678" spans="1:20" x14ac:dyDescent="0.25">
      <c r="A678" t="s">
        <v>651</v>
      </c>
      <c r="B678" s="4" t="s">
        <v>10</v>
      </c>
      <c r="C678" s="4" t="s">
        <v>73</v>
      </c>
      <c r="D678" s="4">
        <v>46139</v>
      </c>
      <c r="E678" s="5">
        <v>0.44116898148148143</v>
      </c>
      <c r="F678">
        <v>1</v>
      </c>
      <c r="G678" t="s">
        <v>82</v>
      </c>
      <c r="H678">
        <v>69.083333333333329</v>
      </c>
      <c r="M678" t="s">
        <v>79</v>
      </c>
      <c r="N678" t="s">
        <v>72</v>
      </c>
    </row>
    <row r="679" spans="1:20" x14ac:dyDescent="0.25">
      <c r="A679" t="s">
        <v>651</v>
      </c>
      <c r="B679" s="4" t="s">
        <v>10</v>
      </c>
      <c r="C679" s="4" t="s">
        <v>73</v>
      </c>
      <c r="D679" s="4">
        <v>46139</v>
      </c>
      <c r="E679" s="5">
        <v>0.44160879629629624</v>
      </c>
      <c r="F679">
        <v>1</v>
      </c>
      <c r="G679" t="s">
        <v>82</v>
      </c>
      <c r="H679">
        <v>68.166666666666671</v>
      </c>
      <c r="M679" t="s">
        <v>76</v>
      </c>
      <c r="N679" t="s">
        <v>72</v>
      </c>
    </row>
    <row r="680" spans="1:20" x14ac:dyDescent="0.25">
      <c r="A680" t="s">
        <v>654</v>
      </c>
      <c r="B680" s="4" t="s">
        <v>10</v>
      </c>
      <c r="C680" s="4" t="s">
        <v>70</v>
      </c>
      <c r="D680" s="4">
        <v>46139</v>
      </c>
      <c r="E680" s="5">
        <v>0.44239583333333332</v>
      </c>
      <c r="F680">
        <v>1</v>
      </c>
      <c r="G680" t="s">
        <v>82</v>
      </c>
      <c r="H680">
        <v>30</v>
      </c>
      <c r="L680" t="s">
        <v>655</v>
      </c>
      <c r="M680" t="s">
        <v>71</v>
      </c>
      <c r="N680" t="s">
        <v>72</v>
      </c>
      <c r="O680">
        <v>1</v>
      </c>
      <c r="S680">
        <v>1</v>
      </c>
      <c r="T680">
        <v>99.5</v>
      </c>
    </row>
    <row r="681" spans="1:20" x14ac:dyDescent="0.25">
      <c r="A681" t="s">
        <v>655</v>
      </c>
      <c r="B681" s="4" t="s">
        <v>10</v>
      </c>
      <c r="C681" s="4" t="s">
        <v>73</v>
      </c>
      <c r="D681" s="4">
        <v>46139</v>
      </c>
      <c r="E681" s="5">
        <v>0.44239583333333332</v>
      </c>
      <c r="F681">
        <v>1</v>
      </c>
      <c r="G681" t="s">
        <v>82</v>
      </c>
      <c r="H681">
        <v>99.5</v>
      </c>
      <c r="M681" t="s">
        <v>79</v>
      </c>
      <c r="N681" t="s">
        <v>72</v>
      </c>
    </row>
    <row r="682" spans="1:20" x14ac:dyDescent="0.25">
      <c r="A682" t="s">
        <v>655</v>
      </c>
      <c r="B682" s="4" t="s">
        <v>10</v>
      </c>
      <c r="C682" s="4" t="s">
        <v>73</v>
      </c>
      <c r="D682" s="4">
        <v>46139</v>
      </c>
      <c r="E682" s="5">
        <v>0.4425115740740741</v>
      </c>
      <c r="F682">
        <v>1</v>
      </c>
      <c r="G682" t="s">
        <v>82</v>
      </c>
      <c r="H682">
        <v>99.5</v>
      </c>
      <c r="M682" t="s">
        <v>76</v>
      </c>
      <c r="N682" t="s">
        <v>72</v>
      </c>
    </row>
    <row r="683" spans="1:20" x14ac:dyDescent="0.25">
      <c r="A683" t="s">
        <v>656</v>
      </c>
      <c r="B683" s="4" t="s">
        <v>10</v>
      </c>
      <c r="C683" s="4" t="s">
        <v>70</v>
      </c>
      <c r="D683" s="4">
        <v>46139</v>
      </c>
      <c r="E683" s="5">
        <v>0.44299768518518517</v>
      </c>
      <c r="F683">
        <v>1</v>
      </c>
      <c r="G683" t="s">
        <v>82</v>
      </c>
      <c r="H683">
        <v>10.25</v>
      </c>
      <c r="L683" t="s">
        <v>657</v>
      </c>
      <c r="M683" t="s">
        <v>71</v>
      </c>
      <c r="N683" t="s">
        <v>72</v>
      </c>
      <c r="O683">
        <v>1</v>
      </c>
      <c r="R683">
        <v>1</v>
      </c>
      <c r="S683">
        <v>1</v>
      </c>
      <c r="T683">
        <v>6.5</v>
      </c>
    </row>
    <row r="684" spans="1:20" x14ac:dyDescent="0.25">
      <c r="A684" t="s">
        <v>657</v>
      </c>
      <c r="B684" s="4" t="s">
        <v>10</v>
      </c>
      <c r="C684" s="4" t="s">
        <v>73</v>
      </c>
      <c r="D684" s="4">
        <v>46139</v>
      </c>
      <c r="E684" s="5">
        <v>0.44299768518518517</v>
      </c>
      <c r="F684">
        <v>1</v>
      </c>
      <c r="G684" t="s">
        <v>82</v>
      </c>
      <c r="H684">
        <v>6.5</v>
      </c>
      <c r="M684" t="s">
        <v>79</v>
      </c>
      <c r="N684" t="s">
        <v>72</v>
      </c>
    </row>
    <row r="685" spans="1:20" x14ac:dyDescent="0.25">
      <c r="A685" t="s">
        <v>657</v>
      </c>
      <c r="B685" s="4" t="s">
        <v>10</v>
      </c>
      <c r="C685" s="4" t="s">
        <v>73</v>
      </c>
      <c r="D685" s="4">
        <v>46139</v>
      </c>
      <c r="E685" s="5">
        <v>0.4432638888888889</v>
      </c>
      <c r="F685">
        <v>1</v>
      </c>
      <c r="G685" t="s">
        <v>82</v>
      </c>
      <c r="H685">
        <v>6.5</v>
      </c>
      <c r="M685" t="s">
        <v>76</v>
      </c>
      <c r="N685" t="s">
        <v>72</v>
      </c>
    </row>
    <row r="686" spans="1:20" x14ac:dyDescent="0.25">
      <c r="A686" t="s">
        <v>658</v>
      </c>
      <c r="B686" s="4" t="s">
        <v>10</v>
      </c>
      <c r="C686" s="4" t="s">
        <v>70</v>
      </c>
      <c r="D686" s="4">
        <v>46139</v>
      </c>
      <c r="E686" s="5">
        <v>0.44368055555555552</v>
      </c>
      <c r="F686">
        <v>1</v>
      </c>
      <c r="G686" t="s">
        <v>82</v>
      </c>
      <c r="H686">
        <v>1</v>
      </c>
      <c r="L686" t="s">
        <v>659</v>
      </c>
      <c r="M686" t="s">
        <v>71</v>
      </c>
      <c r="N686" t="s">
        <v>75</v>
      </c>
      <c r="O686">
        <v>1</v>
      </c>
      <c r="S686">
        <v>1</v>
      </c>
      <c r="T686">
        <v>88.083333333333329</v>
      </c>
    </row>
    <row r="687" spans="1:20" x14ac:dyDescent="0.25">
      <c r="A687" t="s">
        <v>659</v>
      </c>
      <c r="B687" s="4" t="s">
        <v>10</v>
      </c>
      <c r="C687" s="4" t="s">
        <v>73</v>
      </c>
      <c r="D687" s="4">
        <v>46139</v>
      </c>
      <c r="E687" s="5">
        <v>0.44368055555555552</v>
      </c>
      <c r="F687">
        <v>1</v>
      </c>
      <c r="G687" t="s">
        <v>82</v>
      </c>
      <c r="H687">
        <v>88.416666666666671</v>
      </c>
      <c r="M687" t="s">
        <v>79</v>
      </c>
      <c r="N687" t="s">
        <v>75</v>
      </c>
    </row>
    <row r="688" spans="1:20" x14ac:dyDescent="0.25">
      <c r="A688" t="s">
        <v>659</v>
      </c>
      <c r="B688" s="4" t="s">
        <v>10</v>
      </c>
      <c r="C688" s="4" t="s">
        <v>73</v>
      </c>
      <c r="D688" s="4">
        <v>46139</v>
      </c>
      <c r="E688" s="5">
        <v>0.44368055555555552</v>
      </c>
      <c r="F688">
        <v>1</v>
      </c>
      <c r="G688" t="s">
        <v>82</v>
      </c>
      <c r="H688">
        <v>88.333333333333329</v>
      </c>
      <c r="M688" t="s">
        <v>79</v>
      </c>
      <c r="N688" t="s">
        <v>75</v>
      </c>
    </row>
    <row r="689" spans="1:21" x14ac:dyDescent="0.25">
      <c r="A689" t="s">
        <v>659</v>
      </c>
      <c r="B689" s="4" t="s">
        <v>10</v>
      </c>
      <c r="C689" s="4" t="s">
        <v>73</v>
      </c>
      <c r="D689" s="4">
        <v>46139</v>
      </c>
      <c r="E689" s="5">
        <v>0.44414351851851852</v>
      </c>
      <c r="F689">
        <v>1</v>
      </c>
      <c r="G689" t="s">
        <v>82</v>
      </c>
      <c r="H689">
        <v>88.083333333333329</v>
      </c>
      <c r="M689" t="s">
        <v>76</v>
      </c>
      <c r="N689" t="s">
        <v>75</v>
      </c>
    </row>
    <row r="690" spans="1:21" x14ac:dyDescent="0.25">
      <c r="A690" t="s">
        <v>660</v>
      </c>
      <c r="B690" s="4" t="s">
        <v>10</v>
      </c>
      <c r="C690" s="4" t="s">
        <v>70</v>
      </c>
      <c r="D690" s="4">
        <v>46139</v>
      </c>
      <c r="E690" s="5">
        <v>0.44498842592592591</v>
      </c>
      <c r="F690">
        <v>1</v>
      </c>
      <c r="G690" t="s">
        <v>82</v>
      </c>
      <c r="H690">
        <v>26</v>
      </c>
      <c r="L690" t="s">
        <v>661</v>
      </c>
      <c r="M690" t="s">
        <v>71</v>
      </c>
      <c r="N690" t="s">
        <v>75</v>
      </c>
      <c r="O690">
        <v>1</v>
      </c>
      <c r="Q690">
        <v>1</v>
      </c>
      <c r="S690">
        <v>1</v>
      </c>
      <c r="U690">
        <v>0.16666666666666666</v>
      </c>
    </row>
    <row r="691" spans="1:21" x14ac:dyDescent="0.25">
      <c r="A691" t="s">
        <v>661</v>
      </c>
      <c r="B691" s="4" t="s">
        <v>10</v>
      </c>
      <c r="C691" s="4" t="s">
        <v>73</v>
      </c>
      <c r="D691" s="4">
        <v>46139</v>
      </c>
      <c r="E691" s="5">
        <v>0.44499999999999995</v>
      </c>
      <c r="F691">
        <v>1</v>
      </c>
      <c r="G691" t="s">
        <v>82</v>
      </c>
      <c r="H691">
        <v>0.16666666666666666</v>
      </c>
      <c r="M691" t="s">
        <v>79</v>
      </c>
      <c r="N691" t="s">
        <v>75</v>
      </c>
    </row>
    <row r="692" spans="1:21" x14ac:dyDescent="0.25">
      <c r="A692" t="s">
        <v>661</v>
      </c>
      <c r="B692" s="4" t="s">
        <v>10</v>
      </c>
      <c r="C692" s="4" t="s">
        <v>73</v>
      </c>
      <c r="D692" s="4">
        <v>46139</v>
      </c>
      <c r="E692" s="5">
        <v>0.44499999999999995</v>
      </c>
      <c r="F692">
        <v>1</v>
      </c>
      <c r="G692" t="s">
        <v>82</v>
      </c>
      <c r="H692">
        <v>0</v>
      </c>
      <c r="M692" t="s">
        <v>79</v>
      </c>
      <c r="N692" t="s">
        <v>75</v>
      </c>
    </row>
    <row r="693" spans="1:21" x14ac:dyDescent="0.25">
      <c r="A693" t="s">
        <v>663</v>
      </c>
      <c r="B693" s="4" t="s">
        <v>10</v>
      </c>
      <c r="C693" s="4" t="s">
        <v>70</v>
      </c>
      <c r="D693" s="4">
        <v>46139</v>
      </c>
      <c r="E693" s="5">
        <v>0.44564814814814813</v>
      </c>
      <c r="F693">
        <v>1</v>
      </c>
      <c r="G693" t="s">
        <v>82</v>
      </c>
      <c r="H693">
        <v>56.5</v>
      </c>
      <c r="L693" t="s">
        <v>664</v>
      </c>
      <c r="M693" t="s">
        <v>71</v>
      </c>
      <c r="N693" t="s">
        <v>75</v>
      </c>
      <c r="O693">
        <v>1</v>
      </c>
      <c r="S693">
        <v>1</v>
      </c>
      <c r="T693">
        <v>243.41666666666666</v>
      </c>
    </row>
    <row r="694" spans="1:21" x14ac:dyDescent="0.25">
      <c r="A694" t="s">
        <v>664</v>
      </c>
      <c r="B694" s="4" t="s">
        <v>10</v>
      </c>
      <c r="C694" s="4" t="s">
        <v>73</v>
      </c>
      <c r="D694" s="4">
        <v>46139</v>
      </c>
      <c r="E694" s="5">
        <v>0.44564814814814813</v>
      </c>
      <c r="F694">
        <v>1</v>
      </c>
      <c r="G694" t="s">
        <v>82</v>
      </c>
      <c r="H694">
        <v>243.5</v>
      </c>
      <c r="M694" t="s">
        <v>79</v>
      </c>
      <c r="N694" t="s">
        <v>75</v>
      </c>
    </row>
    <row r="695" spans="1:21" x14ac:dyDescent="0.25">
      <c r="A695" t="s">
        <v>664</v>
      </c>
      <c r="B695" s="4" t="s">
        <v>10</v>
      </c>
      <c r="C695" s="4" t="s">
        <v>73</v>
      </c>
      <c r="D695" s="4">
        <v>46139</v>
      </c>
      <c r="E695" s="5">
        <v>0.44564814814814813</v>
      </c>
      <c r="F695">
        <v>1</v>
      </c>
      <c r="G695" t="s">
        <v>82</v>
      </c>
      <c r="H695">
        <v>243.41666666666666</v>
      </c>
      <c r="M695" t="s">
        <v>79</v>
      </c>
      <c r="N695" t="s">
        <v>75</v>
      </c>
    </row>
    <row r="696" spans="1:21" x14ac:dyDescent="0.25">
      <c r="A696" t="s">
        <v>664</v>
      </c>
      <c r="B696" s="4" t="s">
        <v>10</v>
      </c>
      <c r="C696" s="4" t="s">
        <v>73</v>
      </c>
      <c r="D696" s="4">
        <v>46139</v>
      </c>
      <c r="E696" s="5">
        <v>0.44575231481481481</v>
      </c>
      <c r="F696">
        <v>1</v>
      </c>
      <c r="G696" t="s">
        <v>82</v>
      </c>
      <c r="H696">
        <v>243.41666666666666</v>
      </c>
      <c r="M696" t="s">
        <v>76</v>
      </c>
      <c r="N696" t="s">
        <v>75</v>
      </c>
    </row>
    <row r="697" spans="1:21" x14ac:dyDescent="0.25">
      <c r="A697" t="s">
        <v>665</v>
      </c>
      <c r="B697" s="4" t="s">
        <v>10</v>
      </c>
      <c r="C697" s="4" t="s">
        <v>70</v>
      </c>
      <c r="D697" s="4">
        <v>46139</v>
      </c>
      <c r="E697" s="5">
        <v>0.44656249999999997</v>
      </c>
      <c r="F697">
        <v>1</v>
      </c>
      <c r="G697" t="s">
        <v>82</v>
      </c>
      <c r="H697">
        <v>44.5</v>
      </c>
      <c r="L697" t="s">
        <v>666</v>
      </c>
      <c r="M697" t="s">
        <v>71</v>
      </c>
      <c r="N697" t="s">
        <v>77</v>
      </c>
      <c r="O697">
        <v>1</v>
      </c>
      <c r="R697">
        <v>1</v>
      </c>
      <c r="S697">
        <v>1</v>
      </c>
      <c r="T697">
        <v>7</v>
      </c>
    </row>
    <row r="698" spans="1:21" x14ac:dyDescent="0.25">
      <c r="A698" t="s">
        <v>666</v>
      </c>
      <c r="B698" s="4" t="s">
        <v>10</v>
      </c>
      <c r="C698" s="4" t="s">
        <v>73</v>
      </c>
      <c r="D698" s="4">
        <v>46139</v>
      </c>
      <c r="E698" s="5">
        <v>0.44656249999999997</v>
      </c>
      <c r="F698">
        <v>1</v>
      </c>
      <c r="G698" t="s">
        <v>82</v>
      </c>
      <c r="H698">
        <v>7.4166666666666661</v>
      </c>
      <c r="M698" t="s">
        <v>79</v>
      </c>
      <c r="N698" t="s">
        <v>77</v>
      </c>
    </row>
    <row r="699" spans="1:21" x14ac:dyDescent="0.25">
      <c r="A699" t="s">
        <v>666</v>
      </c>
      <c r="B699" s="4" t="s">
        <v>10</v>
      </c>
      <c r="C699" s="4" t="s">
        <v>73</v>
      </c>
      <c r="D699" s="4">
        <v>46139</v>
      </c>
      <c r="E699" s="5">
        <v>0.44656249999999997</v>
      </c>
      <c r="F699">
        <v>1</v>
      </c>
      <c r="G699" t="s">
        <v>82</v>
      </c>
      <c r="H699">
        <v>7.333333333333333</v>
      </c>
      <c r="M699" t="s">
        <v>79</v>
      </c>
      <c r="N699" t="s">
        <v>77</v>
      </c>
    </row>
    <row r="700" spans="1:21" x14ac:dyDescent="0.25">
      <c r="A700" t="s">
        <v>666</v>
      </c>
      <c r="B700" s="4" t="s">
        <v>10</v>
      </c>
      <c r="C700" s="4" t="s">
        <v>73</v>
      </c>
      <c r="D700" s="4">
        <v>46139</v>
      </c>
      <c r="E700" s="5">
        <v>0.44678240740740738</v>
      </c>
      <c r="F700">
        <v>1</v>
      </c>
      <c r="G700" t="s">
        <v>82</v>
      </c>
      <c r="H700">
        <v>7</v>
      </c>
      <c r="M700" t="s">
        <v>76</v>
      </c>
      <c r="N700" t="s">
        <v>77</v>
      </c>
    </row>
    <row r="701" spans="1:21" x14ac:dyDescent="0.25">
      <c r="A701" t="s">
        <v>667</v>
      </c>
      <c r="B701" s="4" t="s">
        <v>10</v>
      </c>
      <c r="C701" s="4" t="s">
        <v>70</v>
      </c>
      <c r="D701" s="4">
        <v>46139</v>
      </c>
      <c r="E701" s="5">
        <v>0.44740740740740736</v>
      </c>
      <c r="F701">
        <v>1</v>
      </c>
      <c r="G701" t="s">
        <v>82</v>
      </c>
      <c r="H701">
        <v>75</v>
      </c>
      <c r="L701" t="s">
        <v>668</v>
      </c>
      <c r="M701" t="s">
        <v>71</v>
      </c>
      <c r="N701" t="s">
        <v>78</v>
      </c>
      <c r="O701">
        <v>1</v>
      </c>
      <c r="S701">
        <v>1</v>
      </c>
      <c r="T701">
        <v>226.16666666666666</v>
      </c>
    </row>
    <row r="702" spans="1:21" x14ac:dyDescent="0.25">
      <c r="A702" t="s">
        <v>668</v>
      </c>
      <c r="B702" s="4" t="s">
        <v>10</v>
      </c>
      <c r="C702" s="4" t="s">
        <v>73</v>
      </c>
      <c r="D702" s="4">
        <v>46139</v>
      </c>
      <c r="E702" s="5">
        <v>0.44740740740740736</v>
      </c>
      <c r="F702">
        <v>1</v>
      </c>
      <c r="G702" t="s">
        <v>82</v>
      </c>
      <c r="H702">
        <v>226.25</v>
      </c>
      <c r="M702" t="s">
        <v>79</v>
      </c>
      <c r="N702" t="s">
        <v>78</v>
      </c>
    </row>
    <row r="703" spans="1:21" x14ac:dyDescent="0.25">
      <c r="A703" t="s">
        <v>668</v>
      </c>
      <c r="B703" s="4" t="s">
        <v>10</v>
      </c>
      <c r="C703" s="4" t="s">
        <v>73</v>
      </c>
      <c r="D703" s="4">
        <v>46139</v>
      </c>
      <c r="E703" s="5">
        <v>0.44740740740740736</v>
      </c>
      <c r="F703">
        <v>1</v>
      </c>
      <c r="G703" t="s">
        <v>82</v>
      </c>
      <c r="H703">
        <v>226.16666666666666</v>
      </c>
      <c r="M703" t="s">
        <v>79</v>
      </c>
      <c r="N703" t="s">
        <v>78</v>
      </c>
    </row>
    <row r="704" spans="1:21" x14ac:dyDescent="0.25">
      <c r="A704" t="s">
        <v>668</v>
      </c>
      <c r="B704" s="4" t="s">
        <v>10</v>
      </c>
      <c r="C704" s="4" t="s">
        <v>73</v>
      </c>
      <c r="D704" s="4">
        <v>46139</v>
      </c>
      <c r="E704" s="5">
        <v>0.44748842592592591</v>
      </c>
      <c r="F704">
        <v>1</v>
      </c>
      <c r="G704" t="s">
        <v>82</v>
      </c>
      <c r="H704">
        <v>226.16666666666666</v>
      </c>
      <c r="M704" t="s">
        <v>76</v>
      </c>
      <c r="N704" t="s">
        <v>78</v>
      </c>
    </row>
    <row r="705" spans="1:20" x14ac:dyDescent="0.25">
      <c r="A705" t="s">
        <v>671</v>
      </c>
      <c r="B705" s="4" t="s">
        <v>10</v>
      </c>
      <c r="C705" s="4" t="s">
        <v>70</v>
      </c>
      <c r="D705" s="4">
        <v>46139</v>
      </c>
      <c r="E705" s="5">
        <v>0.44807870370370373</v>
      </c>
      <c r="F705">
        <v>1</v>
      </c>
      <c r="G705" t="s">
        <v>82</v>
      </c>
      <c r="H705">
        <v>79</v>
      </c>
      <c r="L705" t="s">
        <v>672</v>
      </c>
      <c r="M705" t="s">
        <v>71</v>
      </c>
      <c r="N705" t="s">
        <v>72</v>
      </c>
      <c r="O705">
        <v>1</v>
      </c>
    </row>
    <row r="706" spans="1:20" x14ac:dyDescent="0.25">
      <c r="A706" t="s">
        <v>672</v>
      </c>
      <c r="B706" s="4" t="s">
        <v>10</v>
      </c>
      <c r="C706" s="4" t="s">
        <v>73</v>
      </c>
      <c r="D706" s="4">
        <v>46139</v>
      </c>
      <c r="E706" s="5">
        <v>0.44807870370370373</v>
      </c>
      <c r="F706">
        <v>1</v>
      </c>
      <c r="G706" t="s">
        <v>82</v>
      </c>
      <c r="H706">
        <v>142.16666666666666</v>
      </c>
      <c r="M706" t="s">
        <v>79</v>
      </c>
      <c r="N706" t="s">
        <v>72</v>
      </c>
    </row>
    <row r="707" spans="1:20" x14ac:dyDescent="0.25">
      <c r="A707" t="s">
        <v>672</v>
      </c>
      <c r="B707" s="4" t="s">
        <v>10</v>
      </c>
      <c r="C707" s="4" t="s">
        <v>73</v>
      </c>
      <c r="D707" s="4">
        <v>46139</v>
      </c>
      <c r="E707" s="5">
        <v>0.44807870370370373</v>
      </c>
      <c r="F707">
        <v>1</v>
      </c>
      <c r="G707" t="s">
        <v>82</v>
      </c>
      <c r="H707">
        <v>142.08333333333334</v>
      </c>
      <c r="M707" t="s">
        <v>79</v>
      </c>
      <c r="N707" t="s">
        <v>72</v>
      </c>
    </row>
    <row r="708" spans="1:20" x14ac:dyDescent="0.25">
      <c r="A708" t="s">
        <v>673</v>
      </c>
      <c r="B708" s="4" t="s">
        <v>10</v>
      </c>
      <c r="C708" s="4" t="s">
        <v>70</v>
      </c>
      <c r="D708" s="4">
        <v>46139</v>
      </c>
      <c r="E708" s="5">
        <v>0.44855324074074071</v>
      </c>
      <c r="F708">
        <v>1</v>
      </c>
      <c r="G708" t="s">
        <v>82</v>
      </c>
      <c r="H708">
        <v>118</v>
      </c>
      <c r="L708" t="s">
        <v>672</v>
      </c>
      <c r="M708" t="s">
        <v>71</v>
      </c>
      <c r="N708" t="s">
        <v>72</v>
      </c>
      <c r="P708">
        <v>1</v>
      </c>
      <c r="R708">
        <v>1</v>
      </c>
      <c r="S708">
        <v>1</v>
      </c>
      <c r="T708">
        <v>22.666666666666664</v>
      </c>
    </row>
    <row r="709" spans="1:20" x14ac:dyDescent="0.25">
      <c r="A709" t="s">
        <v>672</v>
      </c>
      <c r="B709" s="4" t="s">
        <v>10</v>
      </c>
      <c r="C709" s="4" t="s">
        <v>73</v>
      </c>
      <c r="D709" s="4">
        <v>46139</v>
      </c>
      <c r="E709" s="5">
        <v>0.44855324074074071</v>
      </c>
      <c r="F709">
        <v>1</v>
      </c>
      <c r="G709" t="s">
        <v>82</v>
      </c>
      <c r="H709">
        <v>24.083333333333332</v>
      </c>
      <c r="M709" t="s">
        <v>79</v>
      </c>
      <c r="N709" t="s">
        <v>72</v>
      </c>
    </row>
    <row r="710" spans="1:20" x14ac:dyDescent="0.25">
      <c r="A710" t="s">
        <v>672</v>
      </c>
      <c r="B710" s="4" t="s">
        <v>10</v>
      </c>
      <c r="C710" s="4" t="s">
        <v>73</v>
      </c>
      <c r="D710" s="4">
        <v>46139</v>
      </c>
      <c r="E710" s="5">
        <v>0.44855324074074071</v>
      </c>
      <c r="F710">
        <v>1</v>
      </c>
      <c r="G710" t="s">
        <v>82</v>
      </c>
      <c r="H710">
        <v>24</v>
      </c>
      <c r="M710" t="s">
        <v>79</v>
      </c>
      <c r="N710" t="s">
        <v>72</v>
      </c>
    </row>
    <row r="711" spans="1:20" x14ac:dyDescent="0.25">
      <c r="A711" t="s">
        <v>672</v>
      </c>
      <c r="B711" s="4" t="s">
        <v>10</v>
      </c>
      <c r="C711" s="4" t="s">
        <v>73</v>
      </c>
      <c r="D711" s="4">
        <v>46139</v>
      </c>
      <c r="E711" s="5">
        <v>0.4487962962962963</v>
      </c>
      <c r="F711">
        <v>1</v>
      </c>
      <c r="G711" t="s">
        <v>82</v>
      </c>
      <c r="H711">
        <v>22.666666666666664</v>
      </c>
      <c r="M711" t="s">
        <v>76</v>
      </c>
      <c r="N711" t="s">
        <v>72</v>
      </c>
    </row>
    <row r="712" spans="1:20" x14ac:dyDescent="0.25">
      <c r="A712" t="s">
        <v>679</v>
      </c>
      <c r="B712" s="4" t="s">
        <v>10</v>
      </c>
      <c r="C712" s="4" t="s">
        <v>70</v>
      </c>
      <c r="D712" s="4">
        <v>46139</v>
      </c>
      <c r="E712" s="5">
        <v>0.44939814814814816</v>
      </c>
      <c r="F712">
        <v>1</v>
      </c>
      <c r="G712" t="s">
        <v>82</v>
      </c>
      <c r="H712">
        <v>35</v>
      </c>
      <c r="L712" t="s">
        <v>680</v>
      </c>
      <c r="M712" t="s">
        <v>71</v>
      </c>
      <c r="N712" t="s">
        <v>80</v>
      </c>
      <c r="O712">
        <v>1</v>
      </c>
      <c r="R712">
        <v>1</v>
      </c>
      <c r="S712">
        <v>1</v>
      </c>
      <c r="T712">
        <v>27.666666666666664</v>
      </c>
    </row>
    <row r="713" spans="1:20" x14ac:dyDescent="0.25">
      <c r="A713" t="s">
        <v>680</v>
      </c>
      <c r="B713" s="4" t="s">
        <v>10</v>
      </c>
      <c r="C713" s="4" t="s">
        <v>73</v>
      </c>
      <c r="D713" s="4">
        <v>46139</v>
      </c>
      <c r="E713" s="5">
        <v>0.44939814814814816</v>
      </c>
      <c r="F713">
        <v>1</v>
      </c>
      <c r="G713" t="s">
        <v>82</v>
      </c>
      <c r="H713">
        <v>27.666666666666664</v>
      </c>
      <c r="M713" t="s">
        <v>74</v>
      </c>
      <c r="N713" t="s">
        <v>80</v>
      </c>
    </row>
    <row r="714" spans="1:20" x14ac:dyDescent="0.25">
      <c r="A714" t="s">
        <v>680</v>
      </c>
      <c r="B714" s="4" t="s">
        <v>10</v>
      </c>
      <c r="C714" s="4" t="s">
        <v>73</v>
      </c>
      <c r="D714" s="4">
        <v>46139</v>
      </c>
      <c r="E714" s="5">
        <v>0.44939814814814816</v>
      </c>
      <c r="F714">
        <v>1</v>
      </c>
      <c r="G714" t="s">
        <v>82</v>
      </c>
      <c r="H714">
        <v>27.583333333333332</v>
      </c>
      <c r="M714" t="s">
        <v>74</v>
      </c>
      <c r="N714" t="s">
        <v>80</v>
      </c>
    </row>
    <row r="715" spans="1:20" x14ac:dyDescent="0.25">
      <c r="A715" t="s">
        <v>680</v>
      </c>
      <c r="B715" s="4" t="s">
        <v>10</v>
      </c>
      <c r="C715" s="4" t="s">
        <v>73</v>
      </c>
      <c r="D715" s="4">
        <v>46139</v>
      </c>
      <c r="E715" s="5">
        <v>0.4497106481481481</v>
      </c>
      <c r="F715">
        <v>1</v>
      </c>
      <c r="G715" t="s">
        <v>82</v>
      </c>
      <c r="H715">
        <v>27.666666666666664</v>
      </c>
      <c r="M715" t="s">
        <v>76</v>
      </c>
      <c r="N715" t="s">
        <v>80</v>
      </c>
    </row>
    <row r="716" spans="1:20" x14ac:dyDescent="0.25">
      <c r="A716" t="s">
        <v>683</v>
      </c>
      <c r="B716" s="4" t="s">
        <v>10</v>
      </c>
      <c r="C716" s="4" t="s">
        <v>70</v>
      </c>
      <c r="D716" s="4">
        <v>46139</v>
      </c>
      <c r="E716" s="5">
        <v>0.45050925925925922</v>
      </c>
      <c r="F716">
        <v>1</v>
      </c>
      <c r="G716" t="s">
        <v>82</v>
      </c>
      <c r="H716">
        <v>14</v>
      </c>
      <c r="L716" t="s">
        <v>684</v>
      </c>
      <c r="M716" t="s">
        <v>71</v>
      </c>
      <c r="N716" t="s">
        <v>72</v>
      </c>
      <c r="O716">
        <v>1</v>
      </c>
    </row>
    <row r="717" spans="1:20" x14ac:dyDescent="0.25">
      <c r="A717" t="s">
        <v>684</v>
      </c>
      <c r="B717" s="4" t="s">
        <v>10</v>
      </c>
      <c r="C717" s="4" t="s">
        <v>73</v>
      </c>
      <c r="D717" s="4">
        <v>46139</v>
      </c>
      <c r="E717" s="5">
        <v>0.45050925925925922</v>
      </c>
      <c r="F717">
        <v>1</v>
      </c>
      <c r="G717" t="s">
        <v>82</v>
      </c>
      <c r="H717">
        <v>200.25</v>
      </c>
      <c r="M717" t="s">
        <v>74</v>
      </c>
      <c r="N717" t="s">
        <v>72</v>
      </c>
    </row>
    <row r="718" spans="1:20" x14ac:dyDescent="0.25">
      <c r="A718" t="s">
        <v>684</v>
      </c>
      <c r="B718" s="4" t="s">
        <v>10</v>
      </c>
      <c r="C718" s="4" t="s">
        <v>73</v>
      </c>
      <c r="D718" s="4">
        <v>46139</v>
      </c>
      <c r="E718" s="5">
        <v>0.45050925925925922</v>
      </c>
      <c r="F718">
        <v>1</v>
      </c>
      <c r="G718" t="s">
        <v>82</v>
      </c>
      <c r="H718">
        <v>200.16666666666663</v>
      </c>
      <c r="M718" t="s">
        <v>74</v>
      </c>
      <c r="N718" t="s">
        <v>72</v>
      </c>
    </row>
    <row r="719" spans="1:20" x14ac:dyDescent="0.25">
      <c r="A719" t="s">
        <v>685</v>
      </c>
      <c r="B719" s="4" t="s">
        <v>10</v>
      </c>
      <c r="C719" s="4" t="s">
        <v>70</v>
      </c>
      <c r="D719" s="4">
        <v>46139</v>
      </c>
      <c r="E719" s="5">
        <v>0.45107638888888885</v>
      </c>
      <c r="F719">
        <v>1</v>
      </c>
      <c r="G719" t="s">
        <v>82</v>
      </c>
      <c r="H719">
        <v>150</v>
      </c>
      <c r="L719" t="s">
        <v>684</v>
      </c>
      <c r="M719" t="s">
        <v>71</v>
      </c>
      <c r="N719" t="s">
        <v>72</v>
      </c>
      <c r="P719">
        <v>1</v>
      </c>
      <c r="S719">
        <v>1</v>
      </c>
      <c r="T719">
        <v>48.916666666666664</v>
      </c>
    </row>
    <row r="720" spans="1:20" x14ac:dyDescent="0.25">
      <c r="A720" t="s">
        <v>684</v>
      </c>
      <c r="B720" s="4" t="s">
        <v>10</v>
      </c>
      <c r="C720" s="4" t="s">
        <v>73</v>
      </c>
      <c r="D720" s="4">
        <v>46139</v>
      </c>
      <c r="E720" s="5">
        <v>0.45107638888888885</v>
      </c>
      <c r="F720">
        <v>1</v>
      </c>
      <c r="G720" t="s">
        <v>82</v>
      </c>
      <c r="H720">
        <v>50.166666666666664</v>
      </c>
      <c r="M720" t="s">
        <v>74</v>
      </c>
      <c r="N720" t="s">
        <v>72</v>
      </c>
    </row>
    <row r="721" spans="1:20" x14ac:dyDescent="0.25">
      <c r="A721" t="s">
        <v>684</v>
      </c>
      <c r="B721" s="4" t="s">
        <v>10</v>
      </c>
      <c r="C721" s="4" t="s">
        <v>73</v>
      </c>
      <c r="D721" s="4">
        <v>46139</v>
      </c>
      <c r="E721" s="5">
        <v>0.45107638888888885</v>
      </c>
      <c r="F721">
        <v>1</v>
      </c>
      <c r="G721" t="s">
        <v>82</v>
      </c>
      <c r="H721">
        <v>50.083333333333336</v>
      </c>
      <c r="M721" t="s">
        <v>74</v>
      </c>
      <c r="N721" t="s">
        <v>72</v>
      </c>
    </row>
    <row r="722" spans="1:20" x14ac:dyDescent="0.25">
      <c r="A722" t="s">
        <v>684</v>
      </c>
      <c r="B722" s="4" t="s">
        <v>10</v>
      </c>
      <c r="C722" s="4" t="s">
        <v>73</v>
      </c>
      <c r="D722" s="4">
        <v>46139</v>
      </c>
      <c r="E722" s="5">
        <v>0.45144675925925926</v>
      </c>
      <c r="F722">
        <v>1</v>
      </c>
      <c r="G722" t="s">
        <v>82</v>
      </c>
      <c r="H722">
        <v>48.916666666666664</v>
      </c>
      <c r="M722" t="s">
        <v>76</v>
      </c>
      <c r="N722" t="s">
        <v>72</v>
      </c>
    </row>
    <row r="723" spans="1:20" x14ac:dyDescent="0.25">
      <c r="A723" t="s">
        <v>686</v>
      </c>
      <c r="B723" s="4" t="s">
        <v>10</v>
      </c>
      <c r="C723" s="4" t="s">
        <v>70</v>
      </c>
      <c r="D723" s="4">
        <v>46139</v>
      </c>
      <c r="E723" s="5">
        <v>0.45200231481481479</v>
      </c>
      <c r="F723">
        <v>1</v>
      </c>
      <c r="G723" t="s">
        <v>82</v>
      </c>
      <c r="H723">
        <v>20.5</v>
      </c>
      <c r="L723" t="s">
        <v>687</v>
      </c>
      <c r="M723" t="s">
        <v>71</v>
      </c>
      <c r="N723" t="s">
        <v>77</v>
      </c>
      <c r="O723">
        <v>1</v>
      </c>
    </row>
    <row r="724" spans="1:20" x14ac:dyDescent="0.25">
      <c r="A724" t="s">
        <v>687</v>
      </c>
      <c r="B724" s="4" t="s">
        <v>10</v>
      </c>
      <c r="C724" s="4" t="s">
        <v>73</v>
      </c>
      <c r="D724" s="4">
        <v>46139</v>
      </c>
      <c r="E724" s="5">
        <v>0.45200231481481479</v>
      </c>
      <c r="F724">
        <v>1</v>
      </c>
      <c r="G724" t="s">
        <v>82</v>
      </c>
      <c r="H724">
        <v>58.25</v>
      </c>
      <c r="M724" t="s">
        <v>74</v>
      </c>
      <c r="N724" t="s">
        <v>77</v>
      </c>
    </row>
    <row r="725" spans="1:20" x14ac:dyDescent="0.25">
      <c r="A725" t="s">
        <v>687</v>
      </c>
      <c r="B725" s="4" t="s">
        <v>10</v>
      </c>
      <c r="C725" s="4" t="s">
        <v>73</v>
      </c>
      <c r="D725" s="4">
        <v>46139</v>
      </c>
      <c r="E725" s="5">
        <v>0.45200231481481479</v>
      </c>
      <c r="F725">
        <v>1</v>
      </c>
      <c r="G725" t="s">
        <v>82</v>
      </c>
      <c r="H725">
        <v>58.166666666666671</v>
      </c>
      <c r="M725" t="s">
        <v>74</v>
      </c>
      <c r="N725" t="s">
        <v>77</v>
      </c>
    </row>
    <row r="726" spans="1:20" x14ac:dyDescent="0.25">
      <c r="A726" t="s">
        <v>688</v>
      </c>
      <c r="B726" s="4" t="s">
        <v>10</v>
      </c>
      <c r="C726" s="4" t="s">
        <v>70</v>
      </c>
      <c r="D726" s="4">
        <v>46139</v>
      </c>
      <c r="E726" s="5">
        <v>0.45234953703703706</v>
      </c>
      <c r="F726">
        <v>1</v>
      </c>
      <c r="G726" t="s">
        <v>82</v>
      </c>
      <c r="H726">
        <v>21</v>
      </c>
      <c r="L726" t="s">
        <v>687</v>
      </c>
      <c r="M726" t="s">
        <v>71</v>
      </c>
      <c r="N726" t="s">
        <v>77</v>
      </c>
      <c r="P726">
        <v>1</v>
      </c>
    </row>
    <row r="727" spans="1:20" x14ac:dyDescent="0.25">
      <c r="A727" t="s">
        <v>687</v>
      </c>
      <c r="B727" s="4" t="s">
        <v>10</v>
      </c>
      <c r="C727" s="4" t="s">
        <v>73</v>
      </c>
      <c r="D727" s="4">
        <v>46139</v>
      </c>
      <c r="E727" s="5">
        <v>0.45234953703703706</v>
      </c>
      <c r="F727">
        <v>1</v>
      </c>
      <c r="G727" t="s">
        <v>82</v>
      </c>
      <c r="H727">
        <v>37.166666666666664</v>
      </c>
      <c r="M727" t="s">
        <v>74</v>
      </c>
      <c r="N727" t="s">
        <v>77</v>
      </c>
    </row>
    <row r="728" spans="1:20" x14ac:dyDescent="0.25">
      <c r="A728" t="s">
        <v>687</v>
      </c>
      <c r="B728" s="4" t="s">
        <v>10</v>
      </c>
      <c r="C728" s="4" t="s">
        <v>73</v>
      </c>
      <c r="D728" s="4">
        <v>46139</v>
      </c>
      <c r="E728" s="5">
        <v>0.45234953703703706</v>
      </c>
      <c r="F728">
        <v>1</v>
      </c>
      <c r="G728" t="s">
        <v>82</v>
      </c>
      <c r="H728">
        <v>37.083333333333336</v>
      </c>
      <c r="M728" t="s">
        <v>74</v>
      </c>
      <c r="N728" t="s">
        <v>77</v>
      </c>
    </row>
    <row r="729" spans="1:20" x14ac:dyDescent="0.25">
      <c r="A729" t="s">
        <v>689</v>
      </c>
      <c r="B729" s="4" t="s">
        <v>10</v>
      </c>
      <c r="C729" s="4" t="s">
        <v>70</v>
      </c>
      <c r="D729" s="4">
        <v>46139</v>
      </c>
      <c r="E729" s="5">
        <v>0.45248842592592592</v>
      </c>
      <c r="F729">
        <v>1</v>
      </c>
      <c r="G729" t="s">
        <v>82</v>
      </c>
      <c r="H729">
        <v>10.5</v>
      </c>
      <c r="L729" t="s">
        <v>687</v>
      </c>
      <c r="M729" t="s">
        <v>71</v>
      </c>
      <c r="N729" t="s">
        <v>77</v>
      </c>
      <c r="P729">
        <v>1</v>
      </c>
    </row>
    <row r="730" spans="1:20" x14ac:dyDescent="0.25">
      <c r="A730" t="s">
        <v>687</v>
      </c>
      <c r="B730" s="4" t="s">
        <v>10</v>
      </c>
      <c r="C730" s="4" t="s">
        <v>73</v>
      </c>
      <c r="D730" s="4">
        <v>46139</v>
      </c>
      <c r="E730" s="5">
        <v>0.45248842592592592</v>
      </c>
      <c r="F730">
        <v>1</v>
      </c>
      <c r="G730" t="s">
        <v>82</v>
      </c>
      <c r="H730">
        <v>26.583333333333329</v>
      </c>
      <c r="M730" t="s">
        <v>74</v>
      </c>
      <c r="N730" t="s">
        <v>77</v>
      </c>
    </row>
    <row r="731" spans="1:20" x14ac:dyDescent="0.25">
      <c r="A731" t="s">
        <v>687</v>
      </c>
      <c r="B731" s="4" t="s">
        <v>10</v>
      </c>
      <c r="C731" s="4" t="s">
        <v>73</v>
      </c>
      <c r="D731" s="4">
        <v>46139</v>
      </c>
      <c r="E731" s="5">
        <v>0.45248842592592592</v>
      </c>
      <c r="F731">
        <v>1</v>
      </c>
      <c r="G731" t="s">
        <v>82</v>
      </c>
      <c r="H731">
        <v>26.5</v>
      </c>
      <c r="M731" t="s">
        <v>74</v>
      </c>
      <c r="N731" t="s">
        <v>77</v>
      </c>
    </row>
    <row r="732" spans="1:20" x14ac:dyDescent="0.25">
      <c r="A732" t="s">
        <v>692</v>
      </c>
      <c r="B732" s="4" t="s">
        <v>10</v>
      </c>
      <c r="C732" s="4" t="s">
        <v>70</v>
      </c>
      <c r="D732" s="4">
        <v>46139</v>
      </c>
      <c r="E732" s="5">
        <v>0.4529050925925926</v>
      </c>
      <c r="F732">
        <v>1</v>
      </c>
      <c r="G732" t="s">
        <v>82</v>
      </c>
      <c r="H732">
        <v>13</v>
      </c>
      <c r="L732" t="s">
        <v>687</v>
      </c>
      <c r="M732" t="s">
        <v>71</v>
      </c>
      <c r="N732" t="s">
        <v>77</v>
      </c>
      <c r="P732">
        <v>1</v>
      </c>
      <c r="R732">
        <v>1</v>
      </c>
      <c r="S732">
        <v>1</v>
      </c>
      <c r="T732">
        <v>11.083333333333334</v>
      </c>
    </row>
    <row r="733" spans="1:20" x14ac:dyDescent="0.25">
      <c r="A733" t="s">
        <v>687</v>
      </c>
      <c r="B733" s="4" t="s">
        <v>10</v>
      </c>
      <c r="C733" s="4" t="s">
        <v>73</v>
      </c>
      <c r="D733" s="4">
        <v>46139</v>
      </c>
      <c r="E733" s="5">
        <v>0.4529050925925926</v>
      </c>
      <c r="F733">
        <v>1</v>
      </c>
      <c r="G733" t="s">
        <v>82</v>
      </c>
      <c r="H733">
        <v>13.5</v>
      </c>
      <c r="M733" t="s">
        <v>74</v>
      </c>
      <c r="N733" t="s">
        <v>77</v>
      </c>
    </row>
    <row r="734" spans="1:20" x14ac:dyDescent="0.25">
      <c r="A734" t="s">
        <v>687</v>
      </c>
      <c r="B734" s="4" t="s">
        <v>10</v>
      </c>
      <c r="C734" s="4" t="s">
        <v>73</v>
      </c>
      <c r="D734" s="4">
        <v>46139</v>
      </c>
      <c r="E734" s="5">
        <v>0.4529050925925926</v>
      </c>
      <c r="F734">
        <v>1</v>
      </c>
      <c r="G734" t="s">
        <v>82</v>
      </c>
      <c r="H734">
        <v>13.416666666666666</v>
      </c>
      <c r="M734" t="s">
        <v>74</v>
      </c>
      <c r="N734" t="s">
        <v>77</v>
      </c>
    </row>
    <row r="735" spans="1:20" x14ac:dyDescent="0.25">
      <c r="A735" t="s">
        <v>687</v>
      </c>
      <c r="B735" s="4" t="s">
        <v>10</v>
      </c>
      <c r="C735" s="4" t="s">
        <v>73</v>
      </c>
      <c r="D735" s="4">
        <v>46139</v>
      </c>
      <c r="E735" s="5">
        <v>0.45310185185185181</v>
      </c>
      <c r="F735">
        <v>1</v>
      </c>
      <c r="G735" t="s">
        <v>82</v>
      </c>
      <c r="H735">
        <v>11.083333333333334</v>
      </c>
      <c r="M735" t="s">
        <v>76</v>
      </c>
      <c r="N735" t="s">
        <v>77</v>
      </c>
    </row>
    <row r="736" spans="1:20" x14ac:dyDescent="0.25">
      <c r="A736" t="s">
        <v>695</v>
      </c>
      <c r="B736" s="4" t="s">
        <v>10</v>
      </c>
      <c r="C736" s="4" t="s">
        <v>70</v>
      </c>
      <c r="D736" s="4">
        <v>46139</v>
      </c>
      <c r="E736" s="5">
        <v>0.45386574074074071</v>
      </c>
      <c r="F736">
        <v>1</v>
      </c>
      <c r="G736" t="s">
        <v>82</v>
      </c>
      <c r="H736">
        <v>40</v>
      </c>
      <c r="L736" t="s">
        <v>696</v>
      </c>
      <c r="M736" t="s">
        <v>71</v>
      </c>
      <c r="N736" t="s">
        <v>72</v>
      </c>
      <c r="O736">
        <v>1</v>
      </c>
      <c r="S736">
        <v>1</v>
      </c>
      <c r="T736">
        <v>46.25</v>
      </c>
    </row>
    <row r="737" spans="1:21" x14ac:dyDescent="0.25">
      <c r="A737" t="s">
        <v>696</v>
      </c>
      <c r="B737" s="4" t="s">
        <v>10</v>
      </c>
      <c r="C737" s="4" t="s">
        <v>73</v>
      </c>
      <c r="D737" s="4">
        <v>46139</v>
      </c>
      <c r="E737" s="5">
        <v>0.45386574074074071</v>
      </c>
      <c r="F737">
        <v>1</v>
      </c>
      <c r="G737" t="s">
        <v>82</v>
      </c>
      <c r="H737">
        <v>47.25</v>
      </c>
      <c r="M737" t="s">
        <v>74</v>
      </c>
      <c r="N737" t="s">
        <v>72</v>
      </c>
    </row>
    <row r="738" spans="1:21" x14ac:dyDescent="0.25">
      <c r="A738" t="s">
        <v>696</v>
      </c>
      <c r="B738" s="4" t="s">
        <v>10</v>
      </c>
      <c r="C738" s="4" t="s">
        <v>73</v>
      </c>
      <c r="D738" s="4">
        <v>46139</v>
      </c>
      <c r="E738" s="5">
        <v>0.45386574074074071</v>
      </c>
      <c r="F738">
        <v>1</v>
      </c>
      <c r="G738" t="s">
        <v>82</v>
      </c>
      <c r="H738">
        <v>47.166666666666664</v>
      </c>
      <c r="M738" t="s">
        <v>74</v>
      </c>
      <c r="N738" t="s">
        <v>72</v>
      </c>
    </row>
    <row r="739" spans="1:21" x14ac:dyDescent="0.25">
      <c r="A739" t="s">
        <v>696</v>
      </c>
      <c r="B739" s="4" t="s">
        <v>10</v>
      </c>
      <c r="C739" s="4" t="s">
        <v>73</v>
      </c>
      <c r="D739" s="4">
        <v>46139</v>
      </c>
      <c r="E739" s="5">
        <v>0.4541087962962963</v>
      </c>
      <c r="F739">
        <v>1</v>
      </c>
      <c r="G739" t="s">
        <v>82</v>
      </c>
      <c r="H739">
        <v>46.25</v>
      </c>
      <c r="M739" t="s">
        <v>76</v>
      </c>
      <c r="N739" t="s">
        <v>72</v>
      </c>
    </row>
    <row r="740" spans="1:21" x14ac:dyDescent="0.25">
      <c r="A740" t="s">
        <v>697</v>
      </c>
      <c r="B740" s="4" t="s">
        <v>10</v>
      </c>
      <c r="C740" s="4" t="s">
        <v>70</v>
      </c>
      <c r="D740" s="4">
        <v>46139</v>
      </c>
      <c r="E740" s="5">
        <v>0.45479166666666665</v>
      </c>
      <c r="F740">
        <v>1</v>
      </c>
      <c r="G740" t="s">
        <v>82</v>
      </c>
      <c r="H740">
        <v>23</v>
      </c>
      <c r="L740" t="s">
        <v>698</v>
      </c>
      <c r="M740" t="s">
        <v>71</v>
      </c>
      <c r="N740" t="s">
        <v>75</v>
      </c>
      <c r="O740">
        <v>1</v>
      </c>
    </row>
    <row r="741" spans="1:21" x14ac:dyDescent="0.25">
      <c r="A741" t="s">
        <v>698</v>
      </c>
      <c r="B741" s="4" t="s">
        <v>10</v>
      </c>
      <c r="C741" s="4" t="s">
        <v>73</v>
      </c>
      <c r="D741" s="4">
        <v>46139</v>
      </c>
      <c r="E741" s="5">
        <v>0.45479166666666665</v>
      </c>
      <c r="F741">
        <v>1</v>
      </c>
      <c r="G741" t="s">
        <v>82</v>
      </c>
      <c r="H741">
        <v>71.75</v>
      </c>
      <c r="M741" t="s">
        <v>74</v>
      </c>
      <c r="N741" t="s">
        <v>75</v>
      </c>
    </row>
    <row r="742" spans="1:21" x14ac:dyDescent="0.25">
      <c r="A742" t="s">
        <v>701</v>
      </c>
      <c r="B742" s="4" t="s">
        <v>10</v>
      </c>
      <c r="C742" s="4" t="s">
        <v>70</v>
      </c>
      <c r="D742" s="4">
        <v>46139</v>
      </c>
      <c r="E742" s="5">
        <v>0.45504629629629628</v>
      </c>
      <c r="F742">
        <v>1</v>
      </c>
      <c r="G742" t="s">
        <v>82</v>
      </c>
      <c r="H742">
        <v>23</v>
      </c>
      <c r="L742" t="s">
        <v>698</v>
      </c>
      <c r="M742" t="s">
        <v>71</v>
      </c>
      <c r="N742" t="s">
        <v>75</v>
      </c>
      <c r="P742">
        <v>1</v>
      </c>
    </row>
    <row r="743" spans="1:21" x14ac:dyDescent="0.25">
      <c r="A743" t="s">
        <v>698</v>
      </c>
      <c r="B743" s="4" t="s">
        <v>10</v>
      </c>
      <c r="C743" s="4" t="s">
        <v>73</v>
      </c>
      <c r="D743" s="4">
        <v>46139</v>
      </c>
      <c r="E743" s="5">
        <v>0.45504629629629628</v>
      </c>
      <c r="F743">
        <v>1</v>
      </c>
      <c r="G743" t="s">
        <v>82</v>
      </c>
      <c r="H743">
        <v>48.75</v>
      </c>
      <c r="M743" t="s">
        <v>74</v>
      </c>
      <c r="N743" t="s">
        <v>75</v>
      </c>
    </row>
    <row r="744" spans="1:21" x14ac:dyDescent="0.25">
      <c r="A744" t="s">
        <v>702</v>
      </c>
      <c r="B744" s="4" t="s">
        <v>10</v>
      </c>
      <c r="C744" s="4" t="s">
        <v>70</v>
      </c>
      <c r="D744" s="4">
        <v>46139</v>
      </c>
      <c r="E744" s="5">
        <v>0.45537037037037037</v>
      </c>
      <c r="F744">
        <v>1</v>
      </c>
      <c r="G744" t="s">
        <v>82</v>
      </c>
      <c r="H744">
        <v>25</v>
      </c>
      <c r="L744" t="s">
        <v>698</v>
      </c>
      <c r="M744" t="s">
        <v>71</v>
      </c>
      <c r="N744" t="s">
        <v>75</v>
      </c>
      <c r="P744">
        <v>1</v>
      </c>
    </row>
    <row r="745" spans="1:21" x14ac:dyDescent="0.25">
      <c r="A745" t="s">
        <v>698</v>
      </c>
      <c r="B745" s="4" t="s">
        <v>10</v>
      </c>
      <c r="C745" s="4" t="s">
        <v>73</v>
      </c>
      <c r="D745" s="4">
        <v>46139</v>
      </c>
      <c r="E745" s="5">
        <v>0.45537037037037037</v>
      </c>
      <c r="F745">
        <v>1</v>
      </c>
      <c r="G745" t="s">
        <v>82</v>
      </c>
      <c r="H745">
        <v>23.75</v>
      </c>
      <c r="M745" t="s">
        <v>74</v>
      </c>
      <c r="N745" t="s">
        <v>75</v>
      </c>
    </row>
    <row r="746" spans="1:21" x14ac:dyDescent="0.25">
      <c r="A746" t="s">
        <v>703</v>
      </c>
      <c r="B746" s="4" t="s">
        <v>10</v>
      </c>
      <c r="C746" s="4" t="s">
        <v>70</v>
      </c>
      <c r="D746" s="4">
        <v>46139</v>
      </c>
      <c r="E746" s="5">
        <v>0.45565972222222217</v>
      </c>
      <c r="F746">
        <v>1</v>
      </c>
      <c r="G746" t="s">
        <v>82</v>
      </c>
      <c r="H746">
        <v>22</v>
      </c>
      <c r="L746" t="s">
        <v>698</v>
      </c>
      <c r="M746" t="s">
        <v>71</v>
      </c>
      <c r="N746" t="s">
        <v>75</v>
      </c>
      <c r="P746">
        <v>1</v>
      </c>
      <c r="Q746">
        <v>1</v>
      </c>
      <c r="S746">
        <v>1</v>
      </c>
      <c r="U746">
        <v>1.75</v>
      </c>
    </row>
    <row r="747" spans="1:21" x14ac:dyDescent="0.25">
      <c r="A747" t="s">
        <v>698</v>
      </c>
      <c r="B747" s="4" t="s">
        <v>10</v>
      </c>
      <c r="C747" s="4" t="s">
        <v>73</v>
      </c>
      <c r="D747" s="4">
        <v>46139</v>
      </c>
      <c r="E747" s="5">
        <v>0.45565972222222217</v>
      </c>
      <c r="F747">
        <v>1</v>
      </c>
      <c r="G747" t="s">
        <v>82</v>
      </c>
      <c r="H747">
        <v>1.75</v>
      </c>
      <c r="M747" t="s">
        <v>74</v>
      </c>
      <c r="N747" t="s">
        <v>75</v>
      </c>
    </row>
    <row r="748" spans="1:21" x14ac:dyDescent="0.25">
      <c r="A748" t="s">
        <v>698</v>
      </c>
      <c r="B748" s="4" t="s">
        <v>10</v>
      </c>
      <c r="C748" s="4" t="s">
        <v>73</v>
      </c>
      <c r="D748" s="4">
        <v>46139</v>
      </c>
      <c r="E748" s="5">
        <v>0.45565972222222217</v>
      </c>
      <c r="F748">
        <v>1</v>
      </c>
      <c r="G748" t="s">
        <v>82</v>
      </c>
      <c r="H748">
        <v>0</v>
      </c>
      <c r="M748" t="s">
        <v>74</v>
      </c>
      <c r="N748" t="s">
        <v>75</v>
      </c>
    </row>
    <row r="749" spans="1:21" x14ac:dyDescent="0.25">
      <c r="A749" t="s">
        <v>704</v>
      </c>
      <c r="B749" s="4" t="s">
        <v>10</v>
      </c>
      <c r="C749" s="4" t="s">
        <v>70</v>
      </c>
      <c r="D749" s="4">
        <v>46139</v>
      </c>
      <c r="E749" s="5">
        <v>0.45638888888888884</v>
      </c>
      <c r="F749">
        <v>1</v>
      </c>
      <c r="G749" t="s">
        <v>82</v>
      </c>
      <c r="H749">
        <v>1</v>
      </c>
      <c r="L749" t="s">
        <v>705</v>
      </c>
      <c r="M749" t="s">
        <v>71</v>
      </c>
      <c r="N749" t="s">
        <v>75</v>
      </c>
      <c r="O749">
        <v>1</v>
      </c>
      <c r="R749">
        <v>1</v>
      </c>
      <c r="S749">
        <v>1</v>
      </c>
      <c r="T749">
        <v>27.666666666666664</v>
      </c>
    </row>
    <row r="750" spans="1:21" x14ac:dyDescent="0.25">
      <c r="A750" t="s">
        <v>705</v>
      </c>
      <c r="B750" s="4" t="s">
        <v>10</v>
      </c>
      <c r="C750" s="4" t="s">
        <v>73</v>
      </c>
      <c r="D750" s="4">
        <v>46139</v>
      </c>
      <c r="E750" s="5">
        <v>0.45638888888888884</v>
      </c>
      <c r="F750">
        <v>1</v>
      </c>
      <c r="G750" t="s">
        <v>82</v>
      </c>
      <c r="H750">
        <v>26.583333333333329</v>
      </c>
      <c r="M750" t="s">
        <v>74</v>
      </c>
      <c r="N750" t="s">
        <v>75</v>
      </c>
    </row>
    <row r="751" spans="1:21" x14ac:dyDescent="0.25">
      <c r="A751" t="s">
        <v>705</v>
      </c>
      <c r="B751" s="4" t="s">
        <v>10</v>
      </c>
      <c r="C751" s="4" t="s">
        <v>73</v>
      </c>
      <c r="D751" s="4">
        <v>46139</v>
      </c>
      <c r="E751" s="5">
        <v>0.45707175925925925</v>
      </c>
      <c r="F751">
        <v>1</v>
      </c>
      <c r="G751" t="s">
        <v>82</v>
      </c>
      <c r="H751">
        <v>27.666666666666664</v>
      </c>
      <c r="M751" t="s">
        <v>76</v>
      </c>
      <c r="N751" t="s">
        <v>75</v>
      </c>
    </row>
    <row r="752" spans="1:21" x14ac:dyDescent="0.25">
      <c r="A752" t="s">
        <v>709</v>
      </c>
      <c r="B752" s="4" t="s">
        <v>10</v>
      </c>
      <c r="C752" s="4" t="s">
        <v>70</v>
      </c>
      <c r="D752" s="4">
        <v>46139</v>
      </c>
      <c r="E752" s="5">
        <v>0.45751157407407406</v>
      </c>
      <c r="F752">
        <v>1</v>
      </c>
      <c r="G752" t="s">
        <v>82</v>
      </c>
      <c r="H752">
        <v>1</v>
      </c>
      <c r="L752" t="s">
        <v>710</v>
      </c>
      <c r="M752" t="s">
        <v>71</v>
      </c>
      <c r="N752" t="s">
        <v>77</v>
      </c>
      <c r="O752">
        <v>1</v>
      </c>
      <c r="S752">
        <v>1</v>
      </c>
      <c r="T752">
        <v>38.5</v>
      </c>
    </row>
    <row r="753" spans="1:20" x14ac:dyDescent="0.25">
      <c r="A753" t="s">
        <v>710</v>
      </c>
      <c r="B753" s="4" t="s">
        <v>10</v>
      </c>
      <c r="C753" s="4" t="s">
        <v>73</v>
      </c>
      <c r="D753" s="4">
        <v>46139</v>
      </c>
      <c r="E753" s="5">
        <v>0.45751157407407406</v>
      </c>
      <c r="F753">
        <v>1</v>
      </c>
      <c r="G753" t="s">
        <v>82</v>
      </c>
      <c r="H753">
        <v>38.333333333333336</v>
      </c>
      <c r="M753" t="s">
        <v>79</v>
      </c>
      <c r="N753" t="s">
        <v>77</v>
      </c>
    </row>
    <row r="754" spans="1:20" x14ac:dyDescent="0.25">
      <c r="A754" t="s">
        <v>710</v>
      </c>
      <c r="B754" s="4" t="s">
        <v>10</v>
      </c>
      <c r="C754" s="4" t="s">
        <v>73</v>
      </c>
      <c r="D754" s="4">
        <v>46139</v>
      </c>
      <c r="E754" s="5">
        <v>0.45751157407407406</v>
      </c>
      <c r="F754">
        <v>1</v>
      </c>
      <c r="G754" t="s">
        <v>82</v>
      </c>
      <c r="H754">
        <v>38.25</v>
      </c>
      <c r="M754" t="s">
        <v>79</v>
      </c>
      <c r="N754" t="s">
        <v>77</v>
      </c>
    </row>
    <row r="755" spans="1:20" x14ac:dyDescent="0.25">
      <c r="A755" t="s">
        <v>710</v>
      </c>
      <c r="B755" s="4" t="s">
        <v>10</v>
      </c>
      <c r="C755" s="4" t="s">
        <v>73</v>
      </c>
      <c r="D755" s="4">
        <v>46139</v>
      </c>
      <c r="E755" s="5">
        <v>0.45788194444444447</v>
      </c>
      <c r="F755">
        <v>1</v>
      </c>
      <c r="G755" t="s">
        <v>82</v>
      </c>
      <c r="H755">
        <v>38.5</v>
      </c>
      <c r="M755" t="s">
        <v>76</v>
      </c>
      <c r="N755" t="s">
        <v>77</v>
      </c>
    </row>
    <row r="756" spans="1:20" x14ac:dyDescent="0.25">
      <c r="A756" t="s">
        <v>711</v>
      </c>
      <c r="B756" s="4" t="s">
        <v>10</v>
      </c>
      <c r="C756" s="4" t="s">
        <v>70</v>
      </c>
      <c r="D756" s="4">
        <v>46139</v>
      </c>
      <c r="E756" s="5">
        <v>0.45848379629629632</v>
      </c>
      <c r="F756">
        <v>1</v>
      </c>
      <c r="G756" t="s">
        <v>82</v>
      </c>
      <c r="H756">
        <v>1</v>
      </c>
      <c r="L756" t="s">
        <v>712</v>
      </c>
      <c r="M756" t="s">
        <v>71</v>
      </c>
      <c r="N756" t="s">
        <v>75</v>
      </c>
      <c r="O756">
        <v>1</v>
      </c>
      <c r="S756">
        <v>1</v>
      </c>
      <c r="T756">
        <v>51.083333333333329</v>
      </c>
    </row>
    <row r="757" spans="1:20" x14ac:dyDescent="0.25">
      <c r="A757" t="s">
        <v>712</v>
      </c>
      <c r="B757" s="4" t="s">
        <v>10</v>
      </c>
      <c r="C757" s="4" t="s">
        <v>73</v>
      </c>
      <c r="D757" s="4">
        <v>46139</v>
      </c>
      <c r="E757" s="5">
        <v>0.45848379629629632</v>
      </c>
      <c r="F757">
        <v>1</v>
      </c>
      <c r="G757" t="s">
        <v>82</v>
      </c>
      <c r="H757">
        <v>51.166666666666664</v>
      </c>
      <c r="M757" t="s">
        <v>74</v>
      </c>
      <c r="N757" t="s">
        <v>75</v>
      </c>
    </row>
    <row r="758" spans="1:20" x14ac:dyDescent="0.25">
      <c r="A758" t="s">
        <v>712</v>
      </c>
      <c r="B758" s="4" t="s">
        <v>10</v>
      </c>
      <c r="C758" s="4" t="s">
        <v>73</v>
      </c>
      <c r="D758" s="4">
        <v>46139</v>
      </c>
      <c r="E758" s="5">
        <v>0.45848379629629632</v>
      </c>
      <c r="F758">
        <v>1</v>
      </c>
      <c r="G758" t="s">
        <v>82</v>
      </c>
      <c r="H758">
        <v>51.083333333333329</v>
      </c>
      <c r="M758" t="s">
        <v>74</v>
      </c>
      <c r="N758" t="s">
        <v>75</v>
      </c>
    </row>
    <row r="759" spans="1:20" x14ac:dyDescent="0.25">
      <c r="A759" t="s">
        <v>712</v>
      </c>
      <c r="B759" s="4" t="s">
        <v>10</v>
      </c>
      <c r="C759" s="4" t="s">
        <v>73</v>
      </c>
      <c r="D759" s="4">
        <v>46139</v>
      </c>
      <c r="E759" s="5">
        <v>0.45881944444444445</v>
      </c>
      <c r="F759">
        <v>1</v>
      </c>
      <c r="G759" t="s">
        <v>82</v>
      </c>
      <c r="H759">
        <v>51.083333333333329</v>
      </c>
      <c r="M759" t="s">
        <v>76</v>
      </c>
      <c r="N759" t="s">
        <v>75</v>
      </c>
    </row>
    <row r="760" spans="1:20" x14ac:dyDescent="0.25">
      <c r="A760" t="s">
        <v>715</v>
      </c>
      <c r="B760" s="4" t="s">
        <v>10</v>
      </c>
      <c r="C760" s="4" t="s">
        <v>70</v>
      </c>
      <c r="D760" s="4">
        <v>46139</v>
      </c>
      <c r="E760" s="5">
        <v>0.45950231481481474</v>
      </c>
      <c r="F760">
        <v>1</v>
      </c>
      <c r="G760" t="s">
        <v>82</v>
      </c>
      <c r="H760">
        <v>1</v>
      </c>
      <c r="L760" t="s">
        <v>716</v>
      </c>
      <c r="M760" t="s">
        <v>71</v>
      </c>
      <c r="N760" t="s">
        <v>80</v>
      </c>
      <c r="O760">
        <v>1</v>
      </c>
      <c r="S760">
        <v>1</v>
      </c>
      <c r="T760">
        <v>64.75</v>
      </c>
    </row>
    <row r="761" spans="1:20" x14ac:dyDescent="0.25">
      <c r="A761" t="s">
        <v>716</v>
      </c>
      <c r="B761" s="4" t="s">
        <v>10</v>
      </c>
      <c r="C761" s="4" t="s">
        <v>73</v>
      </c>
      <c r="D761" s="4">
        <v>46139</v>
      </c>
      <c r="E761" s="5">
        <v>0.45950231481481474</v>
      </c>
      <c r="F761">
        <v>1</v>
      </c>
      <c r="G761" t="s">
        <v>82</v>
      </c>
      <c r="H761">
        <v>64.75</v>
      </c>
      <c r="M761" t="s">
        <v>74</v>
      </c>
      <c r="N761" t="s">
        <v>80</v>
      </c>
    </row>
    <row r="762" spans="1:20" x14ac:dyDescent="0.25">
      <c r="A762" t="s">
        <v>716</v>
      </c>
      <c r="B762" s="4" t="s">
        <v>10</v>
      </c>
      <c r="C762" s="4" t="s">
        <v>73</v>
      </c>
      <c r="D762" s="4">
        <v>46139</v>
      </c>
      <c r="E762" s="5">
        <v>0.45950231481481474</v>
      </c>
      <c r="F762">
        <v>1</v>
      </c>
      <c r="G762" t="s">
        <v>82</v>
      </c>
      <c r="H762">
        <v>64.666666666666657</v>
      </c>
      <c r="M762" t="s">
        <v>74</v>
      </c>
      <c r="N762" t="s">
        <v>80</v>
      </c>
    </row>
    <row r="763" spans="1:20" x14ac:dyDescent="0.25">
      <c r="A763" t="s">
        <v>716</v>
      </c>
      <c r="B763" s="4" t="s">
        <v>10</v>
      </c>
      <c r="C763" s="4" t="s">
        <v>73</v>
      </c>
      <c r="D763" s="4">
        <v>46139</v>
      </c>
      <c r="E763" s="5">
        <v>0.45996527777777779</v>
      </c>
      <c r="F763">
        <v>1</v>
      </c>
      <c r="G763" t="s">
        <v>82</v>
      </c>
      <c r="H763">
        <v>64.75</v>
      </c>
      <c r="M763" t="s">
        <v>76</v>
      </c>
      <c r="N763" t="s">
        <v>80</v>
      </c>
    </row>
    <row r="764" spans="1:20" x14ac:dyDescent="0.25">
      <c r="A764" t="s">
        <v>718</v>
      </c>
      <c r="B764" s="4" t="s">
        <v>10</v>
      </c>
      <c r="C764" s="4" t="s">
        <v>70</v>
      </c>
      <c r="D764" s="4">
        <v>46139</v>
      </c>
      <c r="E764" s="5">
        <v>0.46049768518518519</v>
      </c>
      <c r="F764">
        <v>1</v>
      </c>
      <c r="G764" t="s">
        <v>82</v>
      </c>
      <c r="H764">
        <v>14</v>
      </c>
      <c r="L764" t="s">
        <v>719</v>
      </c>
      <c r="M764" t="s">
        <v>71</v>
      </c>
      <c r="N764" t="s">
        <v>72</v>
      </c>
      <c r="O764">
        <v>1</v>
      </c>
      <c r="S764">
        <v>1</v>
      </c>
      <c r="T764">
        <v>95</v>
      </c>
    </row>
    <row r="765" spans="1:20" x14ac:dyDescent="0.25">
      <c r="A765" t="s">
        <v>719</v>
      </c>
      <c r="B765" s="4" t="s">
        <v>10</v>
      </c>
      <c r="C765" s="4" t="s">
        <v>73</v>
      </c>
      <c r="D765" s="4">
        <v>46139</v>
      </c>
      <c r="E765" s="5">
        <v>0.46049768518518519</v>
      </c>
      <c r="F765">
        <v>1</v>
      </c>
      <c r="G765" t="s">
        <v>82</v>
      </c>
      <c r="H765">
        <v>95.083333333333329</v>
      </c>
      <c r="M765" t="s">
        <v>79</v>
      </c>
      <c r="N765" t="s">
        <v>72</v>
      </c>
    </row>
    <row r="766" spans="1:20" x14ac:dyDescent="0.25">
      <c r="A766" t="s">
        <v>719</v>
      </c>
      <c r="B766" s="4" t="s">
        <v>10</v>
      </c>
      <c r="C766" s="4" t="s">
        <v>73</v>
      </c>
      <c r="D766" s="4">
        <v>46139</v>
      </c>
      <c r="E766" s="5">
        <v>0.46049768518518519</v>
      </c>
      <c r="F766">
        <v>1</v>
      </c>
      <c r="G766" t="s">
        <v>82</v>
      </c>
      <c r="H766">
        <v>95</v>
      </c>
      <c r="M766" t="s">
        <v>79</v>
      </c>
      <c r="N766" t="s">
        <v>72</v>
      </c>
    </row>
    <row r="767" spans="1:20" x14ac:dyDescent="0.25">
      <c r="A767" t="s">
        <v>719</v>
      </c>
      <c r="B767" s="4" t="s">
        <v>10</v>
      </c>
      <c r="C767" s="4" t="s">
        <v>73</v>
      </c>
      <c r="D767" s="4">
        <v>46139</v>
      </c>
      <c r="E767" s="5">
        <v>0.46061342592592591</v>
      </c>
      <c r="F767">
        <v>1</v>
      </c>
      <c r="G767" t="s">
        <v>82</v>
      </c>
      <c r="H767">
        <v>95</v>
      </c>
      <c r="M767" t="s">
        <v>76</v>
      </c>
      <c r="N767" t="s">
        <v>72</v>
      </c>
    </row>
    <row r="768" spans="1:20" x14ac:dyDescent="0.25">
      <c r="A768" t="s">
        <v>721</v>
      </c>
      <c r="B768" s="4" t="s">
        <v>10</v>
      </c>
      <c r="C768" s="4" t="s">
        <v>73</v>
      </c>
      <c r="D768" s="4">
        <v>46139</v>
      </c>
      <c r="E768" s="5">
        <v>0.46104166666666668</v>
      </c>
      <c r="F768">
        <v>1</v>
      </c>
      <c r="G768" t="s">
        <v>82</v>
      </c>
      <c r="H768">
        <v>177.08333333333331</v>
      </c>
      <c r="M768" t="s">
        <v>79</v>
      </c>
      <c r="N768" t="s">
        <v>72</v>
      </c>
    </row>
    <row r="769" spans="1:20" x14ac:dyDescent="0.25">
      <c r="A769" t="s">
        <v>724</v>
      </c>
      <c r="B769" s="4" t="s">
        <v>10</v>
      </c>
      <c r="C769" s="4" t="s">
        <v>70</v>
      </c>
      <c r="D769" s="4">
        <v>46139</v>
      </c>
      <c r="E769" s="5">
        <v>0.46162037037037035</v>
      </c>
      <c r="F769">
        <v>1</v>
      </c>
      <c r="G769" t="s">
        <v>82</v>
      </c>
      <c r="H769">
        <v>47.75</v>
      </c>
      <c r="L769" t="s">
        <v>721</v>
      </c>
      <c r="M769" t="s">
        <v>71</v>
      </c>
      <c r="N769" t="s">
        <v>72</v>
      </c>
      <c r="O769">
        <v>1</v>
      </c>
      <c r="S769">
        <v>1</v>
      </c>
      <c r="T769">
        <v>129.25</v>
      </c>
    </row>
    <row r="770" spans="1:20" x14ac:dyDescent="0.25">
      <c r="A770" t="s">
        <v>721</v>
      </c>
      <c r="B770" s="4" t="s">
        <v>10</v>
      </c>
      <c r="C770" s="4" t="s">
        <v>73</v>
      </c>
      <c r="D770" s="4">
        <v>46139</v>
      </c>
      <c r="E770" s="5">
        <v>0.46162037037037035</v>
      </c>
      <c r="F770">
        <v>1</v>
      </c>
      <c r="G770" t="s">
        <v>82</v>
      </c>
      <c r="H770">
        <v>129.33333333333331</v>
      </c>
      <c r="M770" t="s">
        <v>79</v>
      </c>
      <c r="N770" t="s">
        <v>72</v>
      </c>
    </row>
    <row r="771" spans="1:20" x14ac:dyDescent="0.25">
      <c r="A771" t="s">
        <v>721</v>
      </c>
      <c r="B771" s="4" t="s">
        <v>10</v>
      </c>
      <c r="C771" s="4" t="s">
        <v>73</v>
      </c>
      <c r="D771" s="4">
        <v>46139</v>
      </c>
      <c r="E771" s="5">
        <v>0.46162037037037035</v>
      </c>
      <c r="F771">
        <v>1</v>
      </c>
      <c r="G771" t="s">
        <v>82</v>
      </c>
      <c r="H771">
        <v>129.25</v>
      </c>
      <c r="M771" t="s">
        <v>79</v>
      </c>
      <c r="N771" t="s">
        <v>72</v>
      </c>
    </row>
    <row r="772" spans="1:20" x14ac:dyDescent="0.25">
      <c r="A772" t="s">
        <v>721</v>
      </c>
      <c r="B772" s="4" t="s">
        <v>10</v>
      </c>
      <c r="C772" s="4" t="s">
        <v>73</v>
      </c>
      <c r="D772" s="4">
        <v>46139</v>
      </c>
      <c r="E772" s="5">
        <v>0.46172453703703703</v>
      </c>
      <c r="F772">
        <v>1</v>
      </c>
      <c r="G772" t="s">
        <v>82</v>
      </c>
      <c r="H772">
        <v>129.25</v>
      </c>
      <c r="M772" t="s">
        <v>76</v>
      </c>
      <c r="N772" t="s">
        <v>72</v>
      </c>
    </row>
    <row r="773" spans="1:20" x14ac:dyDescent="0.25">
      <c r="A773" t="s">
        <v>646</v>
      </c>
      <c r="B773" s="4" t="s">
        <v>10</v>
      </c>
      <c r="C773" s="4" t="s">
        <v>73</v>
      </c>
      <c r="D773" s="4">
        <v>46139</v>
      </c>
      <c r="E773" s="5">
        <v>0.46254629629629629</v>
      </c>
      <c r="F773">
        <v>1</v>
      </c>
      <c r="G773" t="s">
        <v>82</v>
      </c>
      <c r="H773">
        <v>36.416666666666664</v>
      </c>
      <c r="M773" t="s">
        <v>76</v>
      </c>
      <c r="N773" t="s">
        <v>75</v>
      </c>
    </row>
    <row r="774" spans="1:20" x14ac:dyDescent="0.25">
      <c r="A774" t="s">
        <v>727</v>
      </c>
      <c r="B774" s="4" t="s">
        <v>10</v>
      </c>
      <c r="C774" s="4" t="s">
        <v>70</v>
      </c>
      <c r="D774" s="4">
        <v>46139</v>
      </c>
      <c r="E774" s="5">
        <v>0.46328703703703705</v>
      </c>
      <c r="F774">
        <v>1</v>
      </c>
      <c r="G774" t="s">
        <v>82</v>
      </c>
      <c r="H774">
        <v>54.5</v>
      </c>
      <c r="L774" t="s">
        <v>728</v>
      </c>
      <c r="M774" t="s">
        <v>71</v>
      </c>
      <c r="N774" t="s">
        <v>75</v>
      </c>
      <c r="O774">
        <v>1</v>
      </c>
      <c r="S774">
        <v>1</v>
      </c>
      <c r="T774">
        <v>117.5</v>
      </c>
    </row>
    <row r="775" spans="1:20" x14ac:dyDescent="0.25">
      <c r="A775" t="s">
        <v>728</v>
      </c>
      <c r="B775" s="4" t="s">
        <v>10</v>
      </c>
      <c r="C775" s="4" t="s">
        <v>73</v>
      </c>
      <c r="D775" s="4">
        <v>46139</v>
      </c>
      <c r="E775" s="5">
        <v>0.46328703703703705</v>
      </c>
      <c r="F775">
        <v>1</v>
      </c>
      <c r="G775" t="s">
        <v>82</v>
      </c>
      <c r="H775">
        <v>117.58333333333334</v>
      </c>
      <c r="M775" t="s">
        <v>79</v>
      </c>
      <c r="N775" t="s">
        <v>75</v>
      </c>
    </row>
    <row r="776" spans="1:20" x14ac:dyDescent="0.25">
      <c r="A776" t="s">
        <v>728</v>
      </c>
      <c r="B776" s="4" t="s">
        <v>10</v>
      </c>
      <c r="C776" s="4" t="s">
        <v>73</v>
      </c>
      <c r="D776" s="4">
        <v>46139</v>
      </c>
      <c r="E776" s="5">
        <v>0.46328703703703705</v>
      </c>
      <c r="F776">
        <v>1</v>
      </c>
      <c r="G776" t="s">
        <v>82</v>
      </c>
      <c r="H776">
        <v>117.5</v>
      </c>
      <c r="M776" t="s">
        <v>79</v>
      </c>
      <c r="N776" t="s">
        <v>75</v>
      </c>
    </row>
    <row r="777" spans="1:20" x14ac:dyDescent="0.25">
      <c r="A777" t="s">
        <v>728</v>
      </c>
      <c r="B777" s="4" t="s">
        <v>10</v>
      </c>
      <c r="C777" s="4" t="s">
        <v>73</v>
      </c>
      <c r="D777" s="4">
        <v>46139</v>
      </c>
      <c r="E777" s="5">
        <v>0.46340277777777777</v>
      </c>
      <c r="F777">
        <v>1</v>
      </c>
      <c r="G777" t="s">
        <v>82</v>
      </c>
      <c r="H777">
        <v>117.5</v>
      </c>
      <c r="M777" t="s">
        <v>76</v>
      </c>
      <c r="N777" t="s">
        <v>75</v>
      </c>
    </row>
    <row r="778" spans="1:20" x14ac:dyDescent="0.25">
      <c r="A778" t="s">
        <v>732</v>
      </c>
      <c r="B778" s="4" t="s">
        <v>10</v>
      </c>
      <c r="C778" s="4" t="s">
        <v>73</v>
      </c>
      <c r="D778" s="4">
        <v>46139</v>
      </c>
      <c r="E778" s="5">
        <v>0.46436342592592589</v>
      </c>
      <c r="F778">
        <v>1</v>
      </c>
      <c r="G778" t="s">
        <v>82</v>
      </c>
      <c r="H778">
        <v>134.08333333333331</v>
      </c>
      <c r="M778" t="s">
        <v>76</v>
      </c>
      <c r="N778" t="s">
        <v>72</v>
      </c>
    </row>
    <row r="779" spans="1:20" x14ac:dyDescent="0.25">
      <c r="A779" t="s">
        <v>733</v>
      </c>
      <c r="B779" s="4" t="s">
        <v>10</v>
      </c>
      <c r="C779" s="4" t="s">
        <v>70</v>
      </c>
      <c r="D779" s="4">
        <v>46139</v>
      </c>
      <c r="E779" s="5">
        <v>0.46484953703703702</v>
      </c>
      <c r="F779">
        <v>1</v>
      </c>
      <c r="G779" t="s">
        <v>82</v>
      </c>
      <c r="H779">
        <v>1</v>
      </c>
      <c r="L779" t="s">
        <v>734</v>
      </c>
      <c r="M779" t="s">
        <v>71</v>
      </c>
      <c r="N779" t="s">
        <v>75</v>
      </c>
      <c r="O779">
        <v>1</v>
      </c>
      <c r="R779">
        <v>1</v>
      </c>
      <c r="S779">
        <v>1</v>
      </c>
      <c r="T779">
        <v>11.25</v>
      </c>
    </row>
    <row r="780" spans="1:20" x14ac:dyDescent="0.25">
      <c r="A780" t="s">
        <v>734</v>
      </c>
      <c r="B780" s="4" t="s">
        <v>10</v>
      </c>
      <c r="C780" s="4" t="s">
        <v>73</v>
      </c>
      <c r="D780" s="4">
        <v>46139</v>
      </c>
      <c r="E780" s="5">
        <v>0.46484953703703702</v>
      </c>
      <c r="F780">
        <v>1</v>
      </c>
      <c r="G780" t="s">
        <v>82</v>
      </c>
      <c r="H780">
        <v>11.083333333333334</v>
      </c>
      <c r="M780" t="s">
        <v>74</v>
      </c>
      <c r="N780" t="s">
        <v>75</v>
      </c>
    </row>
    <row r="781" spans="1:20" x14ac:dyDescent="0.25">
      <c r="A781" t="s">
        <v>734</v>
      </c>
      <c r="B781" s="4" t="s">
        <v>10</v>
      </c>
      <c r="C781" s="4" t="s">
        <v>73</v>
      </c>
      <c r="D781" s="4">
        <v>46139</v>
      </c>
      <c r="E781" s="5">
        <v>0.46484953703703702</v>
      </c>
      <c r="F781">
        <v>1</v>
      </c>
      <c r="G781" t="s">
        <v>82</v>
      </c>
      <c r="H781">
        <v>11</v>
      </c>
      <c r="M781" t="s">
        <v>74</v>
      </c>
      <c r="N781" t="s">
        <v>75</v>
      </c>
    </row>
    <row r="782" spans="1:20" x14ac:dyDescent="0.25">
      <c r="A782" t="s">
        <v>734</v>
      </c>
      <c r="B782" s="4" t="s">
        <v>10</v>
      </c>
      <c r="C782" s="4" t="s">
        <v>73</v>
      </c>
      <c r="D782" s="4">
        <v>46139</v>
      </c>
      <c r="E782" s="5">
        <v>0.46526620370370364</v>
      </c>
      <c r="F782">
        <v>1</v>
      </c>
      <c r="G782" t="s">
        <v>82</v>
      </c>
      <c r="H782">
        <v>11.25</v>
      </c>
      <c r="M782" t="s">
        <v>76</v>
      </c>
      <c r="N782" t="s">
        <v>75</v>
      </c>
    </row>
    <row r="783" spans="1:20" x14ac:dyDescent="0.25">
      <c r="A783" t="s">
        <v>737</v>
      </c>
      <c r="B783" s="4" t="s">
        <v>10</v>
      </c>
      <c r="C783" s="4" t="s">
        <v>70</v>
      </c>
      <c r="D783" s="4">
        <v>46139</v>
      </c>
      <c r="E783" s="5">
        <v>0.46606481481481477</v>
      </c>
      <c r="F783">
        <v>1</v>
      </c>
      <c r="G783" t="s">
        <v>82</v>
      </c>
      <c r="H783">
        <v>32.333333333333329</v>
      </c>
      <c r="L783" t="s">
        <v>738</v>
      </c>
      <c r="M783" t="s">
        <v>71</v>
      </c>
      <c r="N783" t="s">
        <v>72</v>
      </c>
      <c r="O783">
        <v>1</v>
      </c>
      <c r="Q783">
        <v>1</v>
      </c>
      <c r="S783">
        <v>1</v>
      </c>
      <c r="T783">
        <v>5.583333333333333</v>
      </c>
    </row>
    <row r="784" spans="1:20" x14ac:dyDescent="0.25">
      <c r="A784" t="s">
        <v>738</v>
      </c>
      <c r="B784" s="4" t="s">
        <v>10</v>
      </c>
      <c r="C784" s="4" t="s">
        <v>73</v>
      </c>
      <c r="D784" s="4">
        <v>46139</v>
      </c>
      <c r="E784" s="5">
        <v>0.46606481481481477</v>
      </c>
      <c r="F784">
        <v>1</v>
      </c>
      <c r="G784" t="s">
        <v>82</v>
      </c>
      <c r="H784">
        <v>4.6666666666666661</v>
      </c>
      <c r="L784" t="s">
        <v>739</v>
      </c>
      <c r="M784" t="s">
        <v>74</v>
      </c>
      <c r="N784" t="s">
        <v>72</v>
      </c>
    </row>
    <row r="785" spans="1:20" x14ac:dyDescent="0.25">
      <c r="A785" t="s">
        <v>738</v>
      </c>
      <c r="B785" s="4" t="s">
        <v>10</v>
      </c>
      <c r="C785" s="4" t="s">
        <v>73</v>
      </c>
      <c r="D785" s="4">
        <v>46139</v>
      </c>
      <c r="E785" s="5">
        <v>0.46620370370370368</v>
      </c>
      <c r="F785">
        <v>1</v>
      </c>
      <c r="G785" t="s">
        <v>82</v>
      </c>
      <c r="H785">
        <v>5.583333333333333</v>
      </c>
      <c r="L785" t="s">
        <v>739</v>
      </c>
      <c r="M785" t="s">
        <v>76</v>
      </c>
      <c r="N785" t="s">
        <v>72</v>
      </c>
    </row>
    <row r="786" spans="1:20" x14ac:dyDescent="0.25">
      <c r="A786" t="s">
        <v>742</v>
      </c>
      <c r="B786" s="4" t="s">
        <v>10</v>
      </c>
      <c r="C786" s="4" t="s">
        <v>70</v>
      </c>
      <c r="D786" s="4">
        <v>46139</v>
      </c>
      <c r="E786" s="5">
        <v>0.46680555555555553</v>
      </c>
      <c r="F786">
        <v>1</v>
      </c>
      <c r="G786" t="s">
        <v>82</v>
      </c>
      <c r="H786">
        <v>5.6666666666666661</v>
      </c>
      <c r="L786" t="s">
        <v>743</v>
      </c>
      <c r="M786" t="s">
        <v>76</v>
      </c>
      <c r="N786" t="s">
        <v>75</v>
      </c>
      <c r="O786">
        <v>1</v>
      </c>
    </row>
    <row r="787" spans="1:20" x14ac:dyDescent="0.25">
      <c r="A787" t="s">
        <v>743</v>
      </c>
      <c r="B787" s="4" t="s">
        <v>10</v>
      </c>
      <c r="C787" s="4" t="s">
        <v>73</v>
      </c>
      <c r="D787" s="4">
        <v>46139</v>
      </c>
      <c r="E787" s="5">
        <v>0.46680555555555553</v>
      </c>
      <c r="F787">
        <v>1</v>
      </c>
      <c r="G787" t="s">
        <v>82</v>
      </c>
      <c r="H787">
        <v>142.08333333333334</v>
      </c>
      <c r="M787" t="s">
        <v>79</v>
      </c>
      <c r="N787" t="s">
        <v>75</v>
      </c>
    </row>
    <row r="788" spans="1:20" x14ac:dyDescent="0.25">
      <c r="A788" t="s">
        <v>743</v>
      </c>
      <c r="B788" s="4" t="s">
        <v>10</v>
      </c>
      <c r="C788" s="4" t="s">
        <v>73</v>
      </c>
      <c r="D788" s="4">
        <v>46139</v>
      </c>
      <c r="E788" s="5">
        <v>0.46680555555555553</v>
      </c>
      <c r="F788">
        <v>1</v>
      </c>
      <c r="G788" t="s">
        <v>82</v>
      </c>
      <c r="H788">
        <v>142</v>
      </c>
      <c r="M788" t="s">
        <v>79</v>
      </c>
      <c r="N788" t="s">
        <v>75</v>
      </c>
    </row>
    <row r="789" spans="1:20" x14ac:dyDescent="0.25">
      <c r="A789" t="s">
        <v>743</v>
      </c>
      <c r="B789" s="4" t="s">
        <v>10</v>
      </c>
      <c r="C789" s="4" t="s">
        <v>73</v>
      </c>
      <c r="D789" s="4">
        <v>46139</v>
      </c>
      <c r="E789" s="5">
        <v>0.46708333333333329</v>
      </c>
      <c r="F789">
        <v>1</v>
      </c>
      <c r="G789" t="s">
        <v>82</v>
      </c>
      <c r="H789">
        <v>140.58333333333331</v>
      </c>
      <c r="M789" t="s">
        <v>79</v>
      </c>
      <c r="N789" t="s">
        <v>75</v>
      </c>
    </row>
    <row r="790" spans="1:20" x14ac:dyDescent="0.25">
      <c r="A790" t="s">
        <v>745</v>
      </c>
      <c r="B790" s="4" t="s">
        <v>10</v>
      </c>
      <c r="C790" s="4" t="s">
        <v>70</v>
      </c>
      <c r="D790" s="4">
        <v>46139</v>
      </c>
      <c r="E790" s="5">
        <v>0.46744212962962967</v>
      </c>
      <c r="F790">
        <v>1</v>
      </c>
      <c r="G790" t="s">
        <v>82</v>
      </c>
      <c r="H790">
        <v>62.583333333333329</v>
      </c>
      <c r="L790" t="s">
        <v>743</v>
      </c>
      <c r="M790" t="s">
        <v>71</v>
      </c>
      <c r="N790" t="s">
        <v>75</v>
      </c>
      <c r="P790">
        <v>1</v>
      </c>
      <c r="S790">
        <v>1</v>
      </c>
      <c r="T790">
        <v>76.5</v>
      </c>
    </row>
    <row r="791" spans="1:20" x14ac:dyDescent="0.25">
      <c r="A791" t="s">
        <v>743</v>
      </c>
      <c r="B791" s="4" t="s">
        <v>10</v>
      </c>
      <c r="C791" s="4" t="s">
        <v>73</v>
      </c>
      <c r="D791" s="4">
        <v>46139</v>
      </c>
      <c r="E791" s="5">
        <v>0.46744212962962967</v>
      </c>
      <c r="F791">
        <v>1</v>
      </c>
      <c r="G791" t="s">
        <v>82</v>
      </c>
      <c r="H791">
        <v>78</v>
      </c>
      <c r="M791" t="s">
        <v>79</v>
      </c>
      <c r="N791" t="s">
        <v>75</v>
      </c>
    </row>
    <row r="792" spans="1:20" x14ac:dyDescent="0.25">
      <c r="A792" t="s">
        <v>743</v>
      </c>
      <c r="B792" s="4" t="s">
        <v>10</v>
      </c>
      <c r="C792" s="4" t="s">
        <v>73</v>
      </c>
      <c r="D792" s="4">
        <v>46139</v>
      </c>
      <c r="E792" s="5">
        <v>0.46744212962962967</v>
      </c>
      <c r="F792">
        <v>1</v>
      </c>
      <c r="G792" t="s">
        <v>82</v>
      </c>
      <c r="H792">
        <v>77.916666666666671</v>
      </c>
      <c r="M792" t="s">
        <v>79</v>
      </c>
      <c r="N792" t="s">
        <v>75</v>
      </c>
    </row>
    <row r="793" spans="1:20" x14ac:dyDescent="0.25">
      <c r="A793" t="s">
        <v>743</v>
      </c>
      <c r="B793" s="4" t="s">
        <v>10</v>
      </c>
      <c r="C793" s="4" t="s">
        <v>73</v>
      </c>
      <c r="D793" s="4">
        <v>46139</v>
      </c>
      <c r="E793" s="5">
        <v>0.46780092592592587</v>
      </c>
      <c r="F793">
        <v>1</v>
      </c>
      <c r="G793" t="s">
        <v>82</v>
      </c>
      <c r="H793">
        <v>76.5</v>
      </c>
      <c r="M793" t="s">
        <v>76</v>
      </c>
      <c r="N793" t="s">
        <v>75</v>
      </c>
    </row>
    <row r="794" spans="1:20" x14ac:dyDescent="0.25">
      <c r="A794" t="s">
        <v>749</v>
      </c>
      <c r="B794" s="4" t="s">
        <v>10</v>
      </c>
      <c r="C794" s="4" t="s">
        <v>70</v>
      </c>
      <c r="D794" s="4">
        <v>46139</v>
      </c>
      <c r="E794" s="5">
        <v>0.46847222222222218</v>
      </c>
      <c r="F794">
        <v>1</v>
      </c>
      <c r="G794" t="s">
        <v>82</v>
      </c>
      <c r="H794">
        <v>24</v>
      </c>
      <c r="L794" t="s">
        <v>750</v>
      </c>
      <c r="M794" t="s">
        <v>71</v>
      </c>
      <c r="N794" t="s">
        <v>75</v>
      </c>
      <c r="O794">
        <v>1</v>
      </c>
    </row>
    <row r="795" spans="1:20" x14ac:dyDescent="0.25">
      <c r="A795" t="s">
        <v>750</v>
      </c>
      <c r="B795" s="4" t="s">
        <v>10</v>
      </c>
      <c r="C795" s="4" t="s">
        <v>73</v>
      </c>
      <c r="D795" s="4">
        <v>46139</v>
      </c>
      <c r="E795" s="5">
        <v>0.46847222222222218</v>
      </c>
      <c r="F795">
        <v>1</v>
      </c>
      <c r="G795" t="s">
        <v>82</v>
      </c>
      <c r="H795">
        <v>117</v>
      </c>
      <c r="M795" t="s">
        <v>74</v>
      </c>
      <c r="N795" t="s">
        <v>75</v>
      </c>
    </row>
    <row r="796" spans="1:20" x14ac:dyDescent="0.25">
      <c r="A796" t="s">
        <v>750</v>
      </c>
      <c r="B796" s="4" t="s">
        <v>10</v>
      </c>
      <c r="C796" s="4" t="s">
        <v>73</v>
      </c>
      <c r="D796" s="4">
        <v>46139</v>
      </c>
      <c r="E796" s="5">
        <v>0.46847222222222218</v>
      </c>
      <c r="F796">
        <v>1</v>
      </c>
      <c r="G796" t="s">
        <v>82</v>
      </c>
      <c r="H796">
        <v>116.91666666666666</v>
      </c>
      <c r="M796" t="s">
        <v>74</v>
      </c>
      <c r="N796" t="s">
        <v>75</v>
      </c>
    </row>
    <row r="797" spans="1:20" x14ac:dyDescent="0.25">
      <c r="A797" t="s">
        <v>751</v>
      </c>
      <c r="B797" s="4" t="s">
        <v>10</v>
      </c>
      <c r="C797" s="4" t="s">
        <v>70</v>
      </c>
      <c r="D797" s="4">
        <v>46139</v>
      </c>
      <c r="E797" s="5">
        <v>0.46872685185185181</v>
      </c>
      <c r="F797">
        <v>1</v>
      </c>
      <c r="G797" t="s">
        <v>82</v>
      </c>
      <c r="H797">
        <v>28</v>
      </c>
      <c r="L797" t="s">
        <v>750</v>
      </c>
      <c r="M797" t="s">
        <v>71</v>
      </c>
      <c r="N797" t="s">
        <v>75</v>
      </c>
      <c r="P797">
        <v>1</v>
      </c>
      <c r="S797">
        <v>1</v>
      </c>
      <c r="T797">
        <v>88.833333333333329</v>
      </c>
    </row>
    <row r="798" spans="1:20" x14ac:dyDescent="0.25">
      <c r="A798" t="s">
        <v>750</v>
      </c>
      <c r="B798" s="4" t="s">
        <v>10</v>
      </c>
      <c r="C798" s="4" t="s">
        <v>73</v>
      </c>
      <c r="D798" s="4">
        <v>46139</v>
      </c>
      <c r="E798" s="5">
        <v>0.46872685185185181</v>
      </c>
      <c r="F798">
        <v>1</v>
      </c>
      <c r="G798" t="s">
        <v>82</v>
      </c>
      <c r="H798">
        <v>88.916666666666657</v>
      </c>
      <c r="M798" t="s">
        <v>74</v>
      </c>
      <c r="N798" t="s">
        <v>75</v>
      </c>
    </row>
    <row r="799" spans="1:20" x14ac:dyDescent="0.25">
      <c r="A799" t="s">
        <v>750</v>
      </c>
      <c r="B799" s="4" t="s">
        <v>10</v>
      </c>
      <c r="C799" s="4" t="s">
        <v>73</v>
      </c>
      <c r="D799" s="4">
        <v>46139</v>
      </c>
      <c r="E799" s="5">
        <v>0.46872685185185181</v>
      </c>
      <c r="F799">
        <v>1</v>
      </c>
      <c r="G799" t="s">
        <v>82</v>
      </c>
      <c r="H799">
        <v>88.833333333333329</v>
      </c>
      <c r="M799" t="s">
        <v>74</v>
      </c>
      <c r="N799" t="s">
        <v>75</v>
      </c>
    </row>
    <row r="800" spans="1:20" x14ac:dyDescent="0.25">
      <c r="A800" t="s">
        <v>750</v>
      </c>
      <c r="B800" s="4" t="s">
        <v>10</v>
      </c>
      <c r="C800" s="4" t="s">
        <v>73</v>
      </c>
      <c r="D800" s="4">
        <v>46139</v>
      </c>
      <c r="E800" s="5">
        <v>0.46886574074074078</v>
      </c>
      <c r="F800">
        <v>1</v>
      </c>
      <c r="G800" t="s">
        <v>82</v>
      </c>
      <c r="H800">
        <v>88.833333333333329</v>
      </c>
      <c r="M800" t="s">
        <v>76</v>
      </c>
      <c r="N800" t="s">
        <v>75</v>
      </c>
    </row>
    <row r="801" spans="1:20" x14ac:dyDescent="0.25">
      <c r="A801" t="s">
        <v>755</v>
      </c>
      <c r="B801" s="4" t="s">
        <v>10</v>
      </c>
      <c r="C801" s="4" t="s">
        <v>70</v>
      </c>
      <c r="D801" s="4">
        <v>46139</v>
      </c>
      <c r="E801" s="5">
        <v>0.46947916666666667</v>
      </c>
      <c r="F801">
        <v>1</v>
      </c>
      <c r="G801" t="s">
        <v>82</v>
      </c>
      <c r="H801">
        <v>16</v>
      </c>
      <c r="L801" t="s">
        <v>756</v>
      </c>
      <c r="M801" t="s">
        <v>71</v>
      </c>
      <c r="N801" t="s">
        <v>80</v>
      </c>
      <c r="O801">
        <v>1</v>
      </c>
      <c r="S801">
        <v>1</v>
      </c>
      <c r="T801">
        <v>65.25</v>
      </c>
    </row>
    <row r="802" spans="1:20" x14ac:dyDescent="0.25">
      <c r="A802" t="s">
        <v>756</v>
      </c>
      <c r="B802" s="4" t="s">
        <v>10</v>
      </c>
      <c r="C802" s="4" t="s">
        <v>73</v>
      </c>
      <c r="D802" s="4">
        <v>46139</v>
      </c>
      <c r="E802" s="5">
        <v>0.46947916666666667</v>
      </c>
      <c r="F802">
        <v>1</v>
      </c>
      <c r="G802" t="s">
        <v>82</v>
      </c>
      <c r="H802">
        <v>65.25</v>
      </c>
      <c r="M802" t="s">
        <v>74</v>
      </c>
      <c r="N802" t="s">
        <v>80</v>
      </c>
    </row>
    <row r="803" spans="1:20" x14ac:dyDescent="0.25">
      <c r="A803" t="s">
        <v>756</v>
      </c>
      <c r="B803" s="4" t="s">
        <v>10</v>
      </c>
      <c r="C803" s="4" t="s">
        <v>73</v>
      </c>
      <c r="D803" s="4">
        <v>46139</v>
      </c>
      <c r="E803" s="5">
        <v>0.46947916666666667</v>
      </c>
      <c r="F803">
        <v>1</v>
      </c>
      <c r="G803" t="s">
        <v>82</v>
      </c>
      <c r="H803">
        <v>65.166666666666657</v>
      </c>
      <c r="M803" t="s">
        <v>74</v>
      </c>
      <c r="N803" t="s">
        <v>80</v>
      </c>
    </row>
    <row r="804" spans="1:20" x14ac:dyDescent="0.25">
      <c r="A804" t="s">
        <v>756</v>
      </c>
      <c r="B804" s="4" t="s">
        <v>10</v>
      </c>
      <c r="C804" s="4" t="s">
        <v>73</v>
      </c>
      <c r="D804" s="4">
        <v>46139</v>
      </c>
      <c r="E804" s="5">
        <v>0.4699652777777778</v>
      </c>
      <c r="F804">
        <v>1</v>
      </c>
      <c r="G804" t="s">
        <v>82</v>
      </c>
      <c r="H804">
        <v>65.25</v>
      </c>
      <c r="M804" t="s">
        <v>76</v>
      </c>
      <c r="N804" t="s">
        <v>80</v>
      </c>
    </row>
    <row r="805" spans="1:20" x14ac:dyDescent="0.25">
      <c r="A805" t="s">
        <v>761</v>
      </c>
      <c r="B805" s="4" t="s">
        <v>10</v>
      </c>
      <c r="C805" s="4" t="s">
        <v>70</v>
      </c>
      <c r="D805" s="4">
        <v>46139</v>
      </c>
      <c r="E805" s="5">
        <v>0.47075231481481478</v>
      </c>
      <c r="F805">
        <v>1</v>
      </c>
      <c r="G805" t="s">
        <v>82</v>
      </c>
      <c r="H805">
        <v>22.666666666666664</v>
      </c>
      <c r="L805" t="s">
        <v>762</v>
      </c>
      <c r="M805" t="s">
        <v>71</v>
      </c>
      <c r="N805" t="s">
        <v>77</v>
      </c>
      <c r="O805">
        <v>1</v>
      </c>
      <c r="R805">
        <v>1</v>
      </c>
      <c r="S805">
        <v>1</v>
      </c>
      <c r="T805">
        <v>18.333333333333332</v>
      </c>
    </row>
    <row r="806" spans="1:20" x14ac:dyDescent="0.25">
      <c r="A806" t="s">
        <v>762</v>
      </c>
      <c r="B806" s="4" t="s">
        <v>10</v>
      </c>
      <c r="C806" s="4" t="s">
        <v>73</v>
      </c>
      <c r="D806" s="4">
        <v>46139</v>
      </c>
      <c r="E806" s="5">
        <v>0.47075231481481478</v>
      </c>
      <c r="F806">
        <v>1</v>
      </c>
      <c r="G806" t="s">
        <v>82</v>
      </c>
      <c r="H806">
        <v>18.583333333333332</v>
      </c>
      <c r="M806" t="s">
        <v>74</v>
      </c>
      <c r="N806" t="s">
        <v>77</v>
      </c>
    </row>
    <row r="807" spans="1:20" x14ac:dyDescent="0.25">
      <c r="A807" t="s">
        <v>762</v>
      </c>
      <c r="B807" s="4" t="s">
        <v>10</v>
      </c>
      <c r="C807" s="4" t="s">
        <v>73</v>
      </c>
      <c r="D807" s="4">
        <v>46139</v>
      </c>
      <c r="E807" s="5">
        <v>0.47075231481481478</v>
      </c>
      <c r="F807">
        <v>1</v>
      </c>
      <c r="G807" t="s">
        <v>82</v>
      </c>
      <c r="H807">
        <v>18.5</v>
      </c>
      <c r="M807" t="s">
        <v>74</v>
      </c>
      <c r="N807" t="s">
        <v>77</v>
      </c>
    </row>
    <row r="808" spans="1:20" x14ac:dyDescent="0.25">
      <c r="A808" t="s">
        <v>762</v>
      </c>
      <c r="B808" s="4" t="s">
        <v>10</v>
      </c>
      <c r="C808" s="4" t="s">
        <v>73</v>
      </c>
      <c r="D808" s="4">
        <v>46139</v>
      </c>
      <c r="E808" s="5">
        <v>0.47100694444444446</v>
      </c>
      <c r="F808">
        <v>1</v>
      </c>
      <c r="G808" t="s">
        <v>82</v>
      </c>
      <c r="H808">
        <v>18.333333333333332</v>
      </c>
      <c r="M808" t="s">
        <v>76</v>
      </c>
      <c r="N808" t="s">
        <v>77</v>
      </c>
    </row>
    <row r="809" spans="1:20" x14ac:dyDescent="0.25">
      <c r="A809" t="s">
        <v>763</v>
      </c>
      <c r="B809" s="4" t="s">
        <v>10</v>
      </c>
      <c r="C809" s="4" t="s">
        <v>70</v>
      </c>
      <c r="D809" s="4">
        <v>46139</v>
      </c>
      <c r="E809" s="5">
        <v>0.4718518518518518</v>
      </c>
      <c r="F809">
        <v>1</v>
      </c>
      <c r="G809" t="s">
        <v>82</v>
      </c>
      <c r="H809">
        <v>61</v>
      </c>
      <c r="L809" t="s">
        <v>764</v>
      </c>
      <c r="M809" t="s">
        <v>71</v>
      </c>
      <c r="N809" t="s">
        <v>77</v>
      </c>
      <c r="O809">
        <v>1</v>
      </c>
      <c r="S809">
        <v>1</v>
      </c>
      <c r="T809">
        <v>28.75</v>
      </c>
    </row>
    <row r="810" spans="1:20" x14ac:dyDescent="0.25">
      <c r="A810" t="s">
        <v>764</v>
      </c>
      <c r="B810" s="4" t="s">
        <v>10</v>
      </c>
      <c r="C810" s="4" t="s">
        <v>73</v>
      </c>
      <c r="D810" s="4">
        <v>46139</v>
      </c>
      <c r="E810" s="5">
        <v>0.4718518518518518</v>
      </c>
      <c r="F810">
        <v>1</v>
      </c>
      <c r="G810" t="s">
        <v>82</v>
      </c>
      <c r="H810">
        <v>31.083333333333332</v>
      </c>
      <c r="M810" t="s">
        <v>74</v>
      </c>
      <c r="N810" t="s">
        <v>77</v>
      </c>
    </row>
    <row r="811" spans="1:20" x14ac:dyDescent="0.25">
      <c r="A811" t="s">
        <v>764</v>
      </c>
      <c r="B811" s="4" t="s">
        <v>10</v>
      </c>
      <c r="C811" s="4" t="s">
        <v>73</v>
      </c>
      <c r="D811" s="4">
        <v>46139</v>
      </c>
      <c r="E811" s="5">
        <v>0.4718518518518518</v>
      </c>
      <c r="F811">
        <v>1</v>
      </c>
      <c r="G811" t="s">
        <v>82</v>
      </c>
      <c r="H811">
        <v>31</v>
      </c>
      <c r="M811" t="s">
        <v>74</v>
      </c>
      <c r="N811" t="s">
        <v>77</v>
      </c>
    </row>
    <row r="812" spans="1:20" x14ac:dyDescent="0.25">
      <c r="A812" t="s">
        <v>764</v>
      </c>
      <c r="B812" s="4" t="s">
        <v>10</v>
      </c>
      <c r="C812" s="4" t="s">
        <v>73</v>
      </c>
      <c r="D812" s="4">
        <v>46139</v>
      </c>
      <c r="E812" s="5">
        <v>0.47211805555555553</v>
      </c>
      <c r="F812">
        <v>1</v>
      </c>
      <c r="G812" t="s">
        <v>82</v>
      </c>
      <c r="H812">
        <v>28.75</v>
      </c>
      <c r="M812" t="s">
        <v>76</v>
      </c>
      <c r="N812" t="s">
        <v>77</v>
      </c>
    </row>
    <row r="813" spans="1:20" x14ac:dyDescent="0.25">
      <c r="A813" t="s">
        <v>766</v>
      </c>
      <c r="B813" s="4" t="s">
        <v>10</v>
      </c>
      <c r="C813" s="4" t="s">
        <v>70</v>
      </c>
      <c r="D813" s="4">
        <v>46139</v>
      </c>
      <c r="E813" s="5">
        <v>0.47293981481481479</v>
      </c>
      <c r="F813">
        <v>1</v>
      </c>
      <c r="G813" t="s">
        <v>82</v>
      </c>
      <c r="H813">
        <v>8</v>
      </c>
      <c r="L813" t="s">
        <v>767</v>
      </c>
      <c r="M813" t="s">
        <v>71</v>
      </c>
      <c r="N813" t="s">
        <v>77</v>
      </c>
      <c r="O813">
        <v>1</v>
      </c>
      <c r="R813">
        <v>1</v>
      </c>
      <c r="S813">
        <v>1</v>
      </c>
      <c r="T813">
        <v>9.6666666666666661</v>
      </c>
    </row>
    <row r="814" spans="1:20" x14ac:dyDescent="0.25">
      <c r="A814" t="s">
        <v>767</v>
      </c>
      <c r="B814" s="4" t="s">
        <v>10</v>
      </c>
      <c r="C814" s="4" t="s">
        <v>73</v>
      </c>
      <c r="D814" s="4">
        <v>46139</v>
      </c>
      <c r="E814" s="5">
        <v>0.47293981481481479</v>
      </c>
      <c r="F814">
        <v>1</v>
      </c>
      <c r="G814" t="s">
        <v>82</v>
      </c>
      <c r="H814">
        <v>9.6666666666666661</v>
      </c>
      <c r="M814" t="s">
        <v>74</v>
      </c>
      <c r="N814" t="s">
        <v>77</v>
      </c>
    </row>
    <row r="815" spans="1:20" x14ac:dyDescent="0.25">
      <c r="A815" t="s">
        <v>767</v>
      </c>
      <c r="B815" s="4" t="s">
        <v>10</v>
      </c>
      <c r="C815" s="4" t="s">
        <v>73</v>
      </c>
      <c r="D815" s="4">
        <v>46139</v>
      </c>
      <c r="E815" s="5">
        <v>0.47293981481481479</v>
      </c>
      <c r="F815">
        <v>1</v>
      </c>
      <c r="G815" t="s">
        <v>82</v>
      </c>
      <c r="H815">
        <v>9.5833333333333339</v>
      </c>
      <c r="M815" t="s">
        <v>74</v>
      </c>
      <c r="N815" t="s">
        <v>77</v>
      </c>
    </row>
    <row r="816" spans="1:20" x14ac:dyDescent="0.25">
      <c r="A816" t="s">
        <v>767</v>
      </c>
      <c r="B816" s="4" t="s">
        <v>10</v>
      </c>
      <c r="C816" s="4" t="s">
        <v>73</v>
      </c>
      <c r="D816" s="4">
        <v>46139</v>
      </c>
      <c r="E816" s="5">
        <v>0.47319444444444447</v>
      </c>
      <c r="F816">
        <v>1</v>
      </c>
      <c r="G816" t="s">
        <v>82</v>
      </c>
      <c r="H816">
        <v>9.6666666666666661</v>
      </c>
      <c r="M816" t="s">
        <v>76</v>
      </c>
      <c r="N816" t="s">
        <v>77</v>
      </c>
    </row>
    <row r="817" spans="1:20" x14ac:dyDescent="0.25">
      <c r="A817" t="s">
        <v>770</v>
      </c>
      <c r="B817" s="4" t="s">
        <v>10</v>
      </c>
      <c r="C817" s="4" t="s">
        <v>73</v>
      </c>
      <c r="D817" s="4">
        <v>46139</v>
      </c>
      <c r="E817" s="5">
        <v>0.47393518518518513</v>
      </c>
      <c r="F817">
        <v>1</v>
      </c>
      <c r="G817" t="s">
        <v>82</v>
      </c>
      <c r="H817">
        <v>42.583333333333336</v>
      </c>
      <c r="M817" t="s">
        <v>76</v>
      </c>
      <c r="N817" t="s">
        <v>80</v>
      </c>
    </row>
    <row r="818" spans="1:20" x14ac:dyDescent="0.25">
      <c r="A818" t="s">
        <v>771</v>
      </c>
      <c r="B818" s="4" t="s">
        <v>10</v>
      </c>
      <c r="C818" s="4" t="s">
        <v>70</v>
      </c>
      <c r="D818" s="4">
        <v>46139</v>
      </c>
      <c r="E818" s="5">
        <v>0.47447916666666662</v>
      </c>
      <c r="F818">
        <v>1</v>
      </c>
      <c r="G818" t="s">
        <v>82</v>
      </c>
      <c r="H818">
        <v>9.25</v>
      </c>
      <c r="L818" t="s">
        <v>772</v>
      </c>
      <c r="M818" t="s">
        <v>71</v>
      </c>
      <c r="N818" t="s">
        <v>77</v>
      </c>
      <c r="O818">
        <v>1</v>
      </c>
      <c r="R818">
        <v>1</v>
      </c>
      <c r="S818">
        <v>1</v>
      </c>
      <c r="T818">
        <v>18.25</v>
      </c>
    </row>
    <row r="819" spans="1:20" x14ac:dyDescent="0.25">
      <c r="A819" t="s">
        <v>772</v>
      </c>
      <c r="B819" s="4" t="s">
        <v>10</v>
      </c>
      <c r="C819" s="4" t="s">
        <v>73</v>
      </c>
      <c r="D819" s="4">
        <v>46139</v>
      </c>
      <c r="E819" s="5">
        <v>0.47447916666666662</v>
      </c>
      <c r="F819">
        <v>1</v>
      </c>
      <c r="G819" t="s">
        <v>82</v>
      </c>
      <c r="H819">
        <v>18.5</v>
      </c>
      <c r="M819" t="s">
        <v>74</v>
      </c>
      <c r="N819" t="s">
        <v>77</v>
      </c>
    </row>
    <row r="820" spans="1:20" x14ac:dyDescent="0.25">
      <c r="A820" t="s">
        <v>772</v>
      </c>
      <c r="B820" s="4" t="s">
        <v>10</v>
      </c>
      <c r="C820" s="4" t="s">
        <v>73</v>
      </c>
      <c r="D820" s="4">
        <v>46139</v>
      </c>
      <c r="E820" s="5">
        <v>0.47447916666666662</v>
      </c>
      <c r="F820">
        <v>1</v>
      </c>
      <c r="G820" t="s">
        <v>82</v>
      </c>
      <c r="H820">
        <v>18.416666666666664</v>
      </c>
      <c r="M820" t="s">
        <v>74</v>
      </c>
      <c r="N820" t="s">
        <v>77</v>
      </c>
    </row>
    <row r="821" spans="1:20" x14ac:dyDescent="0.25">
      <c r="A821" t="s">
        <v>772</v>
      </c>
      <c r="B821" s="4" t="s">
        <v>10</v>
      </c>
      <c r="C821" s="4" t="s">
        <v>73</v>
      </c>
      <c r="D821" s="4">
        <v>46139</v>
      </c>
      <c r="E821" s="5">
        <v>0.47484953703703703</v>
      </c>
      <c r="F821">
        <v>1</v>
      </c>
      <c r="G821" t="s">
        <v>82</v>
      </c>
      <c r="H821">
        <v>18.25</v>
      </c>
      <c r="M821" t="s">
        <v>76</v>
      </c>
      <c r="N821" t="s">
        <v>77</v>
      </c>
    </row>
    <row r="822" spans="1:20" x14ac:dyDescent="0.25">
      <c r="A822" t="s">
        <v>777</v>
      </c>
      <c r="B822" s="4" t="s">
        <v>10</v>
      </c>
      <c r="C822" s="4" t="s">
        <v>70</v>
      </c>
      <c r="D822" s="4">
        <v>46139</v>
      </c>
      <c r="E822" s="5">
        <v>0.47572916666666665</v>
      </c>
      <c r="F822">
        <v>1</v>
      </c>
      <c r="G822" t="s">
        <v>82</v>
      </c>
      <c r="H822">
        <v>23.5</v>
      </c>
      <c r="L822" t="s">
        <v>778</v>
      </c>
      <c r="M822" t="s">
        <v>71</v>
      </c>
      <c r="N822" t="s">
        <v>77</v>
      </c>
      <c r="O822">
        <v>1</v>
      </c>
      <c r="S822">
        <v>1</v>
      </c>
      <c r="T822">
        <v>42.25</v>
      </c>
    </row>
    <row r="823" spans="1:20" x14ac:dyDescent="0.25">
      <c r="A823" t="s">
        <v>778</v>
      </c>
      <c r="B823" s="4" t="s">
        <v>10</v>
      </c>
      <c r="C823" s="4" t="s">
        <v>73</v>
      </c>
      <c r="D823" s="4">
        <v>46139</v>
      </c>
      <c r="E823" s="5">
        <v>0.47572916666666665</v>
      </c>
      <c r="F823">
        <v>1</v>
      </c>
      <c r="G823" t="s">
        <v>82</v>
      </c>
      <c r="H823">
        <v>42.25</v>
      </c>
      <c r="M823" t="s">
        <v>79</v>
      </c>
      <c r="N823" t="s">
        <v>77</v>
      </c>
    </row>
    <row r="824" spans="1:20" x14ac:dyDescent="0.25">
      <c r="A824" t="s">
        <v>778</v>
      </c>
      <c r="B824" s="4" t="s">
        <v>10</v>
      </c>
      <c r="C824" s="4" t="s">
        <v>73</v>
      </c>
      <c r="D824" s="4">
        <v>46139</v>
      </c>
      <c r="E824" s="5">
        <v>0.47572916666666665</v>
      </c>
      <c r="F824">
        <v>1</v>
      </c>
      <c r="G824" t="s">
        <v>82</v>
      </c>
      <c r="H824">
        <v>42.166666666666664</v>
      </c>
      <c r="M824" t="s">
        <v>79</v>
      </c>
      <c r="N824" t="s">
        <v>77</v>
      </c>
    </row>
    <row r="825" spans="1:20" x14ac:dyDescent="0.25">
      <c r="A825" t="s">
        <v>778</v>
      </c>
      <c r="B825" s="4" t="s">
        <v>10</v>
      </c>
      <c r="C825" s="4" t="s">
        <v>73</v>
      </c>
      <c r="D825" s="4">
        <v>46139</v>
      </c>
      <c r="E825" s="5">
        <v>0.47598379629629628</v>
      </c>
      <c r="F825">
        <v>1</v>
      </c>
      <c r="G825" t="s">
        <v>82</v>
      </c>
      <c r="H825">
        <v>42.25</v>
      </c>
      <c r="M825" t="s">
        <v>76</v>
      </c>
      <c r="N825" t="s">
        <v>77</v>
      </c>
    </row>
    <row r="826" spans="1:20" x14ac:dyDescent="0.25">
      <c r="A826" t="s">
        <v>779</v>
      </c>
      <c r="B826" s="4" t="s">
        <v>10</v>
      </c>
      <c r="C826" s="4" t="s">
        <v>70</v>
      </c>
      <c r="D826" s="4">
        <v>46139</v>
      </c>
      <c r="E826" s="5">
        <v>0.47677083333333331</v>
      </c>
      <c r="F826">
        <v>1</v>
      </c>
      <c r="G826" t="s">
        <v>82</v>
      </c>
      <c r="H826">
        <v>8</v>
      </c>
      <c r="L826" t="s">
        <v>780</v>
      </c>
      <c r="M826" t="s">
        <v>71</v>
      </c>
      <c r="N826" t="s">
        <v>77</v>
      </c>
      <c r="O826">
        <v>1</v>
      </c>
      <c r="S826">
        <v>1</v>
      </c>
      <c r="T826">
        <v>50.916666666666671</v>
      </c>
    </row>
    <row r="827" spans="1:20" x14ac:dyDescent="0.25">
      <c r="A827" t="s">
        <v>780</v>
      </c>
      <c r="B827" s="4" t="s">
        <v>10</v>
      </c>
      <c r="C827" s="4" t="s">
        <v>73</v>
      </c>
      <c r="D827" s="4">
        <v>46139</v>
      </c>
      <c r="E827" s="5">
        <v>0.47677083333333331</v>
      </c>
      <c r="F827">
        <v>1</v>
      </c>
      <c r="G827" t="s">
        <v>82</v>
      </c>
      <c r="H827">
        <v>50.666666666666657</v>
      </c>
      <c r="M827" t="s">
        <v>74</v>
      </c>
      <c r="N827" t="s">
        <v>77</v>
      </c>
    </row>
    <row r="828" spans="1:20" x14ac:dyDescent="0.25">
      <c r="A828" t="s">
        <v>780</v>
      </c>
      <c r="B828" s="4" t="s">
        <v>10</v>
      </c>
      <c r="C828" s="4" t="s">
        <v>73</v>
      </c>
      <c r="D828" s="4">
        <v>46139</v>
      </c>
      <c r="E828" s="5">
        <v>0.47719907407407408</v>
      </c>
      <c r="F828">
        <v>1</v>
      </c>
      <c r="G828" t="s">
        <v>82</v>
      </c>
      <c r="H828">
        <v>50.916666666666671</v>
      </c>
      <c r="M828" t="s">
        <v>76</v>
      </c>
      <c r="N828" t="s">
        <v>77</v>
      </c>
    </row>
    <row r="829" spans="1:20" x14ac:dyDescent="0.25">
      <c r="A829" t="s">
        <v>783</v>
      </c>
      <c r="B829" s="4" t="s">
        <v>10</v>
      </c>
      <c r="C829" s="4" t="s">
        <v>73</v>
      </c>
      <c r="D829" s="4">
        <v>46139</v>
      </c>
      <c r="E829" s="5">
        <v>0.47810185185185178</v>
      </c>
      <c r="F829">
        <v>1</v>
      </c>
      <c r="G829" t="s">
        <v>82</v>
      </c>
      <c r="H829">
        <v>75.75</v>
      </c>
      <c r="M829" t="s">
        <v>74</v>
      </c>
      <c r="N829" t="s">
        <v>77</v>
      </c>
    </row>
    <row r="830" spans="1:20" x14ac:dyDescent="0.25">
      <c r="A830" t="s">
        <v>786</v>
      </c>
      <c r="B830" s="4" t="s">
        <v>10</v>
      </c>
      <c r="C830" s="4" t="s">
        <v>70</v>
      </c>
      <c r="D830" s="4">
        <v>46139</v>
      </c>
      <c r="E830" s="5">
        <v>0.47826388888888882</v>
      </c>
      <c r="F830">
        <v>1</v>
      </c>
      <c r="G830" t="s">
        <v>82</v>
      </c>
      <c r="H830">
        <v>9</v>
      </c>
      <c r="L830" t="s">
        <v>783</v>
      </c>
      <c r="M830" t="s">
        <v>71</v>
      </c>
      <c r="N830" t="s">
        <v>77</v>
      </c>
      <c r="O830">
        <v>1</v>
      </c>
      <c r="S830">
        <v>1</v>
      </c>
      <c r="T830">
        <v>65.583333333333329</v>
      </c>
    </row>
    <row r="831" spans="1:20" x14ac:dyDescent="0.25">
      <c r="A831" t="s">
        <v>783</v>
      </c>
      <c r="B831" s="4" t="s">
        <v>10</v>
      </c>
      <c r="C831" s="4" t="s">
        <v>73</v>
      </c>
      <c r="D831" s="4">
        <v>46139</v>
      </c>
      <c r="E831" s="5">
        <v>0.47826388888888882</v>
      </c>
      <c r="F831">
        <v>1</v>
      </c>
      <c r="G831" t="s">
        <v>82</v>
      </c>
      <c r="H831">
        <v>66.75</v>
      </c>
      <c r="L831" s="21"/>
      <c r="M831" t="s">
        <v>74</v>
      </c>
      <c r="N831" t="s">
        <v>77</v>
      </c>
    </row>
    <row r="832" spans="1:20" x14ac:dyDescent="0.25">
      <c r="A832" t="s">
        <v>783</v>
      </c>
      <c r="B832" s="4" t="s">
        <v>10</v>
      </c>
      <c r="C832" s="4" t="s">
        <v>73</v>
      </c>
      <c r="D832" s="4">
        <v>46139</v>
      </c>
      <c r="E832" s="5">
        <v>0.47826388888888882</v>
      </c>
      <c r="F832">
        <v>1</v>
      </c>
      <c r="G832" t="s">
        <v>82</v>
      </c>
      <c r="H832">
        <v>66.666666666666671</v>
      </c>
      <c r="M832" t="s">
        <v>74</v>
      </c>
      <c r="N832" t="s">
        <v>77</v>
      </c>
    </row>
    <row r="833" spans="1:20" x14ac:dyDescent="0.25">
      <c r="A833" t="s">
        <v>783</v>
      </c>
      <c r="B833" s="4" t="s">
        <v>10</v>
      </c>
      <c r="C833" s="4" t="s">
        <v>73</v>
      </c>
      <c r="D833" s="4">
        <v>46139</v>
      </c>
      <c r="E833" s="5">
        <v>0.47869212962962959</v>
      </c>
      <c r="F833">
        <v>1</v>
      </c>
      <c r="G833" t="s">
        <v>82</v>
      </c>
      <c r="H833">
        <v>65.583333333333329</v>
      </c>
      <c r="M833" t="s">
        <v>76</v>
      </c>
      <c r="N833" t="s">
        <v>77</v>
      </c>
    </row>
    <row r="834" spans="1:20" x14ac:dyDescent="0.25">
      <c r="A834" t="s">
        <v>789</v>
      </c>
      <c r="B834" s="4" t="s">
        <v>10</v>
      </c>
      <c r="C834" s="4" t="s">
        <v>70</v>
      </c>
      <c r="D834" s="4">
        <v>46139</v>
      </c>
      <c r="E834" s="5">
        <v>0.47960648148148149</v>
      </c>
      <c r="F834">
        <v>1</v>
      </c>
      <c r="G834" t="s">
        <v>82</v>
      </c>
      <c r="H834">
        <v>29</v>
      </c>
      <c r="L834" t="s">
        <v>790</v>
      </c>
      <c r="M834" t="s">
        <v>71</v>
      </c>
      <c r="N834" t="s">
        <v>75</v>
      </c>
      <c r="O834">
        <v>1</v>
      </c>
      <c r="S834">
        <v>1</v>
      </c>
      <c r="T834">
        <v>46.666666666666664</v>
      </c>
    </row>
    <row r="835" spans="1:20" x14ac:dyDescent="0.25">
      <c r="A835" t="s">
        <v>790</v>
      </c>
      <c r="B835" s="4" t="s">
        <v>10</v>
      </c>
      <c r="C835" s="4" t="s">
        <v>73</v>
      </c>
      <c r="D835" s="4">
        <v>46139</v>
      </c>
      <c r="E835" s="5">
        <v>0.47960648148148149</v>
      </c>
      <c r="F835">
        <v>1</v>
      </c>
      <c r="G835" t="s">
        <v>82</v>
      </c>
      <c r="H835">
        <v>47.166666666666664</v>
      </c>
      <c r="M835" t="s">
        <v>79</v>
      </c>
      <c r="N835" t="s">
        <v>75</v>
      </c>
    </row>
    <row r="836" spans="1:20" x14ac:dyDescent="0.25">
      <c r="A836" t="s">
        <v>790</v>
      </c>
      <c r="B836" s="4" t="s">
        <v>10</v>
      </c>
      <c r="C836" s="4" t="s">
        <v>73</v>
      </c>
      <c r="D836" s="4">
        <v>46139</v>
      </c>
      <c r="E836" s="5">
        <v>0.47960648148148149</v>
      </c>
      <c r="F836">
        <v>1</v>
      </c>
      <c r="G836" t="s">
        <v>82</v>
      </c>
      <c r="H836">
        <v>47.083333333333329</v>
      </c>
      <c r="M836" t="s">
        <v>79</v>
      </c>
      <c r="N836" t="s">
        <v>75</v>
      </c>
    </row>
    <row r="837" spans="1:20" x14ac:dyDescent="0.25">
      <c r="A837" t="s">
        <v>790</v>
      </c>
      <c r="B837" s="4" t="s">
        <v>10</v>
      </c>
      <c r="C837" s="4" t="s">
        <v>73</v>
      </c>
      <c r="D837" s="4">
        <v>46139</v>
      </c>
      <c r="E837" s="5">
        <v>0.47986111111111107</v>
      </c>
      <c r="F837">
        <v>1</v>
      </c>
      <c r="G837" t="s">
        <v>82</v>
      </c>
      <c r="H837">
        <v>46.666666666666664</v>
      </c>
      <c r="M837" t="s">
        <v>76</v>
      </c>
      <c r="N837" t="s">
        <v>75</v>
      </c>
    </row>
    <row r="838" spans="1:20" x14ac:dyDescent="0.25">
      <c r="A838" t="s">
        <v>792</v>
      </c>
      <c r="B838" s="4" t="s">
        <v>10</v>
      </c>
      <c r="C838" s="4" t="s">
        <v>70</v>
      </c>
      <c r="D838" s="4">
        <v>46139</v>
      </c>
      <c r="E838" s="5">
        <v>0.48045138888888883</v>
      </c>
      <c r="F838">
        <v>1</v>
      </c>
      <c r="G838" t="s">
        <v>82</v>
      </c>
      <c r="H838">
        <v>11.75</v>
      </c>
      <c r="L838" t="s">
        <v>793</v>
      </c>
      <c r="M838" t="s">
        <v>71</v>
      </c>
      <c r="N838" t="s">
        <v>80</v>
      </c>
      <c r="O838">
        <v>1</v>
      </c>
      <c r="R838">
        <v>1</v>
      </c>
      <c r="S838">
        <v>1</v>
      </c>
      <c r="T838">
        <v>8.3333333333333339</v>
      </c>
    </row>
    <row r="839" spans="1:20" x14ac:dyDescent="0.25">
      <c r="A839" t="s">
        <v>793</v>
      </c>
      <c r="B839" s="4" t="s">
        <v>10</v>
      </c>
      <c r="C839" s="4" t="s">
        <v>73</v>
      </c>
      <c r="D839" s="4">
        <v>46139</v>
      </c>
      <c r="E839" s="5">
        <v>0.48045138888888883</v>
      </c>
      <c r="F839">
        <v>1</v>
      </c>
      <c r="G839" t="s">
        <v>82</v>
      </c>
      <c r="H839">
        <v>10.833333333333332</v>
      </c>
      <c r="M839" t="s">
        <v>74</v>
      </c>
      <c r="N839" t="s">
        <v>80</v>
      </c>
    </row>
    <row r="840" spans="1:20" x14ac:dyDescent="0.25">
      <c r="A840" t="s">
        <v>793</v>
      </c>
      <c r="B840" s="4" t="s">
        <v>10</v>
      </c>
      <c r="C840" s="4" t="s">
        <v>73</v>
      </c>
      <c r="D840" s="4">
        <v>46139</v>
      </c>
      <c r="E840" s="5">
        <v>0.48045138888888883</v>
      </c>
      <c r="F840">
        <v>1</v>
      </c>
      <c r="G840" t="s">
        <v>82</v>
      </c>
      <c r="H840">
        <v>10.75</v>
      </c>
      <c r="M840" t="s">
        <v>74</v>
      </c>
      <c r="N840" t="s">
        <v>80</v>
      </c>
    </row>
    <row r="841" spans="1:20" x14ac:dyDescent="0.25">
      <c r="A841" t="s">
        <v>793</v>
      </c>
      <c r="B841" s="4" t="s">
        <v>10</v>
      </c>
      <c r="C841" s="4" t="s">
        <v>73</v>
      </c>
      <c r="D841" s="4">
        <v>46139</v>
      </c>
      <c r="E841" s="5">
        <v>0.4807291666666666</v>
      </c>
      <c r="F841">
        <v>1</v>
      </c>
      <c r="G841" t="s">
        <v>82</v>
      </c>
      <c r="H841">
        <v>8.3333333333333339</v>
      </c>
      <c r="M841" t="s">
        <v>76</v>
      </c>
      <c r="N841" t="s">
        <v>80</v>
      </c>
    </row>
    <row r="842" spans="1:20" x14ac:dyDescent="0.25">
      <c r="A842" t="s">
        <v>794</v>
      </c>
      <c r="B842" s="4" t="s">
        <v>10</v>
      </c>
      <c r="C842" s="4" t="s">
        <v>70</v>
      </c>
      <c r="D842" s="4">
        <v>46139</v>
      </c>
      <c r="E842" s="5">
        <v>0.481412037037037</v>
      </c>
      <c r="F842">
        <v>1</v>
      </c>
      <c r="G842" t="s">
        <v>82</v>
      </c>
      <c r="H842">
        <v>75</v>
      </c>
      <c r="L842" t="s">
        <v>795</v>
      </c>
      <c r="M842" t="s">
        <v>71</v>
      </c>
      <c r="N842" t="s">
        <v>75</v>
      </c>
      <c r="O842">
        <v>1</v>
      </c>
      <c r="S842">
        <v>1</v>
      </c>
      <c r="T842">
        <v>73.5</v>
      </c>
    </row>
    <row r="843" spans="1:20" x14ac:dyDescent="0.25">
      <c r="A843" t="s">
        <v>795</v>
      </c>
      <c r="B843" s="4" t="s">
        <v>10</v>
      </c>
      <c r="C843" s="4" t="s">
        <v>73</v>
      </c>
      <c r="D843" s="4">
        <v>46139</v>
      </c>
      <c r="E843" s="5">
        <v>0.481412037037037</v>
      </c>
      <c r="F843">
        <v>1</v>
      </c>
      <c r="G843" t="s">
        <v>82</v>
      </c>
      <c r="H843">
        <v>74.25</v>
      </c>
      <c r="M843" t="s">
        <v>79</v>
      </c>
      <c r="N843" t="s">
        <v>75</v>
      </c>
    </row>
    <row r="844" spans="1:20" x14ac:dyDescent="0.25">
      <c r="A844" t="s">
        <v>795</v>
      </c>
      <c r="B844" s="4" t="s">
        <v>10</v>
      </c>
      <c r="C844" s="4" t="s">
        <v>73</v>
      </c>
      <c r="D844" s="4">
        <v>46139</v>
      </c>
      <c r="E844" s="5">
        <v>0.48168981481481477</v>
      </c>
      <c r="F844">
        <v>1</v>
      </c>
      <c r="G844" t="s">
        <v>82</v>
      </c>
      <c r="H844">
        <v>73.5</v>
      </c>
      <c r="M844" t="s">
        <v>76</v>
      </c>
      <c r="N844" t="s">
        <v>75</v>
      </c>
    </row>
    <row r="845" spans="1:20" x14ac:dyDescent="0.25">
      <c r="A845" t="s">
        <v>799</v>
      </c>
      <c r="B845" s="4" t="s">
        <v>10</v>
      </c>
      <c r="C845" s="4" t="s">
        <v>70</v>
      </c>
      <c r="D845" s="4">
        <v>46139</v>
      </c>
      <c r="E845" s="5">
        <v>0.48253472222222216</v>
      </c>
      <c r="F845">
        <v>1</v>
      </c>
      <c r="G845" t="s">
        <v>82</v>
      </c>
      <c r="H845">
        <v>103</v>
      </c>
      <c r="L845" t="s">
        <v>800</v>
      </c>
      <c r="M845" t="s">
        <v>71</v>
      </c>
      <c r="N845" t="s">
        <v>75</v>
      </c>
      <c r="O845">
        <v>1</v>
      </c>
      <c r="S845">
        <v>1</v>
      </c>
      <c r="T845">
        <v>180.66666666666666</v>
      </c>
    </row>
    <row r="846" spans="1:20" x14ac:dyDescent="0.25">
      <c r="A846" t="s">
        <v>800</v>
      </c>
      <c r="B846" s="4" t="s">
        <v>10</v>
      </c>
      <c r="C846" s="4" t="s">
        <v>73</v>
      </c>
      <c r="D846" s="4">
        <v>46139</v>
      </c>
      <c r="E846" s="5">
        <v>0.48253472222222216</v>
      </c>
      <c r="F846">
        <v>1</v>
      </c>
      <c r="G846" t="s">
        <v>82</v>
      </c>
      <c r="H846">
        <v>180.75</v>
      </c>
      <c r="M846" t="s">
        <v>79</v>
      </c>
      <c r="N846" t="s">
        <v>75</v>
      </c>
    </row>
    <row r="847" spans="1:20" x14ac:dyDescent="0.25">
      <c r="A847" t="s">
        <v>800</v>
      </c>
      <c r="B847" s="4" t="s">
        <v>10</v>
      </c>
      <c r="C847" s="4" t="s">
        <v>73</v>
      </c>
      <c r="D847" s="4">
        <v>46139</v>
      </c>
      <c r="E847" s="5">
        <v>0.48253472222222216</v>
      </c>
      <c r="F847">
        <v>1</v>
      </c>
      <c r="G847" t="s">
        <v>82</v>
      </c>
      <c r="H847">
        <v>180.66666666666666</v>
      </c>
      <c r="M847" t="s">
        <v>79</v>
      </c>
      <c r="N847" t="s">
        <v>75</v>
      </c>
    </row>
    <row r="848" spans="1:20" x14ac:dyDescent="0.25">
      <c r="A848" t="s">
        <v>800</v>
      </c>
      <c r="B848" s="4" t="s">
        <v>10</v>
      </c>
      <c r="C848" s="4" t="s">
        <v>73</v>
      </c>
      <c r="D848" s="4">
        <v>46139</v>
      </c>
      <c r="E848" s="5">
        <v>0.4826273148148148</v>
      </c>
      <c r="F848">
        <v>1</v>
      </c>
      <c r="G848" t="s">
        <v>82</v>
      </c>
      <c r="H848">
        <v>180.66666666666666</v>
      </c>
      <c r="M848" t="s">
        <v>76</v>
      </c>
      <c r="N848" t="s">
        <v>75</v>
      </c>
    </row>
    <row r="849" spans="1:21" x14ac:dyDescent="0.25">
      <c r="A849" t="s">
        <v>804</v>
      </c>
      <c r="B849" s="4" t="s">
        <v>10</v>
      </c>
      <c r="C849" s="4" t="s">
        <v>70</v>
      </c>
      <c r="D849" s="4">
        <v>46139</v>
      </c>
      <c r="E849" s="5">
        <v>0.48362268518518514</v>
      </c>
      <c r="F849">
        <v>1</v>
      </c>
      <c r="G849" t="s">
        <v>82</v>
      </c>
      <c r="H849">
        <v>76.5</v>
      </c>
      <c r="L849" t="s">
        <v>805</v>
      </c>
      <c r="M849" t="s">
        <v>71</v>
      </c>
      <c r="N849" t="s">
        <v>75</v>
      </c>
      <c r="O849">
        <v>1</v>
      </c>
      <c r="R849">
        <v>1</v>
      </c>
      <c r="S849">
        <v>1</v>
      </c>
      <c r="T849">
        <v>21.583333333333332</v>
      </c>
    </row>
    <row r="850" spans="1:21" x14ac:dyDescent="0.25">
      <c r="A850" t="s">
        <v>805</v>
      </c>
      <c r="B850" s="4" t="s">
        <v>10</v>
      </c>
      <c r="C850" s="4" t="s">
        <v>73</v>
      </c>
      <c r="D850" s="4">
        <v>46139</v>
      </c>
      <c r="E850" s="5">
        <v>0.48362268518518514</v>
      </c>
      <c r="F850">
        <v>1</v>
      </c>
      <c r="G850" t="s">
        <v>82</v>
      </c>
      <c r="H850">
        <v>22.25</v>
      </c>
      <c r="M850" t="s">
        <v>79</v>
      </c>
      <c r="N850" t="s">
        <v>75</v>
      </c>
    </row>
    <row r="851" spans="1:21" x14ac:dyDescent="0.25">
      <c r="A851" t="s">
        <v>805</v>
      </c>
      <c r="B851" s="4" t="s">
        <v>10</v>
      </c>
      <c r="C851" s="4" t="s">
        <v>73</v>
      </c>
      <c r="D851" s="4">
        <v>46139</v>
      </c>
      <c r="E851" s="5">
        <v>0.48362268518518514</v>
      </c>
      <c r="F851">
        <v>1</v>
      </c>
      <c r="G851" t="s">
        <v>82</v>
      </c>
      <c r="H851">
        <v>22.166666666666668</v>
      </c>
      <c r="M851" t="s">
        <v>79</v>
      </c>
      <c r="N851" t="s">
        <v>75</v>
      </c>
    </row>
    <row r="852" spans="1:21" x14ac:dyDescent="0.25">
      <c r="A852" t="s">
        <v>805</v>
      </c>
      <c r="B852" s="4" t="s">
        <v>10</v>
      </c>
      <c r="C852" s="4" t="s">
        <v>73</v>
      </c>
      <c r="D852" s="4">
        <v>46139</v>
      </c>
      <c r="E852" s="5">
        <v>0.48387731481481477</v>
      </c>
      <c r="F852">
        <v>1</v>
      </c>
      <c r="G852" t="s">
        <v>82</v>
      </c>
      <c r="H852">
        <v>21.583333333333332</v>
      </c>
      <c r="M852" t="s">
        <v>76</v>
      </c>
      <c r="N852" t="s">
        <v>75</v>
      </c>
    </row>
    <row r="853" spans="1:21" x14ac:dyDescent="0.25">
      <c r="A853" t="s">
        <v>808</v>
      </c>
      <c r="B853" s="4" t="s">
        <v>10</v>
      </c>
      <c r="C853" s="4" t="s">
        <v>70</v>
      </c>
      <c r="D853" s="4">
        <v>46139</v>
      </c>
      <c r="E853" s="5">
        <v>0.48430555555555554</v>
      </c>
      <c r="F853">
        <v>1</v>
      </c>
      <c r="G853" t="s">
        <v>82</v>
      </c>
      <c r="H853">
        <v>14</v>
      </c>
      <c r="L853" t="s">
        <v>809</v>
      </c>
      <c r="M853" t="s">
        <v>71</v>
      </c>
      <c r="N853" t="s">
        <v>72</v>
      </c>
      <c r="O853">
        <v>1</v>
      </c>
      <c r="S853">
        <v>1</v>
      </c>
      <c r="T853">
        <v>49.416666666666664</v>
      </c>
    </row>
    <row r="854" spans="1:21" x14ac:dyDescent="0.25">
      <c r="A854" t="s">
        <v>809</v>
      </c>
      <c r="B854" s="4" t="s">
        <v>10</v>
      </c>
      <c r="C854" s="4" t="s">
        <v>73</v>
      </c>
      <c r="D854" s="4">
        <v>46139</v>
      </c>
      <c r="E854" s="5">
        <v>0.48430555555555554</v>
      </c>
      <c r="F854">
        <v>1</v>
      </c>
      <c r="G854" t="s">
        <v>82</v>
      </c>
      <c r="H854">
        <v>49.25</v>
      </c>
      <c r="M854" t="s">
        <v>810</v>
      </c>
      <c r="N854" t="s">
        <v>72</v>
      </c>
    </row>
    <row r="855" spans="1:21" x14ac:dyDescent="0.25">
      <c r="A855" t="s">
        <v>809</v>
      </c>
      <c r="B855" s="4" t="s">
        <v>10</v>
      </c>
      <c r="C855" s="4" t="s">
        <v>73</v>
      </c>
      <c r="D855" s="4">
        <v>46139</v>
      </c>
      <c r="E855" s="5">
        <v>0.48430555555555554</v>
      </c>
      <c r="F855">
        <v>1</v>
      </c>
      <c r="G855" t="s">
        <v>82</v>
      </c>
      <c r="H855">
        <v>49.166666666666664</v>
      </c>
      <c r="M855" t="s">
        <v>810</v>
      </c>
      <c r="N855" t="s">
        <v>72</v>
      </c>
    </row>
    <row r="856" spans="1:21" x14ac:dyDescent="0.25">
      <c r="A856" t="s">
        <v>809</v>
      </c>
      <c r="B856" s="4" t="s">
        <v>10</v>
      </c>
      <c r="C856" s="4" t="s">
        <v>73</v>
      </c>
      <c r="D856" s="4">
        <v>46139</v>
      </c>
      <c r="E856" s="5">
        <v>0.48460648148148144</v>
      </c>
      <c r="F856">
        <v>1</v>
      </c>
      <c r="G856" t="s">
        <v>82</v>
      </c>
      <c r="H856">
        <v>49.416666666666664</v>
      </c>
      <c r="M856" t="s">
        <v>76</v>
      </c>
      <c r="N856" t="s">
        <v>72</v>
      </c>
    </row>
    <row r="857" spans="1:21" x14ac:dyDescent="0.25">
      <c r="A857" t="s">
        <v>811</v>
      </c>
      <c r="B857" s="4" t="s">
        <v>10</v>
      </c>
      <c r="C857" s="4" t="s">
        <v>70</v>
      </c>
      <c r="D857" s="4">
        <v>46139</v>
      </c>
      <c r="E857" s="5">
        <v>0.4854282407407407</v>
      </c>
      <c r="F857">
        <v>1</v>
      </c>
      <c r="G857" t="s">
        <v>82</v>
      </c>
      <c r="H857">
        <v>20</v>
      </c>
      <c r="L857" t="s">
        <v>812</v>
      </c>
      <c r="M857" t="s">
        <v>71</v>
      </c>
      <c r="N857" t="s">
        <v>75</v>
      </c>
      <c r="O857">
        <v>1</v>
      </c>
      <c r="S857">
        <v>1</v>
      </c>
      <c r="T857">
        <v>54.583333333333329</v>
      </c>
    </row>
    <row r="858" spans="1:21" x14ac:dyDescent="0.25">
      <c r="A858" t="s">
        <v>812</v>
      </c>
      <c r="B858" s="4" t="s">
        <v>10</v>
      </c>
      <c r="C858" s="4" t="s">
        <v>73</v>
      </c>
      <c r="D858" s="4">
        <v>46139</v>
      </c>
      <c r="E858" s="5">
        <v>0.4854282407407407</v>
      </c>
      <c r="F858">
        <v>1</v>
      </c>
      <c r="G858" t="s">
        <v>82</v>
      </c>
      <c r="H858">
        <v>54.916666666666664</v>
      </c>
      <c r="M858" t="s">
        <v>74</v>
      </c>
      <c r="N858" t="s">
        <v>75</v>
      </c>
    </row>
    <row r="859" spans="1:21" x14ac:dyDescent="0.25">
      <c r="A859" t="s">
        <v>812</v>
      </c>
      <c r="B859" s="4" t="s">
        <v>10</v>
      </c>
      <c r="C859" s="4" t="s">
        <v>73</v>
      </c>
      <c r="D859" s="4">
        <v>46139</v>
      </c>
      <c r="E859" s="5">
        <v>0.4854282407407407</v>
      </c>
      <c r="F859">
        <v>1</v>
      </c>
      <c r="G859" t="s">
        <v>82</v>
      </c>
      <c r="H859">
        <v>54.833333333333336</v>
      </c>
      <c r="M859" t="s">
        <v>74</v>
      </c>
      <c r="N859" t="s">
        <v>75</v>
      </c>
    </row>
    <row r="860" spans="1:21" x14ac:dyDescent="0.25">
      <c r="A860" t="s">
        <v>812</v>
      </c>
      <c r="B860" s="4" t="s">
        <v>10</v>
      </c>
      <c r="C860" s="4" t="s">
        <v>73</v>
      </c>
      <c r="D860" s="4">
        <v>46139</v>
      </c>
      <c r="E860" s="5">
        <v>0.4856712962962963</v>
      </c>
      <c r="F860">
        <v>1</v>
      </c>
      <c r="G860" t="s">
        <v>82</v>
      </c>
      <c r="H860">
        <v>54.583333333333329</v>
      </c>
      <c r="M860" t="s">
        <v>76</v>
      </c>
      <c r="N860" t="s">
        <v>75</v>
      </c>
    </row>
    <row r="861" spans="1:21" x14ac:dyDescent="0.25">
      <c r="A861" t="s">
        <v>816</v>
      </c>
      <c r="B861" s="4" t="s">
        <v>10</v>
      </c>
      <c r="C861" s="4" t="s">
        <v>70</v>
      </c>
      <c r="D861" s="4">
        <v>46139</v>
      </c>
      <c r="E861" s="5">
        <v>0.48631944444444447</v>
      </c>
      <c r="F861">
        <v>1</v>
      </c>
      <c r="G861" t="s">
        <v>82</v>
      </c>
      <c r="H861">
        <v>38</v>
      </c>
      <c r="L861" t="s">
        <v>817</v>
      </c>
      <c r="M861" t="s">
        <v>71</v>
      </c>
      <c r="N861" t="s">
        <v>75</v>
      </c>
      <c r="O861">
        <v>1</v>
      </c>
      <c r="Q861">
        <v>1</v>
      </c>
      <c r="S861">
        <v>1</v>
      </c>
      <c r="U861">
        <v>2.6666666666666665</v>
      </c>
    </row>
    <row r="862" spans="1:21" x14ac:dyDescent="0.25">
      <c r="A862" t="s">
        <v>817</v>
      </c>
      <c r="B862" s="4" t="s">
        <v>10</v>
      </c>
      <c r="C862" s="4" t="s">
        <v>73</v>
      </c>
      <c r="D862" s="4">
        <v>46139</v>
      </c>
      <c r="E862" s="5">
        <v>0.48631944444444447</v>
      </c>
      <c r="F862">
        <v>1</v>
      </c>
      <c r="G862" t="s">
        <v>82</v>
      </c>
      <c r="H862">
        <v>2.6666666666666665</v>
      </c>
      <c r="M862" t="s">
        <v>74</v>
      </c>
      <c r="N862" t="s">
        <v>75</v>
      </c>
    </row>
    <row r="863" spans="1:21" x14ac:dyDescent="0.25">
      <c r="A863" t="s">
        <v>817</v>
      </c>
      <c r="B863" s="4" t="s">
        <v>10</v>
      </c>
      <c r="C863" s="4" t="s">
        <v>73</v>
      </c>
      <c r="D863" s="4">
        <v>46139</v>
      </c>
      <c r="E863" s="5">
        <v>0.48631944444444447</v>
      </c>
      <c r="F863">
        <v>1</v>
      </c>
      <c r="G863" t="s">
        <v>82</v>
      </c>
      <c r="H863">
        <v>0</v>
      </c>
      <c r="M863" t="s">
        <v>74</v>
      </c>
      <c r="N863" t="s">
        <v>75</v>
      </c>
    </row>
    <row r="864" spans="1:21" x14ac:dyDescent="0.25">
      <c r="A864" t="s">
        <v>818</v>
      </c>
      <c r="B864" s="4" t="s">
        <v>10</v>
      </c>
      <c r="C864" s="4" t="s">
        <v>70</v>
      </c>
      <c r="D864" s="4">
        <v>46139</v>
      </c>
      <c r="E864" s="5">
        <v>0.48690972222222217</v>
      </c>
      <c r="F864">
        <v>1</v>
      </c>
      <c r="G864" t="s">
        <v>82</v>
      </c>
      <c r="H864">
        <v>14</v>
      </c>
      <c r="L864" t="s">
        <v>819</v>
      </c>
      <c r="M864" t="s">
        <v>71</v>
      </c>
      <c r="N864" t="s">
        <v>75</v>
      </c>
      <c r="O864">
        <v>1</v>
      </c>
      <c r="S864">
        <v>1</v>
      </c>
      <c r="T864">
        <v>82.25</v>
      </c>
    </row>
    <row r="865" spans="1:20" x14ac:dyDescent="0.25">
      <c r="A865" t="s">
        <v>819</v>
      </c>
      <c r="B865" s="4" t="s">
        <v>10</v>
      </c>
      <c r="C865" s="4" t="s">
        <v>73</v>
      </c>
      <c r="D865" s="4">
        <v>46139</v>
      </c>
      <c r="E865" s="5">
        <v>0.48690972222222217</v>
      </c>
      <c r="F865">
        <v>1</v>
      </c>
      <c r="G865" t="s">
        <v>82</v>
      </c>
      <c r="H865">
        <v>82.333333333333329</v>
      </c>
      <c r="M865" t="s">
        <v>74</v>
      </c>
      <c r="N865" t="s">
        <v>75</v>
      </c>
    </row>
    <row r="866" spans="1:20" x14ac:dyDescent="0.25">
      <c r="A866" t="s">
        <v>819</v>
      </c>
      <c r="B866" s="4" t="s">
        <v>10</v>
      </c>
      <c r="C866" s="4" t="s">
        <v>73</v>
      </c>
      <c r="D866" s="4">
        <v>46139</v>
      </c>
      <c r="E866" s="5">
        <v>0.48690972222222217</v>
      </c>
      <c r="F866">
        <v>1</v>
      </c>
      <c r="G866" t="s">
        <v>82</v>
      </c>
      <c r="H866">
        <v>82.25</v>
      </c>
      <c r="M866" t="s">
        <v>74</v>
      </c>
      <c r="N866" t="s">
        <v>75</v>
      </c>
    </row>
    <row r="867" spans="1:20" x14ac:dyDescent="0.25">
      <c r="A867" t="s">
        <v>819</v>
      </c>
      <c r="B867" s="4" t="s">
        <v>10</v>
      </c>
      <c r="C867" s="4" t="s">
        <v>73</v>
      </c>
      <c r="D867" s="4">
        <v>46139</v>
      </c>
      <c r="E867" s="5">
        <v>0.48703703703703705</v>
      </c>
      <c r="F867">
        <v>1</v>
      </c>
      <c r="G867" t="s">
        <v>82</v>
      </c>
      <c r="H867">
        <v>82.25</v>
      </c>
      <c r="M867" t="s">
        <v>76</v>
      </c>
      <c r="N867" t="s">
        <v>75</v>
      </c>
    </row>
    <row r="868" spans="1:20" x14ac:dyDescent="0.25">
      <c r="A868" t="s">
        <v>820</v>
      </c>
      <c r="B868" s="4" t="s">
        <v>10</v>
      </c>
      <c r="C868" s="4" t="s">
        <v>70</v>
      </c>
      <c r="D868" s="4">
        <v>46139</v>
      </c>
      <c r="E868" s="5">
        <v>0.4877083333333333</v>
      </c>
      <c r="F868">
        <v>1</v>
      </c>
      <c r="G868" t="s">
        <v>82</v>
      </c>
      <c r="H868">
        <v>84</v>
      </c>
      <c r="L868" t="s">
        <v>821</v>
      </c>
      <c r="M868" t="s">
        <v>71</v>
      </c>
      <c r="N868" t="s">
        <v>75</v>
      </c>
      <c r="O868">
        <v>1</v>
      </c>
      <c r="S868">
        <v>1</v>
      </c>
      <c r="T868">
        <v>101.75</v>
      </c>
    </row>
    <row r="869" spans="1:20" x14ac:dyDescent="0.25">
      <c r="A869" t="s">
        <v>821</v>
      </c>
      <c r="B869" s="4" t="s">
        <v>10</v>
      </c>
      <c r="C869" s="4" t="s">
        <v>73</v>
      </c>
      <c r="D869" s="4">
        <v>46139</v>
      </c>
      <c r="E869" s="5">
        <v>0.4877083333333333</v>
      </c>
      <c r="F869">
        <v>1</v>
      </c>
      <c r="G869" t="s">
        <v>82</v>
      </c>
      <c r="H869">
        <v>101.83333333333334</v>
      </c>
      <c r="M869" t="s">
        <v>79</v>
      </c>
      <c r="N869" t="s">
        <v>75</v>
      </c>
    </row>
    <row r="870" spans="1:20" x14ac:dyDescent="0.25">
      <c r="A870" t="s">
        <v>821</v>
      </c>
      <c r="B870" s="4" t="s">
        <v>10</v>
      </c>
      <c r="C870" s="4" t="s">
        <v>73</v>
      </c>
      <c r="D870" s="4">
        <v>46139</v>
      </c>
      <c r="E870" s="5">
        <v>0.4877083333333333</v>
      </c>
      <c r="F870">
        <v>1</v>
      </c>
      <c r="G870" t="s">
        <v>82</v>
      </c>
      <c r="H870">
        <v>101.75</v>
      </c>
      <c r="M870" t="s">
        <v>79</v>
      </c>
      <c r="N870" t="s">
        <v>75</v>
      </c>
    </row>
    <row r="871" spans="1:20" x14ac:dyDescent="0.25">
      <c r="A871" t="s">
        <v>821</v>
      </c>
      <c r="B871" s="4" t="s">
        <v>10</v>
      </c>
      <c r="C871" s="4" t="s">
        <v>73</v>
      </c>
      <c r="D871" s="4">
        <v>46139</v>
      </c>
      <c r="E871" s="5">
        <v>0.48780092592592594</v>
      </c>
      <c r="F871">
        <v>1</v>
      </c>
      <c r="G871" t="s">
        <v>82</v>
      </c>
      <c r="H871">
        <v>101.75</v>
      </c>
      <c r="M871" t="s">
        <v>76</v>
      </c>
      <c r="N871" t="s">
        <v>75</v>
      </c>
    </row>
    <row r="872" spans="1:20" x14ac:dyDescent="0.25">
      <c r="A872" t="s">
        <v>822</v>
      </c>
      <c r="B872" s="4" t="s">
        <v>10</v>
      </c>
      <c r="C872" s="4" t="s">
        <v>70</v>
      </c>
      <c r="D872" s="4">
        <v>46139</v>
      </c>
      <c r="E872" s="5">
        <v>0.48842592592592587</v>
      </c>
      <c r="F872">
        <v>1</v>
      </c>
      <c r="G872" t="s">
        <v>82</v>
      </c>
      <c r="H872">
        <v>10.166666666666666</v>
      </c>
      <c r="L872" t="s">
        <v>823</v>
      </c>
      <c r="M872" t="s">
        <v>71</v>
      </c>
      <c r="N872" t="s">
        <v>72</v>
      </c>
      <c r="O872">
        <v>1</v>
      </c>
      <c r="S872">
        <v>1</v>
      </c>
      <c r="T872">
        <v>40.5</v>
      </c>
    </row>
    <row r="873" spans="1:20" x14ac:dyDescent="0.25">
      <c r="A873" t="s">
        <v>823</v>
      </c>
      <c r="B873" s="4" t="s">
        <v>10</v>
      </c>
      <c r="C873" s="4" t="s">
        <v>73</v>
      </c>
      <c r="D873" s="4">
        <v>46139</v>
      </c>
      <c r="E873" s="5">
        <v>0.48842592592592587</v>
      </c>
      <c r="F873">
        <v>1</v>
      </c>
      <c r="G873" t="s">
        <v>82</v>
      </c>
      <c r="H873">
        <v>40.666666666666664</v>
      </c>
      <c r="M873" t="s">
        <v>79</v>
      </c>
      <c r="N873" t="s">
        <v>72</v>
      </c>
    </row>
    <row r="874" spans="1:20" x14ac:dyDescent="0.25">
      <c r="A874" t="s">
        <v>823</v>
      </c>
      <c r="B874" s="4" t="s">
        <v>10</v>
      </c>
      <c r="C874" s="4" t="s">
        <v>73</v>
      </c>
      <c r="D874" s="4">
        <v>46139</v>
      </c>
      <c r="E874" s="5">
        <v>0.48842592592592587</v>
      </c>
      <c r="F874">
        <v>1</v>
      </c>
      <c r="G874" t="s">
        <v>82</v>
      </c>
      <c r="H874">
        <v>40.583333333333336</v>
      </c>
      <c r="M874" t="s">
        <v>79</v>
      </c>
      <c r="N874" t="s">
        <v>72</v>
      </c>
    </row>
    <row r="875" spans="1:20" x14ac:dyDescent="0.25">
      <c r="A875" t="s">
        <v>823</v>
      </c>
      <c r="B875" s="4" t="s">
        <v>10</v>
      </c>
      <c r="C875" s="4" t="s">
        <v>73</v>
      </c>
      <c r="D875" s="4">
        <v>46139</v>
      </c>
      <c r="E875" s="5">
        <v>0.48872685185185188</v>
      </c>
      <c r="F875">
        <v>1</v>
      </c>
      <c r="G875" t="s">
        <v>82</v>
      </c>
      <c r="H875">
        <v>40.5</v>
      </c>
      <c r="M875" t="s">
        <v>76</v>
      </c>
      <c r="N875" t="s">
        <v>72</v>
      </c>
    </row>
    <row r="876" spans="1:20" x14ac:dyDescent="0.25">
      <c r="A876" t="s">
        <v>824</v>
      </c>
      <c r="B876" s="4" t="s">
        <v>10</v>
      </c>
      <c r="C876" s="4" t="s">
        <v>70</v>
      </c>
      <c r="D876" s="4">
        <v>46139</v>
      </c>
      <c r="E876" s="5">
        <v>0.48917824074074073</v>
      </c>
      <c r="F876">
        <v>1</v>
      </c>
      <c r="G876" t="s">
        <v>82</v>
      </c>
      <c r="H876">
        <v>1</v>
      </c>
      <c r="L876" t="s">
        <v>825</v>
      </c>
      <c r="M876" t="s">
        <v>71</v>
      </c>
      <c r="N876" t="s">
        <v>72</v>
      </c>
      <c r="O876">
        <v>1</v>
      </c>
      <c r="R876">
        <v>1</v>
      </c>
      <c r="S876">
        <v>1</v>
      </c>
      <c r="T876">
        <v>5.4166666666666661</v>
      </c>
    </row>
    <row r="877" spans="1:20" x14ac:dyDescent="0.25">
      <c r="A877" t="s">
        <v>825</v>
      </c>
      <c r="B877" s="4" t="s">
        <v>10</v>
      </c>
      <c r="C877" s="4" t="s">
        <v>73</v>
      </c>
      <c r="D877" s="4">
        <v>46139</v>
      </c>
      <c r="E877" s="5">
        <v>0.48917824074074073</v>
      </c>
      <c r="F877">
        <v>1</v>
      </c>
      <c r="G877" t="s">
        <v>82</v>
      </c>
      <c r="H877">
        <v>5.6666666666666661</v>
      </c>
      <c r="M877" t="s">
        <v>79</v>
      </c>
      <c r="N877" t="s">
        <v>72</v>
      </c>
    </row>
    <row r="878" spans="1:20" x14ac:dyDescent="0.25">
      <c r="A878" t="s">
        <v>825</v>
      </c>
      <c r="B878" s="4" t="s">
        <v>10</v>
      </c>
      <c r="C878" s="4" t="s">
        <v>73</v>
      </c>
      <c r="D878" s="4">
        <v>46139</v>
      </c>
      <c r="E878" s="5">
        <v>0.48944444444444446</v>
      </c>
      <c r="F878">
        <v>1</v>
      </c>
      <c r="G878" t="s">
        <v>82</v>
      </c>
      <c r="H878">
        <v>5.4166666666666661</v>
      </c>
      <c r="M878" t="s">
        <v>76</v>
      </c>
      <c r="N878" t="s">
        <v>72</v>
      </c>
    </row>
    <row r="879" spans="1:20" x14ac:dyDescent="0.25">
      <c r="A879" t="s">
        <v>827</v>
      </c>
      <c r="B879" s="4" t="s">
        <v>10</v>
      </c>
      <c r="C879" s="4" t="s">
        <v>70</v>
      </c>
      <c r="D879" s="4">
        <v>46139</v>
      </c>
      <c r="E879" s="5">
        <v>0.49013888888888885</v>
      </c>
      <c r="F879">
        <v>1</v>
      </c>
      <c r="G879" t="s">
        <v>82</v>
      </c>
      <c r="H879">
        <v>12.5</v>
      </c>
      <c r="L879" t="s">
        <v>828</v>
      </c>
      <c r="M879" t="s">
        <v>71</v>
      </c>
      <c r="N879" t="s">
        <v>80</v>
      </c>
      <c r="O879">
        <v>1</v>
      </c>
      <c r="S879">
        <v>1</v>
      </c>
      <c r="T879">
        <v>44</v>
      </c>
    </row>
    <row r="880" spans="1:20" x14ac:dyDescent="0.25">
      <c r="A880" t="s">
        <v>828</v>
      </c>
      <c r="B880" s="4" t="s">
        <v>10</v>
      </c>
      <c r="C880" s="4" t="s">
        <v>73</v>
      </c>
      <c r="D880" s="4">
        <v>46139</v>
      </c>
      <c r="E880" s="5">
        <v>0.49013888888888885</v>
      </c>
      <c r="F880">
        <v>1</v>
      </c>
      <c r="G880" t="s">
        <v>82</v>
      </c>
      <c r="H880">
        <v>44.25</v>
      </c>
      <c r="M880" t="s">
        <v>79</v>
      </c>
      <c r="N880" t="s">
        <v>80</v>
      </c>
    </row>
    <row r="881" spans="1:20" x14ac:dyDescent="0.25">
      <c r="A881" t="s">
        <v>828</v>
      </c>
      <c r="B881" s="4" t="s">
        <v>10</v>
      </c>
      <c r="C881" s="4" t="s">
        <v>73</v>
      </c>
      <c r="D881" s="4">
        <v>46139</v>
      </c>
      <c r="E881" s="5">
        <v>0.49013888888888885</v>
      </c>
      <c r="F881">
        <v>1</v>
      </c>
      <c r="G881" t="s">
        <v>82</v>
      </c>
      <c r="H881">
        <v>44.166666666666664</v>
      </c>
      <c r="M881" t="s">
        <v>79</v>
      </c>
      <c r="N881" t="s">
        <v>80</v>
      </c>
    </row>
    <row r="882" spans="1:20" x14ac:dyDescent="0.25">
      <c r="A882" t="s">
        <v>828</v>
      </c>
      <c r="B882" s="4" t="s">
        <v>10</v>
      </c>
      <c r="C882" s="4" t="s">
        <v>73</v>
      </c>
      <c r="D882" s="4">
        <v>46139</v>
      </c>
      <c r="E882" s="5">
        <v>0.49045138888888884</v>
      </c>
      <c r="F882">
        <v>1</v>
      </c>
      <c r="G882" t="s">
        <v>82</v>
      </c>
      <c r="H882">
        <v>44</v>
      </c>
      <c r="M882" t="s">
        <v>76</v>
      </c>
      <c r="N882" t="s">
        <v>80</v>
      </c>
    </row>
    <row r="883" spans="1:20" x14ac:dyDescent="0.25">
      <c r="A883" t="s">
        <v>830</v>
      </c>
      <c r="B883" s="4" t="s">
        <v>10</v>
      </c>
      <c r="C883" s="4" t="s">
        <v>70</v>
      </c>
      <c r="D883" s="4">
        <v>46139</v>
      </c>
      <c r="E883" s="5">
        <v>0.49104166666666665</v>
      </c>
      <c r="F883">
        <v>1</v>
      </c>
      <c r="G883" t="s">
        <v>82</v>
      </c>
      <c r="H883">
        <v>14</v>
      </c>
      <c r="L883" t="s">
        <v>831</v>
      </c>
      <c r="M883" t="s">
        <v>71</v>
      </c>
      <c r="N883" t="s">
        <v>72</v>
      </c>
      <c r="O883">
        <v>1</v>
      </c>
    </row>
    <row r="884" spans="1:20" x14ac:dyDescent="0.25">
      <c r="A884" t="s">
        <v>831</v>
      </c>
      <c r="B884" s="4" t="s">
        <v>10</v>
      </c>
      <c r="C884" s="4" t="s">
        <v>73</v>
      </c>
      <c r="D884" s="4">
        <v>46139</v>
      </c>
      <c r="E884" s="5">
        <v>0.49104166666666665</v>
      </c>
      <c r="F884">
        <v>1</v>
      </c>
      <c r="G884" t="s">
        <v>82</v>
      </c>
      <c r="H884">
        <v>160.08333333333331</v>
      </c>
      <c r="M884" t="s">
        <v>79</v>
      </c>
      <c r="N884" t="s">
        <v>72</v>
      </c>
    </row>
    <row r="885" spans="1:20" x14ac:dyDescent="0.25">
      <c r="A885" t="s">
        <v>831</v>
      </c>
      <c r="B885" s="4" t="s">
        <v>10</v>
      </c>
      <c r="C885" s="4" t="s">
        <v>73</v>
      </c>
      <c r="D885" s="4">
        <v>46139</v>
      </c>
      <c r="E885" s="5">
        <v>0.49104166666666665</v>
      </c>
      <c r="F885">
        <v>1</v>
      </c>
      <c r="G885" t="s">
        <v>82</v>
      </c>
      <c r="H885">
        <v>160</v>
      </c>
      <c r="M885" t="s">
        <v>79</v>
      </c>
      <c r="N885" t="s">
        <v>72</v>
      </c>
    </row>
    <row r="886" spans="1:20" x14ac:dyDescent="0.25">
      <c r="A886" t="s">
        <v>832</v>
      </c>
      <c r="B886" s="4" t="s">
        <v>10</v>
      </c>
      <c r="C886" s="4" t="s">
        <v>70</v>
      </c>
      <c r="D886" s="4">
        <v>46139</v>
      </c>
      <c r="E886" s="5">
        <v>0.49160879629629622</v>
      </c>
      <c r="F886">
        <v>1</v>
      </c>
      <c r="G886" t="s">
        <v>82</v>
      </c>
      <c r="H886">
        <v>150</v>
      </c>
      <c r="L886" t="s">
        <v>831</v>
      </c>
      <c r="M886" t="s">
        <v>71</v>
      </c>
      <c r="N886" t="s">
        <v>72</v>
      </c>
      <c r="P886">
        <v>1</v>
      </c>
      <c r="R886">
        <v>1</v>
      </c>
      <c r="S886">
        <v>1</v>
      </c>
      <c r="T886">
        <v>10</v>
      </c>
    </row>
    <row r="887" spans="1:20" x14ac:dyDescent="0.25">
      <c r="A887" t="s">
        <v>831</v>
      </c>
      <c r="B887" s="4" t="s">
        <v>10</v>
      </c>
      <c r="C887" s="4" t="s">
        <v>73</v>
      </c>
      <c r="D887" s="4">
        <v>46139</v>
      </c>
      <c r="E887" s="5">
        <v>0.49160879629629622</v>
      </c>
      <c r="F887">
        <v>1</v>
      </c>
      <c r="G887" t="s">
        <v>82</v>
      </c>
      <c r="H887">
        <v>10</v>
      </c>
      <c r="M887" t="s">
        <v>79</v>
      </c>
      <c r="N887" t="s">
        <v>72</v>
      </c>
    </row>
    <row r="888" spans="1:20" x14ac:dyDescent="0.25">
      <c r="A888" t="s">
        <v>831</v>
      </c>
      <c r="B888" s="4" t="s">
        <v>10</v>
      </c>
      <c r="C888" s="4" t="s">
        <v>73</v>
      </c>
      <c r="D888" s="4">
        <v>46139</v>
      </c>
      <c r="E888" s="5">
        <v>0.49160879629629622</v>
      </c>
      <c r="F888">
        <v>1</v>
      </c>
      <c r="G888" t="s">
        <v>82</v>
      </c>
      <c r="H888">
        <v>9.9166666666666661</v>
      </c>
      <c r="M888" t="s">
        <v>79</v>
      </c>
      <c r="N888" t="s">
        <v>72</v>
      </c>
    </row>
    <row r="889" spans="1:20" x14ac:dyDescent="0.25">
      <c r="A889" t="s">
        <v>831</v>
      </c>
      <c r="B889" s="4" t="s">
        <v>10</v>
      </c>
      <c r="C889" s="4" t="s">
        <v>73</v>
      </c>
      <c r="D889" s="4">
        <v>46139</v>
      </c>
      <c r="E889" s="5">
        <v>0.49173611111111104</v>
      </c>
      <c r="F889">
        <v>1</v>
      </c>
      <c r="G889" t="s">
        <v>82</v>
      </c>
      <c r="H889">
        <v>10</v>
      </c>
      <c r="M889" t="s">
        <v>76</v>
      </c>
      <c r="N889" t="s">
        <v>72</v>
      </c>
    </row>
    <row r="890" spans="1:20" x14ac:dyDescent="0.25">
      <c r="A890" t="s">
        <v>835</v>
      </c>
      <c r="B890" s="4" t="s">
        <v>10</v>
      </c>
      <c r="C890" s="4" t="s">
        <v>70</v>
      </c>
      <c r="D890" s="4">
        <v>46139</v>
      </c>
      <c r="E890" s="5">
        <v>0.49237268518518512</v>
      </c>
      <c r="F890">
        <v>1</v>
      </c>
      <c r="G890" t="s">
        <v>82</v>
      </c>
      <c r="H890">
        <v>25</v>
      </c>
      <c r="L890" t="s">
        <v>836</v>
      </c>
      <c r="M890" t="s">
        <v>71</v>
      </c>
      <c r="N890" t="s">
        <v>75</v>
      </c>
      <c r="O890">
        <v>1</v>
      </c>
      <c r="S890">
        <v>1</v>
      </c>
      <c r="T890">
        <v>49.416666666666664</v>
      </c>
    </row>
    <row r="891" spans="1:20" x14ac:dyDescent="0.25">
      <c r="A891" t="s">
        <v>836</v>
      </c>
      <c r="B891" s="4" t="s">
        <v>10</v>
      </c>
      <c r="C891" s="4" t="s">
        <v>73</v>
      </c>
      <c r="D891" s="4">
        <v>46139</v>
      </c>
      <c r="E891" s="5">
        <v>0.49237268518518512</v>
      </c>
      <c r="F891">
        <v>1</v>
      </c>
      <c r="G891" t="s">
        <v>82</v>
      </c>
      <c r="H891">
        <v>49.25</v>
      </c>
      <c r="M891" t="s">
        <v>74</v>
      </c>
      <c r="N891" t="s">
        <v>75</v>
      </c>
    </row>
    <row r="892" spans="1:20" x14ac:dyDescent="0.25">
      <c r="A892" t="s">
        <v>836</v>
      </c>
      <c r="B892" s="4" t="s">
        <v>10</v>
      </c>
      <c r="C892" s="4" t="s">
        <v>73</v>
      </c>
      <c r="D892" s="4">
        <v>46139</v>
      </c>
      <c r="E892" s="5">
        <v>0.49237268518518512</v>
      </c>
      <c r="F892">
        <v>1</v>
      </c>
      <c r="G892" t="s">
        <v>82</v>
      </c>
      <c r="H892">
        <v>49.166666666666664</v>
      </c>
      <c r="M892" t="s">
        <v>74</v>
      </c>
      <c r="N892" t="s">
        <v>75</v>
      </c>
    </row>
    <row r="893" spans="1:20" x14ac:dyDescent="0.25">
      <c r="A893" t="s">
        <v>836</v>
      </c>
      <c r="B893" s="4" t="s">
        <v>10</v>
      </c>
      <c r="C893" s="4" t="s">
        <v>73</v>
      </c>
      <c r="D893" s="4">
        <v>46139</v>
      </c>
      <c r="E893" s="5">
        <v>0.49265046296296289</v>
      </c>
      <c r="F893">
        <v>1</v>
      </c>
      <c r="G893" t="s">
        <v>82</v>
      </c>
      <c r="H893">
        <v>49.416666666666664</v>
      </c>
      <c r="M893" t="s">
        <v>76</v>
      </c>
      <c r="N893" t="s">
        <v>75</v>
      </c>
    </row>
    <row r="894" spans="1:20" x14ac:dyDescent="0.25">
      <c r="A894" t="s">
        <v>837</v>
      </c>
      <c r="B894" s="4" t="s">
        <v>10</v>
      </c>
      <c r="C894" s="4" t="s">
        <v>73</v>
      </c>
      <c r="D894" s="4">
        <v>46139</v>
      </c>
      <c r="E894" s="5">
        <v>0.49327546296296299</v>
      </c>
      <c r="F894">
        <v>1</v>
      </c>
      <c r="G894" t="s">
        <v>82</v>
      </c>
      <c r="H894">
        <v>134.58333333333334</v>
      </c>
      <c r="M894" t="s">
        <v>79</v>
      </c>
      <c r="N894" t="s">
        <v>75</v>
      </c>
    </row>
    <row r="895" spans="1:20" x14ac:dyDescent="0.25">
      <c r="A895" t="s">
        <v>840</v>
      </c>
      <c r="B895" s="4" t="s">
        <v>10</v>
      </c>
      <c r="C895" s="4" t="s">
        <v>70</v>
      </c>
      <c r="D895" s="4">
        <v>46139</v>
      </c>
      <c r="E895" s="5">
        <v>0.49364583333333334</v>
      </c>
      <c r="F895">
        <v>1</v>
      </c>
      <c r="G895" t="s">
        <v>82</v>
      </c>
      <c r="H895">
        <v>53.25</v>
      </c>
      <c r="L895" t="s">
        <v>837</v>
      </c>
      <c r="M895" t="s">
        <v>71</v>
      </c>
      <c r="N895" t="s">
        <v>75</v>
      </c>
      <c r="O895">
        <v>1</v>
      </c>
      <c r="S895">
        <v>1</v>
      </c>
      <c r="T895">
        <v>81.25</v>
      </c>
    </row>
    <row r="896" spans="1:20" x14ac:dyDescent="0.25">
      <c r="A896" t="s">
        <v>837</v>
      </c>
      <c r="B896" s="4" t="s">
        <v>10</v>
      </c>
      <c r="C896" s="4" t="s">
        <v>73</v>
      </c>
      <c r="D896" s="4">
        <v>46139</v>
      </c>
      <c r="E896" s="5">
        <v>0.49364583333333334</v>
      </c>
      <c r="F896">
        <v>1</v>
      </c>
      <c r="G896" t="s">
        <v>82</v>
      </c>
      <c r="H896">
        <v>81.333333333333329</v>
      </c>
      <c r="M896" t="s">
        <v>79</v>
      </c>
      <c r="N896" t="s">
        <v>75</v>
      </c>
    </row>
    <row r="897" spans="1:20" x14ac:dyDescent="0.25">
      <c r="A897" t="s">
        <v>837</v>
      </c>
      <c r="B897" s="4" t="s">
        <v>10</v>
      </c>
      <c r="C897" s="4" t="s">
        <v>73</v>
      </c>
      <c r="D897" s="4">
        <v>46139</v>
      </c>
      <c r="E897" s="5">
        <v>0.49364583333333334</v>
      </c>
      <c r="F897">
        <v>1</v>
      </c>
      <c r="G897" t="s">
        <v>82</v>
      </c>
      <c r="H897">
        <v>81.25</v>
      </c>
      <c r="M897" t="s">
        <v>79</v>
      </c>
      <c r="N897" t="s">
        <v>75</v>
      </c>
    </row>
    <row r="898" spans="1:20" x14ac:dyDescent="0.25">
      <c r="A898" t="s">
        <v>837</v>
      </c>
      <c r="B898" s="4" t="s">
        <v>10</v>
      </c>
      <c r="C898" s="4" t="s">
        <v>73</v>
      </c>
      <c r="D898" s="4">
        <v>46139</v>
      </c>
      <c r="E898" s="5">
        <v>0.49374999999999991</v>
      </c>
      <c r="F898">
        <v>1</v>
      </c>
      <c r="G898" t="s">
        <v>82</v>
      </c>
      <c r="H898">
        <v>81.25</v>
      </c>
      <c r="M898" t="s">
        <v>76</v>
      </c>
      <c r="N898" t="s">
        <v>75</v>
      </c>
    </row>
    <row r="899" spans="1:20" x14ac:dyDescent="0.25">
      <c r="A899" t="s">
        <v>841</v>
      </c>
      <c r="B899" s="4" t="s">
        <v>10</v>
      </c>
      <c r="C899" s="4" t="s">
        <v>70</v>
      </c>
      <c r="D899" s="4">
        <v>46139</v>
      </c>
      <c r="E899" s="5">
        <v>0.49421296296296297</v>
      </c>
      <c r="F899">
        <v>1</v>
      </c>
      <c r="G899" t="s">
        <v>82</v>
      </c>
      <c r="H899">
        <v>8</v>
      </c>
      <c r="L899" t="s">
        <v>842</v>
      </c>
      <c r="M899" t="s">
        <v>71</v>
      </c>
      <c r="N899" t="s">
        <v>75</v>
      </c>
      <c r="O899">
        <v>1</v>
      </c>
    </row>
    <row r="900" spans="1:20" x14ac:dyDescent="0.25">
      <c r="A900" t="s">
        <v>842</v>
      </c>
      <c r="B900" s="4" t="s">
        <v>10</v>
      </c>
      <c r="C900" s="4" t="s">
        <v>73</v>
      </c>
      <c r="D900" s="4">
        <v>46139</v>
      </c>
      <c r="E900" s="5">
        <v>0.49421296296296297</v>
      </c>
      <c r="F900">
        <v>1</v>
      </c>
      <c r="G900" t="s">
        <v>82</v>
      </c>
      <c r="H900">
        <v>147.41666666666666</v>
      </c>
      <c r="M900" t="s">
        <v>79</v>
      </c>
      <c r="N900" t="s">
        <v>75</v>
      </c>
    </row>
    <row r="901" spans="1:20" x14ac:dyDescent="0.25">
      <c r="A901" t="s">
        <v>842</v>
      </c>
      <c r="B901" s="4" t="s">
        <v>10</v>
      </c>
      <c r="C901" s="4" t="s">
        <v>73</v>
      </c>
      <c r="D901" s="4">
        <v>46139</v>
      </c>
      <c r="E901" s="5">
        <v>0.49421296296296297</v>
      </c>
      <c r="F901">
        <v>1</v>
      </c>
      <c r="G901" t="s">
        <v>82</v>
      </c>
      <c r="H901">
        <v>147.33333333333331</v>
      </c>
      <c r="M901" t="s">
        <v>79</v>
      </c>
      <c r="N901" t="s">
        <v>75</v>
      </c>
    </row>
    <row r="902" spans="1:20" x14ac:dyDescent="0.25">
      <c r="A902" t="s">
        <v>845</v>
      </c>
      <c r="B902" s="4" t="s">
        <v>10</v>
      </c>
      <c r="C902" s="4" t="s">
        <v>70</v>
      </c>
      <c r="D902" s="4">
        <v>46139</v>
      </c>
      <c r="E902" s="5">
        <v>0.49478009259259254</v>
      </c>
      <c r="F902">
        <v>1</v>
      </c>
      <c r="G902" t="s">
        <v>82</v>
      </c>
      <c r="H902">
        <v>13</v>
      </c>
      <c r="L902" t="s">
        <v>842</v>
      </c>
      <c r="M902" t="s">
        <v>71</v>
      </c>
      <c r="N902" t="s">
        <v>75</v>
      </c>
      <c r="P902">
        <v>1</v>
      </c>
    </row>
    <row r="903" spans="1:20" x14ac:dyDescent="0.25">
      <c r="A903" t="s">
        <v>842</v>
      </c>
      <c r="B903" s="4" t="s">
        <v>10</v>
      </c>
      <c r="C903" s="4" t="s">
        <v>73</v>
      </c>
      <c r="D903" s="4">
        <v>46139</v>
      </c>
      <c r="E903" s="5">
        <v>0.49478009259259254</v>
      </c>
      <c r="F903">
        <v>1</v>
      </c>
      <c r="G903" t="s">
        <v>82</v>
      </c>
      <c r="H903">
        <v>134.33333333333331</v>
      </c>
      <c r="M903" t="s">
        <v>79</v>
      </c>
      <c r="N903" t="s">
        <v>75</v>
      </c>
    </row>
    <row r="904" spans="1:20" x14ac:dyDescent="0.25">
      <c r="A904" t="s">
        <v>842</v>
      </c>
      <c r="B904" s="4" t="s">
        <v>10</v>
      </c>
      <c r="C904" s="4" t="s">
        <v>73</v>
      </c>
      <c r="D904" s="4">
        <v>46139</v>
      </c>
      <c r="E904" s="5">
        <v>0.49478009259259254</v>
      </c>
      <c r="F904">
        <v>1</v>
      </c>
      <c r="G904" t="s">
        <v>82</v>
      </c>
      <c r="H904">
        <v>134.25</v>
      </c>
      <c r="M904" t="s">
        <v>79</v>
      </c>
      <c r="N904" t="s">
        <v>75</v>
      </c>
    </row>
    <row r="905" spans="1:20" x14ac:dyDescent="0.25">
      <c r="A905" t="s">
        <v>846</v>
      </c>
      <c r="B905" s="4" t="s">
        <v>10</v>
      </c>
      <c r="C905" s="4" t="s">
        <v>70</v>
      </c>
      <c r="D905" s="4">
        <v>46139</v>
      </c>
      <c r="E905" s="5">
        <v>0.49510416666666662</v>
      </c>
      <c r="F905">
        <v>1</v>
      </c>
      <c r="G905" t="s">
        <v>82</v>
      </c>
      <c r="H905">
        <v>14</v>
      </c>
      <c r="L905" t="s">
        <v>842</v>
      </c>
      <c r="M905" t="s">
        <v>71</v>
      </c>
      <c r="N905" t="s">
        <v>75</v>
      </c>
      <c r="P905">
        <v>1</v>
      </c>
    </row>
    <row r="906" spans="1:20" x14ac:dyDescent="0.25">
      <c r="A906" t="s">
        <v>842</v>
      </c>
      <c r="B906" s="4" t="s">
        <v>10</v>
      </c>
      <c r="C906" s="4" t="s">
        <v>73</v>
      </c>
      <c r="D906" s="4">
        <v>46139</v>
      </c>
      <c r="E906" s="5">
        <v>0.49510416666666662</v>
      </c>
      <c r="F906">
        <v>1</v>
      </c>
      <c r="G906" t="s">
        <v>82</v>
      </c>
      <c r="H906">
        <v>120.25</v>
      </c>
      <c r="M906" t="s">
        <v>79</v>
      </c>
      <c r="N906" t="s">
        <v>75</v>
      </c>
    </row>
    <row r="907" spans="1:20" x14ac:dyDescent="0.25">
      <c r="A907" t="s">
        <v>842</v>
      </c>
      <c r="B907" s="4" t="s">
        <v>10</v>
      </c>
      <c r="C907" s="4" t="s">
        <v>73</v>
      </c>
      <c r="D907" s="4">
        <v>46139</v>
      </c>
      <c r="E907" s="5">
        <v>0.49510416666666662</v>
      </c>
      <c r="F907">
        <v>1</v>
      </c>
      <c r="G907" t="s">
        <v>82</v>
      </c>
      <c r="H907">
        <v>120.16666666666667</v>
      </c>
      <c r="M907" t="s">
        <v>79</v>
      </c>
      <c r="N907" t="s">
        <v>75</v>
      </c>
    </row>
    <row r="908" spans="1:20" x14ac:dyDescent="0.25">
      <c r="A908" t="s">
        <v>847</v>
      </c>
      <c r="B908" s="4" t="s">
        <v>10</v>
      </c>
      <c r="C908" s="4" t="s">
        <v>70</v>
      </c>
      <c r="D908" s="4">
        <v>46139</v>
      </c>
      <c r="E908" s="5">
        <v>0.4954513888888889</v>
      </c>
      <c r="F908">
        <v>1</v>
      </c>
      <c r="G908" t="s">
        <v>82</v>
      </c>
      <c r="H908">
        <v>18</v>
      </c>
      <c r="L908" t="s">
        <v>842</v>
      </c>
      <c r="M908" t="s">
        <v>71</v>
      </c>
      <c r="N908" t="s">
        <v>75</v>
      </c>
      <c r="P908">
        <v>1</v>
      </c>
      <c r="S908">
        <v>1</v>
      </c>
      <c r="T908">
        <v>102.08333333333333</v>
      </c>
    </row>
    <row r="909" spans="1:20" x14ac:dyDescent="0.25">
      <c r="A909" t="s">
        <v>842</v>
      </c>
      <c r="B909" s="4" t="s">
        <v>10</v>
      </c>
      <c r="C909" s="4" t="s">
        <v>73</v>
      </c>
      <c r="D909" s="4">
        <v>46139</v>
      </c>
      <c r="E909" s="5">
        <v>0.4954513888888889</v>
      </c>
      <c r="F909">
        <v>1</v>
      </c>
      <c r="G909" t="s">
        <v>82</v>
      </c>
      <c r="H909">
        <v>102.16666666666666</v>
      </c>
      <c r="M909" t="s">
        <v>79</v>
      </c>
      <c r="N909" t="s">
        <v>75</v>
      </c>
    </row>
    <row r="910" spans="1:20" x14ac:dyDescent="0.25">
      <c r="A910" t="s">
        <v>842</v>
      </c>
      <c r="B910" s="4" t="s">
        <v>10</v>
      </c>
      <c r="C910" s="4" t="s">
        <v>73</v>
      </c>
      <c r="D910" s="4">
        <v>46139</v>
      </c>
      <c r="E910" s="5">
        <v>0.4954513888888889</v>
      </c>
      <c r="F910">
        <v>1</v>
      </c>
      <c r="G910" t="s">
        <v>82</v>
      </c>
      <c r="H910">
        <v>102.08333333333333</v>
      </c>
      <c r="M910" t="s">
        <v>79</v>
      </c>
      <c r="N910" t="s">
        <v>75</v>
      </c>
    </row>
    <row r="911" spans="1:20" x14ac:dyDescent="0.25">
      <c r="A911" t="s">
        <v>842</v>
      </c>
      <c r="B911" s="4" t="s">
        <v>10</v>
      </c>
      <c r="C911" s="4" t="s">
        <v>73</v>
      </c>
      <c r="D911" s="4">
        <v>46139</v>
      </c>
      <c r="E911" s="5">
        <v>0.49560185185185179</v>
      </c>
      <c r="F911">
        <v>1</v>
      </c>
      <c r="G911" t="s">
        <v>82</v>
      </c>
      <c r="H911">
        <v>102.08333333333333</v>
      </c>
      <c r="M911" t="s">
        <v>76</v>
      </c>
      <c r="N911" t="s">
        <v>75</v>
      </c>
    </row>
    <row r="912" spans="1:20" x14ac:dyDescent="0.25">
      <c r="A912" t="s">
        <v>849</v>
      </c>
      <c r="B912" s="4" t="s">
        <v>10</v>
      </c>
      <c r="C912" s="4" t="s">
        <v>70</v>
      </c>
      <c r="D912" s="4">
        <v>46139</v>
      </c>
      <c r="E912" s="5">
        <v>0.50929398148148153</v>
      </c>
      <c r="F912">
        <v>1</v>
      </c>
      <c r="G912" t="s">
        <v>82</v>
      </c>
      <c r="H912">
        <v>111</v>
      </c>
      <c r="L912" t="s">
        <v>850</v>
      </c>
      <c r="M912" t="s">
        <v>71</v>
      </c>
      <c r="N912" t="s">
        <v>75</v>
      </c>
      <c r="O912">
        <v>1</v>
      </c>
      <c r="S912">
        <v>1</v>
      </c>
      <c r="T912">
        <v>65.333333333333329</v>
      </c>
    </row>
    <row r="913" spans="1:21" x14ac:dyDescent="0.25">
      <c r="A913" t="s">
        <v>850</v>
      </c>
      <c r="B913" s="4" t="s">
        <v>10</v>
      </c>
      <c r="C913" s="4" t="s">
        <v>73</v>
      </c>
      <c r="D913" s="4">
        <v>46139</v>
      </c>
      <c r="E913" s="5">
        <v>0.50929398148148153</v>
      </c>
      <c r="F913">
        <v>1</v>
      </c>
      <c r="G913" t="s">
        <v>82</v>
      </c>
      <c r="H913">
        <v>67.416666666666657</v>
      </c>
      <c r="M913" t="s">
        <v>79</v>
      </c>
      <c r="N913" t="s">
        <v>75</v>
      </c>
    </row>
    <row r="914" spans="1:21" x14ac:dyDescent="0.25">
      <c r="A914" t="s">
        <v>850</v>
      </c>
      <c r="B914" s="4" t="s">
        <v>10</v>
      </c>
      <c r="C914" s="4" t="s">
        <v>73</v>
      </c>
      <c r="D914" s="4">
        <v>46139</v>
      </c>
      <c r="E914" s="5">
        <v>0.50929398148148153</v>
      </c>
      <c r="F914">
        <v>1</v>
      </c>
      <c r="G914" t="s">
        <v>82</v>
      </c>
      <c r="H914">
        <v>67.333333333333329</v>
      </c>
      <c r="M914" t="s">
        <v>79</v>
      </c>
      <c r="N914" t="s">
        <v>75</v>
      </c>
    </row>
    <row r="915" spans="1:21" x14ac:dyDescent="0.25">
      <c r="A915" t="s">
        <v>850</v>
      </c>
      <c r="B915" s="4" t="s">
        <v>10</v>
      </c>
      <c r="C915" s="4" t="s">
        <v>73</v>
      </c>
      <c r="D915" s="4">
        <v>46139</v>
      </c>
      <c r="E915" s="5">
        <v>0.50965277777777773</v>
      </c>
      <c r="F915">
        <v>1</v>
      </c>
      <c r="G915" t="s">
        <v>82</v>
      </c>
      <c r="H915">
        <v>65.333333333333329</v>
      </c>
      <c r="M915" t="s">
        <v>76</v>
      </c>
      <c r="N915" t="s">
        <v>75</v>
      </c>
    </row>
    <row r="916" spans="1:21" x14ac:dyDescent="0.25">
      <c r="A916" t="s">
        <v>853</v>
      </c>
      <c r="B916" s="4" t="s">
        <v>10</v>
      </c>
      <c r="C916" s="4" t="s">
        <v>73</v>
      </c>
      <c r="D916" s="4">
        <v>46139</v>
      </c>
      <c r="E916" s="5">
        <v>0.51038194444444451</v>
      </c>
      <c r="F916">
        <v>1</v>
      </c>
      <c r="G916" t="s">
        <v>82</v>
      </c>
      <c r="H916">
        <v>21.333333333333332</v>
      </c>
      <c r="L916" t="s">
        <v>854</v>
      </c>
      <c r="M916" t="s">
        <v>79</v>
      </c>
      <c r="N916" t="s">
        <v>75</v>
      </c>
    </row>
    <row r="917" spans="1:21" x14ac:dyDescent="0.25">
      <c r="A917" t="s">
        <v>855</v>
      </c>
      <c r="B917" s="4" t="s">
        <v>10</v>
      </c>
      <c r="C917" s="4" t="s">
        <v>70</v>
      </c>
      <c r="D917" s="4">
        <v>46139</v>
      </c>
      <c r="E917" s="5">
        <v>0.51064814814814807</v>
      </c>
      <c r="F917">
        <v>1</v>
      </c>
      <c r="G917" t="s">
        <v>82</v>
      </c>
      <c r="H917">
        <v>17</v>
      </c>
      <c r="L917" t="s">
        <v>853</v>
      </c>
      <c r="M917" t="s">
        <v>71</v>
      </c>
      <c r="N917" t="s">
        <v>75</v>
      </c>
      <c r="O917">
        <v>1</v>
      </c>
      <c r="Q917">
        <v>1</v>
      </c>
      <c r="S917">
        <v>1</v>
      </c>
      <c r="U917">
        <v>0.16666666666666666</v>
      </c>
    </row>
    <row r="918" spans="1:21" x14ac:dyDescent="0.25">
      <c r="A918" t="s">
        <v>853</v>
      </c>
      <c r="B918" s="4" t="s">
        <v>10</v>
      </c>
      <c r="C918" s="4" t="s">
        <v>73</v>
      </c>
      <c r="D918" s="4">
        <v>46139</v>
      </c>
      <c r="E918" s="5">
        <v>0.51064814814814807</v>
      </c>
      <c r="F918">
        <v>1</v>
      </c>
      <c r="G918" t="s">
        <v>82</v>
      </c>
      <c r="H918">
        <v>4.333333333333333</v>
      </c>
      <c r="L918" t="s">
        <v>854</v>
      </c>
      <c r="M918" t="s">
        <v>79</v>
      </c>
      <c r="N918" t="s">
        <v>75</v>
      </c>
    </row>
    <row r="919" spans="1:21" x14ac:dyDescent="0.25">
      <c r="A919" t="s">
        <v>853</v>
      </c>
      <c r="B919" s="4" t="s">
        <v>10</v>
      </c>
      <c r="C919" s="4" t="s">
        <v>73</v>
      </c>
      <c r="D919" s="4">
        <v>46139</v>
      </c>
      <c r="E919" s="5">
        <v>0.51064814814814807</v>
      </c>
      <c r="F919">
        <v>1</v>
      </c>
      <c r="G919" t="s">
        <v>82</v>
      </c>
      <c r="H919">
        <v>0.16666666666666666</v>
      </c>
      <c r="L919" t="s">
        <v>854</v>
      </c>
      <c r="M919" t="s">
        <v>79</v>
      </c>
      <c r="N919" t="s">
        <v>75</v>
      </c>
    </row>
    <row r="920" spans="1:21" x14ac:dyDescent="0.25">
      <c r="A920" t="s">
        <v>853</v>
      </c>
      <c r="B920" s="4" t="s">
        <v>10</v>
      </c>
      <c r="C920" s="4" t="s">
        <v>73</v>
      </c>
      <c r="D920" s="4">
        <v>46139</v>
      </c>
      <c r="E920" s="5">
        <v>0.51064814814814807</v>
      </c>
      <c r="F920">
        <v>1</v>
      </c>
      <c r="G920" t="s">
        <v>82</v>
      </c>
      <c r="H920">
        <v>0</v>
      </c>
      <c r="L920" t="s">
        <v>854</v>
      </c>
      <c r="M920" t="s">
        <v>79</v>
      </c>
      <c r="N920" t="s">
        <v>75</v>
      </c>
    </row>
    <row r="921" spans="1:21" x14ac:dyDescent="0.25">
      <c r="A921" t="s">
        <v>856</v>
      </c>
      <c r="B921" s="4" t="s">
        <v>10</v>
      </c>
      <c r="C921" s="4" t="s">
        <v>70</v>
      </c>
      <c r="D921" s="4">
        <v>46139</v>
      </c>
      <c r="E921" s="5">
        <v>0.51134259259259252</v>
      </c>
      <c r="F921">
        <v>1</v>
      </c>
      <c r="G921" t="s">
        <v>82</v>
      </c>
      <c r="H921">
        <v>20</v>
      </c>
      <c r="L921" t="s">
        <v>857</v>
      </c>
      <c r="M921" t="s">
        <v>71</v>
      </c>
      <c r="N921" t="s">
        <v>72</v>
      </c>
      <c r="O921">
        <v>1</v>
      </c>
      <c r="S921">
        <v>1</v>
      </c>
      <c r="T921">
        <v>260.25</v>
      </c>
    </row>
    <row r="922" spans="1:21" x14ac:dyDescent="0.25">
      <c r="A922" t="s">
        <v>857</v>
      </c>
      <c r="B922" s="4" t="s">
        <v>10</v>
      </c>
      <c r="C922" s="4" t="s">
        <v>73</v>
      </c>
      <c r="D922" s="4">
        <v>46139</v>
      </c>
      <c r="E922" s="5">
        <v>0.51134259259259252</v>
      </c>
      <c r="F922">
        <v>1</v>
      </c>
      <c r="G922" t="s">
        <v>82</v>
      </c>
      <c r="H922">
        <v>260.33333333333331</v>
      </c>
      <c r="M922" t="s">
        <v>79</v>
      </c>
      <c r="N922" t="s">
        <v>72</v>
      </c>
    </row>
    <row r="923" spans="1:21" x14ac:dyDescent="0.25">
      <c r="A923" t="s">
        <v>857</v>
      </c>
      <c r="B923" s="4" t="s">
        <v>10</v>
      </c>
      <c r="C923" s="4" t="s">
        <v>73</v>
      </c>
      <c r="D923" s="4">
        <v>46139</v>
      </c>
      <c r="E923" s="5">
        <v>0.51134259259259252</v>
      </c>
      <c r="F923">
        <v>1</v>
      </c>
      <c r="G923" t="s">
        <v>82</v>
      </c>
      <c r="H923">
        <v>260.25</v>
      </c>
      <c r="M923" t="s">
        <v>79</v>
      </c>
      <c r="N923" t="s">
        <v>72</v>
      </c>
    </row>
    <row r="924" spans="1:21" x14ac:dyDescent="0.25">
      <c r="A924" t="s">
        <v>857</v>
      </c>
      <c r="B924" s="4" t="s">
        <v>10</v>
      </c>
      <c r="C924" s="4" t="s">
        <v>73</v>
      </c>
      <c r="D924" s="4">
        <v>46139</v>
      </c>
      <c r="E924" s="5">
        <v>0.51149305555555558</v>
      </c>
      <c r="F924">
        <v>1</v>
      </c>
      <c r="G924" t="s">
        <v>82</v>
      </c>
      <c r="H924">
        <v>260.25</v>
      </c>
      <c r="M924" t="s">
        <v>76</v>
      </c>
      <c r="N924" t="s">
        <v>72</v>
      </c>
    </row>
    <row r="925" spans="1:21" x14ac:dyDescent="0.25">
      <c r="A925" t="s">
        <v>861</v>
      </c>
      <c r="B925" s="4" t="s">
        <v>10</v>
      </c>
      <c r="C925" s="4" t="s">
        <v>70</v>
      </c>
      <c r="D925" s="4">
        <v>46139</v>
      </c>
      <c r="E925" s="5">
        <v>0.51219907407407406</v>
      </c>
      <c r="F925">
        <v>1</v>
      </c>
      <c r="G925" t="s">
        <v>82</v>
      </c>
      <c r="H925">
        <v>14</v>
      </c>
      <c r="L925" t="s">
        <v>862</v>
      </c>
      <c r="M925" t="s">
        <v>71</v>
      </c>
      <c r="N925" t="s">
        <v>72</v>
      </c>
      <c r="O925">
        <v>1</v>
      </c>
      <c r="S925">
        <v>1</v>
      </c>
      <c r="T925">
        <v>134.75</v>
      </c>
    </row>
    <row r="926" spans="1:21" x14ac:dyDescent="0.25">
      <c r="A926" t="s">
        <v>862</v>
      </c>
      <c r="B926" s="4" t="s">
        <v>10</v>
      </c>
      <c r="C926" s="4" t="s">
        <v>73</v>
      </c>
      <c r="D926" s="4">
        <v>46139</v>
      </c>
      <c r="E926" s="5">
        <v>0.5122106481481481</v>
      </c>
      <c r="F926">
        <v>1</v>
      </c>
      <c r="G926" t="s">
        <v>82</v>
      </c>
      <c r="H926">
        <v>134.83333333333331</v>
      </c>
      <c r="M926" t="s">
        <v>79</v>
      </c>
      <c r="N926" t="s">
        <v>72</v>
      </c>
    </row>
    <row r="927" spans="1:21" x14ac:dyDescent="0.25">
      <c r="A927" t="s">
        <v>862</v>
      </c>
      <c r="B927" s="4" t="s">
        <v>10</v>
      </c>
      <c r="C927" s="4" t="s">
        <v>73</v>
      </c>
      <c r="D927" s="4">
        <v>46139</v>
      </c>
      <c r="E927" s="5">
        <v>0.5122106481481481</v>
      </c>
      <c r="F927">
        <v>1</v>
      </c>
      <c r="G927" t="s">
        <v>82</v>
      </c>
      <c r="H927">
        <v>134.75</v>
      </c>
      <c r="M927" t="s">
        <v>79</v>
      </c>
      <c r="N927" t="s">
        <v>72</v>
      </c>
    </row>
    <row r="928" spans="1:21" x14ac:dyDescent="0.25">
      <c r="A928" t="s">
        <v>862</v>
      </c>
      <c r="B928" s="4" t="s">
        <v>10</v>
      </c>
      <c r="C928" s="4" t="s">
        <v>73</v>
      </c>
      <c r="D928" s="4">
        <v>46139</v>
      </c>
      <c r="E928" s="5">
        <v>0.51237268518518519</v>
      </c>
      <c r="F928">
        <v>1</v>
      </c>
      <c r="G928" t="s">
        <v>82</v>
      </c>
      <c r="H928">
        <v>134.75</v>
      </c>
      <c r="M928" t="s">
        <v>76</v>
      </c>
      <c r="N928" t="s">
        <v>72</v>
      </c>
    </row>
    <row r="929" spans="1:21" x14ac:dyDescent="0.25">
      <c r="A929" t="s">
        <v>865</v>
      </c>
      <c r="B929" s="4" t="s">
        <v>10</v>
      </c>
      <c r="C929" s="4" t="s">
        <v>70</v>
      </c>
      <c r="D929" s="4">
        <v>46139</v>
      </c>
      <c r="E929" s="5">
        <v>0.51306712962962964</v>
      </c>
      <c r="F929">
        <v>1</v>
      </c>
      <c r="G929" t="s">
        <v>82</v>
      </c>
      <c r="H929">
        <v>85</v>
      </c>
      <c r="L929" t="s">
        <v>866</v>
      </c>
      <c r="M929" t="s">
        <v>71</v>
      </c>
      <c r="N929" t="s">
        <v>75</v>
      </c>
      <c r="O929">
        <v>1</v>
      </c>
    </row>
    <row r="930" spans="1:21" x14ac:dyDescent="0.25">
      <c r="A930" t="s">
        <v>866</v>
      </c>
      <c r="B930" s="4" t="s">
        <v>10</v>
      </c>
      <c r="C930" s="4" t="s">
        <v>73</v>
      </c>
      <c r="D930" s="4">
        <v>46139</v>
      </c>
      <c r="E930" s="5">
        <v>0.51306712962962964</v>
      </c>
      <c r="F930">
        <v>1</v>
      </c>
      <c r="G930" t="s">
        <v>82</v>
      </c>
      <c r="H930">
        <v>66.333333333333329</v>
      </c>
      <c r="M930" t="s">
        <v>79</v>
      </c>
      <c r="N930" t="s">
        <v>75</v>
      </c>
    </row>
    <row r="931" spans="1:21" x14ac:dyDescent="0.25">
      <c r="A931" t="s">
        <v>867</v>
      </c>
      <c r="B931" s="4" t="s">
        <v>10</v>
      </c>
      <c r="C931" s="4" t="s">
        <v>70</v>
      </c>
      <c r="D931" s="4">
        <v>46139</v>
      </c>
      <c r="E931" s="5">
        <v>0.51339120370370372</v>
      </c>
      <c r="F931">
        <v>1</v>
      </c>
      <c r="G931" t="s">
        <v>82</v>
      </c>
      <c r="H931">
        <v>65.25</v>
      </c>
      <c r="L931" t="s">
        <v>866</v>
      </c>
      <c r="M931" t="s">
        <v>71</v>
      </c>
      <c r="N931" t="s">
        <v>75</v>
      </c>
      <c r="P931">
        <v>1</v>
      </c>
      <c r="Q931">
        <v>1</v>
      </c>
      <c r="S931">
        <v>1</v>
      </c>
      <c r="U931">
        <v>0.91666666666666663</v>
      </c>
    </row>
    <row r="932" spans="1:21" x14ac:dyDescent="0.25">
      <c r="A932" t="s">
        <v>866</v>
      </c>
      <c r="B932" s="4" t="s">
        <v>10</v>
      </c>
      <c r="C932" s="4" t="s">
        <v>73</v>
      </c>
      <c r="D932" s="4">
        <v>46139</v>
      </c>
      <c r="E932" s="5">
        <v>0.51339120370370372</v>
      </c>
      <c r="F932">
        <v>1</v>
      </c>
      <c r="G932" t="s">
        <v>82</v>
      </c>
      <c r="H932">
        <v>1.0833333333333333</v>
      </c>
      <c r="M932" t="s">
        <v>79</v>
      </c>
      <c r="N932" t="s">
        <v>75</v>
      </c>
    </row>
    <row r="933" spans="1:21" x14ac:dyDescent="0.25">
      <c r="A933" t="s">
        <v>866</v>
      </c>
      <c r="B933" s="4" t="s">
        <v>10</v>
      </c>
      <c r="C933" s="4" t="s">
        <v>73</v>
      </c>
      <c r="D933" s="4">
        <v>46139</v>
      </c>
      <c r="E933" s="5">
        <v>0.51339120370370372</v>
      </c>
      <c r="F933">
        <v>1</v>
      </c>
      <c r="G933" t="s">
        <v>82</v>
      </c>
      <c r="H933">
        <v>0.91666666666666663</v>
      </c>
      <c r="M933" t="s">
        <v>79</v>
      </c>
      <c r="N933" t="s">
        <v>75</v>
      </c>
    </row>
    <row r="934" spans="1:21" x14ac:dyDescent="0.25">
      <c r="A934" t="s">
        <v>866</v>
      </c>
      <c r="B934" s="4" t="s">
        <v>10</v>
      </c>
      <c r="C934" s="4" t="s">
        <v>73</v>
      </c>
      <c r="D934" s="4">
        <v>46139</v>
      </c>
      <c r="E934" s="5">
        <v>0.51339120370370372</v>
      </c>
      <c r="F934">
        <v>1</v>
      </c>
      <c r="G934" t="s">
        <v>82</v>
      </c>
      <c r="H934">
        <v>0</v>
      </c>
      <c r="M934" t="s">
        <v>79</v>
      </c>
      <c r="N934" t="s">
        <v>75</v>
      </c>
    </row>
    <row r="935" spans="1:21" x14ac:dyDescent="0.25">
      <c r="A935" t="s">
        <v>868</v>
      </c>
      <c r="B935" s="4" t="s">
        <v>10</v>
      </c>
      <c r="C935" s="4" t="s">
        <v>70</v>
      </c>
      <c r="D935" s="4">
        <v>46139</v>
      </c>
      <c r="E935" s="5">
        <v>0.51410879629629636</v>
      </c>
      <c r="F935">
        <v>1</v>
      </c>
      <c r="G935" t="s">
        <v>82</v>
      </c>
      <c r="H935">
        <v>56.083333333333336</v>
      </c>
      <c r="L935" t="s">
        <v>869</v>
      </c>
      <c r="M935" t="s">
        <v>71</v>
      </c>
      <c r="N935" t="s">
        <v>72</v>
      </c>
      <c r="O935">
        <v>1</v>
      </c>
      <c r="S935">
        <v>1</v>
      </c>
      <c r="T935">
        <v>76.666666666666671</v>
      </c>
    </row>
    <row r="936" spans="1:21" x14ac:dyDescent="0.25">
      <c r="A936" t="s">
        <v>869</v>
      </c>
      <c r="B936" s="4" t="s">
        <v>10</v>
      </c>
      <c r="C936" s="4" t="s">
        <v>73</v>
      </c>
      <c r="D936" s="4">
        <v>46139</v>
      </c>
      <c r="E936" s="5">
        <v>0.51410879629629636</v>
      </c>
      <c r="F936">
        <v>1</v>
      </c>
      <c r="G936" t="s">
        <v>82</v>
      </c>
      <c r="H936">
        <v>76.75</v>
      </c>
      <c r="M936" t="s">
        <v>79</v>
      </c>
      <c r="N936" t="s">
        <v>72</v>
      </c>
    </row>
    <row r="937" spans="1:21" x14ac:dyDescent="0.25">
      <c r="A937" t="s">
        <v>869</v>
      </c>
      <c r="B937" s="4" t="s">
        <v>10</v>
      </c>
      <c r="C937" s="4" t="s">
        <v>73</v>
      </c>
      <c r="D937" s="4">
        <v>46139</v>
      </c>
      <c r="E937" s="5">
        <v>0.51410879629629636</v>
      </c>
      <c r="F937">
        <v>1</v>
      </c>
      <c r="G937" t="s">
        <v>82</v>
      </c>
      <c r="H937">
        <v>76.666666666666671</v>
      </c>
      <c r="M937" t="s">
        <v>79</v>
      </c>
      <c r="N937" t="s">
        <v>72</v>
      </c>
    </row>
    <row r="938" spans="1:21" x14ac:dyDescent="0.25">
      <c r="A938" t="s">
        <v>869</v>
      </c>
      <c r="B938" s="4" t="s">
        <v>10</v>
      </c>
      <c r="C938" s="4" t="s">
        <v>73</v>
      </c>
      <c r="D938" s="4">
        <v>46139</v>
      </c>
      <c r="E938" s="5">
        <v>0.51421296296296293</v>
      </c>
      <c r="F938">
        <v>1</v>
      </c>
      <c r="G938" t="s">
        <v>82</v>
      </c>
      <c r="H938">
        <v>76.666666666666671</v>
      </c>
      <c r="M938" t="s">
        <v>76</v>
      </c>
      <c r="N938" t="s">
        <v>72</v>
      </c>
    </row>
    <row r="939" spans="1:21" x14ac:dyDescent="0.25">
      <c r="A939" t="s">
        <v>872</v>
      </c>
      <c r="B939" s="4" t="s">
        <v>10</v>
      </c>
      <c r="C939" s="4" t="s">
        <v>70</v>
      </c>
      <c r="D939" s="4">
        <v>46139</v>
      </c>
      <c r="E939" s="5">
        <v>0.51502314814814809</v>
      </c>
      <c r="F939">
        <v>1</v>
      </c>
      <c r="G939" t="s">
        <v>82</v>
      </c>
      <c r="H939">
        <v>95</v>
      </c>
      <c r="L939" t="s">
        <v>873</v>
      </c>
      <c r="M939" t="s">
        <v>71</v>
      </c>
      <c r="N939" t="s">
        <v>72</v>
      </c>
      <c r="O939">
        <v>1</v>
      </c>
    </row>
    <row r="940" spans="1:21" x14ac:dyDescent="0.25">
      <c r="A940" t="s">
        <v>873</v>
      </c>
      <c r="B940" s="4" t="s">
        <v>10</v>
      </c>
      <c r="C940" s="4" t="s">
        <v>73</v>
      </c>
      <c r="D940" s="4">
        <v>46139</v>
      </c>
      <c r="E940" s="5">
        <v>0.51502314814814809</v>
      </c>
      <c r="F940">
        <v>1</v>
      </c>
      <c r="G940" t="s">
        <v>82</v>
      </c>
      <c r="H940">
        <v>32.75</v>
      </c>
      <c r="M940" t="s">
        <v>79</v>
      </c>
      <c r="N940" t="s">
        <v>72</v>
      </c>
    </row>
    <row r="941" spans="1:21" x14ac:dyDescent="0.25">
      <c r="A941" t="s">
        <v>874</v>
      </c>
      <c r="B941" s="4" t="s">
        <v>10</v>
      </c>
      <c r="C941" s="4" t="s">
        <v>70</v>
      </c>
      <c r="D941" s="4">
        <v>46139</v>
      </c>
      <c r="E941" s="5">
        <v>0.51530092592592591</v>
      </c>
      <c r="F941">
        <v>1</v>
      </c>
      <c r="G941" t="s">
        <v>82</v>
      </c>
      <c r="H941">
        <v>28.75</v>
      </c>
      <c r="L941" t="s">
        <v>873</v>
      </c>
      <c r="M941" t="s">
        <v>71</v>
      </c>
      <c r="N941" t="s">
        <v>72</v>
      </c>
      <c r="P941">
        <v>1</v>
      </c>
      <c r="Q941">
        <v>1</v>
      </c>
      <c r="S941">
        <v>1</v>
      </c>
      <c r="U941">
        <v>0.16666666666666666</v>
      </c>
    </row>
    <row r="942" spans="1:21" x14ac:dyDescent="0.25">
      <c r="A942" t="s">
        <v>873</v>
      </c>
      <c r="B942" s="4" t="s">
        <v>10</v>
      </c>
      <c r="C942" s="4" t="s">
        <v>73</v>
      </c>
      <c r="D942" s="4">
        <v>46139</v>
      </c>
      <c r="E942" s="5">
        <v>0.51530092592592591</v>
      </c>
      <c r="F942">
        <v>1</v>
      </c>
      <c r="G942" t="s">
        <v>82</v>
      </c>
      <c r="H942">
        <v>4</v>
      </c>
      <c r="M942" t="s">
        <v>79</v>
      </c>
      <c r="N942" t="s">
        <v>72</v>
      </c>
    </row>
    <row r="943" spans="1:21" x14ac:dyDescent="0.25">
      <c r="A943" t="s">
        <v>873</v>
      </c>
      <c r="B943" s="4" t="s">
        <v>10</v>
      </c>
      <c r="C943" s="4" t="s">
        <v>73</v>
      </c>
      <c r="D943" s="4">
        <v>46139</v>
      </c>
      <c r="E943" s="5">
        <v>0.51530092592592591</v>
      </c>
      <c r="F943">
        <v>1</v>
      </c>
      <c r="G943" t="s">
        <v>82</v>
      </c>
      <c r="H943">
        <v>0.16666666666666666</v>
      </c>
      <c r="M943" t="s">
        <v>79</v>
      </c>
      <c r="N943" t="s">
        <v>72</v>
      </c>
    </row>
    <row r="944" spans="1:21" x14ac:dyDescent="0.25">
      <c r="A944" t="s">
        <v>873</v>
      </c>
      <c r="B944" s="4" t="s">
        <v>10</v>
      </c>
      <c r="C944" s="4" t="s">
        <v>73</v>
      </c>
      <c r="D944" s="4">
        <v>46139</v>
      </c>
      <c r="E944" s="5">
        <v>0.51530092592592591</v>
      </c>
      <c r="F944">
        <v>1</v>
      </c>
      <c r="G944" t="s">
        <v>82</v>
      </c>
      <c r="H944">
        <v>0</v>
      </c>
      <c r="M944" t="s">
        <v>79</v>
      </c>
      <c r="N944" t="s">
        <v>72</v>
      </c>
    </row>
    <row r="945" spans="1:21" x14ac:dyDescent="0.25">
      <c r="A945" t="s">
        <v>886</v>
      </c>
      <c r="B945" s="4" t="s">
        <v>10</v>
      </c>
      <c r="C945" s="4" t="s">
        <v>70</v>
      </c>
      <c r="D945" s="4">
        <v>46139</v>
      </c>
      <c r="E945" s="5">
        <v>0.52337962962962958</v>
      </c>
      <c r="F945">
        <v>1</v>
      </c>
      <c r="G945" t="s">
        <v>82</v>
      </c>
      <c r="H945">
        <v>40.5</v>
      </c>
      <c r="L945" t="s">
        <v>887</v>
      </c>
      <c r="M945" t="s">
        <v>71</v>
      </c>
      <c r="N945" t="s">
        <v>75</v>
      </c>
      <c r="O945">
        <v>1</v>
      </c>
      <c r="R945">
        <v>1</v>
      </c>
      <c r="S945">
        <v>1</v>
      </c>
      <c r="T945">
        <v>11.166666666666666</v>
      </c>
    </row>
    <row r="946" spans="1:21" x14ac:dyDescent="0.25">
      <c r="A946" t="s">
        <v>887</v>
      </c>
      <c r="B946" s="4" t="s">
        <v>10</v>
      </c>
      <c r="C946" s="4" t="s">
        <v>73</v>
      </c>
      <c r="D946" s="4">
        <v>46139</v>
      </c>
      <c r="E946" s="5">
        <v>0.52337962962962958</v>
      </c>
      <c r="F946">
        <v>1</v>
      </c>
      <c r="G946" t="s">
        <v>82</v>
      </c>
      <c r="H946">
        <v>11.333333333333332</v>
      </c>
      <c r="M946" t="s">
        <v>79</v>
      </c>
      <c r="N946" t="s">
        <v>75</v>
      </c>
    </row>
    <row r="947" spans="1:21" x14ac:dyDescent="0.25">
      <c r="A947" t="s">
        <v>887</v>
      </c>
      <c r="B947" s="4" t="s">
        <v>10</v>
      </c>
      <c r="C947" s="4" t="s">
        <v>73</v>
      </c>
      <c r="D947" s="4">
        <v>46139</v>
      </c>
      <c r="E947" s="5">
        <v>0.52339120370370362</v>
      </c>
      <c r="F947">
        <v>1</v>
      </c>
      <c r="G947" t="s">
        <v>82</v>
      </c>
      <c r="H947">
        <v>11.25</v>
      </c>
      <c r="M947" t="s">
        <v>79</v>
      </c>
      <c r="N947" t="s">
        <v>75</v>
      </c>
    </row>
    <row r="948" spans="1:21" x14ac:dyDescent="0.25">
      <c r="A948" t="s">
        <v>887</v>
      </c>
      <c r="B948" s="4" t="s">
        <v>10</v>
      </c>
      <c r="C948" s="4" t="s">
        <v>73</v>
      </c>
      <c r="D948" s="4">
        <v>46139</v>
      </c>
      <c r="E948" s="5">
        <v>0.52358796296296295</v>
      </c>
      <c r="F948">
        <v>1</v>
      </c>
      <c r="G948" t="s">
        <v>82</v>
      </c>
      <c r="H948">
        <v>11.166666666666666</v>
      </c>
      <c r="M948" t="s">
        <v>76</v>
      </c>
      <c r="N948" t="s">
        <v>75</v>
      </c>
    </row>
    <row r="949" spans="1:21" x14ac:dyDescent="0.25">
      <c r="A949" t="s">
        <v>890</v>
      </c>
      <c r="B949" s="4" t="s">
        <v>10</v>
      </c>
      <c r="C949" s="4" t="s">
        <v>70</v>
      </c>
      <c r="D949" s="4">
        <v>46139</v>
      </c>
      <c r="E949" s="5">
        <v>0.52416666666666667</v>
      </c>
      <c r="F949">
        <v>1</v>
      </c>
      <c r="G949" t="s">
        <v>82</v>
      </c>
      <c r="H949">
        <v>16</v>
      </c>
      <c r="L949" t="s">
        <v>891</v>
      </c>
      <c r="M949" t="s">
        <v>71</v>
      </c>
      <c r="N949" t="s">
        <v>75</v>
      </c>
      <c r="O949">
        <v>1</v>
      </c>
      <c r="S949">
        <v>1</v>
      </c>
      <c r="T949">
        <v>86.416666666666657</v>
      </c>
    </row>
    <row r="950" spans="1:21" x14ac:dyDescent="0.25">
      <c r="A950" t="s">
        <v>891</v>
      </c>
      <c r="B950" s="4" t="s">
        <v>10</v>
      </c>
      <c r="C950" s="4" t="s">
        <v>73</v>
      </c>
      <c r="D950" s="4">
        <v>46139</v>
      </c>
      <c r="E950" s="5">
        <v>0.52416666666666667</v>
      </c>
      <c r="F950">
        <v>1</v>
      </c>
      <c r="G950" t="s">
        <v>82</v>
      </c>
      <c r="H950">
        <v>88.916666666666657</v>
      </c>
      <c r="M950" t="s">
        <v>79</v>
      </c>
      <c r="N950" t="s">
        <v>75</v>
      </c>
    </row>
    <row r="951" spans="1:21" x14ac:dyDescent="0.25">
      <c r="A951" t="s">
        <v>891</v>
      </c>
      <c r="B951" s="4" t="s">
        <v>10</v>
      </c>
      <c r="C951" s="4" t="s">
        <v>73</v>
      </c>
      <c r="D951" s="4">
        <v>46139</v>
      </c>
      <c r="E951" s="5">
        <v>0.52454861111111106</v>
      </c>
      <c r="F951">
        <v>1</v>
      </c>
      <c r="G951" t="s">
        <v>82</v>
      </c>
      <c r="H951">
        <v>86.416666666666657</v>
      </c>
      <c r="M951" t="s">
        <v>76</v>
      </c>
      <c r="N951" t="s">
        <v>75</v>
      </c>
    </row>
    <row r="952" spans="1:21" x14ac:dyDescent="0.25">
      <c r="A952" t="s">
        <v>896</v>
      </c>
      <c r="B952" s="4" t="s">
        <v>10</v>
      </c>
      <c r="C952" s="4" t="s">
        <v>70</v>
      </c>
      <c r="D952" s="4">
        <v>46139</v>
      </c>
      <c r="E952" s="5">
        <v>0.5257060185185185</v>
      </c>
      <c r="F952">
        <v>1</v>
      </c>
      <c r="G952" t="s">
        <v>82</v>
      </c>
      <c r="H952">
        <v>150.75</v>
      </c>
      <c r="L952" t="s">
        <v>897</v>
      </c>
      <c r="M952" t="s">
        <v>71</v>
      </c>
      <c r="N952" t="s">
        <v>75</v>
      </c>
      <c r="O952">
        <v>1</v>
      </c>
      <c r="S952">
        <v>1</v>
      </c>
      <c r="T952">
        <v>48.083333333333329</v>
      </c>
    </row>
    <row r="953" spans="1:21" x14ac:dyDescent="0.25">
      <c r="A953" t="s">
        <v>897</v>
      </c>
      <c r="B953" s="4" t="s">
        <v>10</v>
      </c>
      <c r="C953" s="4" t="s">
        <v>73</v>
      </c>
      <c r="D953" s="4">
        <v>46139</v>
      </c>
      <c r="E953" s="5">
        <v>0.5257060185185185</v>
      </c>
      <c r="F953">
        <v>1</v>
      </c>
      <c r="G953" t="s">
        <v>82</v>
      </c>
      <c r="H953">
        <v>49.083333333333336</v>
      </c>
      <c r="M953" t="s">
        <v>79</v>
      </c>
      <c r="N953" t="s">
        <v>75</v>
      </c>
    </row>
    <row r="954" spans="1:21" x14ac:dyDescent="0.25">
      <c r="A954" t="s">
        <v>897</v>
      </c>
      <c r="B954" s="4" t="s">
        <v>10</v>
      </c>
      <c r="C954" s="4" t="s">
        <v>73</v>
      </c>
      <c r="D954" s="4">
        <v>46139</v>
      </c>
      <c r="E954" s="5">
        <v>0.5257060185185185</v>
      </c>
      <c r="F954">
        <v>1</v>
      </c>
      <c r="G954" t="s">
        <v>82</v>
      </c>
      <c r="H954">
        <v>49</v>
      </c>
      <c r="M954" t="s">
        <v>79</v>
      </c>
      <c r="N954" t="s">
        <v>75</v>
      </c>
    </row>
    <row r="955" spans="1:21" x14ac:dyDescent="0.25">
      <c r="A955" t="s">
        <v>897</v>
      </c>
      <c r="B955" s="4" t="s">
        <v>10</v>
      </c>
      <c r="C955" s="4" t="s">
        <v>73</v>
      </c>
      <c r="D955" s="4">
        <v>46139</v>
      </c>
      <c r="E955" s="5">
        <v>0.52594907407407399</v>
      </c>
      <c r="F955">
        <v>1</v>
      </c>
      <c r="G955" t="s">
        <v>82</v>
      </c>
      <c r="H955">
        <v>48.083333333333329</v>
      </c>
      <c r="M955" t="s">
        <v>76</v>
      </c>
      <c r="N955" t="s">
        <v>75</v>
      </c>
    </row>
    <row r="956" spans="1:21" x14ac:dyDescent="0.25">
      <c r="A956" t="s">
        <v>898</v>
      </c>
      <c r="B956" s="4" t="s">
        <v>10</v>
      </c>
      <c r="C956" s="4" t="s">
        <v>70</v>
      </c>
      <c r="D956" s="4">
        <v>46139</v>
      </c>
      <c r="E956" s="5">
        <v>0.52686342592592594</v>
      </c>
      <c r="F956">
        <v>1</v>
      </c>
      <c r="G956" t="s">
        <v>82</v>
      </c>
      <c r="H956">
        <v>150.91666666666666</v>
      </c>
      <c r="L956" t="s">
        <v>899</v>
      </c>
      <c r="M956" t="s">
        <v>71</v>
      </c>
      <c r="N956" t="s">
        <v>72</v>
      </c>
      <c r="O956">
        <v>1</v>
      </c>
      <c r="Q956">
        <v>1</v>
      </c>
      <c r="S956">
        <v>1</v>
      </c>
      <c r="U956">
        <v>0.75</v>
      </c>
    </row>
    <row r="957" spans="1:21" x14ac:dyDescent="0.25">
      <c r="A957" t="s">
        <v>899</v>
      </c>
      <c r="B957" s="4" t="s">
        <v>10</v>
      </c>
      <c r="C957" s="4" t="s">
        <v>73</v>
      </c>
      <c r="D957" s="4">
        <v>46139</v>
      </c>
      <c r="E957" s="5">
        <v>0.52686342592592594</v>
      </c>
      <c r="F957">
        <v>1</v>
      </c>
      <c r="G957" t="s">
        <v>82</v>
      </c>
      <c r="H957">
        <v>3.4166666666666665</v>
      </c>
      <c r="M957" t="s">
        <v>79</v>
      </c>
      <c r="N957" t="s">
        <v>72</v>
      </c>
    </row>
    <row r="958" spans="1:21" x14ac:dyDescent="0.25">
      <c r="A958" t="s">
        <v>899</v>
      </c>
      <c r="B958" s="4" t="s">
        <v>10</v>
      </c>
      <c r="C958" s="4" t="s">
        <v>73</v>
      </c>
      <c r="D958" s="4">
        <v>46139</v>
      </c>
      <c r="E958" s="5">
        <v>0.52686342592592594</v>
      </c>
      <c r="F958">
        <v>1</v>
      </c>
      <c r="G958" t="s">
        <v>82</v>
      </c>
      <c r="H958">
        <v>0.75</v>
      </c>
      <c r="M958" t="s">
        <v>79</v>
      </c>
      <c r="N958" t="s">
        <v>72</v>
      </c>
    </row>
    <row r="959" spans="1:21" x14ac:dyDescent="0.25">
      <c r="A959" t="s">
        <v>899</v>
      </c>
      <c r="B959" s="4" t="s">
        <v>10</v>
      </c>
      <c r="C959" s="4" t="s">
        <v>73</v>
      </c>
      <c r="D959" s="4">
        <v>46139</v>
      </c>
      <c r="E959" s="5">
        <v>0.52686342592592594</v>
      </c>
      <c r="F959">
        <v>1</v>
      </c>
      <c r="G959" t="s">
        <v>82</v>
      </c>
      <c r="H959">
        <v>0</v>
      </c>
      <c r="M959" t="s">
        <v>79</v>
      </c>
      <c r="N959" t="s">
        <v>72</v>
      </c>
    </row>
    <row r="960" spans="1:21" x14ac:dyDescent="0.25">
      <c r="A960" t="s">
        <v>761</v>
      </c>
      <c r="B960" s="4" t="s">
        <v>10</v>
      </c>
      <c r="C960" s="4" t="s">
        <v>73</v>
      </c>
      <c r="D960" s="4">
        <v>46139</v>
      </c>
      <c r="E960" s="5">
        <v>0.52748842592592593</v>
      </c>
      <c r="F960">
        <v>1</v>
      </c>
      <c r="G960" t="s">
        <v>82</v>
      </c>
      <c r="H960">
        <v>3.083333333333333</v>
      </c>
      <c r="L960" t="s">
        <v>762</v>
      </c>
      <c r="M960" t="s">
        <v>79</v>
      </c>
      <c r="N960" t="s">
        <v>77</v>
      </c>
    </row>
    <row r="961" spans="1:20" x14ac:dyDescent="0.25">
      <c r="A961" t="s">
        <v>761</v>
      </c>
      <c r="B961" s="4" t="s">
        <v>10</v>
      </c>
      <c r="C961" s="4" t="s">
        <v>73</v>
      </c>
      <c r="D961" s="4">
        <v>46139</v>
      </c>
      <c r="E961" s="5">
        <v>0.52748842592592593</v>
      </c>
      <c r="F961">
        <v>1</v>
      </c>
      <c r="G961" t="s">
        <v>82</v>
      </c>
      <c r="H961">
        <v>0</v>
      </c>
      <c r="L961" t="s">
        <v>762</v>
      </c>
      <c r="M961" t="s">
        <v>79</v>
      </c>
      <c r="N961" t="s">
        <v>77</v>
      </c>
    </row>
    <row r="962" spans="1:20" x14ac:dyDescent="0.25">
      <c r="A962" t="s">
        <v>761</v>
      </c>
      <c r="B962" s="4" t="s">
        <v>10</v>
      </c>
      <c r="C962" s="4" t="s">
        <v>73</v>
      </c>
      <c r="D962" s="4">
        <v>46139</v>
      </c>
      <c r="E962" s="5">
        <v>0.52796296296296297</v>
      </c>
      <c r="F962">
        <v>1</v>
      </c>
      <c r="G962" t="s">
        <v>82</v>
      </c>
      <c r="H962">
        <v>19.75</v>
      </c>
      <c r="L962" t="s">
        <v>762</v>
      </c>
      <c r="M962" t="s">
        <v>71</v>
      </c>
      <c r="N962" t="s">
        <v>77</v>
      </c>
    </row>
    <row r="963" spans="1:20" x14ac:dyDescent="0.25">
      <c r="A963" t="s">
        <v>900</v>
      </c>
      <c r="B963" s="4" t="s">
        <v>10</v>
      </c>
      <c r="C963" s="4" t="s">
        <v>70</v>
      </c>
      <c r="D963" s="4">
        <v>46139</v>
      </c>
      <c r="E963" s="5">
        <v>0.52915509259259264</v>
      </c>
      <c r="F963">
        <v>1</v>
      </c>
      <c r="G963" t="s">
        <v>82</v>
      </c>
      <c r="H963">
        <v>125</v>
      </c>
      <c r="L963" t="s">
        <v>901</v>
      </c>
      <c r="M963" t="s">
        <v>71</v>
      </c>
      <c r="N963" t="s">
        <v>75</v>
      </c>
      <c r="O963">
        <v>1</v>
      </c>
      <c r="R963">
        <v>1</v>
      </c>
      <c r="S963">
        <v>1</v>
      </c>
      <c r="T963">
        <v>10.25</v>
      </c>
    </row>
    <row r="964" spans="1:20" x14ac:dyDescent="0.25">
      <c r="A964" t="s">
        <v>901</v>
      </c>
      <c r="B964" s="4" t="s">
        <v>10</v>
      </c>
      <c r="C964" s="4" t="s">
        <v>73</v>
      </c>
      <c r="D964" s="4">
        <v>46139</v>
      </c>
      <c r="E964" s="5">
        <v>0.52915509259259264</v>
      </c>
      <c r="F964">
        <v>1</v>
      </c>
      <c r="G964" t="s">
        <v>82</v>
      </c>
      <c r="H964">
        <v>9</v>
      </c>
      <c r="M964" t="s">
        <v>79</v>
      </c>
      <c r="N964" t="s">
        <v>75</v>
      </c>
    </row>
    <row r="965" spans="1:20" x14ac:dyDescent="0.25">
      <c r="A965" t="s">
        <v>901</v>
      </c>
      <c r="B965" s="4" t="s">
        <v>10</v>
      </c>
      <c r="C965" s="4" t="s">
        <v>73</v>
      </c>
      <c r="D965" s="4">
        <v>46139</v>
      </c>
      <c r="E965" s="5">
        <v>0.52915509259259264</v>
      </c>
      <c r="F965">
        <v>1</v>
      </c>
      <c r="G965" t="s">
        <v>82</v>
      </c>
      <c r="H965">
        <v>8.9166666666666661</v>
      </c>
      <c r="M965" t="s">
        <v>79</v>
      </c>
      <c r="N965" t="s">
        <v>75</v>
      </c>
    </row>
    <row r="966" spans="1:20" x14ac:dyDescent="0.25">
      <c r="A966" t="s">
        <v>901</v>
      </c>
      <c r="B966" s="4" t="s">
        <v>10</v>
      </c>
      <c r="C966" s="4" t="s">
        <v>73</v>
      </c>
      <c r="D966" s="4">
        <v>46139</v>
      </c>
      <c r="E966" s="5">
        <v>0.52959490740740733</v>
      </c>
      <c r="F966">
        <v>1</v>
      </c>
      <c r="G966" t="s">
        <v>82</v>
      </c>
      <c r="H966">
        <v>10.25</v>
      </c>
      <c r="M966" t="s">
        <v>76</v>
      </c>
      <c r="N966" t="s">
        <v>75</v>
      </c>
    </row>
    <row r="967" spans="1:20" x14ac:dyDescent="0.25">
      <c r="A967" t="s">
        <v>904</v>
      </c>
      <c r="B967" s="4" t="s">
        <v>10</v>
      </c>
      <c r="C967" s="4" t="s">
        <v>70</v>
      </c>
      <c r="D967" s="4">
        <v>46139</v>
      </c>
      <c r="E967" s="5">
        <v>0.53126157407407404</v>
      </c>
      <c r="F967">
        <v>1</v>
      </c>
      <c r="G967" t="s">
        <v>82</v>
      </c>
      <c r="H967">
        <v>25</v>
      </c>
      <c r="L967" t="s">
        <v>905</v>
      </c>
      <c r="M967" t="s">
        <v>71</v>
      </c>
      <c r="N967" t="s">
        <v>75</v>
      </c>
      <c r="O967">
        <v>1</v>
      </c>
      <c r="R967">
        <v>1</v>
      </c>
      <c r="S967">
        <v>1</v>
      </c>
      <c r="T967">
        <v>14.5</v>
      </c>
    </row>
    <row r="968" spans="1:20" x14ac:dyDescent="0.25">
      <c r="A968" t="s">
        <v>905</v>
      </c>
      <c r="B968" s="4" t="s">
        <v>10</v>
      </c>
      <c r="C968" s="4" t="s">
        <v>73</v>
      </c>
      <c r="D968" s="4">
        <v>46139</v>
      </c>
      <c r="E968" s="5">
        <v>0.53126157407407404</v>
      </c>
      <c r="F968">
        <v>1</v>
      </c>
      <c r="G968" t="s">
        <v>82</v>
      </c>
      <c r="H968">
        <v>14.583333333333332</v>
      </c>
      <c r="M968" t="s">
        <v>79</v>
      </c>
      <c r="N968" t="s">
        <v>75</v>
      </c>
    </row>
    <row r="969" spans="1:20" x14ac:dyDescent="0.25">
      <c r="A969" t="s">
        <v>905</v>
      </c>
      <c r="B969" s="4" t="s">
        <v>10</v>
      </c>
      <c r="C969" s="4" t="s">
        <v>73</v>
      </c>
      <c r="D969" s="4">
        <v>46139</v>
      </c>
      <c r="E969" s="5">
        <v>0.53126157407407404</v>
      </c>
      <c r="F969">
        <v>1</v>
      </c>
      <c r="G969" t="s">
        <v>82</v>
      </c>
      <c r="H969">
        <v>14.5</v>
      </c>
      <c r="M969" t="s">
        <v>79</v>
      </c>
      <c r="N969" t="s">
        <v>75</v>
      </c>
    </row>
    <row r="970" spans="1:20" x14ac:dyDescent="0.25">
      <c r="A970" t="s">
        <v>905</v>
      </c>
      <c r="B970" s="4" t="s">
        <v>10</v>
      </c>
      <c r="C970" s="4" t="s">
        <v>73</v>
      </c>
      <c r="D970" s="4">
        <v>46139</v>
      </c>
      <c r="E970" s="5">
        <v>0.53141203703703699</v>
      </c>
      <c r="F970">
        <v>1</v>
      </c>
      <c r="G970" t="s">
        <v>82</v>
      </c>
      <c r="H970">
        <v>14.5</v>
      </c>
      <c r="M970" t="s">
        <v>76</v>
      </c>
      <c r="N970" t="s">
        <v>75</v>
      </c>
    </row>
    <row r="971" spans="1:20" x14ac:dyDescent="0.25">
      <c r="A971" t="s">
        <v>908</v>
      </c>
      <c r="B971" s="4" t="s">
        <v>10</v>
      </c>
      <c r="C971" s="4" t="s">
        <v>70</v>
      </c>
      <c r="D971" s="4">
        <v>46139</v>
      </c>
      <c r="E971" s="5">
        <v>0.53217592592592589</v>
      </c>
      <c r="F971">
        <v>1</v>
      </c>
      <c r="G971" t="s">
        <v>82</v>
      </c>
      <c r="H971">
        <v>25</v>
      </c>
      <c r="L971" t="s">
        <v>909</v>
      </c>
      <c r="M971" t="s">
        <v>71</v>
      </c>
      <c r="N971" t="s">
        <v>75</v>
      </c>
      <c r="O971">
        <v>1</v>
      </c>
      <c r="R971">
        <v>1</v>
      </c>
      <c r="S971">
        <v>1</v>
      </c>
      <c r="T971">
        <v>5.25</v>
      </c>
    </row>
    <row r="972" spans="1:20" x14ac:dyDescent="0.25">
      <c r="A972" t="s">
        <v>909</v>
      </c>
      <c r="B972" s="4" t="s">
        <v>10</v>
      </c>
      <c r="C972" s="4" t="s">
        <v>73</v>
      </c>
      <c r="D972" s="4">
        <v>46139</v>
      </c>
      <c r="E972" s="5">
        <v>0.53217592592592589</v>
      </c>
      <c r="F972">
        <v>1</v>
      </c>
      <c r="G972" t="s">
        <v>82</v>
      </c>
      <c r="H972">
        <v>5.25</v>
      </c>
      <c r="M972" t="s">
        <v>79</v>
      </c>
      <c r="N972" t="s">
        <v>75</v>
      </c>
    </row>
    <row r="973" spans="1:20" x14ac:dyDescent="0.25">
      <c r="A973" t="s">
        <v>909</v>
      </c>
      <c r="B973" s="4" t="s">
        <v>10</v>
      </c>
      <c r="C973" s="4" t="s">
        <v>73</v>
      </c>
      <c r="D973" s="4">
        <v>46139</v>
      </c>
      <c r="E973" s="5">
        <v>0.53229166666666661</v>
      </c>
      <c r="F973">
        <v>1</v>
      </c>
      <c r="G973" t="s">
        <v>82</v>
      </c>
      <c r="H973">
        <v>5.25</v>
      </c>
      <c r="M973" t="s">
        <v>76</v>
      </c>
      <c r="N973" t="s">
        <v>75</v>
      </c>
    </row>
    <row r="974" spans="1:20" x14ac:dyDescent="0.25">
      <c r="A974" t="s">
        <v>910</v>
      </c>
      <c r="B974" s="4" t="s">
        <v>10</v>
      </c>
      <c r="C974" s="4" t="s">
        <v>70</v>
      </c>
      <c r="D974" s="4">
        <v>46139</v>
      </c>
      <c r="E974" s="5">
        <v>0.53280092592592587</v>
      </c>
      <c r="F974">
        <v>1</v>
      </c>
      <c r="G974" t="s">
        <v>82</v>
      </c>
      <c r="H974">
        <v>8.25</v>
      </c>
      <c r="L974" t="s">
        <v>911</v>
      </c>
      <c r="M974" t="s">
        <v>71</v>
      </c>
      <c r="N974" t="s">
        <v>72</v>
      </c>
      <c r="O974">
        <v>1</v>
      </c>
      <c r="S974">
        <v>1</v>
      </c>
      <c r="T974">
        <v>100.91666666666666</v>
      </c>
    </row>
    <row r="975" spans="1:20" x14ac:dyDescent="0.25">
      <c r="A975" t="s">
        <v>911</v>
      </c>
      <c r="B975" s="4" t="s">
        <v>10</v>
      </c>
      <c r="C975" s="4" t="s">
        <v>73</v>
      </c>
      <c r="D975" s="4">
        <v>46139</v>
      </c>
      <c r="E975" s="5">
        <v>0.53280092592592587</v>
      </c>
      <c r="F975">
        <v>1</v>
      </c>
      <c r="G975" t="s">
        <v>82</v>
      </c>
      <c r="H975">
        <v>101</v>
      </c>
      <c r="M975" t="s">
        <v>79</v>
      </c>
      <c r="N975" t="s">
        <v>72</v>
      </c>
    </row>
    <row r="976" spans="1:20" x14ac:dyDescent="0.25">
      <c r="A976" t="s">
        <v>911</v>
      </c>
      <c r="B976" s="4" t="s">
        <v>10</v>
      </c>
      <c r="C976" s="4" t="s">
        <v>73</v>
      </c>
      <c r="D976" s="4">
        <v>46139</v>
      </c>
      <c r="E976" s="5">
        <v>0.53280092592592587</v>
      </c>
      <c r="F976">
        <v>1</v>
      </c>
      <c r="G976" t="s">
        <v>82</v>
      </c>
      <c r="H976">
        <v>100.91666666666666</v>
      </c>
      <c r="M976" t="s">
        <v>79</v>
      </c>
      <c r="N976" t="s">
        <v>72</v>
      </c>
    </row>
    <row r="977" spans="1:21" x14ac:dyDescent="0.25">
      <c r="A977" t="s">
        <v>911</v>
      </c>
      <c r="B977" s="4" t="s">
        <v>10</v>
      </c>
      <c r="C977" s="4" t="s">
        <v>73</v>
      </c>
      <c r="D977" s="4">
        <v>46139</v>
      </c>
      <c r="E977" s="5">
        <v>0.53297453703703701</v>
      </c>
      <c r="F977">
        <v>1</v>
      </c>
      <c r="G977" t="s">
        <v>82</v>
      </c>
      <c r="H977">
        <v>100.91666666666666</v>
      </c>
      <c r="M977" t="s">
        <v>76</v>
      </c>
      <c r="N977" t="s">
        <v>72</v>
      </c>
    </row>
    <row r="978" spans="1:21" x14ac:dyDescent="0.25">
      <c r="A978" t="s">
        <v>914</v>
      </c>
      <c r="B978" s="4" t="s">
        <v>10</v>
      </c>
      <c r="C978" s="4" t="s">
        <v>70</v>
      </c>
      <c r="D978" s="4">
        <v>46139</v>
      </c>
      <c r="E978" s="5">
        <v>0.53384259259259248</v>
      </c>
      <c r="F978">
        <v>1</v>
      </c>
      <c r="G978" t="s">
        <v>82</v>
      </c>
      <c r="H978">
        <v>150</v>
      </c>
      <c r="L978" t="s">
        <v>915</v>
      </c>
      <c r="M978" t="s">
        <v>71</v>
      </c>
      <c r="N978" t="s">
        <v>72</v>
      </c>
      <c r="O978">
        <v>1</v>
      </c>
      <c r="Q978">
        <v>1</v>
      </c>
      <c r="S978">
        <v>1</v>
      </c>
      <c r="U978">
        <v>4.083333333333333</v>
      </c>
    </row>
    <row r="979" spans="1:21" x14ac:dyDescent="0.25">
      <c r="A979" t="s">
        <v>915</v>
      </c>
      <c r="B979" s="4" t="s">
        <v>10</v>
      </c>
      <c r="C979" s="4" t="s">
        <v>73</v>
      </c>
      <c r="D979" s="4">
        <v>46139</v>
      </c>
      <c r="E979" s="5">
        <v>0.53384259259259248</v>
      </c>
      <c r="F979">
        <v>1</v>
      </c>
      <c r="G979" t="s">
        <v>82</v>
      </c>
      <c r="H979">
        <v>4.083333333333333</v>
      </c>
      <c r="L979" t="s">
        <v>916</v>
      </c>
      <c r="M979" t="s">
        <v>79</v>
      </c>
      <c r="N979" t="s">
        <v>72</v>
      </c>
    </row>
    <row r="980" spans="1:21" x14ac:dyDescent="0.25">
      <c r="A980" t="s">
        <v>915</v>
      </c>
      <c r="B980" s="4" t="s">
        <v>10</v>
      </c>
      <c r="C980" s="4" t="s">
        <v>73</v>
      </c>
      <c r="D980" s="4">
        <v>46139</v>
      </c>
      <c r="E980" s="5">
        <v>0.53384259259259248</v>
      </c>
      <c r="F980">
        <v>1</v>
      </c>
      <c r="G980" t="s">
        <v>82</v>
      </c>
      <c r="H980">
        <v>0</v>
      </c>
      <c r="L980" t="s">
        <v>916</v>
      </c>
      <c r="M980" t="s">
        <v>79</v>
      </c>
      <c r="N980" t="s">
        <v>72</v>
      </c>
    </row>
    <row r="981" spans="1:21" x14ac:dyDescent="0.25">
      <c r="A981" t="s">
        <v>917</v>
      </c>
      <c r="B981" s="4" t="s">
        <v>10</v>
      </c>
      <c r="C981" s="4" t="s">
        <v>70</v>
      </c>
      <c r="D981" s="4">
        <v>46139</v>
      </c>
      <c r="E981" s="5">
        <v>0.53446759259259258</v>
      </c>
      <c r="F981">
        <v>1</v>
      </c>
      <c r="G981" t="s">
        <v>82</v>
      </c>
      <c r="H981">
        <v>8</v>
      </c>
      <c r="L981" t="s">
        <v>642</v>
      </c>
      <c r="M981" t="s">
        <v>71</v>
      </c>
      <c r="N981" t="s">
        <v>72</v>
      </c>
      <c r="O981">
        <v>1</v>
      </c>
    </row>
    <row r="982" spans="1:21" x14ac:dyDescent="0.25">
      <c r="A982" t="s">
        <v>642</v>
      </c>
      <c r="B982" s="4" t="s">
        <v>10</v>
      </c>
      <c r="C982" s="4" t="s">
        <v>73</v>
      </c>
      <c r="D982" s="4">
        <v>46139</v>
      </c>
      <c r="E982" s="5">
        <v>0.53446759259259258</v>
      </c>
      <c r="F982">
        <v>1</v>
      </c>
      <c r="G982" t="s">
        <v>82</v>
      </c>
      <c r="H982">
        <v>157.16666666666666</v>
      </c>
      <c r="M982" t="s">
        <v>79</v>
      </c>
      <c r="N982" t="s">
        <v>72</v>
      </c>
    </row>
    <row r="983" spans="1:21" x14ac:dyDescent="0.25">
      <c r="A983" t="s">
        <v>642</v>
      </c>
      <c r="B983" s="4" t="s">
        <v>10</v>
      </c>
      <c r="C983" s="4" t="s">
        <v>73</v>
      </c>
      <c r="D983" s="4">
        <v>46139</v>
      </c>
      <c r="E983" s="5">
        <v>0.53446759259259258</v>
      </c>
      <c r="F983">
        <v>1</v>
      </c>
      <c r="G983" t="s">
        <v>82</v>
      </c>
      <c r="H983">
        <v>157.08333333333334</v>
      </c>
      <c r="M983" t="s">
        <v>79</v>
      </c>
      <c r="N983" t="s">
        <v>72</v>
      </c>
    </row>
    <row r="984" spans="1:21" x14ac:dyDescent="0.25">
      <c r="A984" t="s">
        <v>918</v>
      </c>
      <c r="B984" s="4" t="s">
        <v>10</v>
      </c>
      <c r="C984" s="4" t="s">
        <v>70</v>
      </c>
      <c r="D984" s="4">
        <v>46139</v>
      </c>
      <c r="E984" s="5">
        <v>0.53482638888888878</v>
      </c>
      <c r="F984">
        <v>1</v>
      </c>
      <c r="G984" t="s">
        <v>82</v>
      </c>
      <c r="H984">
        <v>34</v>
      </c>
      <c r="L984" t="s">
        <v>642</v>
      </c>
      <c r="M984" t="s">
        <v>71</v>
      </c>
      <c r="N984" t="s">
        <v>72</v>
      </c>
      <c r="P984">
        <v>1</v>
      </c>
      <c r="S984">
        <v>1</v>
      </c>
      <c r="T984">
        <v>123</v>
      </c>
    </row>
    <row r="985" spans="1:21" x14ac:dyDescent="0.25">
      <c r="A985" t="s">
        <v>642</v>
      </c>
      <c r="B985" s="4" t="s">
        <v>10</v>
      </c>
      <c r="C985" s="4" t="s">
        <v>73</v>
      </c>
      <c r="D985" s="4">
        <v>46139</v>
      </c>
      <c r="E985" s="5">
        <v>0.53482638888888878</v>
      </c>
      <c r="F985">
        <v>1</v>
      </c>
      <c r="G985" t="s">
        <v>82</v>
      </c>
      <c r="H985">
        <v>123.08333333333333</v>
      </c>
      <c r="M985" t="s">
        <v>79</v>
      </c>
      <c r="N985" t="s">
        <v>72</v>
      </c>
    </row>
    <row r="986" spans="1:21" x14ac:dyDescent="0.25">
      <c r="A986" t="s">
        <v>642</v>
      </c>
      <c r="B986" s="4" t="s">
        <v>10</v>
      </c>
      <c r="C986" s="4" t="s">
        <v>73</v>
      </c>
      <c r="D986" s="4">
        <v>46139</v>
      </c>
      <c r="E986" s="5">
        <v>0.53482638888888878</v>
      </c>
      <c r="F986">
        <v>1</v>
      </c>
      <c r="G986" t="s">
        <v>82</v>
      </c>
      <c r="H986">
        <v>123</v>
      </c>
      <c r="M986" t="s">
        <v>79</v>
      </c>
      <c r="N986" t="s">
        <v>72</v>
      </c>
    </row>
    <row r="987" spans="1:21" x14ac:dyDescent="0.25">
      <c r="A987" t="s">
        <v>642</v>
      </c>
      <c r="B987" s="4" t="s">
        <v>10</v>
      </c>
      <c r="C987" s="4" t="s">
        <v>73</v>
      </c>
      <c r="D987" s="4">
        <v>46139</v>
      </c>
      <c r="E987" s="5">
        <v>0.53491898148148143</v>
      </c>
      <c r="F987">
        <v>1</v>
      </c>
      <c r="G987" t="s">
        <v>82</v>
      </c>
      <c r="H987">
        <v>123</v>
      </c>
      <c r="M987" t="s">
        <v>76</v>
      </c>
      <c r="N987" t="s">
        <v>72</v>
      </c>
    </row>
    <row r="988" spans="1:21" x14ac:dyDescent="0.25">
      <c r="A988" t="s">
        <v>920</v>
      </c>
      <c r="B988" s="4" t="s">
        <v>10</v>
      </c>
      <c r="C988" s="4" t="s">
        <v>70</v>
      </c>
      <c r="D988" s="4">
        <v>46139</v>
      </c>
      <c r="E988" s="5">
        <v>0.53562500000000002</v>
      </c>
      <c r="F988">
        <v>1</v>
      </c>
      <c r="G988" t="s">
        <v>82</v>
      </c>
      <c r="H988">
        <v>120</v>
      </c>
      <c r="L988" t="s">
        <v>921</v>
      </c>
      <c r="M988" t="s">
        <v>71</v>
      </c>
      <c r="N988" t="s">
        <v>75</v>
      </c>
      <c r="O988">
        <v>1</v>
      </c>
      <c r="Q988">
        <v>1</v>
      </c>
      <c r="S988">
        <v>1</v>
      </c>
      <c r="U988">
        <v>1.3333333333333333</v>
      </c>
    </row>
    <row r="989" spans="1:21" x14ac:dyDescent="0.25">
      <c r="A989" t="s">
        <v>921</v>
      </c>
      <c r="B989" s="4" t="s">
        <v>10</v>
      </c>
      <c r="C989" s="4" t="s">
        <v>73</v>
      </c>
      <c r="D989" s="4">
        <v>46139</v>
      </c>
      <c r="E989" s="5">
        <v>0.53562500000000002</v>
      </c>
      <c r="F989">
        <v>1</v>
      </c>
      <c r="G989" t="s">
        <v>82</v>
      </c>
      <c r="H989">
        <v>3.4166666666666665</v>
      </c>
      <c r="M989" t="s">
        <v>79</v>
      </c>
      <c r="N989" t="s">
        <v>75</v>
      </c>
    </row>
    <row r="990" spans="1:21" x14ac:dyDescent="0.25">
      <c r="A990" t="s">
        <v>921</v>
      </c>
      <c r="B990" s="4" t="s">
        <v>10</v>
      </c>
      <c r="C990" s="4" t="s">
        <v>73</v>
      </c>
      <c r="D990" s="4">
        <v>46139</v>
      </c>
      <c r="E990" s="5">
        <v>0.53562500000000002</v>
      </c>
      <c r="F990">
        <v>1</v>
      </c>
      <c r="G990" t="s">
        <v>82</v>
      </c>
      <c r="H990">
        <v>1.3333333333333333</v>
      </c>
      <c r="M990" t="s">
        <v>79</v>
      </c>
      <c r="N990" t="s">
        <v>75</v>
      </c>
    </row>
    <row r="991" spans="1:21" x14ac:dyDescent="0.25">
      <c r="A991" t="s">
        <v>921</v>
      </c>
      <c r="B991" s="4" t="s">
        <v>10</v>
      </c>
      <c r="C991" s="4" t="s">
        <v>73</v>
      </c>
      <c r="D991" s="4">
        <v>46139</v>
      </c>
      <c r="E991" s="5">
        <v>0.53562500000000002</v>
      </c>
      <c r="F991">
        <v>1</v>
      </c>
      <c r="G991" t="s">
        <v>82</v>
      </c>
      <c r="H991">
        <v>0</v>
      </c>
      <c r="M991" t="s">
        <v>79</v>
      </c>
      <c r="N991" t="s">
        <v>75</v>
      </c>
    </row>
    <row r="992" spans="1:21" x14ac:dyDescent="0.25">
      <c r="A992" t="s">
        <v>922</v>
      </c>
      <c r="B992" s="4" t="s">
        <v>10</v>
      </c>
      <c r="C992" s="4" t="s">
        <v>70</v>
      </c>
      <c r="D992" s="4">
        <v>46139</v>
      </c>
      <c r="E992" s="5">
        <v>0.53641203703703699</v>
      </c>
      <c r="F992">
        <v>1</v>
      </c>
      <c r="G992" t="s">
        <v>82</v>
      </c>
      <c r="H992">
        <v>19.5</v>
      </c>
      <c r="L992" t="s">
        <v>923</v>
      </c>
      <c r="M992" t="s">
        <v>71</v>
      </c>
      <c r="N992" t="s">
        <v>77</v>
      </c>
      <c r="O992">
        <v>1</v>
      </c>
      <c r="Q992">
        <v>1</v>
      </c>
      <c r="S992">
        <v>1</v>
      </c>
      <c r="U992">
        <v>4.833333333333333</v>
      </c>
    </row>
    <row r="993" spans="1:21" x14ac:dyDescent="0.25">
      <c r="A993" t="s">
        <v>923</v>
      </c>
      <c r="B993" s="4" t="s">
        <v>10</v>
      </c>
      <c r="C993" s="4" t="s">
        <v>73</v>
      </c>
      <c r="D993" s="4">
        <v>46139</v>
      </c>
      <c r="E993" s="5">
        <v>0.53641203703703699</v>
      </c>
      <c r="F993">
        <v>1</v>
      </c>
      <c r="G993" t="s">
        <v>82</v>
      </c>
      <c r="H993">
        <v>4.833333333333333</v>
      </c>
      <c r="M993" t="s">
        <v>79</v>
      </c>
      <c r="N993" t="s">
        <v>77</v>
      </c>
    </row>
    <row r="994" spans="1:21" x14ac:dyDescent="0.25">
      <c r="A994" t="s">
        <v>923</v>
      </c>
      <c r="B994" s="4" t="s">
        <v>10</v>
      </c>
      <c r="C994" s="4" t="s">
        <v>73</v>
      </c>
      <c r="D994" s="4">
        <v>46139</v>
      </c>
      <c r="E994" s="5">
        <v>0.53641203703703699</v>
      </c>
      <c r="F994">
        <v>1</v>
      </c>
      <c r="G994" t="s">
        <v>82</v>
      </c>
      <c r="H994">
        <v>0</v>
      </c>
      <c r="M994" t="s">
        <v>79</v>
      </c>
      <c r="N994" t="s">
        <v>77</v>
      </c>
    </row>
    <row r="995" spans="1:21" x14ac:dyDescent="0.25">
      <c r="A995" t="s">
        <v>926</v>
      </c>
      <c r="B995" s="4" t="s">
        <v>10</v>
      </c>
      <c r="C995" s="4" t="s">
        <v>70</v>
      </c>
      <c r="D995" s="4">
        <v>46139</v>
      </c>
      <c r="E995" s="5">
        <v>0.53733796296296288</v>
      </c>
      <c r="F995">
        <v>1</v>
      </c>
      <c r="G995" t="s">
        <v>82</v>
      </c>
      <c r="H995">
        <v>165</v>
      </c>
      <c r="L995" t="s">
        <v>927</v>
      </c>
      <c r="M995" t="s">
        <v>71</v>
      </c>
      <c r="N995" t="s">
        <v>72</v>
      </c>
      <c r="O995">
        <v>1</v>
      </c>
      <c r="R995">
        <v>1</v>
      </c>
      <c r="S995">
        <v>1</v>
      </c>
      <c r="T995">
        <v>22.583333333333332</v>
      </c>
    </row>
    <row r="996" spans="1:21" x14ac:dyDescent="0.25">
      <c r="A996" t="s">
        <v>927</v>
      </c>
      <c r="B996" s="4" t="s">
        <v>10</v>
      </c>
      <c r="C996" s="4" t="s">
        <v>73</v>
      </c>
      <c r="D996" s="4">
        <v>46139</v>
      </c>
      <c r="E996" s="5">
        <v>0.53733796296296288</v>
      </c>
      <c r="F996">
        <v>1</v>
      </c>
      <c r="G996" t="s">
        <v>82</v>
      </c>
      <c r="H996">
        <v>23.75</v>
      </c>
      <c r="M996" t="s">
        <v>79</v>
      </c>
      <c r="N996" t="s">
        <v>72</v>
      </c>
    </row>
    <row r="997" spans="1:21" x14ac:dyDescent="0.25">
      <c r="A997" t="s">
        <v>927</v>
      </c>
      <c r="B997" s="4" t="s">
        <v>10</v>
      </c>
      <c r="C997" s="4" t="s">
        <v>73</v>
      </c>
      <c r="D997" s="4">
        <v>46139</v>
      </c>
      <c r="E997" s="5">
        <v>0.53733796296296288</v>
      </c>
      <c r="F997">
        <v>1</v>
      </c>
      <c r="G997" t="s">
        <v>82</v>
      </c>
      <c r="H997">
        <v>23.666666666666668</v>
      </c>
      <c r="M997" t="s">
        <v>79</v>
      </c>
      <c r="N997" t="s">
        <v>72</v>
      </c>
    </row>
    <row r="998" spans="1:21" x14ac:dyDescent="0.25">
      <c r="A998" t="s">
        <v>927</v>
      </c>
      <c r="B998" s="4" t="s">
        <v>10</v>
      </c>
      <c r="C998" s="4" t="s">
        <v>73</v>
      </c>
      <c r="D998" s="4">
        <v>46139</v>
      </c>
      <c r="E998" s="5">
        <v>0.53760416666666666</v>
      </c>
      <c r="F998">
        <v>1</v>
      </c>
      <c r="G998" t="s">
        <v>82</v>
      </c>
      <c r="H998">
        <v>22.583333333333332</v>
      </c>
      <c r="M998" t="s">
        <v>76</v>
      </c>
      <c r="N998" t="s">
        <v>72</v>
      </c>
    </row>
    <row r="999" spans="1:21" x14ac:dyDescent="0.25">
      <c r="A999" t="s">
        <v>929</v>
      </c>
      <c r="B999" s="4" t="s">
        <v>10</v>
      </c>
      <c r="C999" s="4" t="s">
        <v>70</v>
      </c>
      <c r="D999" s="4">
        <v>46139</v>
      </c>
      <c r="E999" s="5">
        <v>0.53820601851851846</v>
      </c>
      <c r="F999">
        <v>1</v>
      </c>
      <c r="G999" t="s">
        <v>82</v>
      </c>
      <c r="H999">
        <v>51</v>
      </c>
      <c r="L999" t="s">
        <v>930</v>
      </c>
      <c r="M999" t="s">
        <v>71</v>
      </c>
      <c r="N999" t="s">
        <v>77</v>
      </c>
      <c r="O999">
        <v>1</v>
      </c>
      <c r="S999">
        <v>1</v>
      </c>
      <c r="T999">
        <v>125</v>
      </c>
    </row>
    <row r="1000" spans="1:21" x14ac:dyDescent="0.25">
      <c r="A1000" t="s">
        <v>930</v>
      </c>
      <c r="B1000" s="4" t="s">
        <v>10</v>
      </c>
      <c r="C1000" s="4" t="s">
        <v>73</v>
      </c>
      <c r="D1000" s="4">
        <v>46139</v>
      </c>
      <c r="E1000" s="5">
        <v>0.53820601851851846</v>
      </c>
      <c r="F1000">
        <v>1</v>
      </c>
      <c r="G1000" t="s">
        <v>82</v>
      </c>
      <c r="H1000">
        <v>125.08333333333333</v>
      </c>
      <c r="M1000" t="s">
        <v>79</v>
      </c>
      <c r="N1000" t="s">
        <v>77</v>
      </c>
    </row>
    <row r="1001" spans="1:21" x14ac:dyDescent="0.25">
      <c r="A1001" t="s">
        <v>930</v>
      </c>
      <c r="B1001" s="4" t="s">
        <v>10</v>
      </c>
      <c r="C1001" s="4" t="s">
        <v>73</v>
      </c>
      <c r="D1001" s="4">
        <v>46139</v>
      </c>
      <c r="E1001" s="5">
        <v>0.53820601851851846</v>
      </c>
      <c r="F1001">
        <v>1</v>
      </c>
      <c r="G1001" t="s">
        <v>82</v>
      </c>
      <c r="H1001">
        <v>125</v>
      </c>
      <c r="M1001" t="s">
        <v>79</v>
      </c>
      <c r="N1001" t="s">
        <v>77</v>
      </c>
    </row>
    <row r="1002" spans="1:21" x14ac:dyDescent="0.25">
      <c r="A1002" t="s">
        <v>930</v>
      </c>
      <c r="B1002" s="4" t="s">
        <v>10</v>
      </c>
      <c r="C1002" s="4" t="s">
        <v>73</v>
      </c>
      <c r="D1002" s="4">
        <v>46139</v>
      </c>
      <c r="E1002" s="5">
        <v>0.53834490740740737</v>
      </c>
      <c r="F1002">
        <v>1</v>
      </c>
      <c r="G1002" t="s">
        <v>82</v>
      </c>
      <c r="H1002">
        <v>125</v>
      </c>
      <c r="M1002" t="s">
        <v>76</v>
      </c>
      <c r="N1002" t="s">
        <v>77</v>
      </c>
    </row>
    <row r="1003" spans="1:21" x14ac:dyDescent="0.25">
      <c r="A1003" t="s">
        <v>933</v>
      </c>
      <c r="B1003" s="4" t="s">
        <v>10</v>
      </c>
      <c r="C1003" s="4" t="s">
        <v>70</v>
      </c>
      <c r="D1003" s="4">
        <v>46139</v>
      </c>
      <c r="E1003" s="5">
        <v>0.53900462962962958</v>
      </c>
      <c r="F1003">
        <v>1</v>
      </c>
      <c r="G1003" t="s">
        <v>82</v>
      </c>
      <c r="H1003">
        <v>70</v>
      </c>
      <c r="L1003" t="s">
        <v>934</v>
      </c>
      <c r="M1003" t="s">
        <v>71</v>
      </c>
      <c r="N1003" t="s">
        <v>75</v>
      </c>
      <c r="O1003">
        <v>1</v>
      </c>
    </row>
    <row r="1004" spans="1:21" x14ac:dyDescent="0.25">
      <c r="A1004" t="s">
        <v>934</v>
      </c>
      <c r="B1004" s="4" t="s">
        <v>10</v>
      </c>
      <c r="C1004" s="4" t="s">
        <v>73</v>
      </c>
      <c r="D1004" s="4">
        <v>46139</v>
      </c>
      <c r="E1004" s="5">
        <v>0.53900462962962958</v>
      </c>
      <c r="F1004">
        <v>1</v>
      </c>
      <c r="G1004" t="s">
        <v>82</v>
      </c>
      <c r="H1004">
        <v>19.166666666666668</v>
      </c>
      <c r="M1004" t="s">
        <v>79</v>
      </c>
      <c r="N1004" t="s">
        <v>75</v>
      </c>
    </row>
    <row r="1005" spans="1:21" x14ac:dyDescent="0.25">
      <c r="A1005" t="s">
        <v>935</v>
      </c>
      <c r="B1005" s="4" t="s">
        <v>10</v>
      </c>
      <c r="C1005" s="4" t="s">
        <v>70</v>
      </c>
      <c r="D1005" s="4">
        <v>46139</v>
      </c>
      <c r="E1005" s="5">
        <v>0.53923611111111103</v>
      </c>
      <c r="F1005">
        <v>1</v>
      </c>
      <c r="G1005" t="s">
        <v>82</v>
      </c>
      <c r="H1005">
        <v>18.5</v>
      </c>
      <c r="L1005" t="s">
        <v>934</v>
      </c>
      <c r="M1005" t="s">
        <v>71</v>
      </c>
      <c r="N1005" t="s">
        <v>75</v>
      </c>
      <c r="P1005">
        <v>1</v>
      </c>
      <c r="Q1005">
        <v>1</v>
      </c>
      <c r="S1005">
        <v>1</v>
      </c>
      <c r="U1005">
        <v>0.5</v>
      </c>
    </row>
    <row r="1006" spans="1:21" x14ac:dyDescent="0.25">
      <c r="A1006" t="s">
        <v>934</v>
      </c>
      <c r="B1006" s="4" t="s">
        <v>10</v>
      </c>
      <c r="C1006" s="4" t="s">
        <v>73</v>
      </c>
      <c r="D1006" s="4">
        <v>46139</v>
      </c>
      <c r="E1006" s="5">
        <v>0.53923611111111103</v>
      </c>
      <c r="F1006">
        <v>1</v>
      </c>
      <c r="G1006" t="s">
        <v>82</v>
      </c>
      <c r="H1006">
        <v>0.66666666666666663</v>
      </c>
      <c r="M1006" t="s">
        <v>79</v>
      </c>
      <c r="N1006" t="s">
        <v>75</v>
      </c>
    </row>
    <row r="1007" spans="1:21" x14ac:dyDescent="0.25">
      <c r="A1007" t="s">
        <v>934</v>
      </c>
      <c r="B1007" s="4" t="s">
        <v>10</v>
      </c>
      <c r="C1007" s="4" t="s">
        <v>73</v>
      </c>
      <c r="D1007" s="4">
        <v>46139</v>
      </c>
      <c r="E1007" s="5">
        <v>0.53923611111111103</v>
      </c>
      <c r="F1007">
        <v>1</v>
      </c>
      <c r="G1007" t="s">
        <v>82</v>
      </c>
      <c r="H1007">
        <v>0.5</v>
      </c>
      <c r="M1007" t="s">
        <v>79</v>
      </c>
      <c r="N1007" t="s">
        <v>75</v>
      </c>
    </row>
    <row r="1008" spans="1:21" x14ac:dyDescent="0.25">
      <c r="A1008" t="s">
        <v>934</v>
      </c>
      <c r="B1008" s="4" t="s">
        <v>10</v>
      </c>
      <c r="C1008" s="4" t="s">
        <v>73</v>
      </c>
      <c r="D1008" s="4">
        <v>46139</v>
      </c>
      <c r="E1008" s="5">
        <v>0.53923611111111103</v>
      </c>
      <c r="F1008">
        <v>1</v>
      </c>
      <c r="G1008" t="s">
        <v>82</v>
      </c>
      <c r="H1008">
        <v>0</v>
      </c>
      <c r="M1008" t="s">
        <v>79</v>
      </c>
      <c r="N1008" t="s">
        <v>75</v>
      </c>
    </row>
    <row r="1009" spans="1:21" x14ac:dyDescent="0.25">
      <c r="A1009" t="s">
        <v>936</v>
      </c>
      <c r="B1009" s="4" t="s">
        <v>10</v>
      </c>
      <c r="C1009" s="4" t="s">
        <v>70</v>
      </c>
      <c r="D1009" s="4">
        <v>46139</v>
      </c>
      <c r="E1009" s="5">
        <v>0.53986111111111101</v>
      </c>
      <c r="F1009">
        <v>1</v>
      </c>
      <c r="G1009" t="s">
        <v>82</v>
      </c>
      <c r="H1009">
        <v>25</v>
      </c>
      <c r="L1009" t="s">
        <v>937</v>
      </c>
      <c r="M1009" t="s">
        <v>71</v>
      </c>
      <c r="N1009" t="s">
        <v>75</v>
      </c>
      <c r="O1009">
        <v>1</v>
      </c>
      <c r="R1009">
        <v>1</v>
      </c>
      <c r="S1009">
        <v>1</v>
      </c>
      <c r="T1009">
        <v>17.5</v>
      </c>
    </row>
    <row r="1010" spans="1:21" x14ac:dyDescent="0.25">
      <c r="A1010" t="s">
        <v>937</v>
      </c>
      <c r="B1010" s="4" t="s">
        <v>10</v>
      </c>
      <c r="C1010" s="4" t="s">
        <v>73</v>
      </c>
      <c r="D1010" s="4">
        <v>46139</v>
      </c>
      <c r="E1010" s="5">
        <v>0.53986111111111101</v>
      </c>
      <c r="F1010">
        <v>1</v>
      </c>
      <c r="G1010" t="s">
        <v>82</v>
      </c>
      <c r="H1010">
        <v>18.583333333333332</v>
      </c>
      <c r="M1010" t="s">
        <v>79</v>
      </c>
      <c r="N1010" t="s">
        <v>75</v>
      </c>
    </row>
    <row r="1011" spans="1:21" x14ac:dyDescent="0.25">
      <c r="A1011" t="s">
        <v>937</v>
      </c>
      <c r="B1011" s="4" t="s">
        <v>10</v>
      </c>
      <c r="C1011" s="4" t="s">
        <v>73</v>
      </c>
      <c r="D1011" s="4">
        <v>46139</v>
      </c>
      <c r="E1011" s="5">
        <v>0.53986111111111101</v>
      </c>
      <c r="F1011">
        <v>1</v>
      </c>
      <c r="G1011" t="s">
        <v>82</v>
      </c>
      <c r="H1011">
        <v>18.5</v>
      </c>
      <c r="M1011" t="s">
        <v>79</v>
      </c>
      <c r="N1011" t="s">
        <v>75</v>
      </c>
    </row>
    <row r="1012" spans="1:21" x14ac:dyDescent="0.25">
      <c r="A1012" t="s">
        <v>937</v>
      </c>
      <c r="B1012" s="4" t="s">
        <v>10</v>
      </c>
      <c r="C1012" s="4" t="s">
        <v>73</v>
      </c>
      <c r="D1012" s="4">
        <v>46139</v>
      </c>
      <c r="E1012" s="5">
        <v>0.54006944444444438</v>
      </c>
      <c r="F1012">
        <v>1</v>
      </c>
      <c r="G1012" t="s">
        <v>82</v>
      </c>
      <c r="H1012">
        <v>17.5</v>
      </c>
      <c r="M1012" t="s">
        <v>76</v>
      </c>
      <c r="N1012" t="s">
        <v>75</v>
      </c>
    </row>
    <row r="1013" spans="1:21" x14ac:dyDescent="0.25">
      <c r="A1013" t="s">
        <v>940</v>
      </c>
      <c r="B1013" s="4" t="s">
        <v>10</v>
      </c>
      <c r="C1013" s="4" t="s">
        <v>70</v>
      </c>
      <c r="D1013" s="4">
        <v>46139</v>
      </c>
      <c r="E1013" s="5">
        <v>0.54085648148148147</v>
      </c>
      <c r="F1013">
        <v>1</v>
      </c>
      <c r="G1013" t="s">
        <v>82</v>
      </c>
      <c r="H1013">
        <v>42</v>
      </c>
      <c r="L1013" t="s">
        <v>941</v>
      </c>
      <c r="M1013" t="s">
        <v>71</v>
      </c>
      <c r="N1013" t="s">
        <v>72</v>
      </c>
      <c r="O1013">
        <v>1</v>
      </c>
      <c r="S1013">
        <v>1</v>
      </c>
      <c r="T1013">
        <v>69.583333333333329</v>
      </c>
    </row>
    <row r="1014" spans="1:21" x14ac:dyDescent="0.25">
      <c r="A1014" t="s">
        <v>941</v>
      </c>
      <c r="B1014" s="4" t="s">
        <v>10</v>
      </c>
      <c r="C1014" s="4" t="s">
        <v>73</v>
      </c>
      <c r="D1014" s="4">
        <v>46139</v>
      </c>
      <c r="E1014" s="5">
        <v>0.54085648148148147</v>
      </c>
      <c r="F1014">
        <v>1</v>
      </c>
      <c r="G1014" t="s">
        <v>82</v>
      </c>
      <c r="H1014">
        <v>71.25</v>
      </c>
      <c r="M1014" t="s">
        <v>79</v>
      </c>
      <c r="N1014" t="s">
        <v>72</v>
      </c>
    </row>
    <row r="1015" spans="1:21" x14ac:dyDescent="0.25">
      <c r="A1015" t="s">
        <v>941</v>
      </c>
      <c r="B1015" s="4" t="s">
        <v>10</v>
      </c>
      <c r="C1015" s="4" t="s">
        <v>73</v>
      </c>
      <c r="D1015" s="4">
        <v>46139</v>
      </c>
      <c r="E1015" s="5">
        <v>0.54085648148148147</v>
      </c>
      <c r="F1015">
        <v>1</v>
      </c>
      <c r="G1015" t="s">
        <v>82</v>
      </c>
      <c r="H1015">
        <v>71.166666666666657</v>
      </c>
      <c r="M1015" t="s">
        <v>79</v>
      </c>
      <c r="N1015" t="s">
        <v>72</v>
      </c>
    </row>
    <row r="1016" spans="1:21" x14ac:dyDescent="0.25">
      <c r="A1016" t="s">
        <v>941</v>
      </c>
      <c r="B1016" s="4" t="s">
        <v>10</v>
      </c>
      <c r="C1016" s="4" t="s">
        <v>73</v>
      </c>
      <c r="D1016" s="4">
        <v>46139</v>
      </c>
      <c r="E1016" s="5">
        <v>0.54115740740740736</v>
      </c>
      <c r="F1016">
        <v>1</v>
      </c>
      <c r="G1016" t="s">
        <v>82</v>
      </c>
      <c r="H1016">
        <v>69.583333333333329</v>
      </c>
      <c r="M1016" t="s">
        <v>76</v>
      </c>
      <c r="N1016" t="s">
        <v>72</v>
      </c>
    </row>
    <row r="1017" spans="1:21" x14ac:dyDescent="0.25">
      <c r="A1017" t="s">
        <v>945</v>
      </c>
      <c r="B1017" s="4" t="s">
        <v>10</v>
      </c>
      <c r="C1017" s="4" t="s">
        <v>70</v>
      </c>
      <c r="D1017" s="4">
        <v>46139</v>
      </c>
      <c r="E1017" s="5">
        <v>0.54195601851851849</v>
      </c>
      <c r="F1017">
        <v>1</v>
      </c>
      <c r="G1017" t="s">
        <v>82</v>
      </c>
      <c r="H1017">
        <v>82</v>
      </c>
      <c r="L1017" t="s">
        <v>946</v>
      </c>
      <c r="M1017" t="s">
        <v>71</v>
      </c>
      <c r="N1017" t="s">
        <v>77</v>
      </c>
      <c r="O1017">
        <v>1</v>
      </c>
      <c r="Q1017">
        <v>1</v>
      </c>
      <c r="S1017">
        <v>1</v>
      </c>
      <c r="U1017">
        <v>0.5</v>
      </c>
    </row>
    <row r="1018" spans="1:21" x14ac:dyDescent="0.25">
      <c r="A1018" t="s">
        <v>946</v>
      </c>
      <c r="B1018" s="4" t="s">
        <v>10</v>
      </c>
      <c r="C1018" s="4" t="s">
        <v>73</v>
      </c>
      <c r="D1018" s="4">
        <v>46139</v>
      </c>
      <c r="E1018" s="5">
        <v>0.54195601851851849</v>
      </c>
      <c r="F1018">
        <v>1</v>
      </c>
      <c r="G1018" t="s">
        <v>82</v>
      </c>
      <c r="H1018">
        <v>0.5</v>
      </c>
      <c r="M1018" t="s">
        <v>79</v>
      </c>
      <c r="N1018" t="s">
        <v>77</v>
      </c>
    </row>
    <row r="1019" spans="1:21" x14ac:dyDescent="0.25">
      <c r="A1019" t="s">
        <v>946</v>
      </c>
      <c r="B1019" s="4" t="s">
        <v>10</v>
      </c>
      <c r="C1019" s="4" t="s">
        <v>73</v>
      </c>
      <c r="D1019" s="4">
        <v>46139</v>
      </c>
      <c r="E1019" s="5">
        <v>0.54195601851851849</v>
      </c>
      <c r="F1019">
        <v>1</v>
      </c>
      <c r="G1019" t="s">
        <v>82</v>
      </c>
      <c r="H1019">
        <v>0</v>
      </c>
      <c r="M1019" t="s">
        <v>79</v>
      </c>
      <c r="N1019" t="s">
        <v>77</v>
      </c>
    </row>
    <row r="1020" spans="1:21" x14ac:dyDescent="0.25">
      <c r="A1020" t="s">
        <v>947</v>
      </c>
      <c r="B1020" s="4" t="s">
        <v>10</v>
      </c>
      <c r="C1020" s="4" t="s">
        <v>70</v>
      </c>
      <c r="D1020" s="4">
        <v>46139</v>
      </c>
      <c r="E1020" s="5">
        <v>0.54292824074074075</v>
      </c>
      <c r="F1020">
        <v>1</v>
      </c>
      <c r="G1020" t="s">
        <v>82</v>
      </c>
      <c r="H1020">
        <v>140</v>
      </c>
      <c r="L1020" t="s">
        <v>948</v>
      </c>
      <c r="M1020" t="s">
        <v>71</v>
      </c>
      <c r="N1020" t="s">
        <v>72</v>
      </c>
      <c r="O1020">
        <v>1</v>
      </c>
      <c r="S1020">
        <v>1</v>
      </c>
      <c r="T1020">
        <v>140</v>
      </c>
    </row>
    <row r="1021" spans="1:21" x14ac:dyDescent="0.25">
      <c r="A1021" t="s">
        <v>948</v>
      </c>
      <c r="B1021" s="4" t="s">
        <v>10</v>
      </c>
      <c r="C1021" s="4" t="s">
        <v>73</v>
      </c>
      <c r="D1021" s="4">
        <v>46139</v>
      </c>
      <c r="E1021" s="5">
        <v>0.54292824074074075</v>
      </c>
      <c r="F1021">
        <v>1</v>
      </c>
      <c r="G1021" t="s">
        <v>82</v>
      </c>
      <c r="H1021">
        <v>140.08333333333334</v>
      </c>
      <c r="M1021" t="s">
        <v>79</v>
      </c>
      <c r="N1021" t="s">
        <v>72</v>
      </c>
    </row>
    <row r="1022" spans="1:21" x14ac:dyDescent="0.25">
      <c r="A1022" t="s">
        <v>948</v>
      </c>
      <c r="B1022" s="4" t="s">
        <v>10</v>
      </c>
      <c r="C1022" s="4" t="s">
        <v>73</v>
      </c>
      <c r="D1022" s="4">
        <v>46139</v>
      </c>
      <c r="E1022" s="5">
        <v>0.54292824074074075</v>
      </c>
      <c r="F1022">
        <v>1</v>
      </c>
      <c r="G1022" t="s">
        <v>82</v>
      </c>
      <c r="H1022">
        <v>140</v>
      </c>
      <c r="M1022" t="s">
        <v>79</v>
      </c>
      <c r="N1022" t="s">
        <v>72</v>
      </c>
    </row>
    <row r="1023" spans="1:21" x14ac:dyDescent="0.25">
      <c r="A1023" t="s">
        <v>948</v>
      </c>
      <c r="B1023" s="4" t="s">
        <v>10</v>
      </c>
      <c r="C1023" s="4" t="s">
        <v>73</v>
      </c>
      <c r="D1023" s="4">
        <v>46139</v>
      </c>
      <c r="E1023" s="5">
        <v>0.54303240740740732</v>
      </c>
      <c r="F1023">
        <v>1</v>
      </c>
      <c r="G1023" t="s">
        <v>82</v>
      </c>
      <c r="H1023">
        <v>140</v>
      </c>
      <c r="M1023" t="s">
        <v>76</v>
      </c>
      <c r="N1023" t="s">
        <v>72</v>
      </c>
    </row>
    <row r="1024" spans="1:21" x14ac:dyDescent="0.25">
      <c r="A1024" t="s">
        <v>952</v>
      </c>
      <c r="B1024" s="4" t="s">
        <v>10</v>
      </c>
      <c r="C1024" s="4" t="s">
        <v>70</v>
      </c>
      <c r="D1024" s="4">
        <v>46139</v>
      </c>
      <c r="E1024" s="5">
        <v>0.54356481481481478</v>
      </c>
      <c r="F1024">
        <v>1</v>
      </c>
      <c r="G1024" t="s">
        <v>82</v>
      </c>
      <c r="H1024">
        <v>15</v>
      </c>
      <c r="L1024" t="s">
        <v>953</v>
      </c>
      <c r="M1024" t="s">
        <v>71</v>
      </c>
      <c r="N1024" t="s">
        <v>72</v>
      </c>
      <c r="O1024">
        <v>1</v>
      </c>
    </row>
    <row r="1025" spans="1:21" x14ac:dyDescent="0.25">
      <c r="A1025" t="s">
        <v>953</v>
      </c>
      <c r="B1025" s="4" t="s">
        <v>10</v>
      </c>
      <c r="C1025" s="4" t="s">
        <v>73</v>
      </c>
      <c r="D1025" s="4">
        <v>46139</v>
      </c>
      <c r="E1025" s="5">
        <v>0.54356481481481478</v>
      </c>
      <c r="F1025">
        <v>1</v>
      </c>
      <c r="G1025" t="s">
        <v>82</v>
      </c>
      <c r="H1025">
        <v>178.83333333333331</v>
      </c>
      <c r="M1025" t="s">
        <v>79</v>
      </c>
      <c r="N1025" t="s">
        <v>72</v>
      </c>
    </row>
    <row r="1026" spans="1:21" x14ac:dyDescent="0.25">
      <c r="A1026" t="s">
        <v>953</v>
      </c>
      <c r="B1026" s="4" t="s">
        <v>10</v>
      </c>
      <c r="C1026" s="4" t="s">
        <v>73</v>
      </c>
      <c r="D1026" s="4">
        <v>46139</v>
      </c>
      <c r="E1026" s="5">
        <v>0.54356481481481478</v>
      </c>
      <c r="F1026">
        <v>1</v>
      </c>
      <c r="G1026" t="s">
        <v>82</v>
      </c>
      <c r="H1026">
        <v>178.75</v>
      </c>
      <c r="M1026" t="s">
        <v>79</v>
      </c>
      <c r="N1026" t="s">
        <v>72</v>
      </c>
    </row>
    <row r="1027" spans="1:21" x14ac:dyDescent="0.25">
      <c r="A1027" t="s">
        <v>954</v>
      </c>
      <c r="B1027" s="4" t="s">
        <v>10</v>
      </c>
      <c r="C1027" s="4" t="s">
        <v>70</v>
      </c>
      <c r="D1027" s="4">
        <v>46139</v>
      </c>
      <c r="E1027" s="5">
        <v>0.54386574074074079</v>
      </c>
      <c r="F1027">
        <v>1</v>
      </c>
      <c r="G1027" t="s">
        <v>82</v>
      </c>
      <c r="H1027">
        <v>21.5</v>
      </c>
      <c r="L1027" t="s">
        <v>953</v>
      </c>
      <c r="M1027" t="s">
        <v>71</v>
      </c>
      <c r="N1027" t="s">
        <v>72</v>
      </c>
      <c r="P1027">
        <v>1</v>
      </c>
    </row>
    <row r="1028" spans="1:21" x14ac:dyDescent="0.25">
      <c r="A1028" t="s">
        <v>953</v>
      </c>
      <c r="B1028" s="4" t="s">
        <v>10</v>
      </c>
      <c r="C1028" s="4" t="s">
        <v>73</v>
      </c>
      <c r="D1028" s="4">
        <v>46139</v>
      </c>
      <c r="E1028" s="5">
        <v>0.54386574074074079</v>
      </c>
      <c r="F1028">
        <v>1</v>
      </c>
      <c r="G1028" t="s">
        <v>82</v>
      </c>
      <c r="H1028">
        <v>157.25</v>
      </c>
      <c r="M1028" t="s">
        <v>79</v>
      </c>
      <c r="N1028" t="s">
        <v>72</v>
      </c>
    </row>
    <row r="1029" spans="1:21" x14ac:dyDescent="0.25">
      <c r="A1029" t="s">
        <v>953</v>
      </c>
      <c r="B1029" s="4" t="s">
        <v>10</v>
      </c>
      <c r="C1029" s="4" t="s">
        <v>73</v>
      </c>
      <c r="D1029" s="4">
        <v>46139</v>
      </c>
      <c r="E1029" s="5">
        <v>0.54386574074074079</v>
      </c>
      <c r="F1029">
        <v>1</v>
      </c>
      <c r="G1029" t="s">
        <v>82</v>
      </c>
      <c r="H1029">
        <v>157.16666666666666</v>
      </c>
      <c r="M1029" t="s">
        <v>79</v>
      </c>
      <c r="N1029" t="s">
        <v>72</v>
      </c>
    </row>
    <row r="1030" spans="1:21" x14ac:dyDescent="0.25">
      <c r="A1030" t="s">
        <v>955</v>
      </c>
      <c r="B1030" s="4" t="s">
        <v>10</v>
      </c>
      <c r="C1030" s="4" t="s">
        <v>70</v>
      </c>
      <c r="D1030" s="4">
        <v>46139</v>
      </c>
      <c r="E1030" s="5">
        <v>0.54416666666666658</v>
      </c>
      <c r="F1030">
        <v>1</v>
      </c>
      <c r="G1030" t="s">
        <v>82</v>
      </c>
      <c r="H1030">
        <v>51.5</v>
      </c>
      <c r="L1030" t="s">
        <v>953</v>
      </c>
      <c r="M1030" t="s">
        <v>71</v>
      </c>
      <c r="N1030" t="s">
        <v>72</v>
      </c>
      <c r="P1030">
        <v>1</v>
      </c>
      <c r="S1030">
        <v>1</v>
      </c>
      <c r="T1030">
        <v>105.58333333333334</v>
      </c>
    </row>
    <row r="1031" spans="1:21" x14ac:dyDescent="0.25">
      <c r="A1031" t="s">
        <v>953</v>
      </c>
      <c r="B1031" s="4" t="s">
        <v>10</v>
      </c>
      <c r="C1031" s="4" t="s">
        <v>73</v>
      </c>
      <c r="D1031" s="4">
        <v>46139</v>
      </c>
      <c r="E1031" s="5">
        <v>0.54416666666666658</v>
      </c>
      <c r="F1031">
        <v>1</v>
      </c>
      <c r="G1031" t="s">
        <v>82</v>
      </c>
      <c r="H1031">
        <v>105.66666666666667</v>
      </c>
      <c r="M1031" t="s">
        <v>79</v>
      </c>
      <c r="N1031" t="s">
        <v>72</v>
      </c>
    </row>
    <row r="1032" spans="1:21" x14ac:dyDescent="0.25">
      <c r="A1032" t="s">
        <v>953</v>
      </c>
      <c r="B1032" s="4" t="s">
        <v>10</v>
      </c>
      <c r="C1032" s="4" t="s">
        <v>73</v>
      </c>
      <c r="D1032" s="4">
        <v>46139</v>
      </c>
      <c r="E1032" s="5">
        <v>0.54416666666666658</v>
      </c>
      <c r="F1032">
        <v>1</v>
      </c>
      <c r="G1032" t="s">
        <v>82</v>
      </c>
      <c r="H1032">
        <v>105.58333333333334</v>
      </c>
      <c r="M1032" t="s">
        <v>79</v>
      </c>
      <c r="N1032" t="s">
        <v>72</v>
      </c>
    </row>
    <row r="1033" spans="1:21" x14ac:dyDescent="0.25">
      <c r="A1033" t="s">
        <v>953</v>
      </c>
      <c r="B1033" s="4" t="s">
        <v>10</v>
      </c>
      <c r="C1033" s="4" t="s">
        <v>73</v>
      </c>
      <c r="D1033" s="4">
        <v>46139</v>
      </c>
      <c r="E1033" s="5">
        <v>0.54427083333333326</v>
      </c>
      <c r="F1033">
        <v>1</v>
      </c>
      <c r="G1033" t="s">
        <v>82</v>
      </c>
      <c r="H1033">
        <v>105.58333333333334</v>
      </c>
      <c r="M1033" t="s">
        <v>76</v>
      </c>
      <c r="N1033" t="s">
        <v>72</v>
      </c>
    </row>
    <row r="1034" spans="1:21" x14ac:dyDescent="0.25">
      <c r="A1034" t="s">
        <v>956</v>
      </c>
      <c r="B1034" s="4" t="s">
        <v>10</v>
      </c>
      <c r="C1034" s="4" t="s">
        <v>70</v>
      </c>
      <c r="D1034" s="4">
        <v>46139</v>
      </c>
      <c r="E1034" s="5">
        <v>0.54479166666666667</v>
      </c>
      <c r="F1034">
        <v>1</v>
      </c>
      <c r="G1034" t="s">
        <v>82</v>
      </c>
      <c r="H1034">
        <v>19</v>
      </c>
      <c r="L1034" t="s">
        <v>957</v>
      </c>
      <c r="M1034" t="s">
        <v>71</v>
      </c>
      <c r="N1034" t="s">
        <v>78</v>
      </c>
      <c r="O1034">
        <v>1</v>
      </c>
      <c r="R1034">
        <v>1</v>
      </c>
      <c r="S1034">
        <v>1</v>
      </c>
      <c r="T1034">
        <v>10.833333333333332</v>
      </c>
    </row>
    <row r="1035" spans="1:21" x14ac:dyDescent="0.25">
      <c r="A1035" t="s">
        <v>957</v>
      </c>
      <c r="B1035" s="4" t="s">
        <v>10</v>
      </c>
      <c r="C1035" s="4" t="s">
        <v>73</v>
      </c>
      <c r="D1035" s="4">
        <v>46139</v>
      </c>
      <c r="E1035" s="5">
        <v>0.54479166666666667</v>
      </c>
      <c r="F1035">
        <v>1</v>
      </c>
      <c r="G1035" t="s">
        <v>82</v>
      </c>
      <c r="H1035">
        <v>11</v>
      </c>
      <c r="M1035" t="s">
        <v>79</v>
      </c>
      <c r="N1035" t="s">
        <v>78</v>
      </c>
    </row>
    <row r="1036" spans="1:21" x14ac:dyDescent="0.25">
      <c r="A1036" t="s">
        <v>957</v>
      </c>
      <c r="B1036" s="4" t="s">
        <v>10</v>
      </c>
      <c r="C1036" s="4" t="s">
        <v>73</v>
      </c>
      <c r="D1036" s="4">
        <v>46139</v>
      </c>
      <c r="E1036" s="5">
        <v>0.54479166666666667</v>
      </c>
      <c r="F1036">
        <v>1</v>
      </c>
      <c r="G1036" t="s">
        <v>82</v>
      </c>
      <c r="H1036">
        <v>10.916666666666666</v>
      </c>
      <c r="M1036" t="s">
        <v>79</v>
      </c>
      <c r="N1036" t="s">
        <v>78</v>
      </c>
    </row>
    <row r="1037" spans="1:21" x14ac:dyDescent="0.25">
      <c r="A1037" t="s">
        <v>957</v>
      </c>
      <c r="B1037" s="4" t="s">
        <v>10</v>
      </c>
      <c r="C1037" s="4" t="s">
        <v>73</v>
      </c>
      <c r="D1037" s="4">
        <v>46139</v>
      </c>
      <c r="E1037" s="5">
        <v>0.54508101851851853</v>
      </c>
      <c r="F1037">
        <v>1</v>
      </c>
      <c r="G1037" t="s">
        <v>82</v>
      </c>
      <c r="H1037">
        <v>10.833333333333332</v>
      </c>
      <c r="M1037" t="s">
        <v>76</v>
      </c>
      <c r="N1037" t="s">
        <v>78</v>
      </c>
    </row>
    <row r="1038" spans="1:21" x14ac:dyDescent="0.25">
      <c r="A1038" t="s">
        <v>960</v>
      </c>
      <c r="B1038" s="4" t="s">
        <v>10</v>
      </c>
      <c r="C1038" s="4" t="s">
        <v>70</v>
      </c>
      <c r="D1038" s="4">
        <v>46139</v>
      </c>
      <c r="E1038" s="5">
        <v>0.54579861111111105</v>
      </c>
      <c r="F1038">
        <v>1</v>
      </c>
      <c r="G1038" t="s">
        <v>82</v>
      </c>
      <c r="H1038">
        <v>7.583333333333333</v>
      </c>
      <c r="L1038" t="s">
        <v>961</v>
      </c>
      <c r="M1038" t="s">
        <v>71</v>
      </c>
      <c r="N1038" t="s">
        <v>72</v>
      </c>
      <c r="O1038">
        <v>1</v>
      </c>
      <c r="Q1038">
        <v>1</v>
      </c>
      <c r="S1038">
        <v>1</v>
      </c>
      <c r="U1038">
        <v>8.3333333333333329E-2</v>
      </c>
    </row>
    <row r="1039" spans="1:21" x14ac:dyDescent="0.25">
      <c r="A1039" t="s">
        <v>961</v>
      </c>
      <c r="B1039" s="4" t="s">
        <v>10</v>
      </c>
      <c r="C1039" s="4" t="s">
        <v>73</v>
      </c>
      <c r="D1039" s="4">
        <v>46139</v>
      </c>
      <c r="E1039" s="5">
        <v>0.54579861111111105</v>
      </c>
      <c r="F1039">
        <v>1</v>
      </c>
      <c r="G1039" t="s">
        <v>82</v>
      </c>
      <c r="H1039">
        <v>0.33333333333333331</v>
      </c>
      <c r="M1039" t="s">
        <v>79</v>
      </c>
      <c r="N1039" t="s">
        <v>72</v>
      </c>
    </row>
    <row r="1040" spans="1:21" x14ac:dyDescent="0.25">
      <c r="A1040" t="s">
        <v>961</v>
      </c>
      <c r="B1040" s="4" t="s">
        <v>10</v>
      </c>
      <c r="C1040" s="4" t="s">
        <v>73</v>
      </c>
      <c r="D1040" s="4">
        <v>46139</v>
      </c>
      <c r="E1040" s="5">
        <v>0.54579861111111105</v>
      </c>
      <c r="F1040">
        <v>1</v>
      </c>
      <c r="G1040" t="s">
        <v>82</v>
      </c>
      <c r="H1040">
        <v>8.3333333333333329E-2</v>
      </c>
      <c r="M1040" t="s">
        <v>79</v>
      </c>
      <c r="N1040" t="s">
        <v>72</v>
      </c>
    </row>
    <row r="1041" spans="1:20" x14ac:dyDescent="0.25">
      <c r="A1041" t="s">
        <v>961</v>
      </c>
      <c r="B1041" s="4" t="s">
        <v>10</v>
      </c>
      <c r="C1041" s="4" t="s">
        <v>73</v>
      </c>
      <c r="D1041" s="4">
        <v>46139</v>
      </c>
      <c r="E1041" s="5">
        <v>0.54579861111111105</v>
      </c>
      <c r="F1041">
        <v>1</v>
      </c>
      <c r="G1041" t="s">
        <v>82</v>
      </c>
      <c r="H1041">
        <v>0</v>
      </c>
      <c r="M1041" t="s">
        <v>79</v>
      </c>
      <c r="N1041" t="s">
        <v>72</v>
      </c>
    </row>
    <row r="1042" spans="1:20" x14ac:dyDescent="0.25">
      <c r="A1042" t="s">
        <v>962</v>
      </c>
      <c r="B1042" s="4" t="s">
        <v>10</v>
      </c>
      <c r="C1042" s="4" t="s">
        <v>70</v>
      </c>
      <c r="D1042" s="4">
        <v>46139</v>
      </c>
      <c r="E1042" s="5">
        <v>0.54649305555555561</v>
      </c>
      <c r="F1042">
        <v>1</v>
      </c>
      <c r="G1042" t="s">
        <v>82</v>
      </c>
      <c r="H1042">
        <v>13.5</v>
      </c>
      <c r="L1042" t="s">
        <v>963</v>
      </c>
      <c r="M1042" t="s">
        <v>71</v>
      </c>
      <c r="N1042" t="s">
        <v>72</v>
      </c>
      <c r="O1042">
        <v>1</v>
      </c>
      <c r="R1042">
        <v>1</v>
      </c>
      <c r="S1042">
        <v>1</v>
      </c>
      <c r="T1042">
        <v>9.0833333333333339</v>
      </c>
    </row>
    <row r="1043" spans="1:20" x14ac:dyDescent="0.25">
      <c r="A1043" t="s">
        <v>963</v>
      </c>
      <c r="B1043" s="4" t="s">
        <v>10</v>
      </c>
      <c r="C1043" s="4" t="s">
        <v>73</v>
      </c>
      <c r="D1043" s="4">
        <v>46139</v>
      </c>
      <c r="E1043" s="5">
        <v>0.54649305555555561</v>
      </c>
      <c r="F1043">
        <v>1</v>
      </c>
      <c r="G1043" t="s">
        <v>82</v>
      </c>
      <c r="H1043">
        <v>9.0833333333333339</v>
      </c>
      <c r="M1043" t="s">
        <v>74</v>
      </c>
      <c r="N1043" t="s">
        <v>72</v>
      </c>
    </row>
    <row r="1044" spans="1:20" x14ac:dyDescent="0.25">
      <c r="A1044" t="s">
        <v>963</v>
      </c>
      <c r="B1044" s="4" t="s">
        <v>10</v>
      </c>
      <c r="C1044" s="4" t="s">
        <v>73</v>
      </c>
      <c r="D1044" s="4">
        <v>46139</v>
      </c>
      <c r="E1044" s="5">
        <v>0.54649305555555561</v>
      </c>
      <c r="F1044">
        <v>1</v>
      </c>
      <c r="G1044" t="s">
        <v>82</v>
      </c>
      <c r="H1044">
        <v>9</v>
      </c>
      <c r="M1044" t="s">
        <v>74</v>
      </c>
      <c r="N1044" t="s">
        <v>72</v>
      </c>
    </row>
    <row r="1045" spans="1:20" x14ac:dyDescent="0.25">
      <c r="A1045" t="s">
        <v>963</v>
      </c>
      <c r="B1045" s="4" t="s">
        <v>10</v>
      </c>
      <c r="C1045" s="4" t="s">
        <v>73</v>
      </c>
      <c r="D1045" s="4">
        <v>46139</v>
      </c>
      <c r="E1045" s="5">
        <v>0.54664351851851845</v>
      </c>
      <c r="F1045">
        <v>1</v>
      </c>
      <c r="G1045" t="s">
        <v>82</v>
      </c>
      <c r="H1045">
        <v>9.0833333333333339</v>
      </c>
      <c r="M1045" t="s">
        <v>76</v>
      </c>
      <c r="N1045" t="s">
        <v>72</v>
      </c>
    </row>
    <row r="1046" spans="1:20" x14ac:dyDescent="0.25">
      <c r="A1046" t="s">
        <v>966</v>
      </c>
      <c r="B1046" s="4" t="s">
        <v>10</v>
      </c>
      <c r="C1046" s="4" t="s">
        <v>73</v>
      </c>
      <c r="D1046" s="4">
        <v>46139</v>
      </c>
      <c r="E1046" s="5">
        <v>0.54715277777777782</v>
      </c>
      <c r="F1046">
        <v>1</v>
      </c>
      <c r="G1046" t="s">
        <v>82</v>
      </c>
      <c r="H1046">
        <v>87.416666666666671</v>
      </c>
      <c r="L1046" t="s">
        <v>967</v>
      </c>
      <c r="M1046" t="s">
        <v>74</v>
      </c>
      <c r="N1046" t="s">
        <v>72</v>
      </c>
    </row>
    <row r="1047" spans="1:20" x14ac:dyDescent="0.25">
      <c r="A1047" t="s">
        <v>968</v>
      </c>
      <c r="B1047" s="4" t="s">
        <v>10</v>
      </c>
      <c r="C1047" s="4" t="s">
        <v>70</v>
      </c>
      <c r="D1047" s="4">
        <v>46139</v>
      </c>
      <c r="E1047" s="5">
        <v>0.54746527777777776</v>
      </c>
      <c r="F1047">
        <v>1</v>
      </c>
      <c r="G1047" t="s">
        <v>82</v>
      </c>
      <c r="H1047">
        <v>44.25</v>
      </c>
      <c r="L1047" t="s">
        <v>966</v>
      </c>
      <c r="M1047" t="s">
        <v>71</v>
      </c>
      <c r="N1047" t="s">
        <v>72</v>
      </c>
      <c r="O1047">
        <v>1</v>
      </c>
      <c r="S1047">
        <v>1</v>
      </c>
      <c r="T1047">
        <v>43</v>
      </c>
    </row>
    <row r="1048" spans="1:20" x14ac:dyDescent="0.25">
      <c r="A1048" t="s">
        <v>966</v>
      </c>
      <c r="B1048" s="4" t="s">
        <v>10</v>
      </c>
      <c r="C1048" s="4" t="s">
        <v>73</v>
      </c>
      <c r="D1048" s="4">
        <v>46139</v>
      </c>
      <c r="E1048" s="5">
        <v>0.54746527777777776</v>
      </c>
      <c r="F1048">
        <v>1</v>
      </c>
      <c r="G1048" t="s">
        <v>82</v>
      </c>
      <c r="H1048">
        <v>43.166666666666664</v>
      </c>
      <c r="L1048" t="s">
        <v>967</v>
      </c>
      <c r="M1048" t="s">
        <v>74</v>
      </c>
      <c r="N1048" t="s">
        <v>72</v>
      </c>
    </row>
    <row r="1049" spans="1:20" x14ac:dyDescent="0.25">
      <c r="A1049" t="s">
        <v>966</v>
      </c>
      <c r="B1049" s="4" t="s">
        <v>10</v>
      </c>
      <c r="C1049" s="4" t="s">
        <v>73</v>
      </c>
      <c r="D1049" s="4">
        <v>46139</v>
      </c>
      <c r="E1049" s="5">
        <v>0.54746527777777776</v>
      </c>
      <c r="F1049">
        <v>1</v>
      </c>
      <c r="G1049" t="s">
        <v>82</v>
      </c>
      <c r="H1049">
        <v>43.083333333333336</v>
      </c>
      <c r="L1049" t="s">
        <v>967</v>
      </c>
      <c r="M1049" t="s">
        <v>74</v>
      </c>
      <c r="N1049" t="s">
        <v>72</v>
      </c>
    </row>
    <row r="1050" spans="1:20" x14ac:dyDescent="0.25">
      <c r="A1050" t="s">
        <v>966</v>
      </c>
      <c r="B1050" s="4" t="s">
        <v>10</v>
      </c>
      <c r="C1050" s="4" t="s">
        <v>73</v>
      </c>
      <c r="D1050" s="4">
        <v>46139</v>
      </c>
      <c r="E1050" s="5">
        <v>0.54770833333333335</v>
      </c>
      <c r="F1050">
        <v>1</v>
      </c>
      <c r="G1050" t="s">
        <v>82</v>
      </c>
      <c r="H1050">
        <v>43</v>
      </c>
      <c r="L1050" t="s">
        <v>967</v>
      </c>
      <c r="M1050" t="s">
        <v>76</v>
      </c>
      <c r="N1050" t="s">
        <v>72</v>
      </c>
    </row>
    <row r="1051" spans="1:20" x14ac:dyDescent="0.25">
      <c r="A1051" t="s">
        <v>973</v>
      </c>
      <c r="B1051" s="4" t="s">
        <v>10</v>
      </c>
      <c r="C1051" s="4" t="s">
        <v>70</v>
      </c>
      <c r="D1051" s="4">
        <v>46139</v>
      </c>
      <c r="E1051" s="5">
        <v>0.5484606481481481</v>
      </c>
      <c r="F1051">
        <v>1</v>
      </c>
      <c r="G1051" t="s">
        <v>82</v>
      </c>
      <c r="H1051">
        <v>91.5</v>
      </c>
      <c r="L1051" t="s">
        <v>974</v>
      </c>
      <c r="M1051" t="s">
        <v>71</v>
      </c>
      <c r="N1051" t="s">
        <v>78</v>
      </c>
      <c r="O1051">
        <v>1</v>
      </c>
      <c r="S1051">
        <v>1</v>
      </c>
      <c r="T1051">
        <v>78.833333333333329</v>
      </c>
    </row>
    <row r="1052" spans="1:20" x14ac:dyDescent="0.25">
      <c r="A1052" t="s">
        <v>974</v>
      </c>
      <c r="B1052" s="4" t="s">
        <v>10</v>
      </c>
      <c r="C1052" s="4" t="s">
        <v>73</v>
      </c>
      <c r="D1052" s="4">
        <v>46139</v>
      </c>
      <c r="E1052" s="5">
        <v>0.5484606481481481</v>
      </c>
      <c r="F1052">
        <v>1</v>
      </c>
      <c r="G1052" t="s">
        <v>82</v>
      </c>
      <c r="H1052">
        <v>80.083333333333329</v>
      </c>
      <c r="M1052" t="s">
        <v>74</v>
      </c>
      <c r="N1052" t="s">
        <v>78</v>
      </c>
    </row>
    <row r="1053" spans="1:20" x14ac:dyDescent="0.25">
      <c r="A1053" t="s">
        <v>974</v>
      </c>
      <c r="B1053" s="4" t="s">
        <v>10</v>
      </c>
      <c r="C1053" s="4" t="s">
        <v>73</v>
      </c>
      <c r="D1053" s="4">
        <v>46139</v>
      </c>
      <c r="E1053" s="5">
        <v>0.5484606481481481</v>
      </c>
      <c r="F1053">
        <v>1</v>
      </c>
      <c r="G1053" t="s">
        <v>82</v>
      </c>
      <c r="H1053">
        <v>80</v>
      </c>
      <c r="M1053" t="s">
        <v>74</v>
      </c>
      <c r="N1053" t="s">
        <v>78</v>
      </c>
    </row>
    <row r="1054" spans="1:20" x14ac:dyDescent="0.25">
      <c r="A1054" t="s">
        <v>974</v>
      </c>
      <c r="B1054" s="4" t="s">
        <v>10</v>
      </c>
      <c r="C1054" s="4" t="s">
        <v>73</v>
      </c>
      <c r="D1054" s="4">
        <v>46139</v>
      </c>
      <c r="E1054" s="5">
        <v>0.54880787037037038</v>
      </c>
      <c r="F1054">
        <v>1</v>
      </c>
      <c r="G1054" t="s">
        <v>82</v>
      </c>
      <c r="H1054">
        <v>78.833333333333329</v>
      </c>
      <c r="M1054" t="s">
        <v>76</v>
      </c>
      <c r="N1054" t="s">
        <v>78</v>
      </c>
    </row>
    <row r="1055" spans="1:20" x14ac:dyDescent="0.25">
      <c r="A1055" t="s">
        <v>976</v>
      </c>
      <c r="B1055" s="4" t="s">
        <v>10</v>
      </c>
      <c r="C1055" s="4" t="s">
        <v>70</v>
      </c>
      <c r="D1055" s="4">
        <v>46139</v>
      </c>
      <c r="E1055" s="5">
        <v>0.54935185185185187</v>
      </c>
      <c r="F1055">
        <v>1</v>
      </c>
      <c r="G1055" t="s">
        <v>82</v>
      </c>
      <c r="H1055">
        <v>25</v>
      </c>
      <c r="L1055" t="s">
        <v>977</v>
      </c>
      <c r="M1055" t="s">
        <v>71</v>
      </c>
      <c r="N1055" t="s">
        <v>75</v>
      </c>
      <c r="O1055">
        <v>1</v>
      </c>
      <c r="S1055">
        <v>1</v>
      </c>
      <c r="T1055">
        <v>34.333333333333329</v>
      </c>
    </row>
    <row r="1056" spans="1:20" x14ac:dyDescent="0.25">
      <c r="A1056" t="s">
        <v>977</v>
      </c>
      <c r="B1056" s="4" t="s">
        <v>10</v>
      </c>
      <c r="C1056" s="4" t="s">
        <v>73</v>
      </c>
      <c r="D1056" s="4">
        <v>46139</v>
      </c>
      <c r="E1056" s="5">
        <v>0.54935185185185187</v>
      </c>
      <c r="F1056">
        <v>1</v>
      </c>
      <c r="G1056" t="s">
        <v>82</v>
      </c>
      <c r="H1056">
        <v>34.25</v>
      </c>
      <c r="M1056" t="s">
        <v>74</v>
      </c>
      <c r="N1056" t="s">
        <v>75</v>
      </c>
    </row>
    <row r="1057" spans="1:20" x14ac:dyDescent="0.25">
      <c r="A1057" t="s">
        <v>977</v>
      </c>
      <c r="B1057" s="4" t="s">
        <v>10</v>
      </c>
      <c r="C1057" s="4" t="s">
        <v>73</v>
      </c>
      <c r="D1057" s="4">
        <v>46139</v>
      </c>
      <c r="E1057" s="5">
        <v>0.54935185185185187</v>
      </c>
      <c r="F1057">
        <v>1</v>
      </c>
      <c r="G1057" t="s">
        <v>82</v>
      </c>
      <c r="H1057">
        <v>34.166666666666664</v>
      </c>
      <c r="M1057" t="s">
        <v>74</v>
      </c>
      <c r="N1057" t="s">
        <v>75</v>
      </c>
    </row>
    <row r="1058" spans="1:20" x14ac:dyDescent="0.25">
      <c r="A1058" t="s">
        <v>977</v>
      </c>
      <c r="B1058" s="4" t="s">
        <v>10</v>
      </c>
      <c r="C1058" s="4" t="s">
        <v>73</v>
      </c>
      <c r="D1058" s="4">
        <v>46139</v>
      </c>
      <c r="E1058" s="5">
        <v>0.54956018518518523</v>
      </c>
      <c r="F1058">
        <v>1</v>
      </c>
      <c r="G1058" t="s">
        <v>82</v>
      </c>
      <c r="H1058">
        <v>34.333333333333329</v>
      </c>
      <c r="M1058" t="s">
        <v>76</v>
      </c>
      <c r="N1058" t="s">
        <v>75</v>
      </c>
    </row>
    <row r="1059" spans="1:20" x14ac:dyDescent="0.25">
      <c r="A1059" t="s">
        <v>979</v>
      </c>
      <c r="B1059" s="4" t="s">
        <v>10</v>
      </c>
      <c r="C1059" s="4" t="s">
        <v>70</v>
      </c>
      <c r="D1059" s="4">
        <v>46139</v>
      </c>
      <c r="E1059" s="5">
        <v>0.55030092592592583</v>
      </c>
      <c r="F1059">
        <v>1</v>
      </c>
      <c r="G1059" t="s">
        <v>82</v>
      </c>
      <c r="H1059">
        <v>82</v>
      </c>
      <c r="L1059" t="s">
        <v>980</v>
      </c>
      <c r="M1059" t="s">
        <v>71</v>
      </c>
      <c r="N1059" t="s">
        <v>78</v>
      </c>
      <c r="O1059">
        <v>1</v>
      </c>
      <c r="R1059">
        <v>1</v>
      </c>
      <c r="S1059">
        <v>1</v>
      </c>
      <c r="T1059">
        <v>20.083333333333332</v>
      </c>
    </row>
    <row r="1060" spans="1:20" x14ac:dyDescent="0.25">
      <c r="A1060" t="s">
        <v>980</v>
      </c>
      <c r="B1060" s="4" t="s">
        <v>10</v>
      </c>
      <c r="C1060" s="4" t="s">
        <v>73</v>
      </c>
      <c r="D1060" s="4">
        <v>46139</v>
      </c>
      <c r="E1060" s="5">
        <v>0.55030092592592583</v>
      </c>
      <c r="F1060">
        <v>1</v>
      </c>
      <c r="G1060" t="s">
        <v>82</v>
      </c>
      <c r="H1060">
        <v>21.166666666666664</v>
      </c>
      <c r="M1060" t="s">
        <v>74</v>
      </c>
      <c r="N1060" t="s">
        <v>78</v>
      </c>
    </row>
    <row r="1061" spans="1:20" x14ac:dyDescent="0.25">
      <c r="A1061" t="s">
        <v>980</v>
      </c>
      <c r="B1061" s="4" t="s">
        <v>10</v>
      </c>
      <c r="C1061" s="4" t="s">
        <v>73</v>
      </c>
      <c r="D1061" s="4">
        <v>46139</v>
      </c>
      <c r="E1061" s="5">
        <v>0.55030092592592583</v>
      </c>
      <c r="F1061">
        <v>1</v>
      </c>
      <c r="G1061" t="s">
        <v>82</v>
      </c>
      <c r="H1061">
        <v>21.083333333333332</v>
      </c>
      <c r="M1061" t="s">
        <v>74</v>
      </c>
      <c r="N1061" t="s">
        <v>78</v>
      </c>
    </row>
    <row r="1062" spans="1:20" x14ac:dyDescent="0.25">
      <c r="A1062" t="s">
        <v>980</v>
      </c>
      <c r="B1062" s="4" t="s">
        <v>10</v>
      </c>
      <c r="C1062" s="4" t="s">
        <v>73</v>
      </c>
      <c r="D1062" s="4">
        <v>46139</v>
      </c>
      <c r="E1062" s="5">
        <v>0.55047453703703697</v>
      </c>
      <c r="F1062">
        <v>1</v>
      </c>
      <c r="G1062" t="s">
        <v>82</v>
      </c>
      <c r="H1062">
        <v>20.083333333333332</v>
      </c>
      <c r="M1062" t="s">
        <v>76</v>
      </c>
      <c r="N1062" t="s">
        <v>78</v>
      </c>
    </row>
    <row r="1063" spans="1:20" x14ac:dyDescent="0.25">
      <c r="A1063" t="s">
        <v>981</v>
      </c>
      <c r="B1063" s="4" t="s">
        <v>10</v>
      </c>
      <c r="C1063" s="4" t="s">
        <v>73</v>
      </c>
      <c r="D1063" s="4">
        <v>46139</v>
      </c>
      <c r="E1063" s="5">
        <v>0.5511921296296296</v>
      </c>
      <c r="F1063">
        <v>1</v>
      </c>
      <c r="G1063" t="s">
        <v>82</v>
      </c>
      <c r="H1063">
        <v>24.25</v>
      </c>
      <c r="M1063" t="s">
        <v>74</v>
      </c>
      <c r="N1063" t="s">
        <v>72</v>
      </c>
    </row>
    <row r="1064" spans="1:20" x14ac:dyDescent="0.25">
      <c r="A1064" t="s">
        <v>982</v>
      </c>
      <c r="B1064" s="4" t="s">
        <v>10</v>
      </c>
      <c r="C1064" s="4" t="s">
        <v>70</v>
      </c>
      <c r="D1064" s="4">
        <v>46139</v>
      </c>
      <c r="E1064" s="5">
        <v>0.55138888888888882</v>
      </c>
      <c r="F1064">
        <v>1</v>
      </c>
      <c r="G1064" t="s">
        <v>82</v>
      </c>
      <c r="H1064">
        <v>10.5</v>
      </c>
      <c r="L1064" t="s">
        <v>981</v>
      </c>
      <c r="M1064" t="s">
        <v>71</v>
      </c>
      <c r="N1064" t="s">
        <v>72</v>
      </c>
      <c r="O1064">
        <v>1</v>
      </c>
      <c r="R1064">
        <v>1</v>
      </c>
      <c r="S1064">
        <v>1</v>
      </c>
      <c r="T1064">
        <v>13.5</v>
      </c>
    </row>
    <row r="1065" spans="1:20" x14ac:dyDescent="0.25">
      <c r="A1065" t="s">
        <v>981</v>
      </c>
      <c r="B1065" s="4" t="s">
        <v>10</v>
      </c>
      <c r="C1065" s="4" t="s">
        <v>73</v>
      </c>
      <c r="D1065" s="4">
        <v>46139</v>
      </c>
      <c r="E1065" s="5">
        <v>0.55138888888888882</v>
      </c>
      <c r="F1065">
        <v>1</v>
      </c>
      <c r="G1065" t="s">
        <v>82</v>
      </c>
      <c r="H1065">
        <v>13.75</v>
      </c>
      <c r="M1065" t="s">
        <v>74</v>
      </c>
      <c r="N1065" t="s">
        <v>72</v>
      </c>
    </row>
    <row r="1066" spans="1:20" x14ac:dyDescent="0.25">
      <c r="A1066" t="s">
        <v>981</v>
      </c>
      <c r="B1066" s="4" t="s">
        <v>10</v>
      </c>
      <c r="C1066" s="4" t="s">
        <v>73</v>
      </c>
      <c r="D1066" s="4">
        <v>46139</v>
      </c>
      <c r="E1066" s="5">
        <v>0.55138888888888882</v>
      </c>
      <c r="F1066">
        <v>1</v>
      </c>
      <c r="G1066" t="s">
        <v>82</v>
      </c>
      <c r="H1066">
        <v>13.666666666666666</v>
      </c>
      <c r="M1066" t="s">
        <v>74</v>
      </c>
      <c r="N1066" t="s">
        <v>72</v>
      </c>
    </row>
    <row r="1067" spans="1:20" x14ac:dyDescent="0.25">
      <c r="A1067" t="s">
        <v>981</v>
      </c>
      <c r="B1067" s="4" t="s">
        <v>10</v>
      </c>
      <c r="C1067" s="4" t="s">
        <v>73</v>
      </c>
      <c r="D1067" s="4">
        <v>46139</v>
      </c>
      <c r="E1067" s="5">
        <v>0.55160879629629622</v>
      </c>
      <c r="F1067">
        <v>1</v>
      </c>
      <c r="G1067" t="s">
        <v>82</v>
      </c>
      <c r="H1067">
        <v>13.5</v>
      </c>
      <c r="M1067" t="s">
        <v>76</v>
      </c>
      <c r="N1067" t="s">
        <v>72</v>
      </c>
    </row>
    <row r="1068" spans="1:20" x14ac:dyDescent="0.25">
      <c r="A1068" t="s">
        <v>984</v>
      </c>
      <c r="B1068" s="4" t="s">
        <v>10</v>
      </c>
      <c r="C1068" s="4" t="s">
        <v>70</v>
      </c>
      <c r="D1068" s="4">
        <v>46139</v>
      </c>
      <c r="E1068" s="5">
        <v>0.55231481481481481</v>
      </c>
      <c r="F1068">
        <v>1</v>
      </c>
      <c r="G1068" t="s">
        <v>82</v>
      </c>
      <c r="H1068">
        <v>35.666666666666664</v>
      </c>
      <c r="L1068" t="s">
        <v>985</v>
      </c>
      <c r="M1068" t="s">
        <v>71</v>
      </c>
      <c r="N1068" t="s">
        <v>72</v>
      </c>
      <c r="O1068">
        <v>1</v>
      </c>
      <c r="R1068">
        <v>1</v>
      </c>
      <c r="S1068">
        <v>1</v>
      </c>
      <c r="T1068">
        <v>23.166666666666664</v>
      </c>
    </row>
    <row r="1069" spans="1:20" x14ac:dyDescent="0.25">
      <c r="A1069" t="s">
        <v>985</v>
      </c>
      <c r="B1069" s="4" t="s">
        <v>10</v>
      </c>
      <c r="C1069" s="4" t="s">
        <v>73</v>
      </c>
      <c r="D1069" s="4">
        <v>46139</v>
      </c>
      <c r="E1069" s="5">
        <v>0.55231481481481481</v>
      </c>
      <c r="F1069">
        <v>1</v>
      </c>
      <c r="G1069" t="s">
        <v>82</v>
      </c>
      <c r="H1069">
        <v>22.916666666666664</v>
      </c>
      <c r="M1069" t="s">
        <v>74</v>
      </c>
      <c r="N1069" t="s">
        <v>72</v>
      </c>
    </row>
    <row r="1070" spans="1:20" x14ac:dyDescent="0.25">
      <c r="A1070" t="s">
        <v>985</v>
      </c>
      <c r="B1070" s="4" t="s">
        <v>10</v>
      </c>
      <c r="C1070" s="4" t="s">
        <v>73</v>
      </c>
      <c r="D1070" s="4">
        <v>46139</v>
      </c>
      <c r="E1070" s="5">
        <v>0.55231481481481481</v>
      </c>
      <c r="F1070">
        <v>1</v>
      </c>
      <c r="G1070" t="s">
        <v>82</v>
      </c>
      <c r="H1070">
        <v>22.833333333333332</v>
      </c>
      <c r="M1070" t="s">
        <v>74</v>
      </c>
      <c r="N1070" t="s">
        <v>72</v>
      </c>
    </row>
    <row r="1071" spans="1:20" x14ac:dyDescent="0.25">
      <c r="A1071" t="s">
        <v>985</v>
      </c>
      <c r="B1071" s="4" t="s">
        <v>10</v>
      </c>
      <c r="C1071" s="4" t="s">
        <v>73</v>
      </c>
      <c r="D1071" s="4">
        <v>46139</v>
      </c>
      <c r="E1071" s="5">
        <v>0.55253472222222222</v>
      </c>
      <c r="F1071">
        <v>1</v>
      </c>
      <c r="G1071" t="s">
        <v>82</v>
      </c>
      <c r="H1071">
        <v>23.166666666666664</v>
      </c>
      <c r="M1071" t="s">
        <v>76</v>
      </c>
      <c r="N1071" t="s">
        <v>72</v>
      </c>
    </row>
    <row r="1072" spans="1:20" x14ac:dyDescent="0.25">
      <c r="A1072" t="s">
        <v>988</v>
      </c>
      <c r="B1072" s="4" t="s">
        <v>10</v>
      </c>
      <c r="C1072" s="4" t="s">
        <v>70</v>
      </c>
      <c r="D1072" s="4">
        <v>46139</v>
      </c>
      <c r="E1072" s="5">
        <v>0.55334490740740738</v>
      </c>
      <c r="F1072">
        <v>1</v>
      </c>
      <c r="G1072" t="s">
        <v>82</v>
      </c>
      <c r="H1072">
        <v>34.5</v>
      </c>
      <c r="L1072" t="s">
        <v>989</v>
      </c>
      <c r="M1072" t="s">
        <v>71</v>
      </c>
      <c r="N1072" t="s">
        <v>75</v>
      </c>
      <c r="O1072">
        <v>1</v>
      </c>
      <c r="R1072">
        <v>1</v>
      </c>
      <c r="S1072">
        <v>1</v>
      </c>
      <c r="T1072">
        <v>14.333333333333334</v>
      </c>
    </row>
    <row r="1073" spans="1:21" x14ac:dyDescent="0.25">
      <c r="A1073" t="s">
        <v>989</v>
      </c>
      <c r="B1073" s="4" t="s">
        <v>10</v>
      </c>
      <c r="C1073" s="4" t="s">
        <v>73</v>
      </c>
      <c r="D1073" s="4">
        <v>46139</v>
      </c>
      <c r="E1073" s="5">
        <v>0.55334490740740738</v>
      </c>
      <c r="F1073">
        <v>1</v>
      </c>
      <c r="G1073" t="s">
        <v>82</v>
      </c>
      <c r="H1073">
        <v>14.166666666666664</v>
      </c>
      <c r="M1073" t="s">
        <v>74</v>
      </c>
      <c r="N1073" t="s">
        <v>75</v>
      </c>
    </row>
    <row r="1074" spans="1:21" x14ac:dyDescent="0.25">
      <c r="A1074" t="s">
        <v>989</v>
      </c>
      <c r="B1074" s="4" t="s">
        <v>10</v>
      </c>
      <c r="C1074" s="4" t="s">
        <v>73</v>
      </c>
      <c r="D1074" s="4">
        <v>46139</v>
      </c>
      <c r="E1074" s="5">
        <v>0.55334490740740738</v>
      </c>
      <c r="F1074">
        <v>1</v>
      </c>
      <c r="G1074" t="s">
        <v>82</v>
      </c>
      <c r="H1074">
        <v>14.083333333333334</v>
      </c>
      <c r="M1074" t="s">
        <v>74</v>
      </c>
      <c r="N1074" t="s">
        <v>75</v>
      </c>
    </row>
    <row r="1075" spans="1:21" x14ac:dyDescent="0.25">
      <c r="A1075" t="s">
        <v>989</v>
      </c>
      <c r="B1075" s="4" t="s">
        <v>10</v>
      </c>
      <c r="C1075" s="4" t="s">
        <v>73</v>
      </c>
      <c r="D1075" s="4">
        <v>46139</v>
      </c>
      <c r="E1075" s="5">
        <v>0.55349537037037033</v>
      </c>
      <c r="F1075">
        <v>1</v>
      </c>
      <c r="G1075" t="s">
        <v>82</v>
      </c>
      <c r="H1075">
        <v>14.333333333333334</v>
      </c>
      <c r="M1075" t="s">
        <v>76</v>
      </c>
      <c r="N1075" t="s">
        <v>75</v>
      </c>
    </row>
    <row r="1076" spans="1:21" x14ac:dyDescent="0.25">
      <c r="A1076" t="s">
        <v>992</v>
      </c>
      <c r="B1076" s="4" t="s">
        <v>10</v>
      </c>
      <c r="C1076" s="4" t="s">
        <v>73</v>
      </c>
      <c r="D1076" s="4">
        <v>46139</v>
      </c>
      <c r="E1076" s="5">
        <v>0.55436342592592591</v>
      </c>
      <c r="F1076">
        <v>1</v>
      </c>
      <c r="G1076" t="s">
        <v>82</v>
      </c>
      <c r="H1076">
        <v>103.08333333333334</v>
      </c>
      <c r="M1076" t="s">
        <v>74</v>
      </c>
      <c r="N1076" t="s">
        <v>72</v>
      </c>
    </row>
    <row r="1077" spans="1:21" x14ac:dyDescent="0.25">
      <c r="A1077" t="s">
        <v>994</v>
      </c>
      <c r="B1077" s="4" t="s">
        <v>10</v>
      </c>
      <c r="C1077" s="4" t="s">
        <v>70</v>
      </c>
      <c r="D1077" s="4">
        <v>46139</v>
      </c>
      <c r="E1077" s="5">
        <v>0.55480324074074072</v>
      </c>
      <c r="F1077">
        <v>1</v>
      </c>
      <c r="G1077" t="s">
        <v>82</v>
      </c>
      <c r="H1077">
        <v>65.166666666666657</v>
      </c>
      <c r="L1077" t="s">
        <v>992</v>
      </c>
      <c r="M1077" t="s">
        <v>71</v>
      </c>
      <c r="N1077" t="s">
        <v>72</v>
      </c>
      <c r="O1077">
        <v>1</v>
      </c>
      <c r="S1077">
        <v>1</v>
      </c>
      <c r="T1077">
        <v>37.416666666666664</v>
      </c>
    </row>
    <row r="1078" spans="1:21" x14ac:dyDescent="0.25">
      <c r="A1078" t="s">
        <v>992</v>
      </c>
      <c r="B1078" s="4" t="s">
        <v>10</v>
      </c>
      <c r="C1078" s="4" t="s">
        <v>73</v>
      </c>
      <c r="D1078" s="4">
        <v>46139</v>
      </c>
      <c r="E1078" s="5">
        <v>0.55480324074074072</v>
      </c>
      <c r="F1078">
        <v>1</v>
      </c>
      <c r="G1078" t="s">
        <v>82</v>
      </c>
      <c r="H1078">
        <v>37.916666666666664</v>
      </c>
      <c r="M1078" t="s">
        <v>74</v>
      </c>
      <c r="N1078" t="s">
        <v>72</v>
      </c>
    </row>
    <row r="1079" spans="1:21" x14ac:dyDescent="0.25">
      <c r="A1079" t="s">
        <v>992</v>
      </c>
      <c r="B1079" s="4" t="s">
        <v>10</v>
      </c>
      <c r="C1079" s="4" t="s">
        <v>73</v>
      </c>
      <c r="D1079" s="4">
        <v>46139</v>
      </c>
      <c r="E1079" s="5">
        <v>0.55480324074074072</v>
      </c>
      <c r="F1079">
        <v>1</v>
      </c>
      <c r="G1079" t="s">
        <v>82</v>
      </c>
      <c r="H1079">
        <v>37.833333333333329</v>
      </c>
      <c r="M1079" t="s">
        <v>74</v>
      </c>
      <c r="N1079" t="s">
        <v>72</v>
      </c>
    </row>
    <row r="1080" spans="1:21" x14ac:dyDescent="0.25">
      <c r="A1080" t="s">
        <v>992</v>
      </c>
      <c r="B1080" s="4" t="s">
        <v>10</v>
      </c>
      <c r="C1080" s="4" t="s">
        <v>73</v>
      </c>
      <c r="D1080" s="4">
        <v>46139</v>
      </c>
      <c r="E1080" s="5">
        <v>0.55508101851851854</v>
      </c>
      <c r="F1080">
        <v>1</v>
      </c>
      <c r="G1080" t="s">
        <v>82</v>
      </c>
      <c r="H1080">
        <v>37.416666666666664</v>
      </c>
      <c r="M1080" t="s">
        <v>76</v>
      </c>
      <c r="N1080" t="s">
        <v>72</v>
      </c>
    </row>
    <row r="1081" spans="1:21" x14ac:dyDescent="0.25">
      <c r="A1081" t="s">
        <v>997</v>
      </c>
      <c r="B1081" s="4" t="s">
        <v>10</v>
      </c>
      <c r="C1081" s="4" t="s">
        <v>70</v>
      </c>
      <c r="D1081" s="4">
        <v>46139</v>
      </c>
      <c r="E1081" s="5">
        <v>0.55554398148148143</v>
      </c>
      <c r="F1081">
        <v>1</v>
      </c>
      <c r="G1081" t="s">
        <v>82</v>
      </c>
      <c r="H1081">
        <v>16.25</v>
      </c>
      <c r="L1081" t="s">
        <v>998</v>
      </c>
      <c r="M1081" t="s">
        <v>71</v>
      </c>
      <c r="N1081" t="s">
        <v>75</v>
      </c>
      <c r="O1081">
        <v>1</v>
      </c>
      <c r="Q1081">
        <v>1</v>
      </c>
      <c r="S1081">
        <v>1</v>
      </c>
      <c r="U1081">
        <v>2.0833333333333335</v>
      </c>
    </row>
    <row r="1082" spans="1:21" x14ac:dyDescent="0.25">
      <c r="A1082" t="s">
        <v>998</v>
      </c>
      <c r="B1082" s="4" t="s">
        <v>10</v>
      </c>
      <c r="C1082" s="4" t="s">
        <v>73</v>
      </c>
      <c r="D1082" s="4">
        <v>46139</v>
      </c>
      <c r="E1082" s="5">
        <v>0.55554398148148143</v>
      </c>
      <c r="F1082">
        <v>1</v>
      </c>
      <c r="G1082" t="s">
        <v>82</v>
      </c>
      <c r="H1082">
        <v>2.0833333333333335</v>
      </c>
      <c r="M1082" t="s">
        <v>74</v>
      </c>
      <c r="N1082" t="s">
        <v>75</v>
      </c>
    </row>
    <row r="1083" spans="1:21" x14ac:dyDescent="0.25">
      <c r="A1083" t="s">
        <v>998</v>
      </c>
      <c r="B1083" s="4" t="s">
        <v>10</v>
      </c>
      <c r="C1083" s="4" t="s">
        <v>73</v>
      </c>
      <c r="D1083" s="4">
        <v>46139</v>
      </c>
      <c r="E1083" s="5">
        <v>0.55554398148148143</v>
      </c>
      <c r="F1083">
        <v>1</v>
      </c>
      <c r="G1083" t="s">
        <v>82</v>
      </c>
      <c r="H1083">
        <v>0</v>
      </c>
      <c r="M1083" t="s">
        <v>74</v>
      </c>
      <c r="N1083" t="s">
        <v>75</v>
      </c>
    </row>
    <row r="1084" spans="1:21" x14ac:dyDescent="0.25">
      <c r="A1084" t="s">
        <v>999</v>
      </c>
      <c r="B1084" s="4" t="s">
        <v>10</v>
      </c>
      <c r="C1084" s="4" t="s">
        <v>70</v>
      </c>
      <c r="D1084" s="4">
        <v>46139</v>
      </c>
      <c r="E1084" s="5">
        <v>0.55601851851851847</v>
      </c>
      <c r="F1084">
        <v>1</v>
      </c>
      <c r="G1084" t="s">
        <v>82</v>
      </c>
      <c r="H1084">
        <v>12.166666666666666</v>
      </c>
      <c r="L1084" t="s">
        <v>1000</v>
      </c>
      <c r="M1084" t="s">
        <v>71</v>
      </c>
      <c r="N1084" t="s">
        <v>72</v>
      </c>
      <c r="O1084">
        <v>1</v>
      </c>
      <c r="Q1084">
        <v>1</v>
      </c>
      <c r="S1084">
        <v>1</v>
      </c>
      <c r="U1084">
        <v>4.416666666666667</v>
      </c>
    </row>
    <row r="1085" spans="1:21" x14ac:dyDescent="0.25">
      <c r="A1085" t="s">
        <v>1000</v>
      </c>
      <c r="B1085" s="4" t="s">
        <v>10</v>
      </c>
      <c r="C1085" s="4" t="s">
        <v>73</v>
      </c>
      <c r="D1085" s="4">
        <v>46139</v>
      </c>
      <c r="E1085" s="5">
        <v>0.55601851851851847</v>
      </c>
      <c r="F1085">
        <v>1</v>
      </c>
      <c r="G1085" t="s">
        <v>82</v>
      </c>
      <c r="H1085">
        <v>4.416666666666667</v>
      </c>
      <c r="M1085" t="s">
        <v>74</v>
      </c>
      <c r="N1085" t="s">
        <v>72</v>
      </c>
    </row>
    <row r="1086" spans="1:21" x14ac:dyDescent="0.25">
      <c r="A1086" t="s">
        <v>1000</v>
      </c>
      <c r="B1086" s="4" t="s">
        <v>10</v>
      </c>
      <c r="C1086" s="4" t="s">
        <v>73</v>
      </c>
      <c r="D1086" s="4">
        <v>46139</v>
      </c>
      <c r="E1086" s="5">
        <v>0.55601851851851847</v>
      </c>
      <c r="F1086">
        <v>1</v>
      </c>
      <c r="G1086" t="s">
        <v>82</v>
      </c>
      <c r="H1086">
        <v>0</v>
      </c>
      <c r="M1086" t="s">
        <v>74</v>
      </c>
      <c r="N1086" t="s">
        <v>72</v>
      </c>
    </row>
    <row r="1087" spans="1:21" x14ac:dyDescent="0.25">
      <c r="A1087" t="s">
        <v>1004</v>
      </c>
      <c r="B1087" s="4" t="s">
        <v>10</v>
      </c>
      <c r="C1087" s="4" t="s">
        <v>70</v>
      </c>
      <c r="D1087" s="4">
        <v>46139</v>
      </c>
      <c r="E1087" s="5">
        <v>0.55666666666666664</v>
      </c>
      <c r="F1087">
        <v>1</v>
      </c>
      <c r="G1087" t="s">
        <v>82</v>
      </c>
      <c r="H1087">
        <v>14</v>
      </c>
      <c r="L1087" t="s">
        <v>1005</v>
      </c>
      <c r="M1087" t="s">
        <v>71</v>
      </c>
      <c r="N1087" t="s">
        <v>72</v>
      </c>
      <c r="O1087">
        <v>1</v>
      </c>
      <c r="S1087">
        <v>1</v>
      </c>
      <c r="T1087">
        <v>54.166666666666664</v>
      </c>
    </row>
    <row r="1088" spans="1:21" x14ac:dyDescent="0.25">
      <c r="A1088" t="s">
        <v>1005</v>
      </c>
      <c r="B1088" s="4" t="s">
        <v>10</v>
      </c>
      <c r="C1088" s="4" t="s">
        <v>73</v>
      </c>
      <c r="D1088" s="4">
        <v>46139</v>
      </c>
      <c r="E1088" s="5">
        <v>0.55666666666666664</v>
      </c>
      <c r="F1088">
        <v>1</v>
      </c>
      <c r="G1088" t="s">
        <v>82</v>
      </c>
      <c r="H1088">
        <v>54.416666666666657</v>
      </c>
      <c r="M1088" t="s">
        <v>74</v>
      </c>
      <c r="N1088" t="s">
        <v>72</v>
      </c>
    </row>
    <row r="1089" spans="1:21" x14ac:dyDescent="0.25">
      <c r="A1089" t="s">
        <v>1005</v>
      </c>
      <c r="B1089" s="4" t="s">
        <v>10</v>
      </c>
      <c r="C1089" s="4" t="s">
        <v>73</v>
      </c>
      <c r="D1089" s="4">
        <v>46139</v>
      </c>
      <c r="E1089" s="5">
        <v>0.55693287037037043</v>
      </c>
      <c r="F1089">
        <v>1</v>
      </c>
      <c r="G1089" t="s">
        <v>82</v>
      </c>
      <c r="H1089">
        <v>54.166666666666664</v>
      </c>
      <c r="M1089" t="s">
        <v>76</v>
      </c>
      <c r="N1089" t="s">
        <v>72</v>
      </c>
    </row>
    <row r="1090" spans="1:21" x14ac:dyDescent="0.25">
      <c r="A1090" t="s">
        <v>1006</v>
      </c>
      <c r="B1090" s="4" t="s">
        <v>10</v>
      </c>
      <c r="C1090" s="4" t="s">
        <v>70</v>
      </c>
      <c r="D1090" s="4">
        <v>46139</v>
      </c>
      <c r="E1090" s="5">
        <v>0.55739583333333331</v>
      </c>
      <c r="F1090">
        <v>1</v>
      </c>
      <c r="G1090" t="s">
        <v>82</v>
      </c>
      <c r="H1090">
        <v>3</v>
      </c>
      <c r="L1090" t="s">
        <v>1007</v>
      </c>
      <c r="M1090" t="s">
        <v>71</v>
      </c>
      <c r="N1090" t="s">
        <v>75</v>
      </c>
      <c r="O1090">
        <v>1</v>
      </c>
      <c r="R1090">
        <v>1</v>
      </c>
      <c r="S1090">
        <v>1</v>
      </c>
      <c r="T1090">
        <v>7</v>
      </c>
    </row>
    <row r="1091" spans="1:21" x14ac:dyDescent="0.25">
      <c r="A1091" t="s">
        <v>1007</v>
      </c>
      <c r="B1091" s="4" t="s">
        <v>10</v>
      </c>
      <c r="C1091" s="4" t="s">
        <v>73</v>
      </c>
      <c r="D1091" s="4">
        <v>46139</v>
      </c>
      <c r="E1091" s="5">
        <v>0.55739583333333331</v>
      </c>
      <c r="F1091">
        <v>1</v>
      </c>
      <c r="G1091" t="s">
        <v>82</v>
      </c>
      <c r="H1091">
        <v>7.333333333333333</v>
      </c>
      <c r="M1091" t="s">
        <v>79</v>
      </c>
      <c r="N1091" t="s">
        <v>75</v>
      </c>
    </row>
    <row r="1092" spans="1:21" x14ac:dyDescent="0.25">
      <c r="A1092" t="s">
        <v>1007</v>
      </c>
      <c r="B1092" s="4" t="s">
        <v>10</v>
      </c>
      <c r="C1092" s="4" t="s">
        <v>73</v>
      </c>
      <c r="D1092" s="4">
        <v>46139</v>
      </c>
      <c r="E1092" s="5">
        <v>0.55739583333333331</v>
      </c>
      <c r="F1092">
        <v>1</v>
      </c>
      <c r="G1092" t="s">
        <v>82</v>
      </c>
      <c r="H1092">
        <v>7.25</v>
      </c>
      <c r="M1092" t="s">
        <v>79</v>
      </c>
      <c r="N1092" t="s">
        <v>75</v>
      </c>
    </row>
    <row r="1093" spans="1:21" x14ac:dyDescent="0.25">
      <c r="A1093" t="s">
        <v>1007</v>
      </c>
      <c r="B1093" s="4" t="s">
        <v>10</v>
      </c>
      <c r="C1093" s="4" t="s">
        <v>73</v>
      </c>
      <c r="D1093" s="4">
        <v>46139</v>
      </c>
      <c r="E1093" s="5">
        <v>0.55762731481481476</v>
      </c>
      <c r="F1093">
        <v>1</v>
      </c>
      <c r="G1093" t="s">
        <v>82</v>
      </c>
      <c r="H1093">
        <v>7</v>
      </c>
      <c r="M1093" t="s">
        <v>76</v>
      </c>
      <c r="N1093" t="s">
        <v>75</v>
      </c>
    </row>
    <row r="1094" spans="1:21" x14ac:dyDescent="0.25">
      <c r="A1094" t="s">
        <v>1010</v>
      </c>
      <c r="B1094" s="4" t="s">
        <v>10</v>
      </c>
      <c r="C1094" s="4" t="s">
        <v>70</v>
      </c>
      <c r="D1094" s="4">
        <v>46139</v>
      </c>
      <c r="E1094" s="5">
        <v>0.5582407407407407</v>
      </c>
      <c r="F1094">
        <v>1</v>
      </c>
      <c r="G1094" t="s">
        <v>82</v>
      </c>
      <c r="H1094">
        <v>10</v>
      </c>
      <c r="L1094" t="s">
        <v>1011</v>
      </c>
      <c r="M1094" t="s">
        <v>71</v>
      </c>
      <c r="N1094" t="s">
        <v>80</v>
      </c>
      <c r="O1094">
        <v>1</v>
      </c>
      <c r="R1094">
        <v>1</v>
      </c>
      <c r="S1094">
        <v>1</v>
      </c>
      <c r="T1094">
        <v>18.25</v>
      </c>
    </row>
    <row r="1095" spans="1:21" x14ac:dyDescent="0.25">
      <c r="A1095" t="s">
        <v>1011</v>
      </c>
      <c r="B1095" s="4" t="s">
        <v>10</v>
      </c>
      <c r="C1095" s="4" t="s">
        <v>73</v>
      </c>
      <c r="D1095" s="4">
        <v>46139</v>
      </c>
      <c r="E1095" s="5">
        <v>0.5582407407407407</v>
      </c>
      <c r="F1095">
        <v>1</v>
      </c>
      <c r="G1095" t="s">
        <v>82</v>
      </c>
      <c r="H1095">
        <v>18.416666666666664</v>
      </c>
      <c r="M1095" t="s">
        <v>79</v>
      </c>
      <c r="N1095" t="s">
        <v>80</v>
      </c>
    </row>
    <row r="1096" spans="1:21" x14ac:dyDescent="0.25">
      <c r="A1096" t="s">
        <v>1011</v>
      </c>
      <c r="B1096" s="4" t="s">
        <v>10</v>
      </c>
      <c r="C1096" s="4" t="s">
        <v>73</v>
      </c>
      <c r="D1096" s="4">
        <v>46139</v>
      </c>
      <c r="E1096" s="5">
        <v>0.5582407407407407</v>
      </c>
      <c r="F1096">
        <v>1</v>
      </c>
      <c r="G1096" t="s">
        <v>82</v>
      </c>
      <c r="H1096">
        <v>18.333333333333332</v>
      </c>
      <c r="M1096" t="s">
        <v>79</v>
      </c>
      <c r="N1096" t="s">
        <v>80</v>
      </c>
    </row>
    <row r="1097" spans="1:21" x14ac:dyDescent="0.25">
      <c r="A1097" t="s">
        <v>1011</v>
      </c>
      <c r="B1097" s="4" t="s">
        <v>10</v>
      </c>
      <c r="C1097" s="4" t="s">
        <v>73</v>
      </c>
      <c r="D1097" s="4">
        <v>46139</v>
      </c>
      <c r="E1097" s="5">
        <v>0.55857638888888894</v>
      </c>
      <c r="F1097">
        <v>1</v>
      </c>
      <c r="G1097" t="s">
        <v>82</v>
      </c>
      <c r="H1097">
        <v>18.25</v>
      </c>
      <c r="M1097" t="s">
        <v>76</v>
      </c>
      <c r="N1097" t="s">
        <v>80</v>
      </c>
    </row>
    <row r="1098" spans="1:21" x14ac:dyDescent="0.25">
      <c r="A1098" t="s">
        <v>1014</v>
      </c>
      <c r="B1098" s="4" t="s">
        <v>10</v>
      </c>
      <c r="C1098" s="4" t="s">
        <v>70</v>
      </c>
      <c r="D1098" s="4">
        <v>46139</v>
      </c>
      <c r="E1098" s="5">
        <v>0.55931712962962954</v>
      </c>
      <c r="F1098">
        <v>1</v>
      </c>
      <c r="G1098" t="s">
        <v>82</v>
      </c>
      <c r="H1098">
        <v>40</v>
      </c>
      <c r="L1098" t="s">
        <v>1015</v>
      </c>
      <c r="M1098" t="s">
        <v>71</v>
      </c>
      <c r="N1098" t="s">
        <v>72</v>
      </c>
      <c r="O1098">
        <v>1</v>
      </c>
      <c r="R1098">
        <v>1</v>
      </c>
      <c r="S1098">
        <v>1</v>
      </c>
      <c r="T1098">
        <v>6.6666666666666661</v>
      </c>
    </row>
    <row r="1099" spans="1:21" x14ac:dyDescent="0.25">
      <c r="A1099" t="s">
        <v>1015</v>
      </c>
      <c r="B1099" s="4" t="s">
        <v>10</v>
      </c>
      <c r="C1099" s="4" t="s">
        <v>73</v>
      </c>
      <c r="D1099" s="4">
        <v>46139</v>
      </c>
      <c r="E1099" s="5">
        <v>0.55931712962962954</v>
      </c>
      <c r="F1099">
        <v>1</v>
      </c>
      <c r="G1099" t="s">
        <v>82</v>
      </c>
      <c r="H1099">
        <v>6.9166666666666661</v>
      </c>
      <c r="M1099" t="s">
        <v>79</v>
      </c>
      <c r="N1099" t="s">
        <v>72</v>
      </c>
    </row>
    <row r="1100" spans="1:21" x14ac:dyDescent="0.25">
      <c r="A1100" t="s">
        <v>1015</v>
      </c>
      <c r="B1100" s="4" t="s">
        <v>10</v>
      </c>
      <c r="C1100" s="4" t="s">
        <v>73</v>
      </c>
      <c r="D1100" s="4">
        <v>46139</v>
      </c>
      <c r="E1100" s="5">
        <v>0.55931712962962954</v>
      </c>
      <c r="F1100">
        <v>1</v>
      </c>
      <c r="G1100" t="s">
        <v>82</v>
      </c>
      <c r="H1100">
        <v>6.833333333333333</v>
      </c>
      <c r="M1100" t="s">
        <v>79</v>
      </c>
      <c r="N1100" t="s">
        <v>72</v>
      </c>
    </row>
    <row r="1101" spans="1:21" x14ac:dyDescent="0.25">
      <c r="A1101" t="s">
        <v>1015</v>
      </c>
      <c r="B1101" s="4" t="s">
        <v>10</v>
      </c>
      <c r="C1101" s="4" t="s">
        <v>73</v>
      </c>
      <c r="D1101" s="4">
        <v>46139</v>
      </c>
      <c r="E1101" s="5">
        <v>0.55959490740740736</v>
      </c>
      <c r="F1101">
        <v>1</v>
      </c>
      <c r="G1101" t="s">
        <v>82</v>
      </c>
      <c r="H1101">
        <v>6.6666666666666661</v>
      </c>
      <c r="M1101" t="s">
        <v>76</v>
      </c>
      <c r="N1101" t="s">
        <v>72</v>
      </c>
    </row>
    <row r="1102" spans="1:21" x14ac:dyDescent="0.25">
      <c r="A1102" t="s">
        <v>1017</v>
      </c>
      <c r="B1102" s="4" t="s">
        <v>10</v>
      </c>
      <c r="C1102" s="4" t="s">
        <v>70</v>
      </c>
      <c r="D1102" s="4">
        <v>46139</v>
      </c>
      <c r="E1102" s="5">
        <v>0.5605902777777777</v>
      </c>
      <c r="F1102">
        <v>1</v>
      </c>
      <c r="G1102" t="s">
        <v>82</v>
      </c>
      <c r="H1102">
        <v>16</v>
      </c>
      <c r="L1102" t="s">
        <v>1018</v>
      </c>
      <c r="M1102" t="s">
        <v>71</v>
      </c>
      <c r="N1102" t="s">
        <v>72</v>
      </c>
      <c r="O1102">
        <v>1</v>
      </c>
      <c r="Q1102">
        <v>1</v>
      </c>
      <c r="S1102">
        <v>1</v>
      </c>
      <c r="U1102">
        <v>2.9166666666666665</v>
      </c>
    </row>
    <row r="1103" spans="1:21" x14ac:dyDescent="0.25">
      <c r="A1103" t="s">
        <v>1018</v>
      </c>
      <c r="B1103" s="4" t="s">
        <v>10</v>
      </c>
      <c r="C1103" s="4" t="s">
        <v>73</v>
      </c>
      <c r="D1103" s="4">
        <v>46139</v>
      </c>
      <c r="E1103" s="5">
        <v>0.5605902777777777</v>
      </c>
      <c r="F1103">
        <v>1</v>
      </c>
      <c r="G1103" t="s">
        <v>82</v>
      </c>
      <c r="H1103">
        <v>2.9166666666666665</v>
      </c>
      <c r="M1103" t="s">
        <v>79</v>
      </c>
      <c r="N1103" t="s">
        <v>72</v>
      </c>
    </row>
    <row r="1104" spans="1:21" x14ac:dyDescent="0.25">
      <c r="A1104" t="s">
        <v>1018</v>
      </c>
      <c r="B1104" s="4" t="s">
        <v>10</v>
      </c>
      <c r="C1104" s="4" t="s">
        <v>73</v>
      </c>
      <c r="D1104" s="4">
        <v>46139</v>
      </c>
      <c r="E1104" s="5">
        <v>0.5605902777777777</v>
      </c>
      <c r="F1104">
        <v>1</v>
      </c>
      <c r="G1104" t="s">
        <v>82</v>
      </c>
      <c r="H1104">
        <v>0</v>
      </c>
      <c r="M1104" t="s">
        <v>79</v>
      </c>
      <c r="N1104" t="s">
        <v>72</v>
      </c>
    </row>
    <row r="1105" spans="1:21" x14ac:dyDescent="0.25">
      <c r="A1105" t="s">
        <v>1021</v>
      </c>
      <c r="B1105" s="4" t="s">
        <v>10</v>
      </c>
      <c r="C1105" s="4" t="s">
        <v>70</v>
      </c>
      <c r="D1105" s="4">
        <v>46139</v>
      </c>
      <c r="E1105" s="5">
        <v>0.56109953703703708</v>
      </c>
      <c r="F1105">
        <v>1</v>
      </c>
      <c r="G1105" t="s">
        <v>82</v>
      </c>
      <c r="H1105">
        <v>32.25</v>
      </c>
      <c r="L1105" t="s">
        <v>1022</v>
      </c>
      <c r="M1105" t="s">
        <v>71</v>
      </c>
      <c r="N1105" t="s">
        <v>72</v>
      </c>
      <c r="O1105">
        <v>1</v>
      </c>
      <c r="Q1105">
        <v>1</v>
      </c>
      <c r="S1105">
        <v>1</v>
      </c>
      <c r="U1105">
        <v>8.3333333333333329E-2</v>
      </c>
    </row>
    <row r="1106" spans="1:21" x14ac:dyDescent="0.25">
      <c r="A1106" t="s">
        <v>1022</v>
      </c>
      <c r="B1106" s="4" t="s">
        <v>10</v>
      </c>
      <c r="C1106" s="4" t="s">
        <v>73</v>
      </c>
      <c r="D1106" s="4">
        <v>46139</v>
      </c>
      <c r="E1106" s="5">
        <v>0.56109953703703708</v>
      </c>
      <c r="F1106">
        <v>1</v>
      </c>
      <c r="G1106" t="s">
        <v>82</v>
      </c>
      <c r="H1106">
        <v>0.91666666666666663</v>
      </c>
      <c r="M1106" t="s">
        <v>79</v>
      </c>
      <c r="N1106" t="s">
        <v>72</v>
      </c>
    </row>
    <row r="1107" spans="1:21" x14ac:dyDescent="0.25">
      <c r="A1107" t="s">
        <v>1022</v>
      </c>
      <c r="B1107" s="4" t="s">
        <v>10</v>
      </c>
      <c r="C1107" s="4" t="s">
        <v>73</v>
      </c>
      <c r="D1107" s="4">
        <v>46139</v>
      </c>
      <c r="E1107" s="5">
        <v>0.56109953703703708</v>
      </c>
      <c r="F1107">
        <v>1</v>
      </c>
      <c r="G1107" t="s">
        <v>82</v>
      </c>
      <c r="H1107">
        <v>8.3333333333333329E-2</v>
      </c>
      <c r="M1107" t="s">
        <v>79</v>
      </c>
      <c r="N1107" t="s">
        <v>72</v>
      </c>
    </row>
    <row r="1108" spans="1:21" x14ac:dyDescent="0.25">
      <c r="A1108" t="s">
        <v>1022</v>
      </c>
      <c r="B1108" s="4" t="s">
        <v>10</v>
      </c>
      <c r="C1108" s="4" t="s">
        <v>73</v>
      </c>
      <c r="D1108" s="4">
        <v>46139</v>
      </c>
      <c r="E1108" s="5">
        <v>0.56109953703703708</v>
      </c>
      <c r="F1108">
        <v>1</v>
      </c>
      <c r="G1108" t="s">
        <v>82</v>
      </c>
      <c r="H1108">
        <v>0</v>
      </c>
      <c r="M1108" t="s">
        <v>79</v>
      </c>
      <c r="N1108" t="s">
        <v>72</v>
      </c>
    </row>
    <row r="1109" spans="1:21" x14ac:dyDescent="0.25">
      <c r="A1109" t="s">
        <v>1025</v>
      </c>
      <c r="B1109" s="4" t="s">
        <v>10</v>
      </c>
      <c r="C1109" s="4" t="s">
        <v>70</v>
      </c>
      <c r="D1109" s="4">
        <v>46139</v>
      </c>
      <c r="E1109" s="5">
        <v>0.56179398148148141</v>
      </c>
      <c r="F1109">
        <v>1</v>
      </c>
      <c r="G1109" t="s">
        <v>82</v>
      </c>
      <c r="H1109">
        <v>10</v>
      </c>
      <c r="L1109" t="s">
        <v>1026</v>
      </c>
      <c r="M1109" t="s">
        <v>71</v>
      </c>
      <c r="N1109" t="s">
        <v>80</v>
      </c>
      <c r="O1109">
        <v>1</v>
      </c>
      <c r="S1109">
        <v>1</v>
      </c>
      <c r="T1109">
        <v>48.75</v>
      </c>
    </row>
    <row r="1110" spans="1:21" x14ac:dyDescent="0.25">
      <c r="A1110" t="s">
        <v>1026</v>
      </c>
      <c r="B1110" s="4" t="s">
        <v>10</v>
      </c>
      <c r="C1110" s="4" t="s">
        <v>73</v>
      </c>
      <c r="D1110" s="4">
        <v>46139</v>
      </c>
      <c r="E1110" s="5">
        <v>0.56179398148148141</v>
      </c>
      <c r="F1110">
        <v>1</v>
      </c>
      <c r="G1110" t="s">
        <v>82</v>
      </c>
      <c r="H1110">
        <v>47.916666666666664</v>
      </c>
      <c r="M1110" t="s">
        <v>79</v>
      </c>
      <c r="N1110" t="s">
        <v>80</v>
      </c>
    </row>
    <row r="1111" spans="1:21" x14ac:dyDescent="0.25">
      <c r="A1111" t="s">
        <v>1026</v>
      </c>
      <c r="B1111" s="4" t="s">
        <v>10</v>
      </c>
      <c r="C1111" s="4" t="s">
        <v>73</v>
      </c>
      <c r="D1111" s="4">
        <v>46139</v>
      </c>
      <c r="E1111" s="5">
        <v>0.56179398148148141</v>
      </c>
      <c r="F1111">
        <v>1</v>
      </c>
      <c r="G1111" t="s">
        <v>82</v>
      </c>
      <c r="H1111">
        <v>47.833333333333329</v>
      </c>
      <c r="M1111" t="s">
        <v>79</v>
      </c>
      <c r="N1111" t="s">
        <v>80</v>
      </c>
    </row>
    <row r="1112" spans="1:21" x14ac:dyDescent="0.25">
      <c r="A1112" t="s">
        <v>1026</v>
      </c>
      <c r="B1112" s="4" t="s">
        <v>10</v>
      </c>
      <c r="C1112" s="4" t="s">
        <v>73</v>
      </c>
      <c r="D1112" s="4">
        <v>46139</v>
      </c>
      <c r="E1112" s="5">
        <v>0.56222222222222218</v>
      </c>
      <c r="F1112">
        <v>1</v>
      </c>
      <c r="G1112" t="s">
        <v>82</v>
      </c>
      <c r="H1112">
        <v>48.75</v>
      </c>
      <c r="M1112" t="s">
        <v>76</v>
      </c>
      <c r="N1112" t="s">
        <v>80</v>
      </c>
    </row>
    <row r="1113" spans="1:21" x14ac:dyDescent="0.25">
      <c r="A1113" t="s">
        <v>1027</v>
      </c>
      <c r="B1113" s="4" t="s">
        <v>10</v>
      </c>
      <c r="C1113" s="4" t="s">
        <v>70</v>
      </c>
      <c r="D1113" s="4">
        <v>46139</v>
      </c>
      <c r="E1113" s="5">
        <v>0.56319444444444444</v>
      </c>
      <c r="F1113">
        <v>1</v>
      </c>
      <c r="G1113" t="s">
        <v>82</v>
      </c>
      <c r="H1113">
        <v>35</v>
      </c>
      <c r="L1113" t="s">
        <v>1028</v>
      </c>
      <c r="M1113" t="s">
        <v>71</v>
      </c>
      <c r="N1113" t="s">
        <v>72</v>
      </c>
      <c r="O1113">
        <v>1</v>
      </c>
      <c r="R1113">
        <v>1</v>
      </c>
      <c r="S1113">
        <v>1</v>
      </c>
      <c r="T1113">
        <v>5.5</v>
      </c>
    </row>
    <row r="1114" spans="1:21" x14ac:dyDescent="0.25">
      <c r="A1114" t="s">
        <v>1028</v>
      </c>
      <c r="B1114" s="4" t="s">
        <v>10</v>
      </c>
      <c r="C1114" s="4" t="s">
        <v>73</v>
      </c>
      <c r="D1114" s="4">
        <v>46139</v>
      </c>
      <c r="E1114" s="5">
        <v>0.56319444444444444</v>
      </c>
      <c r="F1114">
        <v>1</v>
      </c>
      <c r="G1114" t="s">
        <v>82</v>
      </c>
      <c r="H1114">
        <v>5.583333333333333</v>
      </c>
      <c r="M1114" t="s">
        <v>79</v>
      </c>
      <c r="N1114" t="s">
        <v>72</v>
      </c>
    </row>
    <row r="1115" spans="1:21" x14ac:dyDescent="0.25">
      <c r="A1115" t="s">
        <v>1028</v>
      </c>
      <c r="B1115" s="4" t="s">
        <v>10</v>
      </c>
      <c r="C1115" s="4" t="s">
        <v>73</v>
      </c>
      <c r="D1115" s="4">
        <v>46139</v>
      </c>
      <c r="E1115" s="5">
        <v>0.56341435185185185</v>
      </c>
      <c r="F1115">
        <v>1</v>
      </c>
      <c r="G1115" t="s">
        <v>82</v>
      </c>
      <c r="H1115">
        <v>5.5</v>
      </c>
      <c r="L1115" s="21"/>
      <c r="M1115" t="s">
        <v>76</v>
      </c>
      <c r="N1115" t="s">
        <v>72</v>
      </c>
    </row>
    <row r="1116" spans="1:21" x14ac:dyDescent="0.25">
      <c r="A1116" t="s">
        <v>1031</v>
      </c>
      <c r="B1116" s="4" t="s">
        <v>10</v>
      </c>
      <c r="C1116" s="4" t="s">
        <v>70</v>
      </c>
      <c r="D1116" s="4">
        <v>46139</v>
      </c>
      <c r="E1116" s="5">
        <v>0.56412037037037033</v>
      </c>
      <c r="F1116">
        <v>1</v>
      </c>
      <c r="G1116" t="s">
        <v>82</v>
      </c>
      <c r="H1116">
        <v>84.75</v>
      </c>
      <c r="L1116" t="s">
        <v>1032</v>
      </c>
      <c r="M1116" t="s">
        <v>71</v>
      </c>
      <c r="N1116" t="s">
        <v>72</v>
      </c>
      <c r="O1116">
        <v>1</v>
      </c>
      <c r="S1116">
        <v>1</v>
      </c>
      <c r="T1116">
        <v>51.166666666666664</v>
      </c>
    </row>
    <row r="1117" spans="1:21" x14ac:dyDescent="0.25">
      <c r="A1117" t="s">
        <v>1032</v>
      </c>
      <c r="B1117" s="4" t="s">
        <v>10</v>
      </c>
      <c r="C1117" s="4" t="s">
        <v>73</v>
      </c>
      <c r="D1117" s="4">
        <v>46139</v>
      </c>
      <c r="E1117" s="5">
        <v>0.56412037037037033</v>
      </c>
      <c r="F1117">
        <v>1</v>
      </c>
      <c r="G1117" t="s">
        <v>82</v>
      </c>
      <c r="H1117">
        <v>53.666666666666664</v>
      </c>
      <c r="M1117" t="s">
        <v>79</v>
      </c>
      <c r="N1117" t="s">
        <v>72</v>
      </c>
    </row>
    <row r="1118" spans="1:21" x14ac:dyDescent="0.25">
      <c r="A1118" t="s">
        <v>1032</v>
      </c>
      <c r="B1118" s="4" t="s">
        <v>10</v>
      </c>
      <c r="C1118" s="4" t="s">
        <v>73</v>
      </c>
      <c r="D1118" s="4">
        <v>46139</v>
      </c>
      <c r="E1118" s="5">
        <v>0.56412037037037033</v>
      </c>
      <c r="F1118">
        <v>1</v>
      </c>
      <c r="G1118" t="s">
        <v>82</v>
      </c>
      <c r="H1118">
        <v>53.583333333333329</v>
      </c>
      <c r="M1118" t="s">
        <v>79</v>
      </c>
      <c r="N1118" t="s">
        <v>72</v>
      </c>
    </row>
    <row r="1119" spans="1:21" x14ac:dyDescent="0.25">
      <c r="A1119" t="s">
        <v>1032</v>
      </c>
      <c r="B1119" s="4" t="s">
        <v>10</v>
      </c>
      <c r="C1119" s="4" t="s">
        <v>73</v>
      </c>
      <c r="D1119" s="4">
        <v>46139</v>
      </c>
      <c r="E1119" s="5">
        <v>0.56443287037037038</v>
      </c>
      <c r="F1119">
        <v>1</v>
      </c>
      <c r="G1119" t="s">
        <v>82</v>
      </c>
      <c r="H1119">
        <v>51.166666666666664</v>
      </c>
      <c r="M1119" t="s">
        <v>76</v>
      </c>
      <c r="N1119" t="s">
        <v>72</v>
      </c>
    </row>
    <row r="1120" spans="1:21" x14ac:dyDescent="0.25">
      <c r="A1120" t="s">
        <v>1033</v>
      </c>
      <c r="B1120" s="4" t="s">
        <v>10</v>
      </c>
      <c r="C1120" s="4" t="s">
        <v>70</v>
      </c>
      <c r="D1120" s="4">
        <v>46139</v>
      </c>
      <c r="E1120" s="5">
        <v>0.56483796296296296</v>
      </c>
      <c r="F1120">
        <v>1</v>
      </c>
      <c r="G1120" t="s">
        <v>82</v>
      </c>
      <c r="H1120">
        <v>9</v>
      </c>
      <c r="L1120" t="s">
        <v>1034</v>
      </c>
      <c r="M1120" t="s">
        <v>71</v>
      </c>
      <c r="N1120" t="s">
        <v>75</v>
      </c>
      <c r="O1120">
        <v>1</v>
      </c>
      <c r="Q1120">
        <v>1</v>
      </c>
      <c r="S1120">
        <v>1</v>
      </c>
      <c r="U1120">
        <v>2.6666666666666665</v>
      </c>
    </row>
    <row r="1121" spans="1:21" x14ac:dyDescent="0.25">
      <c r="A1121" t="s">
        <v>1034</v>
      </c>
      <c r="B1121" s="4" t="s">
        <v>10</v>
      </c>
      <c r="C1121" s="4" t="s">
        <v>73</v>
      </c>
      <c r="D1121" s="4">
        <v>46139</v>
      </c>
      <c r="E1121" s="5">
        <v>0.56483796296296296</v>
      </c>
      <c r="F1121">
        <v>1</v>
      </c>
      <c r="G1121" t="s">
        <v>82</v>
      </c>
      <c r="H1121">
        <v>2.6666666666666665</v>
      </c>
      <c r="M1121" t="s">
        <v>79</v>
      </c>
      <c r="N1121" t="s">
        <v>75</v>
      </c>
    </row>
    <row r="1122" spans="1:21" x14ac:dyDescent="0.25">
      <c r="A1122" t="s">
        <v>1034</v>
      </c>
      <c r="B1122" s="4" t="s">
        <v>10</v>
      </c>
      <c r="C1122" s="4" t="s">
        <v>73</v>
      </c>
      <c r="D1122" s="4">
        <v>46139</v>
      </c>
      <c r="E1122" s="5">
        <v>0.56483796296296296</v>
      </c>
      <c r="F1122">
        <v>1</v>
      </c>
      <c r="G1122" t="s">
        <v>82</v>
      </c>
      <c r="H1122">
        <v>0</v>
      </c>
      <c r="M1122" t="s">
        <v>79</v>
      </c>
      <c r="N1122" t="s">
        <v>75</v>
      </c>
    </row>
    <row r="1123" spans="1:21" x14ac:dyDescent="0.25">
      <c r="A1123" t="s">
        <v>1035</v>
      </c>
      <c r="B1123" s="4" t="s">
        <v>10</v>
      </c>
      <c r="C1123" s="4" t="s">
        <v>70</v>
      </c>
      <c r="D1123" s="4">
        <v>46139</v>
      </c>
      <c r="E1123" s="5">
        <v>0.56570601851851854</v>
      </c>
      <c r="F1123">
        <v>1</v>
      </c>
      <c r="G1123" t="s">
        <v>82</v>
      </c>
      <c r="H1123">
        <v>14</v>
      </c>
      <c r="L1123" t="s">
        <v>1036</v>
      </c>
      <c r="M1123" t="s">
        <v>71</v>
      </c>
      <c r="N1123" t="s">
        <v>75</v>
      </c>
      <c r="O1123">
        <v>1</v>
      </c>
      <c r="Q1123">
        <v>1</v>
      </c>
      <c r="S1123">
        <v>1</v>
      </c>
      <c r="U1123">
        <v>8.3333333333333329E-2</v>
      </c>
    </row>
    <row r="1124" spans="1:21" x14ac:dyDescent="0.25">
      <c r="A1124" t="s">
        <v>1036</v>
      </c>
      <c r="B1124" s="4" t="s">
        <v>10</v>
      </c>
      <c r="C1124" s="4" t="s">
        <v>73</v>
      </c>
      <c r="D1124" s="4">
        <v>46139</v>
      </c>
      <c r="E1124" s="5">
        <v>0.56570601851851854</v>
      </c>
      <c r="F1124">
        <v>1</v>
      </c>
      <c r="G1124" t="s">
        <v>82</v>
      </c>
      <c r="H1124">
        <v>3.25</v>
      </c>
      <c r="M1124" t="s">
        <v>79</v>
      </c>
      <c r="N1124" t="s">
        <v>75</v>
      </c>
    </row>
    <row r="1125" spans="1:21" x14ac:dyDescent="0.25">
      <c r="A1125" t="s">
        <v>1036</v>
      </c>
      <c r="B1125" s="4" t="s">
        <v>10</v>
      </c>
      <c r="C1125" s="4" t="s">
        <v>73</v>
      </c>
      <c r="D1125" s="4">
        <v>46139</v>
      </c>
      <c r="E1125" s="5">
        <v>0.56570601851851854</v>
      </c>
      <c r="F1125">
        <v>1</v>
      </c>
      <c r="G1125" t="s">
        <v>82</v>
      </c>
      <c r="H1125">
        <v>8.3333333333333329E-2</v>
      </c>
      <c r="M1125" t="s">
        <v>79</v>
      </c>
      <c r="N1125" t="s">
        <v>75</v>
      </c>
    </row>
    <row r="1126" spans="1:21" x14ac:dyDescent="0.25">
      <c r="A1126" t="s">
        <v>1036</v>
      </c>
      <c r="B1126" s="4" t="s">
        <v>10</v>
      </c>
      <c r="C1126" s="4" t="s">
        <v>73</v>
      </c>
      <c r="D1126" s="4">
        <v>46139</v>
      </c>
      <c r="E1126" s="5">
        <v>0.56570601851851854</v>
      </c>
      <c r="F1126">
        <v>1</v>
      </c>
      <c r="G1126" t="s">
        <v>82</v>
      </c>
      <c r="H1126">
        <v>0</v>
      </c>
      <c r="M1126" t="s">
        <v>79</v>
      </c>
      <c r="N1126" t="s">
        <v>75</v>
      </c>
    </row>
    <row r="1127" spans="1:21" x14ac:dyDescent="0.25">
      <c r="A1127" t="s">
        <v>1037</v>
      </c>
      <c r="B1127" s="4" t="s">
        <v>10</v>
      </c>
      <c r="C1127" s="4" t="s">
        <v>73</v>
      </c>
      <c r="D1127" s="4">
        <v>46139</v>
      </c>
      <c r="E1127" s="5">
        <v>0.56628472222222226</v>
      </c>
      <c r="F1127">
        <v>1</v>
      </c>
      <c r="G1127" t="s">
        <v>82</v>
      </c>
      <c r="H1127">
        <v>49.166666666666664</v>
      </c>
      <c r="M1127" t="s">
        <v>76</v>
      </c>
      <c r="N1127" t="s">
        <v>75</v>
      </c>
    </row>
    <row r="1128" spans="1:21" x14ac:dyDescent="0.25">
      <c r="A1128" t="s">
        <v>1039</v>
      </c>
      <c r="B1128" s="4" t="s">
        <v>10</v>
      </c>
      <c r="C1128" s="4" t="s">
        <v>70</v>
      </c>
      <c r="D1128" s="4">
        <v>46139</v>
      </c>
      <c r="E1128" s="5">
        <v>0.56685185185185183</v>
      </c>
      <c r="F1128">
        <v>1</v>
      </c>
      <c r="G1128" t="s">
        <v>82</v>
      </c>
      <c r="H1128">
        <v>17.75</v>
      </c>
      <c r="L1128" t="s">
        <v>1040</v>
      </c>
      <c r="M1128" t="s">
        <v>71</v>
      </c>
      <c r="N1128" t="s">
        <v>77</v>
      </c>
      <c r="O1128">
        <v>1</v>
      </c>
      <c r="S1128">
        <v>1</v>
      </c>
      <c r="T1128">
        <v>44.166666666666664</v>
      </c>
    </row>
    <row r="1129" spans="1:21" x14ac:dyDescent="0.25">
      <c r="A1129" t="s">
        <v>1040</v>
      </c>
      <c r="B1129" s="4" t="s">
        <v>10</v>
      </c>
      <c r="C1129" s="4" t="s">
        <v>73</v>
      </c>
      <c r="D1129" s="4">
        <v>46139</v>
      </c>
      <c r="E1129" s="5">
        <v>0.56685185185185183</v>
      </c>
      <c r="F1129">
        <v>1</v>
      </c>
      <c r="G1129" t="s">
        <v>82</v>
      </c>
      <c r="H1129">
        <v>45.25</v>
      </c>
      <c r="M1129" t="s">
        <v>74</v>
      </c>
      <c r="N1129" t="s">
        <v>77</v>
      </c>
    </row>
    <row r="1130" spans="1:21" x14ac:dyDescent="0.25">
      <c r="A1130" t="s">
        <v>1040</v>
      </c>
      <c r="B1130" s="4" t="s">
        <v>10</v>
      </c>
      <c r="C1130" s="4" t="s">
        <v>73</v>
      </c>
      <c r="D1130" s="4">
        <v>46139</v>
      </c>
      <c r="E1130" s="5">
        <v>0.56759259259259254</v>
      </c>
      <c r="F1130">
        <v>1</v>
      </c>
      <c r="G1130" t="s">
        <v>82</v>
      </c>
      <c r="H1130">
        <v>44.166666666666664</v>
      </c>
      <c r="M1130" t="s">
        <v>76</v>
      </c>
      <c r="N1130" t="s">
        <v>77</v>
      </c>
    </row>
    <row r="1131" spans="1:21" x14ac:dyDescent="0.25">
      <c r="A1131" t="s">
        <v>1045</v>
      </c>
      <c r="B1131" s="4" t="s">
        <v>10</v>
      </c>
      <c r="C1131" s="4" t="s">
        <v>70</v>
      </c>
      <c r="D1131" s="4">
        <v>46139</v>
      </c>
      <c r="E1131" s="5">
        <v>0.56827546296296294</v>
      </c>
      <c r="F1131">
        <v>1</v>
      </c>
      <c r="G1131" t="s">
        <v>82</v>
      </c>
      <c r="H1131">
        <v>30</v>
      </c>
      <c r="L1131" t="s">
        <v>1046</v>
      </c>
      <c r="M1131" t="s">
        <v>71</v>
      </c>
      <c r="N1131" t="s">
        <v>72</v>
      </c>
      <c r="O1131">
        <v>1</v>
      </c>
      <c r="R1131">
        <v>1</v>
      </c>
      <c r="S1131">
        <v>1</v>
      </c>
      <c r="T1131">
        <v>5.583333333333333</v>
      </c>
    </row>
    <row r="1132" spans="1:21" x14ac:dyDescent="0.25">
      <c r="A1132" t="s">
        <v>1046</v>
      </c>
      <c r="B1132" s="4" t="s">
        <v>10</v>
      </c>
      <c r="C1132" s="4" t="s">
        <v>73</v>
      </c>
      <c r="D1132" s="4">
        <v>46139</v>
      </c>
      <c r="E1132" s="5">
        <v>0.56827546296296294</v>
      </c>
      <c r="F1132">
        <v>1</v>
      </c>
      <c r="G1132" t="s">
        <v>82</v>
      </c>
      <c r="H1132">
        <v>5.5</v>
      </c>
      <c r="M1132" t="s">
        <v>74</v>
      </c>
      <c r="N1132" t="s">
        <v>72</v>
      </c>
    </row>
    <row r="1133" spans="1:21" x14ac:dyDescent="0.25">
      <c r="A1133" t="s">
        <v>1046</v>
      </c>
      <c r="B1133" s="4" t="s">
        <v>10</v>
      </c>
      <c r="C1133" s="4" t="s">
        <v>73</v>
      </c>
      <c r="D1133" s="4">
        <v>46139</v>
      </c>
      <c r="E1133" s="5">
        <v>0.56846064814814812</v>
      </c>
      <c r="F1133">
        <v>1</v>
      </c>
      <c r="G1133" t="s">
        <v>82</v>
      </c>
      <c r="H1133">
        <v>5.583333333333333</v>
      </c>
      <c r="M1133" t="s">
        <v>76</v>
      </c>
      <c r="N1133" t="s">
        <v>72</v>
      </c>
    </row>
    <row r="1134" spans="1:21" x14ac:dyDescent="0.25">
      <c r="A1134" t="s">
        <v>1047</v>
      </c>
      <c r="B1134" s="4" t="s">
        <v>10</v>
      </c>
      <c r="C1134" s="4" t="s">
        <v>73</v>
      </c>
      <c r="D1134" s="4">
        <v>46139</v>
      </c>
      <c r="E1134" s="5">
        <v>0.56922453703703701</v>
      </c>
      <c r="F1134">
        <v>1</v>
      </c>
      <c r="G1134" t="s">
        <v>82</v>
      </c>
      <c r="H1134">
        <v>36</v>
      </c>
      <c r="M1134" t="s">
        <v>74</v>
      </c>
      <c r="N1134" t="s">
        <v>75</v>
      </c>
    </row>
    <row r="1135" spans="1:21" x14ac:dyDescent="0.25">
      <c r="A1135" t="s">
        <v>1050</v>
      </c>
      <c r="B1135" s="4" t="s">
        <v>10</v>
      </c>
      <c r="C1135" s="4" t="s">
        <v>70</v>
      </c>
      <c r="D1135" s="4">
        <v>46139</v>
      </c>
      <c r="E1135" s="5">
        <v>0.56966435185185182</v>
      </c>
      <c r="F1135">
        <v>1</v>
      </c>
      <c r="G1135" t="s">
        <v>82</v>
      </c>
      <c r="H1135">
        <v>22.5</v>
      </c>
      <c r="L1135" t="s">
        <v>1047</v>
      </c>
      <c r="M1135" t="s">
        <v>71</v>
      </c>
      <c r="N1135" t="s">
        <v>75</v>
      </c>
      <c r="O1135">
        <v>1</v>
      </c>
      <c r="R1135">
        <v>1</v>
      </c>
      <c r="S1135">
        <v>1</v>
      </c>
      <c r="T1135">
        <v>13.333333333333332</v>
      </c>
    </row>
    <row r="1136" spans="1:21" x14ac:dyDescent="0.25">
      <c r="A1136" t="s">
        <v>1047</v>
      </c>
      <c r="B1136" s="4" t="s">
        <v>10</v>
      </c>
      <c r="C1136" s="4" t="s">
        <v>73</v>
      </c>
      <c r="D1136" s="4">
        <v>46139</v>
      </c>
      <c r="E1136" s="5">
        <v>0.56966435185185182</v>
      </c>
      <c r="F1136">
        <v>1</v>
      </c>
      <c r="G1136" t="s">
        <v>82</v>
      </c>
      <c r="H1136">
        <v>13.5</v>
      </c>
      <c r="M1136" t="s">
        <v>74</v>
      </c>
      <c r="N1136" t="s">
        <v>75</v>
      </c>
    </row>
    <row r="1137" spans="1:20" x14ac:dyDescent="0.25">
      <c r="A1137" t="s">
        <v>1047</v>
      </c>
      <c r="B1137" s="4" t="s">
        <v>10</v>
      </c>
      <c r="C1137" s="4" t="s">
        <v>73</v>
      </c>
      <c r="D1137" s="4">
        <v>46139</v>
      </c>
      <c r="E1137" s="5">
        <v>0.56966435185185182</v>
      </c>
      <c r="F1137">
        <v>1</v>
      </c>
      <c r="G1137" t="s">
        <v>82</v>
      </c>
      <c r="H1137">
        <v>13.416666666666666</v>
      </c>
      <c r="M1137" t="s">
        <v>74</v>
      </c>
      <c r="N1137" t="s">
        <v>75</v>
      </c>
    </row>
    <row r="1138" spans="1:20" x14ac:dyDescent="0.25">
      <c r="A1138" t="s">
        <v>1047</v>
      </c>
      <c r="B1138" s="4" t="s">
        <v>10</v>
      </c>
      <c r="C1138" s="4" t="s">
        <v>73</v>
      </c>
      <c r="D1138" s="4">
        <v>46139</v>
      </c>
      <c r="E1138" s="5">
        <v>0.56990740740740742</v>
      </c>
      <c r="F1138">
        <v>1</v>
      </c>
      <c r="G1138" t="s">
        <v>82</v>
      </c>
      <c r="H1138">
        <v>13.333333333333332</v>
      </c>
      <c r="M1138" t="s">
        <v>76</v>
      </c>
      <c r="N1138" t="s">
        <v>75</v>
      </c>
    </row>
    <row r="1139" spans="1:20" x14ac:dyDescent="0.25">
      <c r="A1139" t="s">
        <v>1051</v>
      </c>
      <c r="B1139" s="4" t="s">
        <v>10</v>
      </c>
      <c r="C1139" s="4" t="s">
        <v>70</v>
      </c>
      <c r="D1139" s="4">
        <v>46139</v>
      </c>
      <c r="E1139" s="5">
        <v>0.57040509259259253</v>
      </c>
      <c r="F1139">
        <v>1</v>
      </c>
      <c r="G1139" t="s">
        <v>82</v>
      </c>
      <c r="H1139">
        <v>4</v>
      </c>
      <c r="L1139" t="s">
        <v>1052</v>
      </c>
      <c r="M1139" t="s">
        <v>71</v>
      </c>
      <c r="N1139" t="s">
        <v>75</v>
      </c>
      <c r="O1139">
        <v>1</v>
      </c>
      <c r="S1139">
        <v>1</v>
      </c>
      <c r="T1139">
        <v>59.583333333333329</v>
      </c>
    </row>
    <row r="1140" spans="1:20" x14ac:dyDescent="0.25">
      <c r="A1140" t="s">
        <v>1052</v>
      </c>
      <c r="B1140" s="4" t="s">
        <v>10</v>
      </c>
      <c r="C1140" s="4" t="s">
        <v>73</v>
      </c>
      <c r="D1140" s="4">
        <v>46139</v>
      </c>
      <c r="E1140" s="5">
        <v>0.57040509259259253</v>
      </c>
      <c r="F1140">
        <v>1</v>
      </c>
      <c r="G1140" t="s">
        <v>82</v>
      </c>
      <c r="H1140">
        <v>59.416666666666671</v>
      </c>
      <c r="M1140" t="s">
        <v>74</v>
      </c>
      <c r="N1140" t="s">
        <v>75</v>
      </c>
    </row>
    <row r="1141" spans="1:20" x14ac:dyDescent="0.25">
      <c r="A1141" t="s">
        <v>1052</v>
      </c>
      <c r="B1141" s="4" t="s">
        <v>10</v>
      </c>
      <c r="C1141" s="4" t="s">
        <v>73</v>
      </c>
      <c r="D1141" s="4">
        <v>46139</v>
      </c>
      <c r="E1141" s="5">
        <v>0.570775462962963</v>
      </c>
      <c r="F1141">
        <v>1</v>
      </c>
      <c r="G1141" t="s">
        <v>82</v>
      </c>
      <c r="H1141">
        <v>59.583333333333329</v>
      </c>
      <c r="M1141" t="s">
        <v>76</v>
      </c>
      <c r="N1141" t="s">
        <v>75</v>
      </c>
    </row>
    <row r="1142" spans="1:20" x14ac:dyDescent="0.25">
      <c r="A1142" t="s">
        <v>1054</v>
      </c>
      <c r="B1142" s="4" t="s">
        <v>10</v>
      </c>
      <c r="C1142" s="4" t="s">
        <v>70</v>
      </c>
      <c r="D1142" s="4">
        <v>46139</v>
      </c>
      <c r="E1142" s="5">
        <v>0.5716782407407407</v>
      </c>
      <c r="F1142">
        <v>1</v>
      </c>
      <c r="G1142" t="s">
        <v>82</v>
      </c>
      <c r="H1142">
        <v>18</v>
      </c>
      <c r="L1142" t="s">
        <v>1055</v>
      </c>
      <c r="M1142" t="s">
        <v>71</v>
      </c>
      <c r="N1142" t="s">
        <v>72</v>
      </c>
      <c r="O1142">
        <v>1</v>
      </c>
      <c r="R1142">
        <v>1</v>
      </c>
      <c r="S1142">
        <v>1</v>
      </c>
      <c r="T1142">
        <v>10.25</v>
      </c>
    </row>
    <row r="1143" spans="1:20" x14ac:dyDescent="0.25">
      <c r="A1143" t="s">
        <v>1055</v>
      </c>
      <c r="B1143" s="4" t="s">
        <v>10</v>
      </c>
      <c r="C1143" s="4" t="s">
        <v>73</v>
      </c>
      <c r="D1143" s="4">
        <v>46139</v>
      </c>
      <c r="E1143" s="5">
        <v>0.5716782407407407</v>
      </c>
      <c r="F1143">
        <v>1</v>
      </c>
      <c r="G1143" t="s">
        <v>82</v>
      </c>
      <c r="H1143">
        <v>10.333333333333334</v>
      </c>
      <c r="M1143" t="s">
        <v>74</v>
      </c>
      <c r="N1143" t="s">
        <v>72</v>
      </c>
    </row>
    <row r="1144" spans="1:20" x14ac:dyDescent="0.25">
      <c r="A1144" t="s">
        <v>1055</v>
      </c>
      <c r="B1144" s="4" t="s">
        <v>10</v>
      </c>
      <c r="C1144" s="4" t="s">
        <v>73</v>
      </c>
      <c r="D1144" s="4">
        <v>46139</v>
      </c>
      <c r="E1144" s="5">
        <v>0.5716782407407407</v>
      </c>
      <c r="F1144">
        <v>1</v>
      </c>
      <c r="G1144" t="s">
        <v>82</v>
      </c>
      <c r="H1144">
        <v>10.25</v>
      </c>
      <c r="M1144" t="s">
        <v>74</v>
      </c>
      <c r="N1144" t="s">
        <v>72</v>
      </c>
    </row>
    <row r="1145" spans="1:20" x14ac:dyDescent="0.25">
      <c r="A1145" t="s">
        <v>1055</v>
      </c>
      <c r="B1145" s="4" t="s">
        <v>10</v>
      </c>
      <c r="C1145" s="4" t="s">
        <v>73</v>
      </c>
      <c r="D1145" s="4">
        <v>46139</v>
      </c>
      <c r="E1145" s="5">
        <v>0.57182870370370364</v>
      </c>
      <c r="F1145">
        <v>1</v>
      </c>
      <c r="G1145" t="s">
        <v>82</v>
      </c>
      <c r="H1145">
        <v>10.25</v>
      </c>
      <c r="M1145" t="s">
        <v>76</v>
      </c>
      <c r="N1145" t="s">
        <v>72</v>
      </c>
    </row>
    <row r="1146" spans="1:20" x14ac:dyDescent="0.25">
      <c r="A1146" t="s">
        <v>1056</v>
      </c>
      <c r="B1146" s="4" t="s">
        <v>10</v>
      </c>
      <c r="C1146" s="4" t="s">
        <v>70</v>
      </c>
      <c r="D1146" s="4">
        <v>46139</v>
      </c>
      <c r="E1146" s="5">
        <v>0.57251157407407405</v>
      </c>
      <c r="F1146">
        <v>1</v>
      </c>
      <c r="G1146" t="s">
        <v>82</v>
      </c>
      <c r="H1146">
        <v>16.5</v>
      </c>
      <c r="L1146" t="s">
        <v>1057</v>
      </c>
      <c r="M1146" t="s">
        <v>71</v>
      </c>
      <c r="N1146" t="s">
        <v>78</v>
      </c>
      <c r="O1146">
        <v>1</v>
      </c>
      <c r="R1146">
        <v>1</v>
      </c>
      <c r="S1146">
        <v>1</v>
      </c>
      <c r="T1146">
        <v>8.8333333333333339</v>
      </c>
    </row>
    <row r="1147" spans="1:20" x14ac:dyDescent="0.25">
      <c r="A1147" t="s">
        <v>1057</v>
      </c>
      <c r="B1147" s="4" t="s">
        <v>10</v>
      </c>
      <c r="C1147" s="4" t="s">
        <v>73</v>
      </c>
      <c r="D1147" s="4">
        <v>46139</v>
      </c>
      <c r="E1147" s="5">
        <v>0.57251157407407405</v>
      </c>
      <c r="F1147">
        <v>1</v>
      </c>
      <c r="G1147" t="s">
        <v>82</v>
      </c>
      <c r="H1147">
        <v>11.75</v>
      </c>
      <c r="M1147" t="s">
        <v>74</v>
      </c>
      <c r="N1147" t="s">
        <v>78</v>
      </c>
    </row>
    <row r="1148" spans="1:20" x14ac:dyDescent="0.25">
      <c r="A1148" t="s">
        <v>1057</v>
      </c>
      <c r="B1148" s="4" t="s">
        <v>10</v>
      </c>
      <c r="C1148" s="4" t="s">
        <v>73</v>
      </c>
      <c r="D1148" s="4">
        <v>46139</v>
      </c>
      <c r="E1148" s="5">
        <v>0.57251157407407405</v>
      </c>
      <c r="F1148">
        <v>1</v>
      </c>
      <c r="G1148" t="s">
        <v>82</v>
      </c>
      <c r="H1148">
        <v>11.666666666666666</v>
      </c>
      <c r="M1148" t="s">
        <v>74</v>
      </c>
      <c r="N1148" t="s">
        <v>78</v>
      </c>
    </row>
    <row r="1149" spans="1:20" x14ac:dyDescent="0.25">
      <c r="A1149" t="s">
        <v>1057</v>
      </c>
      <c r="B1149" s="4" t="s">
        <v>10</v>
      </c>
      <c r="C1149" s="4" t="s">
        <v>73</v>
      </c>
      <c r="D1149" s="4">
        <v>46139</v>
      </c>
      <c r="E1149" s="5">
        <v>0.57265046296296296</v>
      </c>
      <c r="F1149">
        <v>1</v>
      </c>
      <c r="G1149" t="s">
        <v>82</v>
      </c>
      <c r="H1149">
        <v>8.8333333333333339</v>
      </c>
      <c r="M1149" t="s">
        <v>76</v>
      </c>
      <c r="N1149" t="s">
        <v>78</v>
      </c>
    </row>
    <row r="1150" spans="1:20" x14ac:dyDescent="0.25">
      <c r="A1150" t="s">
        <v>1061</v>
      </c>
      <c r="B1150" s="4" t="s">
        <v>10</v>
      </c>
      <c r="C1150" s="4" t="s">
        <v>70</v>
      </c>
      <c r="D1150" s="4">
        <v>46139</v>
      </c>
      <c r="E1150" s="5">
        <v>0.57332175925925921</v>
      </c>
      <c r="F1150">
        <v>1</v>
      </c>
      <c r="G1150" t="s">
        <v>82</v>
      </c>
      <c r="H1150">
        <v>25</v>
      </c>
      <c r="L1150" t="s">
        <v>1062</v>
      </c>
      <c r="M1150" t="s">
        <v>71</v>
      </c>
      <c r="N1150" t="s">
        <v>75</v>
      </c>
      <c r="O1150">
        <v>1</v>
      </c>
      <c r="S1150">
        <v>1</v>
      </c>
      <c r="T1150">
        <v>50.416666666666664</v>
      </c>
    </row>
    <row r="1151" spans="1:20" x14ac:dyDescent="0.25">
      <c r="A1151" t="s">
        <v>1062</v>
      </c>
      <c r="B1151" s="4" t="s">
        <v>10</v>
      </c>
      <c r="C1151" s="4" t="s">
        <v>73</v>
      </c>
      <c r="D1151" s="4">
        <v>46139</v>
      </c>
      <c r="E1151" s="5">
        <v>0.57332175925925921</v>
      </c>
      <c r="F1151">
        <v>1</v>
      </c>
      <c r="G1151" t="s">
        <v>82</v>
      </c>
      <c r="H1151">
        <v>50</v>
      </c>
      <c r="M1151" t="s">
        <v>74</v>
      </c>
      <c r="N1151" t="s">
        <v>75</v>
      </c>
    </row>
    <row r="1152" spans="1:20" x14ac:dyDescent="0.25">
      <c r="A1152" t="s">
        <v>1062</v>
      </c>
      <c r="B1152" s="4" t="s">
        <v>10</v>
      </c>
      <c r="C1152" s="4" t="s">
        <v>73</v>
      </c>
      <c r="D1152" s="4">
        <v>46139</v>
      </c>
      <c r="E1152" s="5">
        <v>0.57332175925925921</v>
      </c>
      <c r="F1152">
        <v>1</v>
      </c>
      <c r="G1152" t="s">
        <v>82</v>
      </c>
      <c r="H1152">
        <v>49.916666666666664</v>
      </c>
      <c r="M1152" t="s">
        <v>74</v>
      </c>
      <c r="N1152" t="s">
        <v>75</v>
      </c>
    </row>
    <row r="1153" spans="1:21" x14ac:dyDescent="0.25">
      <c r="A1153" t="s">
        <v>1062</v>
      </c>
      <c r="B1153" s="4" t="s">
        <v>10</v>
      </c>
      <c r="C1153" s="4" t="s">
        <v>73</v>
      </c>
      <c r="D1153" s="4">
        <v>46139</v>
      </c>
      <c r="E1153" s="5">
        <v>0.57362268518518522</v>
      </c>
      <c r="F1153">
        <v>1</v>
      </c>
      <c r="G1153" t="s">
        <v>82</v>
      </c>
      <c r="H1153">
        <v>50.416666666666664</v>
      </c>
      <c r="M1153" t="s">
        <v>76</v>
      </c>
      <c r="N1153" t="s">
        <v>75</v>
      </c>
    </row>
    <row r="1154" spans="1:21" x14ac:dyDescent="0.25">
      <c r="A1154" t="s">
        <v>1063</v>
      </c>
      <c r="B1154" s="4" t="s">
        <v>10</v>
      </c>
      <c r="C1154" s="4" t="s">
        <v>70</v>
      </c>
      <c r="D1154" s="4">
        <v>46139</v>
      </c>
      <c r="E1154" s="5">
        <v>0.57418981481481479</v>
      </c>
      <c r="F1154">
        <v>1</v>
      </c>
      <c r="G1154" t="s">
        <v>82</v>
      </c>
      <c r="H1154">
        <v>4</v>
      </c>
      <c r="L1154" t="s">
        <v>1064</v>
      </c>
      <c r="M1154" t="s">
        <v>71</v>
      </c>
      <c r="N1154" t="s">
        <v>75</v>
      </c>
      <c r="O1154">
        <v>1</v>
      </c>
      <c r="S1154">
        <v>1</v>
      </c>
      <c r="T1154">
        <v>63</v>
      </c>
    </row>
    <row r="1155" spans="1:21" x14ac:dyDescent="0.25">
      <c r="A1155" t="s">
        <v>1064</v>
      </c>
      <c r="B1155" s="4" t="s">
        <v>10</v>
      </c>
      <c r="C1155" s="4" t="s">
        <v>73</v>
      </c>
      <c r="D1155" s="4">
        <v>46139</v>
      </c>
      <c r="E1155" s="5">
        <v>0.57418981481481479</v>
      </c>
      <c r="F1155">
        <v>1</v>
      </c>
      <c r="G1155" t="s">
        <v>82</v>
      </c>
      <c r="H1155">
        <v>64.333333333333329</v>
      </c>
      <c r="L1155" t="s">
        <v>1065</v>
      </c>
      <c r="M1155" t="s">
        <v>79</v>
      </c>
      <c r="N1155" t="s">
        <v>75</v>
      </c>
    </row>
    <row r="1156" spans="1:21" x14ac:dyDescent="0.25">
      <c r="A1156" t="s">
        <v>1064</v>
      </c>
      <c r="B1156" s="4" t="s">
        <v>10</v>
      </c>
      <c r="C1156" s="4" t="s">
        <v>73</v>
      </c>
      <c r="D1156" s="4">
        <v>46139</v>
      </c>
      <c r="E1156" s="5">
        <v>0.57460648148148152</v>
      </c>
      <c r="F1156">
        <v>1</v>
      </c>
      <c r="G1156" t="s">
        <v>82</v>
      </c>
      <c r="H1156">
        <v>63</v>
      </c>
      <c r="L1156" t="s">
        <v>1065</v>
      </c>
      <c r="M1156" t="s">
        <v>76</v>
      </c>
      <c r="N1156" t="s">
        <v>75</v>
      </c>
    </row>
    <row r="1157" spans="1:21" x14ac:dyDescent="0.25">
      <c r="A1157" t="s">
        <v>1066</v>
      </c>
      <c r="B1157" s="4" t="s">
        <v>10</v>
      </c>
      <c r="C1157" s="4" t="s">
        <v>73</v>
      </c>
      <c r="D1157" s="4">
        <v>46139</v>
      </c>
      <c r="E1157" s="5">
        <v>0.57594907407407403</v>
      </c>
      <c r="F1157">
        <v>1</v>
      </c>
      <c r="G1157" t="s">
        <v>82</v>
      </c>
      <c r="H1157">
        <v>49.5</v>
      </c>
      <c r="M1157" t="s">
        <v>74</v>
      </c>
      <c r="N1157" t="s">
        <v>72</v>
      </c>
    </row>
    <row r="1158" spans="1:21" x14ac:dyDescent="0.25">
      <c r="A1158" t="s">
        <v>1067</v>
      </c>
      <c r="B1158" s="4" t="s">
        <v>10</v>
      </c>
      <c r="C1158" s="4" t="s">
        <v>70</v>
      </c>
      <c r="D1158" s="4">
        <v>46139</v>
      </c>
      <c r="E1158" s="5">
        <v>0.57622685185185185</v>
      </c>
      <c r="F1158">
        <v>1</v>
      </c>
      <c r="G1158" t="s">
        <v>82</v>
      </c>
      <c r="H1158">
        <v>19</v>
      </c>
      <c r="L1158" t="s">
        <v>1066</v>
      </c>
      <c r="M1158" t="s">
        <v>71</v>
      </c>
      <c r="N1158" t="s">
        <v>72</v>
      </c>
      <c r="O1158">
        <v>1</v>
      </c>
      <c r="S1158">
        <v>1</v>
      </c>
      <c r="T1158">
        <v>29.166666666666664</v>
      </c>
    </row>
    <row r="1159" spans="1:21" x14ac:dyDescent="0.25">
      <c r="A1159" t="s">
        <v>1066</v>
      </c>
      <c r="B1159" s="4" t="s">
        <v>10</v>
      </c>
      <c r="C1159" s="4" t="s">
        <v>73</v>
      </c>
      <c r="D1159" s="4">
        <v>46139</v>
      </c>
      <c r="E1159" s="5">
        <v>0.57623842592592589</v>
      </c>
      <c r="F1159">
        <v>1</v>
      </c>
      <c r="G1159" t="s">
        <v>82</v>
      </c>
      <c r="H1159">
        <v>30.5</v>
      </c>
      <c r="M1159" t="s">
        <v>74</v>
      </c>
      <c r="N1159" t="s">
        <v>72</v>
      </c>
    </row>
    <row r="1160" spans="1:21" x14ac:dyDescent="0.25">
      <c r="A1160" t="s">
        <v>1066</v>
      </c>
      <c r="B1160" s="4" t="s">
        <v>10</v>
      </c>
      <c r="C1160" s="4" t="s">
        <v>73</v>
      </c>
      <c r="D1160" s="4">
        <v>46139</v>
      </c>
      <c r="E1160" s="5">
        <v>0.57623842592592589</v>
      </c>
      <c r="F1160">
        <v>1</v>
      </c>
      <c r="G1160" t="s">
        <v>82</v>
      </c>
      <c r="H1160">
        <v>30.416666666666664</v>
      </c>
      <c r="M1160" t="s">
        <v>74</v>
      </c>
      <c r="N1160" t="s">
        <v>72</v>
      </c>
    </row>
    <row r="1161" spans="1:21" x14ac:dyDescent="0.25">
      <c r="A1161" t="s">
        <v>1066</v>
      </c>
      <c r="B1161" s="4" t="s">
        <v>10</v>
      </c>
      <c r="C1161" s="4" t="s">
        <v>73</v>
      </c>
      <c r="D1161" s="4">
        <v>46139</v>
      </c>
      <c r="E1161" s="5">
        <v>0.57648148148148148</v>
      </c>
      <c r="F1161">
        <v>1</v>
      </c>
      <c r="G1161" t="s">
        <v>82</v>
      </c>
      <c r="H1161">
        <v>29.166666666666664</v>
      </c>
      <c r="M1161" t="s">
        <v>76</v>
      </c>
      <c r="N1161" t="s">
        <v>72</v>
      </c>
    </row>
    <row r="1162" spans="1:21" x14ac:dyDescent="0.25">
      <c r="A1162" t="s">
        <v>1072</v>
      </c>
      <c r="B1162" s="4" t="s">
        <v>10</v>
      </c>
      <c r="C1162" s="4" t="s">
        <v>73</v>
      </c>
      <c r="D1162" s="4">
        <v>46139</v>
      </c>
      <c r="E1162" s="5">
        <v>0.578125</v>
      </c>
      <c r="F1162">
        <v>1</v>
      </c>
      <c r="G1162" t="s">
        <v>82</v>
      </c>
      <c r="H1162">
        <v>153.75</v>
      </c>
      <c r="M1162" t="s">
        <v>76</v>
      </c>
      <c r="N1162" t="s">
        <v>72</v>
      </c>
    </row>
    <row r="1163" spans="1:21" x14ac:dyDescent="0.25">
      <c r="A1163" t="s">
        <v>1075</v>
      </c>
      <c r="B1163" s="4" t="s">
        <v>10</v>
      </c>
      <c r="C1163" s="4" t="s">
        <v>70</v>
      </c>
      <c r="D1163" s="4">
        <v>46139</v>
      </c>
      <c r="E1163" s="5">
        <v>0.57928240740740733</v>
      </c>
      <c r="F1163">
        <v>1</v>
      </c>
      <c r="G1163" t="s">
        <v>82</v>
      </c>
      <c r="H1163">
        <v>68</v>
      </c>
      <c r="L1163" t="s">
        <v>1076</v>
      </c>
      <c r="M1163" t="s">
        <v>71</v>
      </c>
      <c r="N1163" t="s">
        <v>75</v>
      </c>
      <c r="O1163">
        <v>1</v>
      </c>
      <c r="Q1163">
        <v>1</v>
      </c>
      <c r="S1163">
        <v>1</v>
      </c>
      <c r="U1163">
        <v>8.3333333333333329E-2</v>
      </c>
    </row>
    <row r="1164" spans="1:21" x14ac:dyDescent="0.25">
      <c r="A1164" t="s">
        <v>1076</v>
      </c>
      <c r="B1164" s="4" t="s">
        <v>10</v>
      </c>
      <c r="C1164" s="4" t="s">
        <v>73</v>
      </c>
      <c r="D1164" s="4">
        <v>46139</v>
      </c>
      <c r="E1164" s="5">
        <v>0.57928240740740733</v>
      </c>
      <c r="F1164">
        <v>1</v>
      </c>
      <c r="G1164" t="s">
        <v>82</v>
      </c>
      <c r="H1164">
        <v>0.5</v>
      </c>
      <c r="M1164" t="s">
        <v>74</v>
      </c>
      <c r="N1164" t="s">
        <v>75</v>
      </c>
    </row>
    <row r="1165" spans="1:21" x14ac:dyDescent="0.25">
      <c r="A1165" t="s">
        <v>1076</v>
      </c>
      <c r="B1165" s="4" t="s">
        <v>10</v>
      </c>
      <c r="C1165" s="4" t="s">
        <v>73</v>
      </c>
      <c r="D1165" s="4">
        <v>46139</v>
      </c>
      <c r="E1165" s="5">
        <v>0.57928240740740733</v>
      </c>
      <c r="F1165">
        <v>1</v>
      </c>
      <c r="G1165" t="s">
        <v>82</v>
      </c>
      <c r="H1165">
        <v>8.3333333333333329E-2</v>
      </c>
      <c r="M1165" t="s">
        <v>74</v>
      </c>
      <c r="N1165" t="s">
        <v>75</v>
      </c>
    </row>
    <row r="1166" spans="1:21" x14ac:dyDescent="0.25">
      <c r="A1166" t="s">
        <v>1076</v>
      </c>
      <c r="B1166" s="4" t="s">
        <v>10</v>
      </c>
      <c r="C1166" s="4" t="s">
        <v>73</v>
      </c>
      <c r="D1166" s="4">
        <v>46139</v>
      </c>
      <c r="E1166" s="5">
        <v>0.57928240740740733</v>
      </c>
      <c r="F1166">
        <v>1</v>
      </c>
      <c r="G1166" t="s">
        <v>82</v>
      </c>
      <c r="H1166">
        <v>0</v>
      </c>
      <c r="M1166" t="s">
        <v>74</v>
      </c>
      <c r="N1166" t="s">
        <v>75</v>
      </c>
    </row>
    <row r="1167" spans="1:21" x14ac:dyDescent="0.25">
      <c r="A1167" t="s">
        <v>1079</v>
      </c>
      <c r="B1167" s="4" t="s">
        <v>10</v>
      </c>
      <c r="C1167" s="4" t="s">
        <v>70</v>
      </c>
      <c r="D1167" s="4">
        <v>46139</v>
      </c>
      <c r="E1167" s="5">
        <v>0.59291666666666665</v>
      </c>
      <c r="F1167">
        <v>1</v>
      </c>
      <c r="G1167" t="s">
        <v>82</v>
      </c>
      <c r="H1167">
        <v>19.75</v>
      </c>
      <c r="L1167" t="s">
        <v>1080</v>
      </c>
      <c r="M1167" t="s">
        <v>71</v>
      </c>
      <c r="N1167" t="s">
        <v>72</v>
      </c>
      <c r="O1167">
        <v>1</v>
      </c>
      <c r="R1167">
        <v>1</v>
      </c>
      <c r="S1167">
        <v>1</v>
      </c>
      <c r="T1167">
        <v>10</v>
      </c>
    </row>
    <row r="1168" spans="1:21" x14ac:dyDescent="0.25">
      <c r="A1168" t="s">
        <v>1080</v>
      </c>
      <c r="B1168" s="4" t="s">
        <v>10</v>
      </c>
      <c r="C1168" s="4" t="s">
        <v>73</v>
      </c>
      <c r="D1168" s="4">
        <v>46139</v>
      </c>
      <c r="E1168" s="5">
        <v>0.59291666666666665</v>
      </c>
      <c r="F1168">
        <v>1</v>
      </c>
      <c r="G1168" t="s">
        <v>82</v>
      </c>
      <c r="H1168">
        <v>9.9166666666666661</v>
      </c>
      <c r="M1168" t="s">
        <v>74</v>
      </c>
      <c r="N1168" t="s">
        <v>72</v>
      </c>
    </row>
    <row r="1169" spans="1:20" x14ac:dyDescent="0.25">
      <c r="A1169" t="s">
        <v>1080</v>
      </c>
      <c r="B1169" s="4" t="s">
        <v>10</v>
      </c>
      <c r="C1169" s="4" t="s">
        <v>73</v>
      </c>
      <c r="D1169" s="4">
        <v>46139</v>
      </c>
      <c r="E1169" s="5">
        <v>0.59291666666666665</v>
      </c>
      <c r="F1169">
        <v>1</v>
      </c>
      <c r="G1169" t="s">
        <v>82</v>
      </c>
      <c r="H1169">
        <v>9.8333333333333321</v>
      </c>
      <c r="M1169" t="s">
        <v>74</v>
      </c>
      <c r="N1169" t="s">
        <v>72</v>
      </c>
    </row>
    <row r="1170" spans="1:20" x14ac:dyDescent="0.25">
      <c r="A1170" t="s">
        <v>1080</v>
      </c>
      <c r="B1170" s="4" t="s">
        <v>10</v>
      </c>
      <c r="C1170" s="4" t="s">
        <v>73</v>
      </c>
      <c r="D1170" s="4">
        <v>46139</v>
      </c>
      <c r="E1170" s="5">
        <v>0.59305555555555556</v>
      </c>
      <c r="F1170">
        <v>1</v>
      </c>
      <c r="G1170" t="s">
        <v>82</v>
      </c>
      <c r="H1170">
        <v>10</v>
      </c>
      <c r="M1170" t="s">
        <v>76</v>
      </c>
      <c r="N1170" t="s">
        <v>72</v>
      </c>
    </row>
    <row r="1171" spans="1:20" x14ac:dyDescent="0.25">
      <c r="A1171" t="s">
        <v>1081</v>
      </c>
      <c r="B1171" s="4" t="s">
        <v>10</v>
      </c>
      <c r="C1171" s="4" t="s">
        <v>70</v>
      </c>
      <c r="D1171" s="4">
        <v>46139</v>
      </c>
      <c r="E1171" s="5">
        <v>0.59357638888888886</v>
      </c>
      <c r="F1171">
        <v>1</v>
      </c>
      <c r="G1171" t="s">
        <v>82</v>
      </c>
      <c r="H1171">
        <v>1</v>
      </c>
      <c r="L1171" t="s">
        <v>1082</v>
      </c>
      <c r="M1171" t="s">
        <v>71</v>
      </c>
      <c r="N1171" t="s">
        <v>75</v>
      </c>
      <c r="O1171">
        <v>1</v>
      </c>
      <c r="S1171">
        <v>1</v>
      </c>
      <c r="T1171">
        <v>35.25</v>
      </c>
    </row>
    <row r="1172" spans="1:20" x14ac:dyDescent="0.25">
      <c r="A1172" t="s">
        <v>1082</v>
      </c>
      <c r="B1172" s="4" t="s">
        <v>10</v>
      </c>
      <c r="C1172" s="4" t="s">
        <v>73</v>
      </c>
      <c r="D1172" s="4">
        <v>46139</v>
      </c>
      <c r="E1172" s="5">
        <v>0.59357638888888886</v>
      </c>
      <c r="F1172">
        <v>1</v>
      </c>
      <c r="G1172" t="s">
        <v>82</v>
      </c>
      <c r="H1172">
        <v>35.5</v>
      </c>
      <c r="M1172" t="s">
        <v>79</v>
      </c>
      <c r="N1172" t="s">
        <v>75</v>
      </c>
    </row>
    <row r="1173" spans="1:20" x14ac:dyDescent="0.25">
      <c r="A1173" t="s">
        <v>1082</v>
      </c>
      <c r="B1173" s="4" t="s">
        <v>10</v>
      </c>
      <c r="C1173" s="4" t="s">
        <v>73</v>
      </c>
      <c r="D1173" s="4">
        <v>46139</v>
      </c>
      <c r="E1173" s="5">
        <v>0.59357638888888886</v>
      </c>
      <c r="F1173">
        <v>1</v>
      </c>
      <c r="G1173" t="s">
        <v>82</v>
      </c>
      <c r="H1173">
        <v>35.416666666666664</v>
      </c>
      <c r="M1173" t="s">
        <v>79</v>
      </c>
      <c r="N1173" t="s">
        <v>75</v>
      </c>
    </row>
    <row r="1174" spans="1:20" x14ac:dyDescent="0.25">
      <c r="A1174" t="s">
        <v>1082</v>
      </c>
      <c r="B1174" s="4" t="s">
        <v>10</v>
      </c>
      <c r="C1174" s="4" t="s">
        <v>73</v>
      </c>
      <c r="D1174" s="4">
        <v>46139</v>
      </c>
      <c r="E1174" s="5">
        <v>0.59398148148148144</v>
      </c>
      <c r="F1174">
        <v>1</v>
      </c>
      <c r="G1174" t="s">
        <v>82</v>
      </c>
      <c r="H1174">
        <v>35.25</v>
      </c>
      <c r="M1174" t="s">
        <v>76</v>
      </c>
      <c r="N1174" t="s">
        <v>75</v>
      </c>
    </row>
    <row r="1175" spans="1:20" x14ac:dyDescent="0.25">
      <c r="A1175" t="s">
        <v>1032</v>
      </c>
      <c r="B1175" s="4" t="s">
        <v>10</v>
      </c>
      <c r="C1175" s="4" t="s">
        <v>73</v>
      </c>
      <c r="D1175" s="4">
        <v>46139</v>
      </c>
      <c r="E1175" s="5">
        <v>0.59484953703703702</v>
      </c>
      <c r="F1175">
        <v>1</v>
      </c>
      <c r="G1175" t="s">
        <v>82</v>
      </c>
      <c r="H1175">
        <v>51.25</v>
      </c>
      <c r="M1175" t="s">
        <v>76</v>
      </c>
      <c r="N1175" t="s">
        <v>72</v>
      </c>
    </row>
    <row r="1176" spans="1:20" x14ac:dyDescent="0.25">
      <c r="A1176" t="s">
        <v>1085</v>
      </c>
      <c r="B1176" s="4" t="s">
        <v>10</v>
      </c>
      <c r="C1176" s="4" t="s">
        <v>70</v>
      </c>
      <c r="D1176" s="4">
        <v>46139</v>
      </c>
      <c r="E1176" s="5">
        <v>0.59543981481481478</v>
      </c>
      <c r="F1176">
        <v>1</v>
      </c>
      <c r="G1176" t="s">
        <v>82</v>
      </c>
      <c r="H1176">
        <v>1</v>
      </c>
      <c r="L1176" t="s">
        <v>1086</v>
      </c>
      <c r="M1176" t="s">
        <v>71</v>
      </c>
      <c r="N1176" t="s">
        <v>75</v>
      </c>
      <c r="O1176">
        <v>1</v>
      </c>
      <c r="R1176">
        <v>1</v>
      </c>
      <c r="S1176">
        <v>1</v>
      </c>
      <c r="T1176">
        <v>22.583333333333332</v>
      </c>
    </row>
    <row r="1177" spans="1:20" x14ac:dyDescent="0.25">
      <c r="A1177" t="s">
        <v>1086</v>
      </c>
      <c r="B1177" s="4" t="s">
        <v>10</v>
      </c>
      <c r="C1177" s="4" t="s">
        <v>73</v>
      </c>
      <c r="D1177" s="4">
        <v>46139</v>
      </c>
      <c r="E1177" s="5">
        <v>0.59543981481481478</v>
      </c>
      <c r="F1177">
        <v>1</v>
      </c>
      <c r="G1177" t="s">
        <v>82</v>
      </c>
      <c r="H1177">
        <v>22.833333333333332</v>
      </c>
      <c r="M1177" t="s">
        <v>79</v>
      </c>
      <c r="N1177" t="s">
        <v>75</v>
      </c>
    </row>
    <row r="1178" spans="1:20" x14ac:dyDescent="0.25">
      <c r="A1178" t="s">
        <v>1086</v>
      </c>
      <c r="B1178" s="4" t="s">
        <v>10</v>
      </c>
      <c r="C1178" s="4" t="s">
        <v>73</v>
      </c>
      <c r="D1178" s="4">
        <v>46139</v>
      </c>
      <c r="E1178" s="5">
        <v>0.59545138888888893</v>
      </c>
      <c r="F1178">
        <v>1</v>
      </c>
      <c r="G1178" t="s">
        <v>82</v>
      </c>
      <c r="H1178">
        <v>22.75</v>
      </c>
      <c r="M1178" t="s">
        <v>79</v>
      </c>
      <c r="N1178" t="s">
        <v>75</v>
      </c>
    </row>
    <row r="1179" spans="1:20" x14ac:dyDescent="0.25">
      <c r="A1179" t="s">
        <v>1086</v>
      </c>
      <c r="B1179" s="4" t="s">
        <v>10</v>
      </c>
      <c r="C1179" s="4" t="s">
        <v>73</v>
      </c>
      <c r="D1179" s="4">
        <v>46139</v>
      </c>
      <c r="E1179" s="5">
        <v>0.59575231481481472</v>
      </c>
      <c r="F1179">
        <v>1</v>
      </c>
      <c r="G1179" t="s">
        <v>82</v>
      </c>
      <c r="H1179">
        <v>22.583333333333332</v>
      </c>
      <c r="M1179" t="s">
        <v>76</v>
      </c>
      <c r="N1179" t="s">
        <v>75</v>
      </c>
    </row>
    <row r="1180" spans="1:20" x14ac:dyDescent="0.25">
      <c r="A1180" t="s">
        <v>1087</v>
      </c>
      <c r="B1180" s="4" t="s">
        <v>10</v>
      </c>
      <c r="C1180" s="4" t="s">
        <v>70</v>
      </c>
      <c r="D1180" s="4">
        <v>46139</v>
      </c>
      <c r="E1180" s="5">
        <v>0.59633101851851855</v>
      </c>
      <c r="F1180">
        <v>1</v>
      </c>
      <c r="G1180" t="s">
        <v>82</v>
      </c>
      <c r="H1180">
        <v>18</v>
      </c>
      <c r="L1180" t="s">
        <v>1088</v>
      </c>
      <c r="M1180" t="s">
        <v>71</v>
      </c>
      <c r="N1180" t="s">
        <v>75</v>
      </c>
      <c r="O1180">
        <v>1</v>
      </c>
      <c r="S1180">
        <v>1</v>
      </c>
      <c r="T1180">
        <v>286.5</v>
      </c>
    </row>
    <row r="1181" spans="1:20" x14ac:dyDescent="0.25">
      <c r="A1181" t="s">
        <v>1088</v>
      </c>
      <c r="B1181" s="4" t="s">
        <v>10</v>
      </c>
      <c r="C1181" s="4" t="s">
        <v>73</v>
      </c>
      <c r="D1181" s="4">
        <v>46139</v>
      </c>
      <c r="E1181" s="5">
        <v>0.59633101851851855</v>
      </c>
      <c r="F1181">
        <v>1</v>
      </c>
      <c r="G1181" t="s">
        <v>82</v>
      </c>
      <c r="H1181">
        <v>286.58333333333331</v>
      </c>
      <c r="M1181" t="s">
        <v>79</v>
      </c>
      <c r="N1181" t="s">
        <v>75</v>
      </c>
    </row>
    <row r="1182" spans="1:20" x14ac:dyDescent="0.25">
      <c r="A1182" t="s">
        <v>1088</v>
      </c>
      <c r="B1182" s="4" t="s">
        <v>10</v>
      </c>
      <c r="C1182" s="4" t="s">
        <v>73</v>
      </c>
      <c r="D1182" s="4">
        <v>46139</v>
      </c>
      <c r="E1182" s="5">
        <v>0.59633101851851855</v>
      </c>
      <c r="F1182">
        <v>1</v>
      </c>
      <c r="G1182" t="s">
        <v>82</v>
      </c>
      <c r="H1182">
        <v>286.5</v>
      </c>
      <c r="M1182" t="s">
        <v>79</v>
      </c>
      <c r="N1182" t="s">
        <v>75</v>
      </c>
    </row>
    <row r="1183" spans="1:20" x14ac:dyDescent="0.25">
      <c r="A1183" t="s">
        <v>1088</v>
      </c>
      <c r="B1183" s="4" t="s">
        <v>10</v>
      </c>
      <c r="C1183" s="4" t="s">
        <v>73</v>
      </c>
      <c r="D1183" s="4">
        <v>46139</v>
      </c>
      <c r="E1183" s="5">
        <v>0.59650462962962958</v>
      </c>
      <c r="F1183">
        <v>1</v>
      </c>
      <c r="G1183" t="s">
        <v>82</v>
      </c>
      <c r="H1183">
        <v>286.5</v>
      </c>
      <c r="M1183" t="s">
        <v>76</v>
      </c>
      <c r="N1183" t="s">
        <v>75</v>
      </c>
    </row>
    <row r="1184" spans="1:20" x14ac:dyDescent="0.25">
      <c r="A1184" t="s">
        <v>1091</v>
      </c>
      <c r="B1184" s="4" t="s">
        <v>10</v>
      </c>
      <c r="C1184" s="4" t="s">
        <v>70</v>
      </c>
      <c r="D1184" s="4">
        <v>46139</v>
      </c>
      <c r="E1184" s="5">
        <v>0.59701388888888884</v>
      </c>
      <c r="F1184">
        <v>1</v>
      </c>
      <c r="G1184" t="s">
        <v>82</v>
      </c>
      <c r="H1184">
        <v>9</v>
      </c>
      <c r="L1184" t="s">
        <v>1092</v>
      </c>
      <c r="M1184" t="s">
        <v>71</v>
      </c>
      <c r="N1184" t="s">
        <v>77</v>
      </c>
      <c r="O1184">
        <v>1</v>
      </c>
      <c r="S1184">
        <v>1</v>
      </c>
      <c r="T1184">
        <v>92.083333333333329</v>
      </c>
    </row>
    <row r="1185" spans="1:21" x14ac:dyDescent="0.25">
      <c r="A1185" t="s">
        <v>1092</v>
      </c>
      <c r="B1185" s="4" t="s">
        <v>10</v>
      </c>
      <c r="C1185" s="4" t="s">
        <v>73</v>
      </c>
      <c r="D1185" s="4">
        <v>46139</v>
      </c>
      <c r="E1185" s="5">
        <v>0.59701388888888884</v>
      </c>
      <c r="F1185">
        <v>1</v>
      </c>
      <c r="G1185" t="s">
        <v>82</v>
      </c>
      <c r="H1185">
        <v>92.166666666666671</v>
      </c>
      <c r="M1185" t="s">
        <v>79</v>
      </c>
      <c r="N1185" t="s">
        <v>77</v>
      </c>
    </row>
    <row r="1186" spans="1:21" x14ac:dyDescent="0.25">
      <c r="A1186" t="s">
        <v>1092</v>
      </c>
      <c r="B1186" s="4" t="s">
        <v>10</v>
      </c>
      <c r="C1186" s="4" t="s">
        <v>73</v>
      </c>
      <c r="D1186" s="4">
        <v>46139</v>
      </c>
      <c r="E1186" s="5">
        <v>0.59701388888888884</v>
      </c>
      <c r="F1186">
        <v>1</v>
      </c>
      <c r="G1186" t="s">
        <v>82</v>
      </c>
      <c r="H1186">
        <v>92.083333333333329</v>
      </c>
      <c r="M1186" t="s">
        <v>79</v>
      </c>
      <c r="N1186" t="s">
        <v>77</v>
      </c>
    </row>
    <row r="1187" spans="1:21" x14ac:dyDescent="0.25">
      <c r="A1187" t="s">
        <v>1092</v>
      </c>
      <c r="B1187" s="4" t="s">
        <v>10</v>
      </c>
      <c r="C1187" s="4" t="s">
        <v>73</v>
      </c>
      <c r="D1187" s="4">
        <v>46139</v>
      </c>
      <c r="E1187" s="5">
        <v>0.59716435185185179</v>
      </c>
      <c r="F1187">
        <v>1</v>
      </c>
      <c r="G1187" t="s">
        <v>82</v>
      </c>
      <c r="H1187">
        <v>92.083333333333329</v>
      </c>
      <c r="M1187" t="s">
        <v>76</v>
      </c>
      <c r="N1187" t="s">
        <v>77</v>
      </c>
    </row>
    <row r="1188" spans="1:21" x14ac:dyDescent="0.25">
      <c r="A1188" t="s">
        <v>1093</v>
      </c>
      <c r="B1188" s="4" t="s">
        <v>10</v>
      </c>
      <c r="C1188" s="4" t="s">
        <v>70</v>
      </c>
      <c r="D1188" s="4">
        <v>46139</v>
      </c>
      <c r="E1188" s="5">
        <v>0.5977662037037037</v>
      </c>
      <c r="F1188">
        <v>1</v>
      </c>
      <c r="G1188" t="s">
        <v>82</v>
      </c>
      <c r="H1188">
        <v>1</v>
      </c>
      <c r="L1188" t="s">
        <v>1094</v>
      </c>
      <c r="M1188" t="s">
        <v>71</v>
      </c>
      <c r="N1188" t="s">
        <v>78</v>
      </c>
      <c r="O1188">
        <v>1</v>
      </c>
      <c r="S1188">
        <v>1</v>
      </c>
      <c r="T1188">
        <v>226</v>
      </c>
    </row>
    <row r="1189" spans="1:21" x14ac:dyDescent="0.25">
      <c r="A1189" t="s">
        <v>1094</v>
      </c>
      <c r="B1189" s="4" t="s">
        <v>10</v>
      </c>
      <c r="C1189" s="4" t="s">
        <v>73</v>
      </c>
      <c r="D1189" s="4">
        <v>46139</v>
      </c>
      <c r="E1189" s="5">
        <v>0.5977662037037037</v>
      </c>
      <c r="F1189">
        <v>1</v>
      </c>
      <c r="G1189" t="s">
        <v>82</v>
      </c>
      <c r="H1189">
        <v>226.08333333333331</v>
      </c>
      <c r="M1189" t="s">
        <v>79</v>
      </c>
      <c r="N1189" t="s">
        <v>78</v>
      </c>
    </row>
    <row r="1190" spans="1:21" x14ac:dyDescent="0.25">
      <c r="A1190" t="s">
        <v>1094</v>
      </c>
      <c r="B1190" s="4" t="s">
        <v>10</v>
      </c>
      <c r="C1190" s="4" t="s">
        <v>73</v>
      </c>
      <c r="D1190" s="4">
        <v>46139</v>
      </c>
      <c r="E1190" s="5">
        <v>0.5977662037037037</v>
      </c>
      <c r="F1190">
        <v>1</v>
      </c>
      <c r="G1190" t="s">
        <v>82</v>
      </c>
      <c r="H1190">
        <v>226</v>
      </c>
      <c r="M1190" t="s">
        <v>79</v>
      </c>
      <c r="N1190" t="s">
        <v>78</v>
      </c>
    </row>
    <row r="1191" spans="1:21" x14ac:dyDescent="0.25">
      <c r="A1191" t="s">
        <v>1094</v>
      </c>
      <c r="B1191" s="4" t="s">
        <v>10</v>
      </c>
      <c r="C1191" s="4" t="s">
        <v>73</v>
      </c>
      <c r="D1191" s="4">
        <v>46139</v>
      </c>
      <c r="E1191" s="5">
        <v>0.59785879629629635</v>
      </c>
      <c r="F1191">
        <v>1</v>
      </c>
      <c r="G1191" t="s">
        <v>82</v>
      </c>
      <c r="H1191">
        <v>226</v>
      </c>
      <c r="M1191" t="s">
        <v>76</v>
      </c>
      <c r="N1191" t="s">
        <v>78</v>
      </c>
    </row>
    <row r="1192" spans="1:21" x14ac:dyDescent="0.25">
      <c r="A1192" t="s">
        <v>1097</v>
      </c>
      <c r="B1192" s="4" t="s">
        <v>10</v>
      </c>
      <c r="C1192" s="4" t="s">
        <v>70</v>
      </c>
      <c r="D1192" s="4">
        <v>46139</v>
      </c>
      <c r="E1192" s="5">
        <v>0.59857638888888887</v>
      </c>
      <c r="F1192">
        <v>1</v>
      </c>
      <c r="G1192" t="s">
        <v>82</v>
      </c>
      <c r="H1192">
        <v>3</v>
      </c>
      <c r="L1192" t="s">
        <v>1098</v>
      </c>
      <c r="M1192" t="s">
        <v>71</v>
      </c>
      <c r="N1192" t="s">
        <v>75</v>
      </c>
      <c r="O1192">
        <v>1</v>
      </c>
      <c r="S1192">
        <v>1</v>
      </c>
      <c r="T1192">
        <v>52.166666666666671</v>
      </c>
    </row>
    <row r="1193" spans="1:21" x14ac:dyDescent="0.25">
      <c r="A1193" t="s">
        <v>1098</v>
      </c>
      <c r="B1193" s="4" t="s">
        <v>10</v>
      </c>
      <c r="C1193" s="4" t="s">
        <v>73</v>
      </c>
      <c r="D1193" s="4">
        <v>46139</v>
      </c>
      <c r="E1193" s="5">
        <v>0.59857638888888887</v>
      </c>
      <c r="F1193">
        <v>1</v>
      </c>
      <c r="G1193" t="s">
        <v>82</v>
      </c>
      <c r="H1193">
        <v>52.416666666666664</v>
      </c>
      <c r="M1193" t="s">
        <v>79</v>
      </c>
      <c r="N1193" t="s">
        <v>75</v>
      </c>
    </row>
    <row r="1194" spans="1:21" x14ac:dyDescent="0.25">
      <c r="A1194" t="s">
        <v>1098</v>
      </c>
      <c r="B1194" s="4" t="s">
        <v>10</v>
      </c>
      <c r="C1194" s="4" t="s">
        <v>73</v>
      </c>
      <c r="D1194" s="4">
        <v>46139</v>
      </c>
      <c r="E1194" s="5">
        <v>0.59857638888888887</v>
      </c>
      <c r="F1194">
        <v>1</v>
      </c>
      <c r="G1194" t="s">
        <v>82</v>
      </c>
      <c r="H1194">
        <v>52.333333333333329</v>
      </c>
      <c r="M1194" t="s">
        <v>79</v>
      </c>
      <c r="N1194" t="s">
        <v>75</v>
      </c>
    </row>
    <row r="1195" spans="1:21" x14ac:dyDescent="0.25">
      <c r="A1195" t="s">
        <v>1098</v>
      </c>
      <c r="B1195" s="4" t="s">
        <v>10</v>
      </c>
      <c r="C1195" s="4" t="s">
        <v>73</v>
      </c>
      <c r="D1195" s="4">
        <v>46139</v>
      </c>
      <c r="E1195" s="5">
        <v>0.59895833333333337</v>
      </c>
      <c r="F1195">
        <v>1</v>
      </c>
      <c r="G1195" t="s">
        <v>82</v>
      </c>
      <c r="H1195">
        <v>52.166666666666671</v>
      </c>
      <c r="M1195" t="s">
        <v>76</v>
      </c>
      <c r="N1195" t="s">
        <v>75</v>
      </c>
    </row>
    <row r="1196" spans="1:21" x14ac:dyDescent="0.25">
      <c r="A1196" t="s">
        <v>1099</v>
      </c>
      <c r="B1196" s="4" t="s">
        <v>10</v>
      </c>
      <c r="C1196" s="4" t="s">
        <v>70</v>
      </c>
      <c r="D1196" s="4">
        <v>46139</v>
      </c>
      <c r="E1196" s="5">
        <v>0.59986111111111107</v>
      </c>
      <c r="F1196">
        <v>1</v>
      </c>
      <c r="G1196" t="s">
        <v>82</v>
      </c>
      <c r="H1196">
        <v>1</v>
      </c>
      <c r="L1196" t="s">
        <v>1100</v>
      </c>
      <c r="M1196" t="s">
        <v>71</v>
      </c>
      <c r="N1196" t="s">
        <v>75</v>
      </c>
      <c r="O1196">
        <v>1</v>
      </c>
      <c r="R1196">
        <v>1</v>
      </c>
      <c r="S1196">
        <v>1</v>
      </c>
      <c r="T1196">
        <v>13.25</v>
      </c>
    </row>
    <row r="1197" spans="1:21" x14ac:dyDescent="0.25">
      <c r="A1197" t="s">
        <v>1100</v>
      </c>
      <c r="B1197" s="4" t="s">
        <v>10</v>
      </c>
      <c r="C1197" s="4" t="s">
        <v>73</v>
      </c>
      <c r="D1197" s="4">
        <v>46139</v>
      </c>
      <c r="E1197" s="5">
        <v>0.59986111111111107</v>
      </c>
      <c r="F1197">
        <v>1</v>
      </c>
      <c r="G1197" t="s">
        <v>82</v>
      </c>
      <c r="H1197">
        <v>13.25</v>
      </c>
      <c r="M1197" t="s">
        <v>79</v>
      </c>
      <c r="N1197" t="s">
        <v>75</v>
      </c>
    </row>
    <row r="1198" spans="1:21" x14ac:dyDescent="0.25">
      <c r="A1198" t="s">
        <v>1100</v>
      </c>
      <c r="B1198" s="4" t="s">
        <v>10</v>
      </c>
      <c r="C1198" s="4" t="s">
        <v>73</v>
      </c>
      <c r="D1198" s="4">
        <v>46139</v>
      </c>
      <c r="E1198" s="5">
        <v>0.59986111111111107</v>
      </c>
      <c r="F1198">
        <v>1</v>
      </c>
      <c r="G1198" t="s">
        <v>82</v>
      </c>
      <c r="H1198">
        <v>13.166666666666666</v>
      </c>
      <c r="M1198" t="s">
        <v>79</v>
      </c>
      <c r="N1198" t="s">
        <v>75</v>
      </c>
    </row>
    <row r="1199" spans="1:21" x14ac:dyDescent="0.25">
      <c r="A1199" t="s">
        <v>1100</v>
      </c>
      <c r="B1199" s="4" t="s">
        <v>10</v>
      </c>
      <c r="C1199" s="4" t="s">
        <v>73</v>
      </c>
      <c r="D1199" s="4">
        <v>46139</v>
      </c>
      <c r="E1199" s="5">
        <v>0.6002777777777778</v>
      </c>
      <c r="F1199">
        <v>1</v>
      </c>
      <c r="G1199" t="s">
        <v>82</v>
      </c>
      <c r="H1199">
        <v>13.25</v>
      </c>
      <c r="M1199" t="s">
        <v>76</v>
      </c>
      <c r="N1199" t="s">
        <v>75</v>
      </c>
    </row>
    <row r="1200" spans="1:21" x14ac:dyDescent="0.25">
      <c r="A1200" t="s">
        <v>1103</v>
      </c>
      <c r="B1200" s="4" t="s">
        <v>10</v>
      </c>
      <c r="C1200" s="4" t="s">
        <v>70</v>
      </c>
      <c r="D1200" s="4">
        <v>46139</v>
      </c>
      <c r="E1200" s="5">
        <v>0.60105324074074074</v>
      </c>
      <c r="F1200">
        <v>1</v>
      </c>
      <c r="G1200" t="s">
        <v>82</v>
      </c>
      <c r="H1200">
        <v>22.5</v>
      </c>
      <c r="L1200" t="s">
        <v>1104</v>
      </c>
      <c r="M1200" t="s">
        <v>71</v>
      </c>
      <c r="N1200" t="s">
        <v>72</v>
      </c>
      <c r="O1200">
        <v>1</v>
      </c>
      <c r="Q1200">
        <v>1</v>
      </c>
      <c r="S1200">
        <v>1</v>
      </c>
      <c r="U1200">
        <v>0.5</v>
      </c>
    </row>
    <row r="1201" spans="1:20" x14ac:dyDescent="0.25">
      <c r="A1201" t="s">
        <v>1104</v>
      </c>
      <c r="B1201" s="4" t="s">
        <v>10</v>
      </c>
      <c r="C1201" s="4" t="s">
        <v>73</v>
      </c>
      <c r="D1201" s="4">
        <v>46139</v>
      </c>
      <c r="E1201" s="5">
        <v>0.60105324074074074</v>
      </c>
      <c r="F1201">
        <v>1</v>
      </c>
      <c r="G1201" t="s">
        <v>82</v>
      </c>
      <c r="H1201">
        <v>0.5</v>
      </c>
      <c r="L1201" t="s">
        <v>1105</v>
      </c>
      <c r="M1201" t="s">
        <v>79</v>
      </c>
      <c r="N1201" t="s">
        <v>72</v>
      </c>
    </row>
    <row r="1202" spans="1:20" x14ac:dyDescent="0.25">
      <c r="A1202" t="s">
        <v>1104</v>
      </c>
      <c r="B1202" s="4" t="s">
        <v>10</v>
      </c>
      <c r="C1202" s="4" t="s">
        <v>73</v>
      </c>
      <c r="D1202" s="4">
        <v>46139</v>
      </c>
      <c r="E1202" s="5">
        <v>0.60105324074074074</v>
      </c>
      <c r="F1202">
        <v>1</v>
      </c>
      <c r="G1202" t="s">
        <v>82</v>
      </c>
      <c r="H1202">
        <v>0</v>
      </c>
      <c r="L1202" t="s">
        <v>1105</v>
      </c>
      <c r="M1202" t="s">
        <v>79</v>
      </c>
      <c r="N1202" t="s">
        <v>72</v>
      </c>
    </row>
    <row r="1203" spans="1:20" x14ac:dyDescent="0.25">
      <c r="A1203" t="s">
        <v>1106</v>
      </c>
      <c r="B1203" s="4" t="s">
        <v>10</v>
      </c>
      <c r="C1203" s="4" t="s">
        <v>70</v>
      </c>
      <c r="D1203" s="4">
        <v>46139</v>
      </c>
      <c r="E1203" s="5">
        <v>0.60194444444444439</v>
      </c>
      <c r="F1203">
        <v>1</v>
      </c>
      <c r="G1203" t="s">
        <v>82</v>
      </c>
      <c r="H1203">
        <v>50</v>
      </c>
      <c r="L1203" t="s">
        <v>1107</v>
      </c>
      <c r="M1203" t="s">
        <v>71</v>
      </c>
      <c r="N1203" t="s">
        <v>72</v>
      </c>
      <c r="O1203">
        <v>1</v>
      </c>
    </row>
    <row r="1204" spans="1:20" x14ac:dyDescent="0.25">
      <c r="A1204" t="s">
        <v>1107</v>
      </c>
      <c r="B1204" s="4" t="s">
        <v>10</v>
      </c>
      <c r="C1204" s="4" t="s">
        <v>73</v>
      </c>
      <c r="D1204" s="4">
        <v>46139</v>
      </c>
      <c r="E1204" s="5">
        <v>0.60194444444444439</v>
      </c>
      <c r="F1204">
        <v>1</v>
      </c>
      <c r="G1204" t="s">
        <v>82</v>
      </c>
      <c r="H1204">
        <v>133.75</v>
      </c>
      <c r="M1204" t="s">
        <v>79</v>
      </c>
      <c r="N1204" t="s">
        <v>72</v>
      </c>
    </row>
    <row r="1205" spans="1:20" x14ac:dyDescent="0.25">
      <c r="A1205" t="s">
        <v>1107</v>
      </c>
      <c r="B1205" s="4" t="s">
        <v>10</v>
      </c>
      <c r="C1205" s="4" t="s">
        <v>73</v>
      </c>
      <c r="D1205" s="4">
        <v>46139</v>
      </c>
      <c r="E1205" s="5">
        <v>0.60194444444444439</v>
      </c>
      <c r="F1205">
        <v>1</v>
      </c>
      <c r="G1205" t="s">
        <v>82</v>
      </c>
      <c r="H1205">
        <v>133.66666666666666</v>
      </c>
      <c r="M1205" t="s">
        <v>79</v>
      </c>
      <c r="N1205" t="s">
        <v>72</v>
      </c>
    </row>
    <row r="1206" spans="1:20" x14ac:dyDescent="0.25">
      <c r="A1206" t="s">
        <v>1108</v>
      </c>
      <c r="B1206" s="4" t="s">
        <v>10</v>
      </c>
      <c r="C1206" s="4" t="s">
        <v>70</v>
      </c>
      <c r="D1206" s="4">
        <v>46139</v>
      </c>
      <c r="E1206" s="5">
        <v>0.60233796296296294</v>
      </c>
      <c r="F1206">
        <v>1</v>
      </c>
      <c r="G1206" t="s">
        <v>82</v>
      </c>
      <c r="H1206">
        <v>72</v>
      </c>
      <c r="L1206" t="s">
        <v>1107</v>
      </c>
      <c r="M1206" t="s">
        <v>71</v>
      </c>
      <c r="N1206" t="s">
        <v>72</v>
      </c>
      <c r="P1206">
        <v>1</v>
      </c>
      <c r="S1206">
        <v>1</v>
      </c>
      <c r="T1206">
        <v>59.75</v>
      </c>
    </row>
    <row r="1207" spans="1:20" x14ac:dyDescent="0.25">
      <c r="A1207" t="s">
        <v>1107</v>
      </c>
      <c r="B1207" s="4" t="s">
        <v>10</v>
      </c>
      <c r="C1207" s="4" t="s">
        <v>73</v>
      </c>
      <c r="D1207" s="4">
        <v>46139</v>
      </c>
      <c r="E1207" s="5">
        <v>0.60233796296296294</v>
      </c>
      <c r="F1207">
        <v>1</v>
      </c>
      <c r="G1207" t="s">
        <v>82</v>
      </c>
      <c r="H1207">
        <v>61.666666666666657</v>
      </c>
      <c r="M1207" t="s">
        <v>79</v>
      </c>
      <c r="N1207" t="s">
        <v>72</v>
      </c>
    </row>
    <row r="1208" spans="1:20" x14ac:dyDescent="0.25">
      <c r="A1208" t="s">
        <v>1107</v>
      </c>
      <c r="B1208" s="4" t="s">
        <v>10</v>
      </c>
      <c r="C1208" s="4" t="s">
        <v>73</v>
      </c>
      <c r="D1208" s="4">
        <v>46139</v>
      </c>
      <c r="E1208" s="5">
        <v>0.60233796296296294</v>
      </c>
      <c r="F1208">
        <v>1</v>
      </c>
      <c r="G1208" t="s">
        <v>82</v>
      </c>
      <c r="H1208">
        <v>61.583333333333329</v>
      </c>
      <c r="M1208" t="s">
        <v>79</v>
      </c>
      <c r="N1208" t="s">
        <v>72</v>
      </c>
    </row>
    <row r="1209" spans="1:20" x14ac:dyDescent="0.25">
      <c r="A1209" t="s">
        <v>1107</v>
      </c>
      <c r="B1209" s="4" t="s">
        <v>10</v>
      </c>
      <c r="C1209" s="4" t="s">
        <v>73</v>
      </c>
      <c r="D1209" s="4">
        <v>46139</v>
      </c>
      <c r="E1209" s="5">
        <v>0.60263888888888884</v>
      </c>
      <c r="F1209">
        <v>1</v>
      </c>
      <c r="G1209" t="s">
        <v>82</v>
      </c>
      <c r="H1209">
        <v>59.75</v>
      </c>
      <c r="M1209" t="s">
        <v>76</v>
      </c>
      <c r="N1209" t="s">
        <v>72</v>
      </c>
    </row>
    <row r="1210" spans="1:20" x14ac:dyDescent="0.25">
      <c r="A1210" t="s">
        <v>1112</v>
      </c>
      <c r="B1210" s="4" t="s">
        <v>10</v>
      </c>
      <c r="C1210" s="4" t="s">
        <v>70</v>
      </c>
      <c r="D1210" s="4">
        <v>46139</v>
      </c>
      <c r="E1210" s="5">
        <v>0.60337962962962965</v>
      </c>
      <c r="F1210">
        <v>1</v>
      </c>
      <c r="G1210" t="s">
        <v>82</v>
      </c>
      <c r="H1210">
        <v>8</v>
      </c>
      <c r="L1210" t="s">
        <v>1113</v>
      </c>
      <c r="M1210" t="s">
        <v>71</v>
      </c>
      <c r="N1210" t="s">
        <v>75</v>
      </c>
      <c r="O1210">
        <v>1</v>
      </c>
      <c r="S1210">
        <v>1</v>
      </c>
      <c r="T1210">
        <v>167.16666666666666</v>
      </c>
    </row>
    <row r="1211" spans="1:20" x14ac:dyDescent="0.25">
      <c r="A1211" t="s">
        <v>1113</v>
      </c>
      <c r="B1211" s="4" t="s">
        <v>10</v>
      </c>
      <c r="C1211" s="4" t="s">
        <v>73</v>
      </c>
      <c r="D1211" s="4">
        <v>46139</v>
      </c>
      <c r="E1211" s="5">
        <v>0.60337962962962965</v>
      </c>
      <c r="F1211">
        <v>1</v>
      </c>
      <c r="G1211" t="s">
        <v>82</v>
      </c>
      <c r="H1211">
        <v>167.25</v>
      </c>
      <c r="M1211" t="s">
        <v>79</v>
      </c>
      <c r="N1211" t="s">
        <v>75</v>
      </c>
    </row>
    <row r="1212" spans="1:20" x14ac:dyDescent="0.25">
      <c r="A1212" t="s">
        <v>1113</v>
      </c>
      <c r="B1212" s="4" t="s">
        <v>10</v>
      </c>
      <c r="C1212" s="4" t="s">
        <v>73</v>
      </c>
      <c r="D1212" s="4">
        <v>46139</v>
      </c>
      <c r="E1212" s="5">
        <v>0.60337962962962965</v>
      </c>
      <c r="F1212">
        <v>1</v>
      </c>
      <c r="G1212" t="s">
        <v>82</v>
      </c>
      <c r="H1212">
        <v>167.16666666666666</v>
      </c>
      <c r="M1212" t="s">
        <v>79</v>
      </c>
      <c r="N1212" t="s">
        <v>75</v>
      </c>
    </row>
    <row r="1213" spans="1:20" x14ac:dyDescent="0.25">
      <c r="A1213" t="s">
        <v>1113</v>
      </c>
      <c r="B1213" s="4" t="s">
        <v>10</v>
      </c>
      <c r="C1213" s="4" t="s">
        <v>73</v>
      </c>
      <c r="D1213" s="4">
        <v>46139</v>
      </c>
      <c r="E1213" s="5">
        <v>0.60354166666666664</v>
      </c>
      <c r="F1213">
        <v>1</v>
      </c>
      <c r="G1213" t="s">
        <v>82</v>
      </c>
      <c r="H1213">
        <v>167.16666666666666</v>
      </c>
      <c r="M1213" t="s">
        <v>76</v>
      </c>
      <c r="N1213" t="s">
        <v>75</v>
      </c>
    </row>
    <row r="1214" spans="1:20" x14ac:dyDescent="0.25">
      <c r="A1214" t="s">
        <v>1117</v>
      </c>
      <c r="B1214" s="4" t="s">
        <v>10</v>
      </c>
      <c r="C1214" s="4" t="s">
        <v>70</v>
      </c>
      <c r="D1214" s="4">
        <v>46139</v>
      </c>
      <c r="E1214" s="5">
        <v>0.60400462962962964</v>
      </c>
      <c r="F1214">
        <v>1</v>
      </c>
      <c r="G1214" t="s">
        <v>82</v>
      </c>
      <c r="H1214">
        <v>1</v>
      </c>
      <c r="L1214" t="s">
        <v>1118</v>
      </c>
      <c r="M1214" t="s">
        <v>71</v>
      </c>
      <c r="N1214" t="s">
        <v>75</v>
      </c>
      <c r="O1214">
        <v>1</v>
      </c>
      <c r="S1214">
        <v>1</v>
      </c>
      <c r="T1214">
        <v>35.666666666666664</v>
      </c>
    </row>
    <row r="1215" spans="1:20" x14ac:dyDescent="0.25">
      <c r="A1215" t="s">
        <v>1118</v>
      </c>
      <c r="B1215" s="4" t="s">
        <v>10</v>
      </c>
      <c r="C1215" s="4" t="s">
        <v>73</v>
      </c>
      <c r="D1215" s="4">
        <v>46139</v>
      </c>
      <c r="E1215" s="5">
        <v>0.60400462962962964</v>
      </c>
      <c r="F1215">
        <v>1</v>
      </c>
      <c r="G1215" t="s">
        <v>82</v>
      </c>
      <c r="H1215">
        <v>39</v>
      </c>
      <c r="M1215" t="s">
        <v>79</v>
      </c>
      <c r="N1215" t="s">
        <v>75</v>
      </c>
    </row>
    <row r="1216" spans="1:20" x14ac:dyDescent="0.25">
      <c r="A1216" t="s">
        <v>1118</v>
      </c>
      <c r="B1216" s="4" t="s">
        <v>10</v>
      </c>
      <c r="C1216" s="4" t="s">
        <v>73</v>
      </c>
      <c r="D1216" s="4">
        <v>46139</v>
      </c>
      <c r="E1216" s="5">
        <v>0.60524305555555558</v>
      </c>
      <c r="F1216">
        <v>1</v>
      </c>
      <c r="G1216" t="s">
        <v>82</v>
      </c>
      <c r="H1216">
        <v>35.666666666666664</v>
      </c>
      <c r="M1216" t="s">
        <v>76</v>
      </c>
      <c r="N1216" t="s">
        <v>75</v>
      </c>
    </row>
    <row r="1217" spans="1:21" x14ac:dyDescent="0.25">
      <c r="A1217" t="s">
        <v>1121</v>
      </c>
      <c r="B1217" s="4" t="s">
        <v>10</v>
      </c>
      <c r="C1217" s="4" t="s">
        <v>70</v>
      </c>
      <c r="D1217" s="4">
        <v>46139</v>
      </c>
      <c r="E1217" s="5">
        <v>0.60598379629629628</v>
      </c>
      <c r="F1217">
        <v>1</v>
      </c>
      <c r="G1217" t="s">
        <v>82</v>
      </c>
      <c r="H1217">
        <v>96.25</v>
      </c>
      <c r="L1217" t="s">
        <v>655</v>
      </c>
      <c r="M1217" t="s">
        <v>71</v>
      </c>
      <c r="N1217" t="s">
        <v>72</v>
      </c>
      <c r="O1217">
        <v>1</v>
      </c>
      <c r="Q1217">
        <v>1</v>
      </c>
      <c r="S1217">
        <v>1</v>
      </c>
      <c r="U1217">
        <v>1</v>
      </c>
    </row>
    <row r="1218" spans="1:21" x14ac:dyDescent="0.25">
      <c r="A1218" t="s">
        <v>655</v>
      </c>
      <c r="B1218" s="4" t="s">
        <v>10</v>
      </c>
      <c r="C1218" s="4" t="s">
        <v>73</v>
      </c>
      <c r="D1218" s="4">
        <v>46139</v>
      </c>
      <c r="E1218" s="5">
        <v>0.60598379629629628</v>
      </c>
      <c r="F1218">
        <v>1</v>
      </c>
      <c r="G1218" t="s">
        <v>82</v>
      </c>
      <c r="H1218">
        <v>3.25</v>
      </c>
      <c r="M1218" t="s">
        <v>79</v>
      </c>
      <c r="N1218" t="s">
        <v>72</v>
      </c>
    </row>
    <row r="1219" spans="1:21" x14ac:dyDescent="0.25">
      <c r="A1219" t="s">
        <v>655</v>
      </c>
      <c r="B1219" s="4" t="s">
        <v>10</v>
      </c>
      <c r="C1219" s="4" t="s">
        <v>73</v>
      </c>
      <c r="D1219" s="4">
        <v>46139</v>
      </c>
      <c r="E1219" s="5">
        <v>0.60598379629629628</v>
      </c>
      <c r="F1219">
        <v>1</v>
      </c>
      <c r="G1219" t="s">
        <v>82</v>
      </c>
      <c r="H1219">
        <v>1</v>
      </c>
      <c r="M1219" t="s">
        <v>79</v>
      </c>
      <c r="N1219" t="s">
        <v>72</v>
      </c>
    </row>
    <row r="1220" spans="1:21" x14ac:dyDescent="0.25">
      <c r="A1220" t="s">
        <v>655</v>
      </c>
      <c r="B1220" s="4" t="s">
        <v>10</v>
      </c>
      <c r="C1220" s="4" t="s">
        <v>73</v>
      </c>
      <c r="D1220" s="4">
        <v>46139</v>
      </c>
      <c r="E1220" s="5">
        <v>0.60598379629629628</v>
      </c>
      <c r="F1220">
        <v>1</v>
      </c>
      <c r="G1220" t="s">
        <v>82</v>
      </c>
      <c r="H1220">
        <v>0</v>
      </c>
      <c r="M1220" t="s">
        <v>79</v>
      </c>
      <c r="N1220" t="s">
        <v>72</v>
      </c>
    </row>
    <row r="1221" spans="1:21" x14ac:dyDescent="0.25">
      <c r="A1221" t="s">
        <v>1122</v>
      </c>
      <c r="B1221" s="4" t="s">
        <v>10</v>
      </c>
      <c r="C1221" s="4" t="s">
        <v>70</v>
      </c>
      <c r="D1221" s="4">
        <v>46139</v>
      </c>
      <c r="E1221" s="5">
        <v>0.60663194444444446</v>
      </c>
      <c r="F1221">
        <v>1</v>
      </c>
      <c r="G1221" t="s">
        <v>82</v>
      </c>
      <c r="H1221">
        <v>8</v>
      </c>
      <c r="L1221" t="s">
        <v>1123</v>
      </c>
      <c r="M1221" t="s">
        <v>71</v>
      </c>
      <c r="N1221" t="s">
        <v>72</v>
      </c>
      <c r="O1221">
        <v>1</v>
      </c>
      <c r="R1221">
        <v>1</v>
      </c>
      <c r="S1221">
        <v>1</v>
      </c>
      <c r="T1221">
        <v>10</v>
      </c>
    </row>
    <row r="1222" spans="1:21" x14ac:dyDescent="0.25">
      <c r="A1222" t="s">
        <v>1123</v>
      </c>
      <c r="B1222" s="4" t="s">
        <v>10</v>
      </c>
      <c r="C1222" s="4" t="s">
        <v>73</v>
      </c>
      <c r="D1222" s="4">
        <v>46139</v>
      </c>
      <c r="E1222" s="5">
        <v>0.60663194444444446</v>
      </c>
      <c r="F1222">
        <v>1</v>
      </c>
      <c r="G1222" t="s">
        <v>82</v>
      </c>
      <c r="H1222">
        <v>10</v>
      </c>
      <c r="M1222" t="s">
        <v>79</v>
      </c>
      <c r="N1222" t="s">
        <v>72</v>
      </c>
    </row>
    <row r="1223" spans="1:21" x14ac:dyDescent="0.25">
      <c r="A1223" t="s">
        <v>1123</v>
      </c>
      <c r="B1223" s="4" t="s">
        <v>10</v>
      </c>
      <c r="C1223" s="4" t="s">
        <v>73</v>
      </c>
      <c r="D1223" s="4">
        <v>46139</v>
      </c>
      <c r="E1223" s="5">
        <v>0.60663194444444446</v>
      </c>
      <c r="F1223">
        <v>1</v>
      </c>
      <c r="G1223" t="s">
        <v>82</v>
      </c>
      <c r="H1223">
        <v>9.9166666666666661</v>
      </c>
      <c r="M1223" t="s">
        <v>79</v>
      </c>
      <c r="N1223" t="s">
        <v>72</v>
      </c>
    </row>
    <row r="1224" spans="1:21" x14ac:dyDescent="0.25">
      <c r="A1224" t="s">
        <v>1123</v>
      </c>
      <c r="B1224" s="4" t="s">
        <v>10</v>
      </c>
      <c r="C1224" s="4" t="s">
        <v>73</v>
      </c>
      <c r="D1224" s="4">
        <v>46139</v>
      </c>
      <c r="E1224" s="5">
        <v>0.6068634259259259</v>
      </c>
      <c r="F1224">
        <v>1</v>
      </c>
      <c r="G1224" t="s">
        <v>82</v>
      </c>
      <c r="H1224">
        <v>10</v>
      </c>
      <c r="M1224" t="s">
        <v>76</v>
      </c>
      <c r="N1224" t="s">
        <v>72</v>
      </c>
    </row>
    <row r="1225" spans="1:21" x14ac:dyDescent="0.25">
      <c r="A1225" t="s">
        <v>1126</v>
      </c>
      <c r="B1225" s="4" t="s">
        <v>10</v>
      </c>
      <c r="C1225" s="4" t="s">
        <v>70</v>
      </c>
      <c r="D1225" s="4">
        <v>46139</v>
      </c>
      <c r="E1225" s="5">
        <v>0.60774305555555552</v>
      </c>
      <c r="F1225">
        <v>1</v>
      </c>
      <c r="G1225" t="s">
        <v>82</v>
      </c>
      <c r="H1225">
        <v>67</v>
      </c>
      <c r="L1225" t="s">
        <v>1127</v>
      </c>
      <c r="M1225" t="s">
        <v>71</v>
      </c>
      <c r="N1225" t="s">
        <v>72</v>
      </c>
      <c r="O1225">
        <v>1</v>
      </c>
      <c r="S1225">
        <v>1</v>
      </c>
      <c r="T1225">
        <v>130.08333333333334</v>
      </c>
    </row>
    <row r="1226" spans="1:21" x14ac:dyDescent="0.25">
      <c r="A1226" t="s">
        <v>1127</v>
      </c>
      <c r="B1226" s="4" t="s">
        <v>10</v>
      </c>
      <c r="C1226" s="4" t="s">
        <v>73</v>
      </c>
      <c r="D1226" s="4">
        <v>46139</v>
      </c>
      <c r="E1226" s="5">
        <v>0.60774305555555552</v>
      </c>
      <c r="F1226">
        <v>1</v>
      </c>
      <c r="G1226" t="s">
        <v>82</v>
      </c>
      <c r="H1226">
        <v>130.16666666666666</v>
      </c>
      <c r="M1226" t="s">
        <v>79</v>
      </c>
      <c r="N1226" t="s">
        <v>72</v>
      </c>
    </row>
    <row r="1227" spans="1:21" x14ac:dyDescent="0.25">
      <c r="A1227" t="s">
        <v>1127</v>
      </c>
      <c r="B1227" s="4" t="s">
        <v>10</v>
      </c>
      <c r="C1227" s="4" t="s">
        <v>73</v>
      </c>
      <c r="D1227" s="4">
        <v>46139</v>
      </c>
      <c r="E1227" s="5">
        <v>0.60774305555555552</v>
      </c>
      <c r="F1227">
        <v>1</v>
      </c>
      <c r="G1227" t="s">
        <v>82</v>
      </c>
      <c r="H1227">
        <v>130.08333333333334</v>
      </c>
      <c r="M1227" t="s">
        <v>79</v>
      </c>
      <c r="N1227" t="s">
        <v>72</v>
      </c>
    </row>
    <row r="1228" spans="1:21" x14ac:dyDescent="0.25">
      <c r="A1228" t="s">
        <v>1127</v>
      </c>
      <c r="B1228" s="4" t="s">
        <v>10</v>
      </c>
      <c r="C1228" s="4" t="s">
        <v>73</v>
      </c>
      <c r="D1228" s="4">
        <v>46139</v>
      </c>
      <c r="E1228" s="5">
        <v>0.60785879629629636</v>
      </c>
      <c r="F1228">
        <v>1</v>
      </c>
      <c r="G1228" t="s">
        <v>82</v>
      </c>
      <c r="H1228">
        <v>130.08333333333334</v>
      </c>
      <c r="M1228" t="s">
        <v>76</v>
      </c>
      <c r="N1228" t="s">
        <v>72</v>
      </c>
    </row>
    <row r="1229" spans="1:21" x14ac:dyDescent="0.25">
      <c r="A1229" t="s">
        <v>1128</v>
      </c>
      <c r="B1229" s="4" t="s">
        <v>10</v>
      </c>
      <c r="C1229" s="4" t="s">
        <v>70</v>
      </c>
      <c r="D1229" s="4">
        <v>46139</v>
      </c>
      <c r="E1229" s="5">
        <v>0.60840277777777774</v>
      </c>
      <c r="F1229">
        <v>1</v>
      </c>
      <c r="G1229" t="s">
        <v>82</v>
      </c>
      <c r="H1229">
        <v>24</v>
      </c>
      <c r="L1229" t="s">
        <v>1129</v>
      </c>
      <c r="M1229" t="s">
        <v>71</v>
      </c>
      <c r="N1229" t="s">
        <v>75</v>
      </c>
      <c r="O1229">
        <v>1</v>
      </c>
    </row>
    <row r="1230" spans="1:21" x14ac:dyDescent="0.25">
      <c r="A1230" t="s">
        <v>1129</v>
      </c>
      <c r="B1230" s="4" t="s">
        <v>10</v>
      </c>
      <c r="C1230" s="4" t="s">
        <v>73</v>
      </c>
      <c r="D1230" s="4">
        <v>46139</v>
      </c>
      <c r="E1230" s="5">
        <v>0.60840277777777774</v>
      </c>
      <c r="F1230">
        <v>1</v>
      </c>
      <c r="G1230" t="s">
        <v>82</v>
      </c>
      <c r="H1230">
        <v>113.5</v>
      </c>
      <c r="M1230" t="s">
        <v>79</v>
      </c>
      <c r="N1230" t="s">
        <v>75</v>
      </c>
    </row>
    <row r="1231" spans="1:21" x14ac:dyDescent="0.25">
      <c r="A1231" t="s">
        <v>1129</v>
      </c>
      <c r="B1231" s="4" t="s">
        <v>10</v>
      </c>
      <c r="C1231" s="4" t="s">
        <v>73</v>
      </c>
      <c r="D1231" s="4">
        <v>46139</v>
      </c>
      <c r="E1231" s="5">
        <v>0.60840277777777774</v>
      </c>
      <c r="F1231">
        <v>1</v>
      </c>
      <c r="G1231" t="s">
        <v>82</v>
      </c>
      <c r="H1231">
        <v>113.41666666666667</v>
      </c>
      <c r="M1231" t="s">
        <v>79</v>
      </c>
      <c r="N1231" t="s">
        <v>75</v>
      </c>
    </row>
    <row r="1232" spans="1:21" x14ac:dyDescent="0.25">
      <c r="A1232" t="s">
        <v>1130</v>
      </c>
      <c r="B1232" s="4" t="s">
        <v>10</v>
      </c>
      <c r="C1232" s="4" t="s">
        <v>70</v>
      </c>
      <c r="D1232" s="4">
        <v>46139</v>
      </c>
      <c r="E1232" s="5">
        <v>0.60866898148148141</v>
      </c>
      <c r="F1232">
        <v>1</v>
      </c>
      <c r="G1232" t="s">
        <v>82</v>
      </c>
      <c r="H1232">
        <v>42</v>
      </c>
      <c r="L1232" t="s">
        <v>1129</v>
      </c>
      <c r="M1232" t="s">
        <v>71</v>
      </c>
      <c r="N1232" t="s">
        <v>75</v>
      </c>
      <c r="P1232">
        <v>1</v>
      </c>
      <c r="S1232">
        <v>1</v>
      </c>
      <c r="T1232">
        <v>70.5</v>
      </c>
    </row>
    <row r="1233" spans="1:20" x14ac:dyDescent="0.25">
      <c r="A1233" t="s">
        <v>1129</v>
      </c>
      <c r="B1233" s="4" t="s">
        <v>10</v>
      </c>
      <c r="C1233" s="4" t="s">
        <v>73</v>
      </c>
      <c r="D1233" s="4">
        <v>46139</v>
      </c>
      <c r="E1233" s="5">
        <v>0.60866898148148141</v>
      </c>
      <c r="F1233">
        <v>1</v>
      </c>
      <c r="G1233" t="s">
        <v>82</v>
      </c>
      <c r="H1233">
        <v>71.416666666666657</v>
      </c>
      <c r="M1233" t="s">
        <v>79</v>
      </c>
      <c r="N1233" t="s">
        <v>75</v>
      </c>
    </row>
    <row r="1234" spans="1:20" x14ac:dyDescent="0.25">
      <c r="A1234" t="s">
        <v>1129</v>
      </c>
      <c r="B1234" s="4" t="s">
        <v>10</v>
      </c>
      <c r="C1234" s="4" t="s">
        <v>73</v>
      </c>
      <c r="D1234" s="4">
        <v>46139</v>
      </c>
      <c r="E1234" s="5">
        <v>0.60866898148148141</v>
      </c>
      <c r="F1234">
        <v>1</v>
      </c>
      <c r="G1234" t="s">
        <v>82</v>
      </c>
      <c r="H1234">
        <v>71.333333333333329</v>
      </c>
      <c r="M1234" t="s">
        <v>79</v>
      </c>
      <c r="N1234" t="s">
        <v>75</v>
      </c>
    </row>
    <row r="1235" spans="1:20" x14ac:dyDescent="0.25">
      <c r="A1235" t="s">
        <v>1129</v>
      </c>
      <c r="B1235" s="4" t="s">
        <v>10</v>
      </c>
      <c r="C1235" s="4" t="s">
        <v>73</v>
      </c>
      <c r="D1235" s="4">
        <v>46139</v>
      </c>
      <c r="E1235" s="5">
        <v>0.60894675925925923</v>
      </c>
      <c r="F1235">
        <v>1</v>
      </c>
      <c r="G1235" t="s">
        <v>82</v>
      </c>
      <c r="H1235">
        <v>70.5</v>
      </c>
      <c r="M1235" t="s">
        <v>76</v>
      </c>
      <c r="N1235" t="s">
        <v>75</v>
      </c>
    </row>
    <row r="1236" spans="1:20" x14ac:dyDescent="0.25">
      <c r="A1236" t="s">
        <v>1133</v>
      </c>
      <c r="B1236" s="4" t="s">
        <v>10</v>
      </c>
      <c r="C1236" s="4" t="s">
        <v>70</v>
      </c>
      <c r="D1236" s="4">
        <v>46139</v>
      </c>
      <c r="E1236" s="5">
        <v>0.61001157407407403</v>
      </c>
      <c r="F1236">
        <v>1</v>
      </c>
      <c r="G1236" t="s">
        <v>82</v>
      </c>
      <c r="H1236">
        <v>69</v>
      </c>
      <c r="L1236" t="s">
        <v>1134</v>
      </c>
      <c r="M1236" t="s">
        <v>71</v>
      </c>
      <c r="N1236" t="s">
        <v>72</v>
      </c>
      <c r="O1236">
        <v>1</v>
      </c>
      <c r="R1236">
        <v>1</v>
      </c>
      <c r="S1236">
        <v>1</v>
      </c>
      <c r="T1236">
        <v>13.083333333333332</v>
      </c>
    </row>
    <row r="1237" spans="1:20" x14ac:dyDescent="0.25">
      <c r="A1237" t="s">
        <v>1134</v>
      </c>
      <c r="B1237" s="4" t="s">
        <v>10</v>
      </c>
      <c r="C1237" s="4" t="s">
        <v>73</v>
      </c>
      <c r="D1237" s="4">
        <v>46139</v>
      </c>
      <c r="E1237" s="5">
        <v>0.61001157407407403</v>
      </c>
      <c r="F1237">
        <v>1</v>
      </c>
      <c r="G1237" t="s">
        <v>82</v>
      </c>
      <c r="H1237">
        <v>13.166666666666666</v>
      </c>
      <c r="L1237" t="s">
        <v>1135</v>
      </c>
      <c r="M1237" t="s">
        <v>79</v>
      </c>
      <c r="N1237" t="s">
        <v>72</v>
      </c>
    </row>
    <row r="1238" spans="1:20" x14ac:dyDescent="0.25">
      <c r="A1238" t="s">
        <v>1134</v>
      </c>
      <c r="B1238" s="4" t="s">
        <v>10</v>
      </c>
      <c r="C1238" s="4" t="s">
        <v>73</v>
      </c>
      <c r="D1238" s="4">
        <v>46139</v>
      </c>
      <c r="E1238" s="5">
        <v>0.61001157407407403</v>
      </c>
      <c r="F1238">
        <v>1</v>
      </c>
      <c r="G1238" t="s">
        <v>82</v>
      </c>
      <c r="H1238">
        <v>13.083333333333332</v>
      </c>
      <c r="L1238" t="s">
        <v>1135</v>
      </c>
      <c r="M1238" t="s">
        <v>79</v>
      </c>
      <c r="N1238" t="s">
        <v>72</v>
      </c>
    </row>
    <row r="1239" spans="1:20" x14ac:dyDescent="0.25">
      <c r="A1239" t="s">
        <v>1134</v>
      </c>
      <c r="B1239" s="4" t="s">
        <v>10</v>
      </c>
      <c r="C1239" s="4" t="s">
        <v>73</v>
      </c>
      <c r="D1239" s="4">
        <v>46139</v>
      </c>
      <c r="E1239" s="5">
        <v>0.61016203703703709</v>
      </c>
      <c r="F1239">
        <v>1</v>
      </c>
      <c r="G1239" t="s">
        <v>82</v>
      </c>
      <c r="H1239">
        <v>13.083333333333332</v>
      </c>
      <c r="L1239" t="s">
        <v>1135</v>
      </c>
      <c r="M1239" t="s">
        <v>76</v>
      </c>
      <c r="N1239" t="s">
        <v>72</v>
      </c>
    </row>
    <row r="1240" spans="1:20" x14ac:dyDescent="0.25">
      <c r="A1240" t="s">
        <v>1138</v>
      </c>
      <c r="B1240" s="4" t="s">
        <v>10</v>
      </c>
      <c r="C1240" s="4" t="s">
        <v>70</v>
      </c>
      <c r="D1240" s="4">
        <v>46139</v>
      </c>
      <c r="E1240" s="5">
        <v>0.61069444444444443</v>
      </c>
      <c r="F1240">
        <v>1</v>
      </c>
      <c r="G1240" t="s">
        <v>82</v>
      </c>
      <c r="H1240">
        <v>1</v>
      </c>
      <c r="L1240" t="s">
        <v>1139</v>
      </c>
      <c r="M1240" t="s">
        <v>71</v>
      </c>
      <c r="N1240" t="s">
        <v>75</v>
      </c>
      <c r="O1240">
        <v>1</v>
      </c>
      <c r="R1240">
        <v>1</v>
      </c>
      <c r="S1240">
        <v>1</v>
      </c>
      <c r="T1240">
        <v>18</v>
      </c>
    </row>
    <row r="1241" spans="1:20" x14ac:dyDescent="0.25">
      <c r="A1241" t="s">
        <v>1139</v>
      </c>
      <c r="B1241" s="4" t="s">
        <v>10</v>
      </c>
      <c r="C1241" s="4" t="s">
        <v>73</v>
      </c>
      <c r="D1241" s="4">
        <v>46139</v>
      </c>
      <c r="E1241" s="5">
        <v>0.61069444444444443</v>
      </c>
      <c r="F1241">
        <v>1</v>
      </c>
      <c r="G1241" t="s">
        <v>82</v>
      </c>
      <c r="H1241">
        <v>18.166666666666668</v>
      </c>
      <c r="M1241" t="s">
        <v>79</v>
      </c>
      <c r="N1241" t="s">
        <v>75</v>
      </c>
    </row>
    <row r="1242" spans="1:20" x14ac:dyDescent="0.25">
      <c r="A1242" t="s">
        <v>1139</v>
      </c>
      <c r="B1242" s="4" t="s">
        <v>10</v>
      </c>
      <c r="C1242" s="4" t="s">
        <v>73</v>
      </c>
      <c r="D1242" s="4">
        <v>46139</v>
      </c>
      <c r="E1242" s="5">
        <v>0.61122685185185177</v>
      </c>
      <c r="F1242">
        <v>1</v>
      </c>
      <c r="G1242" t="s">
        <v>82</v>
      </c>
      <c r="H1242">
        <v>18</v>
      </c>
      <c r="M1242" t="s">
        <v>76</v>
      </c>
      <c r="N1242" t="s">
        <v>75</v>
      </c>
    </row>
    <row r="1243" spans="1:20" x14ac:dyDescent="0.25">
      <c r="A1243" t="s">
        <v>1142</v>
      </c>
      <c r="B1243" s="4" t="s">
        <v>10</v>
      </c>
      <c r="C1243" s="4" t="s">
        <v>70</v>
      </c>
      <c r="D1243" s="4">
        <v>46139</v>
      </c>
      <c r="E1243" s="5">
        <v>0.6123263888888888</v>
      </c>
      <c r="F1243">
        <v>1</v>
      </c>
      <c r="G1243" t="s">
        <v>82</v>
      </c>
      <c r="H1243">
        <v>59.25</v>
      </c>
      <c r="L1243" t="s">
        <v>1072</v>
      </c>
      <c r="M1243" t="s">
        <v>71</v>
      </c>
      <c r="N1243" t="s">
        <v>72</v>
      </c>
      <c r="O1243">
        <v>1</v>
      </c>
      <c r="S1243">
        <v>1</v>
      </c>
      <c r="T1243">
        <v>92.583333333333329</v>
      </c>
    </row>
    <row r="1244" spans="1:20" x14ac:dyDescent="0.25">
      <c r="A1244" t="s">
        <v>1072</v>
      </c>
      <c r="B1244" s="4" t="s">
        <v>10</v>
      </c>
      <c r="C1244" s="4" t="s">
        <v>73</v>
      </c>
      <c r="D1244" s="4">
        <v>46139</v>
      </c>
      <c r="E1244" s="5">
        <v>0.6123263888888888</v>
      </c>
      <c r="F1244">
        <v>1</v>
      </c>
      <c r="G1244" t="s">
        <v>82</v>
      </c>
      <c r="H1244">
        <v>94.5</v>
      </c>
      <c r="M1244" t="s">
        <v>76</v>
      </c>
      <c r="N1244" t="s">
        <v>72</v>
      </c>
    </row>
    <row r="1245" spans="1:20" x14ac:dyDescent="0.25">
      <c r="A1245" t="s">
        <v>1072</v>
      </c>
      <c r="B1245" s="4" t="s">
        <v>10</v>
      </c>
      <c r="C1245" s="4" t="s">
        <v>73</v>
      </c>
      <c r="D1245" s="4">
        <v>46139</v>
      </c>
      <c r="E1245" s="5">
        <v>0.6123263888888888</v>
      </c>
      <c r="F1245">
        <v>1</v>
      </c>
      <c r="G1245" t="s">
        <v>82</v>
      </c>
      <c r="H1245">
        <v>94.416666666666657</v>
      </c>
      <c r="M1245" t="s">
        <v>76</v>
      </c>
      <c r="N1245" t="s">
        <v>72</v>
      </c>
    </row>
    <row r="1246" spans="1:20" x14ac:dyDescent="0.25">
      <c r="A1246" t="s">
        <v>1072</v>
      </c>
      <c r="B1246" s="4" t="s">
        <v>10</v>
      </c>
      <c r="C1246" s="4" t="s">
        <v>73</v>
      </c>
      <c r="D1246" s="4">
        <v>46139</v>
      </c>
      <c r="E1246" s="5">
        <v>0.61265046296296288</v>
      </c>
      <c r="F1246">
        <v>1</v>
      </c>
      <c r="G1246" t="s">
        <v>82</v>
      </c>
      <c r="H1246">
        <v>92.583333333333329</v>
      </c>
      <c r="M1246" t="s">
        <v>76</v>
      </c>
      <c r="N1246" t="s">
        <v>72</v>
      </c>
    </row>
    <row r="1247" spans="1:20" x14ac:dyDescent="0.25">
      <c r="A1247" t="s">
        <v>1145</v>
      </c>
      <c r="B1247" s="4" t="s">
        <v>10</v>
      </c>
      <c r="C1247" s="4" t="s">
        <v>70</v>
      </c>
      <c r="D1247" s="4">
        <v>46139</v>
      </c>
      <c r="E1247" s="5">
        <v>0.6134722222222222</v>
      </c>
      <c r="F1247">
        <v>1</v>
      </c>
      <c r="G1247" t="s">
        <v>82</v>
      </c>
      <c r="H1247">
        <v>67.5</v>
      </c>
      <c r="L1247" t="s">
        <v>1146</v>
      </c>
      <c r="M1247" t="s">
        <v>71</v>
      </c>
      <c r="N1247" t="s">
        <v>72</v>
      </c>
      <c r="O1247">
        <v>1</v>
      </c>
      <c r="S1247">
        <v>1</v>
      </c>
      <c r="T1247">
        <v>128.16666666666666</v>
      </c>
    </row>
    <row r="1248" spans="1:20" x14ac:dyDescent="0.25">
      <c r="A1248" t="s">
        <v>1146</v>
      </c>
      <c r="B1248" s="4" t="s">
        <v>10</v>
      </c>
      <c r="C1248" s="4" t="s">
        <v>73</v>
      </c>
      <c r="D1248" s="4">
        <v>46139</v>
      </c>
      <c r="E1248" s="5">
        <v>0.6134722222222222</v>
      </c>
      <c r="F1248">
        <v>1</v>
      </c>
      <c r="G1248" t="s">
        <v>82</v>
      </c>
      <c r="H1248">
        <v>128.25</v>
      </c>
      <c r="M1248" t="s">
        <v>79</v>
      </c>
      <c r="N1248" t="s">
        <v>72</v>
      </c>
    </row>
    <row r="1249" spans="1:20" x14ac:dyDescent="0.25">
      <c r="A1249" t="s">
        <v>1146</v>
      </c>
      <c r="B1249" s="4" t="s">
        <v>10</v>
      </c>
      <c r="C1249" s="4" t="s">
        <v>73</v>
      </c>
      <c r="D1249" s="4">
        <v>46139</v>
      </c>
      <c r="E1249" s="5">
        <v>0.6134722222222222</v>
      </c>
      <c r="F1249">
        <v>1</v>
      </c>
      <c r="G1249" t="s">
        <v>82</v>
      </c>
      <c r="H1249">
        <v>128.16666666666666</v>
      </c>
      <c r="M1249" t="s">
        <v>79</v>
      </c>
      <c r="N1249" t="s">
        <v>72</v>
      </c>
    </row>
    <row r="1250" spans="1:20" x14ac:dyDescent="0.25">
      <c r="A1250" t="s">
        <v>1146</v>
      </c>
      <c r="B1250" s="4" t="s">
        <v>10</v>
      </c>
      <c r="C1250" s="4" t="s">
        <v>73</v>
      </c>
      <c r="D1250" s="4">
        <v>46139</v>
      </c>
      <c r="E1250" s="5">
        <v>0.61358796296296292</v>
      </c>
      <c r="F1250">
        <v>1</v>
      </c>
      <c r="G1250" t="s">
        <v>82</v>
      </c>
      <c r="H1250">
        <v>128.16666666666666</v>
      </c>
      <c r="M1250" t="s">
        <v>76</v>
      </c>
      <c r="N1250" t="s">
        <v>72</v>
      </c>
    </row>
    <row r="1251" spans="1:20" x14ac:dyDescent="0.25">
      <c r="A1251" t="s">
        <v>1148</v>
      </c>
      <c r="B1251" s="4" t="s">
        <v>10</v>
      </c>
      <c r="C1251" s="4" t="s">
        <v>70</v>
      </c>
      <c r="D1251" s="4">
        <v>46139</v>
      </c>
      <c r="E1251" s="5">
        <v>0.61425925925925928</v>
      </c>
      <c r="F1251">
        <v>1</v>
      </c>
      <c r="G1251" t="s">
        <v>82</v>
      </c>
      <c r="H1251">
        <v>1.6666666666666665</v>
      </c>
      <c r="L1251" t="s">
        <v>1149</v>
      </c>
      <c r="M1251" t="s">
        <v>71</v>
      </c>
      <c r="N1251" t="s">
        <v>72</v>
      </c>
      <c r="O1251">
        <v>1</v>
      </c>
    </row>
    <row r="1252" spans="1:20" x14ac:dyDescent="0.25">
      <c r="A1252" t="s">
        <v>1149</v>
      </c>
      <c r="B1252" s="4" t="s">
        <v>10</v>
      </c>
      <c r="C1252" s="4" t="s">
        <v>73</v>
      </c>
      <c r="D1252" s="4">
        <v>46139</v>
      </c>
      <c r="E1252" s="5">
        <v>0.61425925925925928</v>
      </c>
      <c r="F1252">
        <v>1</v>
      </c>
      <c r="G1252" t="s">
        <v>82</v>
      </c>
      <c r="H1252">
        <v>253.66666666666666</v>
      </c>
      <c r="M1252" t="s">
        <v>79</v>
      </c>
      <c r="N1252" t="s">
        <v>72</v>
      </c>
    </row>
    <row r="1253" spans="1:20" x14ac:dyDescent="0.25">
      <c r="A1253" t="s">
        <v>1149</v>
      </c>
      <c r="B1253" s="4" t="s">
        <v>10</v>
      </c>
      <c r="C1253" s="4" t="s">
        <v>73</v>
      </c>
      <c r="D1253" s="4">
        <v>46139</v>
      </c>
      <c r="E1253" s="5">
        <v>0.61425925925925928</v>
      </c>
      <c r="F1253">
        <v>1</v>
      </c>
      <c r="G1253" t="s">
        <v>82</v>
      </c>
      <c r="H1253">
        <v>253.58333333333331</v>
      </c>
      <c r="M1253" t="s">
        <v>79</v>
      </c>
      <c r="N1253" t="s">
        <v>72</v>
      </c>
    </row>
    <row r="1254" spans="1:20" x14ac:dyDescent="0.25">
      <c r="A1254" t="s">
        <v>1151</v>
      </c>
      <c r="B1254" s="4" t="s">
        <v>10</v>
      </c>
      <c r="C1254" s="4" t="s">
        <v>70</v>
      </c>
      <c r="D1254" s="4">
        <v>46139</v>
      </c>
      <c r="E1254" s="5">
        <v>0.61465277777777783</v>
      </c>
      <c r="F1254">
        <v>1</v>
      </c>
      <c r="G1254" t="s">
        <v>82</v>
      </c>
      <c r="H1254">
        <v>12</v>
      </c>
      <c r="L1254" t="s">
        <v>1149</v>
      </c>
      <c r="M1254" t="s">
        <v>71</v>
      </c>
      <c r="N1254" t="s">
        <v>72</v>
      </c>
      <c r="P1254">
        <v>1</v>
      </c>
      <c r="S1254">
        <v>1</v>
      </c>
      <c r="T1254">
        <v>241.5</v>
      </c>
    </row>
    <row r="1255" spans="1:20" x14ac:dyDescent="0.25">
      <c r="A1255" t="s">
        <v>1149</v>
      </c>
      <c r="B1255" s="4" t="s">
        <v>10</v>
      </c>
      <c r="C1255" s="4" t="s">
        <v>73</v>
      </c>
      <c r="D1255" s="4">
        <v>46139</v>
      </c>
      <c r="E1255" s="5">
        <v>0.61465277777777783</v>
      </c>
      <c r="F1255">
        <v>1</v>
      </c>
      <c r="G1255" t="s">
        <v>82</v>
      </c>
      <c r="H1255">
        <v>241.58333333333334</v>
      </c>
      <c r="M1255" t="s">
        <v>79</v>
      </c>
      <c r="N1255" t="s">
        <v>72</v>
      </c>
    </row>
    <row r="1256" spans="1:20" x14ac:dyDescent="0.25">
      <c r="A1256" t="s">
        <v>1149</v>
      </c>
      <c r="B1256" s="4" t="s">
        <v>10</v>
      </c>
      <c r="C1256" s="4" t="s">
        <v>73</v>
      </c>
      <c r="D1256" s="4">
        <v>46139</v>
      </c>
      <c r="E1256" s="5">
        <v>0.61465277777777783</v>
      </c>
      <c r="F1256">
        <v>1</v>
      </c>
      <c r="G1256" t="s">
        <v>82</v>
      </c>
      <c r="H1256">
        <v>241.5</v>
      </c>
      <c r="M1256" t="s">
        <v>79</v>
      </c>
      <c r="N1256" t="s">
        <v>72</v>
      </c>
    </row>
    <row r="1257" spans="1:20" x14ac:dyDescent="0.25">
      <c r="A1257" t="s">
        <v>1149</v>
      </c>
      <c r="B1257" s="4" t="s">
        <v>10</v>
      </c>
      <c r="C1257" s="4" t="s">
        <v>73</v>
      </c>
      <c r="D1257" s="4">
        <v>46139</v>
      </c>
      <c r="E1257" s="5">
        <v>0.61479166666666663</v>
      </c>
      <c r="F1257">
        <v>1</v>
      </c>
      <c r="G1257" t="s">
        <v>82</v>
      </c>
      <c r="H1257">
        <v>241.5</v>
      </c>
      <c r="M1257" t="s">
        <v>76</v>
      </c>
      <c r="N1257" t="s">
        <v>72</v>
      </c>
    </row>
    <row r="1258" spans="1:20" x14ac:dyDescent="0.25">
      <c r="A1258" t="s">
        <v>1152</v>
      </c>
      <c r="B1258" s="4" t="s">
        <v>10</v>
      </c>
      <c r="C1258" s="4" t="s">
        <v>70</v>
      </c>
      <c r="D1258" s="4">
        <v>46139</v>
      </c>
      <c r="E1258" s="5">
        <v>0.6164236111111111</v>
      </c>
      <c r="F1258">
        <v>1</v>
      </c>
      <c r="G1258" t="s">
        <v>82</v>
      </c>
      <c r="H1258">
        <v>1</v>
      </c>
      <c r="L1258" t="s">
        <v>1153</v>
      </c>
      <c r="M1258" t="s">
        <v>71</v>
      </c>
      <c r="N1258" t="s">
        <v>75</v>
      </c>
      <c r="O1258">
        <v>1</v>
      </c>
      <c r="R1258">
        <v>1</v>
      </c>
      <c r="S1258">
        <v>1</v>
      </c>
      <c r="T1258">
        <v>9.6666666666666661</v>
      </c>
    </row>
    <row r="1259" spans="1:20" x14ac:dyDescent="0.25">
      <c r="A1259" t="s">
        <v>1153</v>
      </c>
      <c r="B1259" s="4" t="s">
        <v>10</v>
      </c>
      <c r="C1259" s="4" t="s">
        <v>73</v>
      </c>
      <c r="D1259" s="4">
        <v>46139</v>
      </c>
      <c r="E1259" s="5">
        <v>0.6164236111111111</v>
      </c>
      <c r="F1259">
        <v>1</v>
      </c>
      <c r="G1259" t="s">
        <v>82</v>
      </c>
      <c r="H1259">
        <v>9.8333333333333321</v>
      </c>
      <c r="M1259" t="s">
        <v>79</v>
      </c>
      <c r="N1259" t="s">
        <v>75</v>
      </c>
    </row>
    <row r="1260" spans="1:20" x14ac:dyDescent="0.25">
      <c r="A1260" t="s">
        <v>1153</v>
      </c>
      <c r="B1260" s="4" t="s">
        <v>10</v>
      </c>
      <c r="C1260" s="4" t="s">
        <v>73</v>
      </c>
      <c r="D1260" s="4">
        <v>46139</v>
      </c>
      <c r="E1260" s="5">
        <v>0.61667824074074074</v>
      </c>
      <c r="F1260">
        <v>1</v>
      </c>
      <c r="G1260" t="s">
        <v>82</v>
      </c>
      <c r="H1260">
        <v>9.6666666666666661</v>
      </c>
      <c r="M1260" t="s">
        <v>76</v>
      </c>
      <c r="N1260" t="s">
        <v>75</v>
      </c>
    </row>
    <row r="1261" spans="1:20" x14ac:dyDescent="0.25">
      <c r="A1261" t="s">
        <v>1156</v>
      </c>
      <c r="B1261" s="4" t="s">
        <v>10</v>
      </c>
      <c r="C1261" s="4" t="s">
        <v>70</v>
      </c>
      <c r="D1261" s="4">
        <v>46139</v>
      </c>
      <c r="E1261" s="5">
        <v>0.61751157407407409</v>
      </c>
      <c r="F1261">
        <v>1</v>
      </c>
      <c r="G1261" t="s">
        <v>82</v>
      </c>
      <c r="H1261">
        <v>52.25</v>
      </c>
      <c r="L1261" t="s">
        <v>1157</v>
      </c>
      <c r="M1261" t="s">
        <v>71</v>
      </c>
      <c r="N1261" t="s">
        <v>75</v>
      </c>
      <c r="O1261">
        <v>1</v>
      </c>
      <c r="R1261">
        <v>1</v>
      </c>
      <c r="S1261">
        <v>1</v>
      </c>
      <c r="T1261">
        <v>11.333333333333332</v>
      </c>
    </row>
    <row r="1262" spans="1:20" x14ac:dyDescent="0.25">
      <c r="A1262" t="s">
        <v>1157</v>
      </c>
      <c r="B1262" s="4" t="s">
        <v>10</v>
      </c>
      <c r="C1262" s="4" t="s">
        <v>73</v>
      </c>
      <c r="D1262" s="4">
        <v>46139</v>
      </c>
      <c r="E1262" s="5">
        <v>0.61751157407407409</v>
      </c>
      <c r="F1262">
        <v>1</v>
      </c>
      <c r="G1262" t="s">
        <v>82</v>
      </c>
      <c r="H1262">
        <v>11.666666666666666</v>
      </c>
      <c r="M1262" t="s">
        <v>79</v>
      </c>
      <c r="N1262" t="s">
        <v>75</v>
      </c>
    </row>
    <row r="1263" spans="1:20" x14ac:dyDescent="0.25">
      <c r="A1263" t="s">
        <v>1157</v>
      </c>
      <c r="B1263" s="4" t="s">
        <v>10</v>
      </c>
      <c r="C1263" s="4" t="s">
        <v>73</v>
      </c>
      <c r="D1263" s="4">
        <v>46139</v>
      </c>
      <c r="E1263" s="5">
        <v>0.61751157407407409</v>
      </c>
      <c r="F1263">
        <v>1</v>
      </c>
      <c r="G1263" t="s">
        <v>82</v>
      </c>
      <c r="H1263">
        <v>11.583333333333332</v>
      </c>
      <c r="M1263" t="s">
        <v>79</v>
      </c>
      <c r="N1263" t="s">
        <v>75</v>
      </c>
    </row>
    <row r="1264" spans="1:20" x14ac:dyDescent="0.25">
      <c r="A1264" t="s">
        <v>1157</v>
      </c>
      <c r="B1264" s="4" t="s">
        <v>10</v>
      </c>
      <c r="C1264" s="4" t="s">
        <v>73</v>
      </c>
      <c r="D1264" s="4">
        <v>46139</v>
      </c>
      <c r="E1264" s="5">
        <v>0.61777777777777776</v>
      </c>
      <c r="F1264">
        <v>1</v>
      </c>
      <c r="G1264" t="s">
        <v>82</v>
      </c>
      <c r="H1264">
        <v>11.333333333333332</v>
      </c>
      <c r="M1264" t="s">
        <v>76</v>
      </c>
      <c r="N1264" t="s">
        <v>75</v>
      </c>
    </row>
    <row r="1265" spans="1:20" x14ac:dyDescent="0.25">
      <c r="A1265" t="s">
        <v>1160</v>
      </c>
      <c r="B1265" s="4" t="s">
        <v>10</v>
      </c>
      <c r="C1265" s="4" t="s">
        <v>70</v>
      </c>
      <c r="D1265" s="4">
        <v>46139</v>
      </c>
      <c r="E1265" s="5">
        <v>0.61821759259259257</v>
      </c>
      <c r="F1265">
        <v>1</v>
      </c>
      <c r="G1265" t="s">
        <v>82</v>
      </c>
      <c r="H1265">
        <v>1</v>
      </c>
      <c r="L1265" t="s">
        <v>1161</v>
      </c>
      <c r="M1265" t="s">
        <v>71</v>
      </c>
      <c r="N1265" t="s">
        <v>75</v>
      </c>
      <c r="O1265">
        <v>1</v>
      </c>
      <c r="R1265">
        <v>1</v>
      </c>
      <c r="S1265">
        <v>1</v>
      </c>
      <c r="T1265">
        <v>12.666666666666664</v>
      </c>
    </row>
    <row r="1266" spans="1:20" x14ac:dyDescent="0.25">
      <c r="A1266" t="s">
        <v>1161</v>
      </c>
      <c r="B1266" s="4" t="s">
        <v>10</v>
      </c>
      <c r="C1266" s="4" t="s">
        <v>73</v>
      </c>
      <c r="D1266" s="4">
        <v>46139</v>
      </c>
      <c r="E1266" s="5">
        <v>0.61821759259259257</v>
      </c>
      <c r="F1266">
        <v>1</v>
      </c>
      <c r="G1266" t="s">
        <v>82</v>
      </c>
      <c r="H1266">
        <v>12.833333333333334</v>
      </c>
      <c r="M1266" t="s">
        <v>79</v>
      </c>
      <c r="N1266" t="s">
        <v>75</v>
      </c>
    </row>
    <row r="1267" spans="1:20" x14ac:dyDescent="0.25">
      <c r="A1267" t="s">
        <v>1161</v>
      </c>
      <c r="B1267" s="4" t="s">
        <v>10</v>
      </c>
      <c r="C1267" s="4" t="s">
        <v>73</v>
      </c>
      <c r="D1267" s="4">
        <v>46139</v>
      </c>
      <c r="E1267" s="5">
        <v>0.61821759259259257</v>
      </c>
      <c r="F1267">
        <v>1</v>
      </c>
      <c r="G1267" t="s">
        <v>82</v>
      </c>
      <c r="H1267">
        <v>12.75</v>
      </c>
      <c r="M1267" t="s">
        <v>79</v>
      </c>
      <c r="N1267" t="s">
        <v>75</v>
      </c>
    </row>
    <row r="1268" spans="1:20" x14ac:dyDescent="0.25">
      <c r="A1268" t="s">
        <v>1161</v>
      </c>
      <c r="B1268" s="4" t="s">
        <v>10</v>
      </c>
      <c r="C1268" s="4" t="s">
        <v>73</v>
      </c>
      <c r="D1268" s="4">
        <v>46139</v>
      </c>
      <c r="E1268" s="5">
        <v>0.61850694444444443</v>
      </c>
      <c r="F1268">
        <v>1</v>
      </c>
      <c r="G1268" t="s">
        <v>82</v>
      </c>
      <c r="H1268">
        <v>12.666666666666664</v>
      </c>
      <c r="M1268" t="s">
        <v>76</v>
      </c>
      <c r="N1268" t="s">
        <v>75</v>
      </c>
    </row>
    <row r="1269" spans="1:20" x14ac:dyDescent="0.25">
      <c r="A1269" t="s">
        <v>1162</v>
      </c>
      <c r="B1269" s="4" t="s">
        <v>10</v>
      </c>
      <c r="C1269" s="4" t="s">
        <v>70</v>
      </c>
      <c r="D1269" s="4">
        <v>46139</v>
      </c>
      <c r="E1269" s="5">
        <v>0.61921296296296291</v>
      </c>
      <c r="F1269">
        <v>1</v>
      </c>
      <c r="G1269" t="s">
        <v>82</v>
      </c>
      <c r="H1269">
        <v>25</v>
      </c>
      <c r="L1269" t="s">
        <v>1163</v>
      </c>
      <c r="M1269" t="s">
        <v>71</v>
      </c>
      <c r="N1269" t="s">
        <v>75</v>
      </c>
      <c r="O1269">
        <v>1</v>
      </c>
      <c r="S1269">
        <v>1</v>
      </c>
      <c r="T1269">
        <v>160.66666666666666</v>
      </c>
    </row>
    <row r="1270" spans="1:20" x14ac:dyDescent="0.25">
      <c r="A1270" t="s">
        <v>1163</v>
      </c>
      <c r="B1270" s="4" t="s">
        <v>10</v>
      </c>
      <c r="C1270" s="4" t="s">
        <v>73</v>
      </c>
      <c r="D1270" s="4">
        <v>46139</v>
      </c>
      <c r="E1270" s="5">
        <v>0.61921296296296291</v>
      </c>
      <c r="F1270">
        <v>1</v>
      </c>
      <c r="G1270" t="s">
        <v>82</v>
      </c>
      <c r="H1270">
        <v>160.75</v>
      </c>
      <c r="M1270" t="s">
        <v>79</v>
      </c>
      <c r="N1270" t="s">
        <v>75</v>
      </c>
    </row>
    <row r="1271" spans="1:20" x14ac:dyDescent="0.25">
      <c r="A1271" t="s">
        <v>1163</v>
      </c>
      <c r="B1271" s="4" t="s">
        <v>10</v>
      </c>
      <c r="C1271" s="4" t="s">
        <v>73</v>
      </c>
      <c r="D1271" s="4">
        <v>46139</v>
      </c>
      <c r="E1271" s="5">
        <v>0.61921296296296291</v>
      </c>
      <c r="F1271">
        <v>1</v>
      </c>
      <c r="G1271" t="s">
        <v>82</v>
      </c>
      <c r="H1271">
        <v>160.66666666666666</v>
      </c>
      <c r="M1271" t="s">
        <v>79</v>
      </c>
      <c r="N1271" t="s">
        <v>75</v>
      </c>
    </row>
    <row r="1272" spans="1:20" x14ac:dyDescent="0.25">
      <c r="A1272" t="s">
        <v>1163</v>
      </c>
      <c r="B1272" s="4" t="s">
        <v>10</v>
      </c>
      <c r="C1272" s="4" t="s">
        <v>73</v>
      </c>
      <c r="D1272" s="4">
        <v>46139</v>
      </c>
      <c r="E1272" s="5">
        <v>0.61931712962962959</v>
      </c>
      <c r="F1272">
        <v>1</v>
      </c>
      <c r="G1272" t="s">
        <v>82</v>
      </c>
      <c r="H1272">
        <v>160.66666666666666</v>
      </c>
      <c r="M1272" t="s">
        <v>76</v>
      </c>
      <c r="N1272" t="s">
        <v>75</v>
      </c>
    </row>
    <row r="1273" spans="1:20" x14ac:dyDescent="0.25">
      <c r="A1273" t="s">
        <v>1167</v>
      </c>
      <c r="B1273" s="4" t="s">
        <v>10</v>
      </c>
      <c r="C1273" s="4" t="s">
        <v>70</v>
      </c>
      <c r="D1273" s="4">
        <v>46139</v>
      </c>
      <c r="E1273" s="5">
        <v>0.61995370370370373</v>
      </c>
      <c r="F1273">
        <v>1</v>
      </c>
      <c r="G1273" t="s">
        <v>82</v>
      </c>
      <c r="H1273">
        <v>25</v>
      </c>
      <c r="L1273" t="s">
        <v>1168</v>
      </c>
      <c r="M1273" t="s">
        <v>71</v>
      </c>
      <c r="N1273" t="s">
        <v>72</v>
      </c>
      <c r="O1273">
        <v>1</v>
      </c>
      <c r="R1273">
        <v>1</v>
      </c>
      <c r="S1273">
        <v>1</v>
      </c>
      <c r="T1273">
        <v>15</v>
      </c>
    </row>
    <row r="1274" spans="1:20" x14ac:dyDescent="0.25">
      <c r="A1274" t="s">
        <v>1168</v>
      </c>
      <c r="B1274" s="4" t="s">
        <v>10</v>
      </c>
      <c r="C1274" s="4" t="s">
        <v>73</v>
      </c>
      <c r="D1274" s="4">
        <v>46139</v>
      </c>
      <c r="E1274" s="5">
        <v>0.61995370370370373</v>
      </c>
      <c r="F1274">
        <v>1</v>
      </c>
      <c r="G1274" t="s">
        <v>82</v>
      </c>
      <c r="H1274">
        <v>15.083333333333332</v>
      </c>
      <c r="M1274" t="s">
        <v>79</v>
      </c>
      <c r="N1274" t="s">
        <v>72</v>
      </c>
    </row>
    <row r="1275" spans="1:20" x14ac:dyDescent="0.25">
      <c r="A1275" t="s">
        <v>1168</v>
      </c>
      <c r="B1275" s="4" t="s">
        <v>10</v>
      </c>
      <c r="C1275" s="4" t="s">
        <v>73</v>
      </c>
      <c r="D1275" s="4">
        <v>46139</v>
      </c>
      <c r="E1275" s="5">
        <v>0.61995370370370373</v>
      </c>
      <c r="F1275">
        <v>1</v>
      </c>
      <c r="G1275" t="s">
        <v>82</v>
      </c>
      <c r="H1275">
        <v>15</v>
      </c>
      <c r="M1275" t="s">
        <v>79</v>
      </c>
      <c r="N1275" t="s">
        <v>72</v>
      </c>
    </row>
    <row r="1276" spans="1:20" x14ac:dyDescent="0.25">
      <c r="A1276" t="s">
        <v>1168</v>
      </c>
      <c r="B1276" s="4" t="s">
        <v>10</v>
      </c>
      <c r="C1276" s="4" t="s">
        <v>73</v>
      </c>
      <c r="D1276" s="4">
        <v>46139</v>
      </c>
      <c r="E1276" s="5">
        <v>0.62010416666666657</v>
      </c>
      <c r="F1276">
        <v>1</v>
      </c>
      <c r="G1276" t="s">
        <v>82</v>
      </c>
      <c r="H1276">
        <v>15</v>
      </c>
      <c r="M1276" t="s">
        <v>76</v>
      </c>
      <c r="N1276" t="s">
        <v>72</v>
      </c>
    </row>
    <row r="1277" spans="1:20" x14ac:dyDescent="0.25">
      <c r="A1277" t="s">
        <v>1171</v>
      </c>
      <c r="B1277" s="4" t="s">
        <v>10</v>
      </c>
      <c r="C1277" s="4" t="s">
        <v>70</v>
      </c>
      <c r="D1277" s="4">
        <v>46139</v>
      </c>
      <c r="E1277" s="5">
        <v>0.62085648148148143</v>
      </c>
      <c r="F1277">
        <v>1</v>
      </c>
      <c r="G1277" t="s">
        <v>82</v>
      </c>
      <c r="H1277">
        <v>16.75</v>
      </c>
      <c r="L1277" t="s">
        <v>1172</v>
      </c>
      <c r="M1277" t="s">
        <v>71</v>
      </c>
      <c r="N1277" t="s">
        <v>72</v>
      </c>
      <c r="O1277">
        <v>1</v>
      </c>
      <c r="S1277">
        <v>1</v>
      </c>
      <c r="T1277">
        <v>112.16666666666667</v>
      </c>
    </row>
    <row r="1278" spans="1:20" x14ac:dyDescent="0.25">
      <c r="A1278" t="s">
        <v>1172</v>
      </c>
      <c r="B1278" s="4" t="s">
        <v>10</v>
      </c>
      <c r="C1278" s="4" t="s">
        <v>73</v>
      </c>
      <c r="D1278" s="4">
        <v>46139</v>
      </c>
      <c r="E1278" s="5">
        <v>0.62085648148148143</v>
      </c>
      <c r="F1278">
        <v>1</v>
      </c>
      <c r="G1278" t="s">
        <v>82</v>
      </c>
      <c r="H1278">
        <v>112.25</v>
      </c>
      <c r="M1278" t="s">
        <v>79</v>
      </c>
      <c r="N1278" t="s">
        <v>72</v>
      </c>
    </row>
    <row r="1279" spans="1:20" x14ac:dyDescent="0.25">
      <c r="A1279" t="s">
        <v>1172</v>
      </c>
      <c r="B1279" s="4" t="s">
        <v>10</v>
      </c>
      <c r="C1279" s="4" t="s">
        <v>73</v>
      </c>
      <c r="D1279" s="4">
        <v>46139</v>
      </c>
      <c r="E1279" s="5">
        <v>0.62085648148148143</v>
      </c>
      <c r="F1279">
        <v>1</v>
      </c>
      <c r="G1279" t="s">
        <v>82</v>
      </c>
      <c r="H1279">
        <v>112.16666666666667</v>
      </c>
      <c r="M1279" t="s">
        <v>79</v>
      </c>
      <c r="N1279" t="s">
        <v>72</v>
      </c>
    </row>
    <row r="1280" spans="1:20" x14ac:dyDescent="0.25">
      <c r="A1280" t="s">
        <v>1172</v>
      </c>
      <c r="B1280" s="4" t="s">
        <v>10</v>
      </c>
      <c r="C1280" s="4" t="s">
        <v>73</v>
      </c>
      <c r="D1280" s="4">
        <v>46139</v>
      </c>
      <c r="E1280" s="5">
        <v>0.62098379629629619</v>
      </c>
      <c r="F1280">
        <v>1</v>
      </c>
      <c r="G1280" t="s">
        <v>82</v>
      </c>
      <c r="H1280">
        <v>112.16666666666667</v>
      </c>
      <c r="M1280" t="s">
        <v>76</v>
      </c>
      <c r="N1280" t="s">
        <v>72</v>
      </c>
    </row>
    <row r="1281" spans="1:21" x14ac:dyDescent="0.25">
      <c r="A1281" t="s">
        <v>1175</v>
      </c>
      <c r="B1281" s="4" t="s">
        <v>10</v>
      </c>
      <c r="C1281" s="4" t="s">
        <v>70</v>
      </c>
      <c r="D1281" s="4">
        <v>46139</v>
      </c>
      <c r="E1281" s="5">
        <v>0.62178240740740742</v>
      </c>
      <c r="F1281">
        <v>1</v>
      </c>
      <c r="G1281" t="s">
        <v>82</v>
      </c>
      <c r="H1281">
        <v>126.75</v>
      </c>
      <c r="L1281" t="s">
        <v>1176</v>
      </c>
      <c r="M1281" t="s">
        <v>71</v>
      </c>
      <c r="N1281" t="s">
        <v>75</v>
      </c>
      <c r="O1281">
        <v>1</v>
      </c>
      <c r="R1281">
        <v>1</v>
      </c>
      <c r="S1281">
        <v>1</v>
      </c>
      <c r="T1281">
        <v>7</v>
      </c>
    </row>
    <row r="1282" spans="1:21" x14ac:dyDescent="0.25">
      <c r="A1282" t="s">
        <v>1176</v>
      </c>
      <c r="B1282" s="4" t="s">
        <v>10</v>
      </c>
      <c r="C1282" s="4" t="s">
        <v>73</v>
      </c>
      <c r="D1282" s="4">
        <v>46139</v>
      </c>
      <c r="E1282" s="5">
        <v>0.62178240740740742</v>
      </c>
      <c r="F1282">
        <v>1</v>
      </c>
      <c r="G1282" t="s">
        <v>82</v>
      </c>
      <c r="H1282">
        <v>8.1666666666666661</v>
      </c>
      <c r="M1282" t="s">
        <v>79</v>
      </c>
      <c r="N1282" t="s">
        <v>75</v>
      </c>
    </row>
    <row r="1283" spans="1:21" x14ac:dyDescent="0.25">
      <c r="A1283" t="s">
        <v>1176</v>
      </c>
      <c r="B1283" s="4" t="s">
        <v>10</v>
      </c>
      <c r="C1283" s="4" t="s">
        <v>73</v>
      </c>
      <c r="D1283" s="4">
        <v>46139</v>
      </c>
      <c r="E1283" s="5">
        <v>0.62178240740740742</v>
      </c>
      <c r="F1283">
        <v>1</v>
      </c>
      <c r="G1283" t="s">
        <v>82</v>
      </c>
      <c r="H1283">
        <v>8.0833333333333321</v>
      </c>
      <c r="M1283" t="s">
        <v>79</v>
      </c>
      <c r="N1283" t="s">
        <v>75</v>
      </c>
    </row>
    <row r="1284" spans="1:21" x14ac:dyDescent="0.25">
      <c r="A1284" t="s">
        <v>1176</v>
      </c>
      <c r="B1284" s="4" t="s">
        <v>10</v>
      </c>
      <c r="C1284" s="4" t="s">
        <v>73</v>
      </c>
      <c r="D1284" s="4">
        <v>46139</v>
      </c>
      <c r="E1284" s="5">
        <v>0.62207175925925917</v>
      </c>
      <c r="F1284">
        <v>1</v>
      </c>
      <c r="G1284" t="s">
        <v>82</v>
      </c>
      <c r="H1284">
        <v>7</v>
      </c>
      <c r="M1284" t="s">
        <v>76</v>
      </c>
      <c r="N1284" t="s">
        <v>75</v>
      </c>
    </row>
    <row r="1285" spans="1:21" x14ac:dyDescent="0.25">
      <c r="A1285" t="s">
        <v>1177</v>
      </c>
      <c r="B1285" s="4" t="s">
        <v>10</v>
      </c>
      <c r="C1285" s="4" t="s">
        <v>70</v>
      </c>
      <c r="D1285" s="4">
        <v>46139</v>
      </c>
      <c r="E1285" s="5">
        <v>0.62260416666666663</v>
      </c>
      <c r="F1285">
        <v>1</v>
      </c>
      <c r="G1285" t="s">
        <v>82</v>
      </c>
      <c r="H1285">
        <v>8.5</v>
      </c>
      <c r="L1285" t="s">
        <v>1178</v>
      </c>
      <c r="M1285" t="s">
        <v>71</v>
      </c>
      <c r="N1285" t="s">
        <v>72</v>
      </c>
      <c r="O1285">
        <v>1</v>
      </c>
      <c r="Q1285">
        <v>1</v>
      </c>
      <c r="S1285">
        <v>1</v>
      </c>
      <c r="U1285">
        <v>0.16666666666666666</v>
      </c>
    </row>
    <row r="1286" spans="1:21" x14ac:dyDescent="0.25">
      <c r="A1286" t="s">
        <v>1178</v>
      </c>
      <c r="B1286" s="4" t="s">
        <v>10</v>
      </c>
      <c r="C1286" s="4" t="s">
        <v>73</v>
      </c>
      <c r="D1286" s="4">
        <v>46139</v>
      </c>
      <c r="E1286" s="5">
        <v>0.62260416666666663</v>
      </c>
      <c r="F1286">
        <v>1</v>
      </c>
      <c r="G1286" t="s">
        <v>82</v>
      </c>
      <c r="H1286">
        <v>2.333333333333333</v>
      </c>
      <c r="M1286" t="s">
        <v>79</v>
      </c>
      <c r="N1286" t="s">
        <v>72</v>
      </c>
    </row>
    <row r="1287" spans="1:21" x14ac:dyDescent="0.25">
      <c r="A1287" t="s">
        <v>1178</v>
      </c>
      <c r="B1287" s="4" t="s">
        <v>10</v>
      </c>
      <c r="C1287" s="4" t="s">
        <v>73</v>
      </c>
      <c r="D1287" s="4">
        <v>46139</v>
      </c>
      <c r="E1287" s="5">
        <v>0.62260416666666663</v>
      </c>
      <c r="F1287">
        <v>1</v>
      </c>
      <c r="G1287" t="s">
        <v>82</v>
      </c>
      <c r="H1287">
        <v>0.16666666666666666</v>
      </c>
      <c r="M1287" t="s">
        <v>79</v>
      </c>
      <c r="N1287" t="s">
        <v>72</v>
      </c>
    </row>
    <row r="1288" spans="1:21" x14ac:dyDescent="0.25">
      <c r="A1288" t="s">
        <v>1178</v>
      </c>
      <c r="B1288" s="4" t="s">
        <v>10</v>
      </c>
      <c r="C1288" s="4" t="s">
        <v>73</v>
      </c>
      <c r="D1288" s="4">
        <v>46139</v>
      </c>
      <c r="E1288" s="5">
        <v>0.62260416666666663</v>
      </c>
      <c r="F1288">
        <v>1</v>
      </c>
      <c r="G1288" t="s">
        <v>82</v>
      </c>
      <c r="H1288">
        <v>0</v>
      </c>
      <c r="M1288" t="s">
        <v>79</v>
      </c>
      <c r="N1288" t="s">
        <v>72</v>
      </c>
    </row>
    <row r="1289" spans="1:21" x14ac:dyDescent="0.25">
      <c r="A1289" t="s">
        <v>1181</v>
      </c>
      <c r="B1289" s="4" t="s">
        <v>10</v>
      </c>
      <c r="C1289" s="4" t="s">
        <v>70</v>
      </c>
      <c r="D1289" s="4">
        <v>46139</v>
      </c>
      <c r="E1289" s="5">
        <v>0.62333333333333329</v>
      </c>
      <c r="F1289">
        <v>1</v>
      </c>
      <c r="G1289" t="s">
        <v>82</v>
      </c>
      <c r="H1289">
        <v>74.75</v>
      </c>
      <c r="L1289" t="s">
        <v>1182</v>
      </c>
      <c r="M1289" t="s">
        <v>71</v>
      </c>
      <c r="N1289" t="s">
        <v>72</v>
      </c>
      <c r="O1289">
        <v>1</v>
      </c>
      <c r="R1289">
        <v>1</v>
      </c>
      <c r="S1289">
        <v>1</v>
      </c>
      <c r="T1289">
        <v>27.416666666666668</v>
      </c>
    </row>
    <row r="1290" spans="1:21" x14ac:dyDescent="0.25">
      <c r="A1290" t="s">
        <v>1182</v>
      </c>
      <c r="B1290" s="4" t="s">
        <v>10</v>
      </c>
      <c r="C1290" s="4" t="s">
        <v>73</v>
      </c>
      <c r="D1290" s="4">
        <v>46139</v>
      </c>
      <c r="E1290" s="5">
        <v>0.62333333333333329</v>
      </c>
      <c r="F1290">
        <v>1</v>
      </c>
      <c r="G1290" t="s">
        <v>82</v>
      </c>
      <c r="H1290">
        <v>28</v>
      </c>
      <c r="M1290" t="s">
        <v>79</v>
      </c>
      <c r="N1290" t="s">
        <v>72</v>
      </c>
    </row>
    <row r="1291" spans="1:21" x14ac:dyDescent="0.25">
      <c r="A1291" t="s">
        <v>1182</v>
      </c>
      <c r="B1291" s="4" t="s">
        <v>10</v>
      </c>
      <c r="C1291" s="4" t="s">
        <v>73</v>
      </c>
      <c r="D1291" s="4">
        <v>46139</v>
      </c>
      <c r="E1291" s="5">
        <v>0.62333333333333329</v>
      </c>
      <c r="F1291">
        <v>1</v>
      </c>
      <c r="G1291" t="s">
        <v>82</v>
      </c>
      <c r="H1291">
        <v>27.916666666666664</v>
      </c>
      <c r="M1291" t="s">
        <v>79</v>
      </c>
      <c r="N1291" t="s">
        <v>72</v>
      </c>
    </row>
    <row r="1292" spans="1:21" x14ac:dyDescent="0.25">
      <c r="A1292" t="s">
        <v>1182</v>
      </c>
      <c r="B1292" s="4" t="s">
        <v>10</v>
      </c>
      <c r="C1292" s="4" t="s">
        <v>73</v>
      </c>
      <c r="D1292" s="4">
        <v>46139</v>
      </c>
      <c r="E1292" s="5">
        <v>0.62357638888888889</v>
      </c>
      <c r="F1292">
        <v>1</v>
      </c>
      <c r="G1292" t="s">
        <v>82</v>
      </c>
      <c r="H1292">
        <v>27.416666666666668</v>
      </c>
      <c r="M1292" t="s">
        <v>76</v>
      </c>
      <c r="N1292" t="s">
        <v>72</v>
      </c>
    </row>
    <row r="1293" spans="1:21" x14ac:dyDescent="0.25">
      <c r="A1293" t="s">
        <v>1183</v>
      </c>
      <c r="B1293" s="4" t="s">
        <v>10</v>
      </c>
      <c r="C1293" s="4" t="s">
        <v>70</v>
      </c>
      <c r="D1293" s="4">
        <v>46139</v>
      </c>
      <c r="E1293" s="5">
        <v>0.62425925925925918</v>
      </c>
      <c r="F1293">
        <v>1</v>
      </c>
      <c r="G1293" t="s">
        <v>82</v>
      </c>
      <c r="H1293">
        <v>49</v>
      </c>
      <c r="L1293" t="s">
        <v>1184</v>
      </c>
      <c r="M1293" t="s">
        <v>71</v>
      </c>
      <c r="N1293" t="s">
        <v>72</v>
      </c>
      <c r="O1293">
        <v>1</v>
      </c>
      <c r="S1293">
        <v>1</v>
      </c>
      <c r="T1293">
        <v>106.75</v>
      </c>
    </row>
    <row r="1294" spans="1:21" x14ac:dyDescent="0.25">
      <c r="A1294" t="s">
        <v>1184</v>
      </c>
      <c r="B1294" s="4" t="s">
        <v>10</v>
      </c>
      <c r="C1294" s="4" t="s">
        <v>73</v>
      </c>
      <c r="D1294" s="4">
        <v>46139</v>
      </c>
      <c r="E1294" s="5">
        <v>0.62425925925925918</v>
      </c>
      <c r="F1294">
        <v>1</v>
      </c>
      <c r="G1294" t="s">
        <v>82</v>
      </c>
      <c r="H1294">
        <v>106.83333333333333</v>
      </c>
      <c r="M1294" t="s">
        <v>79</v>
      </c>
      <c r="N1294" t="s">
        <v>72</v>
      </c>
    </row>
    <row r="1295" spans="1:21" x14ac:dyDescent="0.25">
      <c r="A1295" t="s">
        <v>1184</v>
      </c>
      <c r="B1295" s="4" t="s">
        <v>10</v>
      </c>
      <c r="C1295" s="4" t="s">
        <v>73</v>
      </c>
      <c r="D1295" s="4">
        <v>46139</v>
      </c>
      <c r="E1295" s="5">
        <v>0.62425925925925918</v>
      </c>
      <c r="F1295">
        <v>1</v>
      </c>
      <c r="G1295" t="s">
        <v>82</v>
      </c>
      <c r="H1295">
        <v>106.75</v>
      </c>
      <c r="M1295" t="s">
        <v>79</v>
      </c>
      <c r="N1295" t="s">
        <v>72</v>
      </c>
    </row>
    <row r="1296" spans="1:21" x14ac:dyDescent="0.25">
      <c r="A1296" t="s">
        <v>1184</v>
      </c>
      <c r="B1296" s="4" t="s">
        <v>10</v>
      </c>
      <c r="C1296" s="4" t="s">
        <v>73</v>
      </c>
      <c r="D1296" s="4">
        <v>46139</v>
      </c>
      <c r="E1296" s="5">
        <v>0.62438657407407405</v>
      </c>
      <c r="F1296">
        <v>1</v>
      </c>
      <c r="G1296" t="s">
        <v>82</v>
      </c>
      <c r="H1296">
        <v>106.75</v>
      </c>
      <c r="M1296" t="s">
        <v>76</v>
      </c>
      <c r="N1296" t="s">
        <v>72</v>
      </c>
    </row>
    <row r="1297" spans="1:21" x14ac:dyDescent="0.25">
      <c r="A1297" t="s">
        <v>1187</v>
      </c>
      <c r="B1297" s="4" t="s">
        <v>10</v>
      </c>
      <c r="C1297" s="4" t="s">
        <v>70</v>
      </c>
      <c r="D1297" s="4">
        <v>46139</v>
      </c>
      <c r="E1297" s="5">
        <v>0.62506944444444446</v>
      </c>
      <c r="F1297">
        <v>1</v>
      </c>
      <c r="G1297" t="s">
        <v>82</v>
      </c>
      <c r="H1297">
        <v>28</v>
      </c>
      <c r="L1297" t="s">
        <v>1188</v>
      </c>
      <c r="M1297" t="s">
        <v>71</v>
      </c>
      <c r="N1297" t="s">
        <v>75</v>
      </c>
      <c r="O1297">
        <v>1</v>
      </c>
      <c r="S1297">
        <v>1</v>
      </c>
      <c r="T1297">
        <v>164.08333333333334</v>
      </c>
    </row>
    <row r="1298" spans="1:21" x14ac:dyDescent="0.25">
      <c r="A1298" t="s">
        <v>1188</v>
      </c>
      <c r="B1298" s="4" t="s">
        <v>10</v>
      </c>
      <c r="C1298" s="4" t="s">
        <v>73</v>
      </c>
      <c r="D1298" s="4">
        <v>46139</v>
      </c>
      <c r="E1298" s="5">
        <v>0.62506944444444446</v>
      </c>
      <c r="F1298">
        <v>1</v>
      </c>
      <c r="G1298" t="s">
        <v>82</v>
      </c>
      <c r="H1298">
        <v>164.08333333333334</v>
      </c>
      <c r="M1298" t="s">
        <v>79</v>
      </c>
      <c r="N1298" t="s">
        <v>75</v>
      </c>
    </row>
    <row r="1299" spans="1:21" x14ac:dyDescent="0.25">
      <c r="A1299" t="s">
        <v>1188</v>
      </c>
      <c r="B1299" s="4" t="s">
        <v>10</v>
      </c>
      <c r="C1299" s="4" t="s">
        <v>73</v>
      </c>
      <c r="D1299" s="4">
        <v>46139</v>
      </c>
      <c r="E1299" s="5">
        <v>0.62512731481481476</v>
      </c>
      <c r="F1299">
        <v>1</v>
      </c>
      <c r="G1299" t="s">
        <v>82</v>
      </c>
      <c r="H1299">
        <v>164.08333333333334</v>
      </c>
      <c r="M1299" t="s">
        <v>76</v>
      </c>
      <c r="N1299" t="s">
        <v>75</v>
      </c>
    </row>
    <row r="1300" spans="1:21" x14ac:dyDescent="0.25">
      <c r="A1300" t="s">
        <v>1189</v>
      </c>
      <c r="B1300" s="4" t="s">
        <v>10</v>
      </c>
      <c r="C1300" s="4" t="s">
        <v>70</v>
      </c>
      <c r="D1300" s="4">
        <v>46139</v>
      </c>
      <c r="E1300" s="5">
        <v>0.62587962962962962</v>
      </c>
      <c r="F1300">
        <v>1</v>
      </c>
      <c r="G1300" t="s">
        <v>82</v>
      </c>
      <c r="H1300">
        <v>47.083333333333329</v>
      </c>
      <c r="L1300" t="s">
        <v>1190</v>
      </c>
      <c r="M1300" t="s">
        <v>71</v>
      </c>
      <c r="N1300" t="s">
        <v>72</v>
      </c>
      <c r="O1300">
        <v>1</v>
      </c>
      <c r="Q1300">
        <v>1</v>
      </c>
      <c r="S1300">
        <v>1</v>
      </c>
      <c r="U1300">
        <v>8.3333333333333329E-2</v>
      </c>
    </row>
    <row r="1301" spans="1:21" x14ac:dyDescent="0.25">
      <c r="A1301" t="s">
        <v>1190</v>
      </c>
      <c r="B1301" s="4" t="s">
        <v>10</v>
      </c>
      <c r="C1301" s="4" t="s">
        <v>73</v>
      </c>
      <c r="D1301" s="4">
        <v>46139</v>
      </c>
      <c r="E1301" s="5">
        <v>0.62587962962962962</v>
      </c>
      <c r="F1301">
        <v>1</v>
      </c>
      <c r="G1301" t="s">
        <v>82</v>
      </c>
      <c r="H1301">
        <v>1.5</v>
      </c>
      <c r="M1301" t="s">
        <v>79</v>
      </c>
      <c r="N1301" t="s">
        <v>72</v>
      </c>
    </row>
    <row r="1302" spans="1:21" x14ac:dyDescent="0.25">
      <c r="A1302" t="s">
        <v>1190</v>
      </c>
      <c r="B1302" s="4" t="s">
        <v>10</v>
      </c>
      <c r="C1302" s="4" t="s">
        <v>73</v>
      </c>
      <c r="D1302" s="4">
        <v>46139</v>
      </c>
      <c r="E1302" s="5">
        <v>0.62587962962962962</v>
      </c>
      <c r="F1302">
        <v>1</v>
      </c>
      <c r="G1302" t="s">
        <v>82</v>
      </c>
      <c r="H1302">
        <v>8.3333333333333329E-2</v>
      </c>
      <c r="M1302" t="s">
        <v>79</v>
      </c>
      <c r="N1302" t="s">
        <v>72</v>
      </c>
    </row>
    <row r="1303" spans="1:21" x14ac:dyDescent="0.25">
      <c r="A1303" t="s">
        <v>1190</v>
      </c>
      <c r="B1303" s="4" t="s">
        <v>10</v>
      </c>
      <c r="C1303" s="4" t="s">
        <v>73</v>
      </c>
      <c r="D1303" s="4">
        <v>46139</v>
      </c>
      <c r="E1303" s="5">
        <v>0.62587962962962962</v>
      </c>
      <c r="F1303">
        <v>1</v>
      </c>
      <c r="G1303" t="s">
        <v>82</v>
      </c>
      <c r="H1303">
        <v>0</v>
      </c>
      <c r="M1303" t="s">
        <v>79</v>
      </c>
      <c r="N1303" t="s">
        <v>72</v>
      </c>
    </row>
    <row r="1304" spans="1:21" x14ac:dyDescent="0.25">
      <c r="A1304" t="s">
        <v>1191</v>
      </c>
      <c r="B1304" s="4" t="s">
        <v>10</v>
      </c>
      <c r="C1304" s="4" t="s">
        <v>70</v>
      </c>
      <c r="D1304" s="4">
        <v>46139</v>
      </c>
      <c r="E1304" s="5">
        <v>0.62660879629629629</v>
      </c>
      <c r="F1304">
        <v>1</v>
      </c>
      <c r="G1304" t="s">
        <v>82</v>
      </c>
      <c r="H1304">
        <v>25</v>
      </c>
      <c r="L1304" t="s">
        <v>1192</v>
      </c>
      <c r="M1304" t="s">
        <v>71</v>
      </c>
      <c r="N1304" t="s">
        <v>75</v>
      </c>
      <c r="O1304">
        <v>1</v>
      </c>
      <c r="S1304">
        <v>1</v>
      </c>
      <c r="T1304">
        <v>69.25</v>
      </c>
    </row>
    <row r="1305" spans="1:21" x14ac:dyDescent="0.25">
      <c r="A1305" t="s">
        <v>1192</v>
      </c>
      <c r="B1305" s="4" t="s">
        <v>10</v>
      </c>
      <c r="C1305" s="4" t="s">
        <v>73</v>
      </c>
      <c r="D1305" s="4">
        <v>46139</v>
      </c>
      <c r="E1305" s="5">
        <v>0.62660879629629629</v>
      </c>
      <c r="F1305">
        <v>1</v>
      </c>
      <c r="G1305" t="s">
        <v>82</v>
      </c>
      <c r="H1305">
        <v>70.833333333333329</v>
      </c>
      <c r="M1305" t="s">
        <v>79</v>
      </c>
      <c r="N1305" t="s">
        <v>75</v>
      </c>
    </row>
    <row r="1306" spans="1:21" x14ac:dyDescent="0.25">
      <c r="A1306" t="s">
        <v>1192</v>
      </c>
      <c r="B1306" s="4" t="s">
        <v>10</v>
      </c>
      <c r="C1306" s="4" t="s">
        <v>73</v>
      </c>
      <c r="D1306" s="4">
        <v>46139</v>
      </c>
      <c r="E1306" s="5">
        <v>0.62660879629629629</v>
      </c>
      <c r="F1306">
        <v>1</v>
      </c>
      <c r="G1306" t="s">
        <v>82</v>
      </c>
      <c r="H1306">
        <v>70.75</v>
      </c>
      <c r="M1306" t="s">
        <v>79</v>
      </c>
      <c r="N1306" t="s">
        <v>75</v>
      </c>
    </row>
    <row r="1307" spans="1:21" x14ac:dyDescent="0.25">
      <c r="A1307" t="s">
        <v>1192</v>
      </c>
      <c r="B1307" s="4" t="s">
        <v>10</v>
      </c>
      <c r="C1307" s="4" t="s">
        <v>73</v>
      </c>
      <c r="D1307" s="4">
        <v>46139</v>
      </c>
      <c r="E1307" s="5">
        <v>0.62731481481481477</v>
      </c>
      <c r="F1307">
        <v>1</v>
      </c>
      <c r="G1307" t="s">
        <v>82</v>
      </c>
      <c r="H1307">
        <v>69.25</v>
      </c>
      <c r="M1307" t="s">
        <v>76</v>
      </c>
      <c r="N1307" t="s">
        <v>75</v>
      </c>
    </row>
    <row r="1308" spans="1:21" x14ac:dyDescent="0.25">
      <c r="A1308" t="s">
        <v>1197</v>
      </c>
      <c r="B1308" s="4" t="s">
        <v>10</v>
      </c>
      <c r="C1308" s="4" t="s">
        <v>70</v>
      </c>
      <c r="D1308" s="4">
        <v>46139</v>
      </c>
      <c r="E1308" s="5">
        <v>0.62814814814814812</v>
      </c>
      <c r="F1308">
        <v>1</v>
      </c>
      <c r="G1308" t="s">
        <v>82</v>
      </c>
      <c r="H1308">
        <v>86</v>
      </c>
      <c r="L1308" t="s">
        <v>1198</v>
      </c>
      <c r="M1308" t="s">
        <v>71</v>
      </c>
      <c r="N1308" t="s">
        <v>75</v>
      </c>
      <c r="O1308">
        <v>1</v>
      </c>
      <c r="S1308">
        <v>1</v>
      </c>
      <c r="T1308">
        <v>137.5</v>
      </c>
    </row>
    <row r="1309" spans="1:21" x14ac:dyDescent="0.25">
      <c r="A1309" t="s">
        <v>1198</v>
      </c>
      <c r="B1309" s="4" t="s">
        <v>10</v>
      </c>
      <c r="C1309" s="4" t="s">
        <v>73</v>
      </c>
      <c r="D1309" s="4">
        <v>46139</v>
      </c>
      <c r="E1309" s="5">
        <v>0.62814814814814812</v>
      </c>
      <c r="F1309">
        <v>1</v>
      </c>
      <c r="G1309" t="s">
        <v>82</v>
      </c>
      <c r="H1309">
        <v>137.58333333333334</v>
      </c>
      <c r="M1309" t="s">
        <v>79</v>
      </c>
      <c r="N1309" t="s">
        <v>75</v>
      </c>
    </row>
    <row r="1310" spans="1:21" x14ac:dyDescent="0.25">
      <c r="A1310" t="s">
        <v>1198</v>
      </c>
      <c r="B1310" s="4" t="s">
        <v>10</v>
      </c>
      <c r="C1310" s="4" t="s">
        <v>73</v>
      </c>
      <c r="D1310" s="4">
        <v>46139</v>
      </c>
      <c r="E1310" s="5">
        <v>0.62814814814814812</v>
      </c>
      <c r="F1310">
        <v>1</v>
      </c>
      <c r="G1310" t="s">
        <v>82</v>
      </c>
      <c r="H1310">
        <v>137.5</v>
      </c>
      <c r="M1310" t="s">
        <v>79</v>
      </c>
      <c r="N1310" t="s">
        <v>75</v>
      </c>
    </row>
    <row r="1311" spans="1:21" x14ac:dyDescent="0.25">
      <c r="A1311" t="s">
        <v>1198</v>
      </c>
      <c r="B1311" s="4" t="s">
        <v>10</v>
      </c>
      <c r="C1311" s="4" t="s">
        <v>73</v>
      </c>
      <c r="D1311" s="4">
        <v>46139</v>
      </c>
      <c r="E1311" s="5">
        <v>0.62825231481481481</v>
      </c>
      <c r="F1311">
        <v>1</v>
      </c>
      <c r="G1311" t="s">
        <v>82</v>
      </c>
      <c r="H1311">
        <v>137.5</v>
      </c>
      <c r="M1311" t="s">
        <v>76</v>
      </c>
      <c r="N1311" t="s">
        <v>75</v>
      </c>
    </row>
    <row r="1312" spans="1:21" x14ac:dyDescent="0.25">
      <c r="A1312" t="s">
        <v>1199</v>
      </c>
      <c r="B1312" s="4" t="s">
        <v>10</v>
      </c>
      <c r="C1312" s="4" t="s">
        <v>70</v>
      </c>
      <c r="D1312" s="4">
        <v>46139</v>
      </c>
      <c r="E1312" s="5">
        <v>0.62888888888888883</v>
      </c>
      <c r="F1312">
        <v>1</v>
      </c>
      <c r="G1312" t="s">
        <v>82</v>
      </c>
      <c r="H1312">
        <v>38.833333333333336</v>
      </c>
      <c r="L1312" t="s">
        <v>1200</v>
      </c>
      <c r="M1312" t="s">
        <v>71</v>
      </c>
      <c r="N1312" t="s">
        <v>72</v>
      </c>
      <c r="O1312">
        <v>1</v>
      </c>
      <c r="S1312">
        <v>1</v>
      </c>
      <c r="T1312">
        <v>53</v>
      </c>
    </row>
    <row r="1313" spans="1:20" x14ac:dyDescent="0.25">
      <c r="A1313" t="s">
        <v>1200</v>
      </c>
      <c r="B1313" s="4" t="s">
        <v>10</v>
      </c>
      <c r="C1313" s="4" t="s">
        <v>73</v>
      </c>
      <c r="D1313" s="4">
        <v>46139</v>
      </c>
      <c r="E1313" s="5">
        <v>0.62888888888888883</v>
      </c>
      <c r="F1313">
        <v>1</v>
      </c>
      <c r="G1313" t="s">
        <v>82</v>
      </c>
      <c r="H1313">
        <v>53.666666666666664</v>
      </c>
      <c r="M1313" t="s">
        <v>79</v>
      </c>
      <c r="N1313" t="s">
        <v>72</v>
      </c>
    </row>
    <row r="1314" spans="1:20" x14ac:dyDescent="0.25">
      <c r="A1314" t="s">
        <v>1200</v>
      </c>
      <c r="B1314" s="4" t="s">
        <v>10</v>
      </c>
      <c r="C1314" s="4" t="s">
        <v>73</v>
      </c>
      <c r="D1314" s="4">
        <v>46139</v>
      </c>
      <c r="E1314" s="5">
        <v>0.62888888888888883</v>
      </c>
      <c r="F1314">
        <v>1</v>
      </c>
      <c r="G1314" t="s">
        <v>82</v>
      </c>
      <c r="H1314">
        <v>53.583333333333329</v>
      </c>
      <c r="M1314" t="s">
        <v>79</v>
      </c>
      <c r="N1314" t="s">
        <v>72</v>
      </c>
    </row>
    <row r="1315" spans="1:20" x14ac:dyDescent="0.25">
      <c r="A1315" t="s">
        <v>1200</v>
      </c>
      <c r="B1315" s="4" t="s">
        <v>10</v>
      </c>
      <c r="C1315" s="4" t="s">
        <v>73</v>
      </c>
      <c r="D1315" s="4">
        <v>46139</v>
      </c>
      <c r="E1315" s="5">
        <v>0.62913194444444442</v>
      </c>
      <c r="F1315">
        <v>1</v>
      </c>
      <c r="G1315" t="s">
        <v>82</v>
      </c>
      <c r="H1315">
        <v>53</v>
      </c>
      <c r="M1315" t="s">
        <v>76</v>
      </c>
      <c r="N1315" t="s">
        <v>72</v>
      </c>
    </row>
    <row r="1316" spans="1:20" x14ac:dyDescent="0.25">
      <c r="A1316" t="s">
        <v>1203</v>
      </c>
      <c r="B1316" s="4" t="s">
        <v>10</v>
      </c>
      <c r="C1316" s="4" t="s">
        <v>70</v>
      </c>
      <c r="D1316" s="4">
        <v>46139</v>
      </c>
      <c r="E1316" s="5">
        <v>0.63012731481481477</v>
      </c>
      <c r="F1316">
        <v>1</v>
      </c>
      <c r="G1316" t="s">
        <v>82</v>
      </c>
      <c r="H1316">
        <v>51</v>
      </c>
      <c r="L1316" t="s">
        <v>1204</v>
      </c>
      <c r="M1316" t="s">
        <v>71</v>
      </c>
      <c r="N1316" t="s">
        <v>75</v>
      </c>
      <c r="O1316">
        <v>1</v>
      </c>
    </row>
    <row r="1317" spans="1:20" x14ac:dyDescent="0.25">
      <c r="A1317" t="s">
        <v>1204</v>
      </c>
      <c r="B1317" s="4" t="s">
        <v>10</v>
      </c>
      <c r="C1317" s="4" t="s">
        <v>73</v>
      </c>
      <c r="D1317" s="4">
        <v>46139</v>
      </c>
      <c r="E1317" s="5">
        <v>0.63012731481481477</v>
      </c>
      <c r="F1317">
        <v>1</v>
      </c>
      <c r="G1317" t="s">
        <v>82</v>
      </c>
      <c r="H1317">
        <v>174.33333333333331</v>
      </c>
      <c r="M1317" t="s">
        <v>79</v>
      </c>
      <c r="N1317" t="s">
        <v>75</v>
      </c>
    </row>
    <row r="1318" spans="1:20" x14ac:dyDescent="0.25">
      <c r="A1318" t="s">
        <v>1204</v>
      </c>
      <c r="B1318" s="4" t="s">
        <v>10</v>
      </c>
      <c r="C1318" s="4" t="s">
        <v>73</v>
      </c>
      <c r="D1318" s="4">
        <v>46139</v>
      </c>
      <c r="E1318" s="5">
        <v>0.63012731481481477</v>
      </c>
      <c r="F1318">
        <v>1</v>
      </c>
      <c r="G1318" t="s">
        <v>82</v>
      </c>
      <c r="H1318">
        <v>174.25</v>
      </c>
      <c r="M1318" t="s">
        <v>79</v>
      </c>
      <c r="N1318" t="s">
        <v>75</v>
      </c>
    </row>
    <row r="1319" spans="1:20" x14ac:dyDescent="0.25">
      <c r="A1319" t="s">
        <v>1205</v>
      </c>
      <c r="B1319" s="4" t="s">
        <v>10</v>
      </c>
      <c r="C1319" s="4" t="s">
        <v>70</v>
      </c>
      <c r="D1319" s="4">
        <v>46139</v>
      </c>
      <c r="E1319" s="5">
        <v>0.63047453703703704</v>
      </c>
      <c r="F1319">
        <v>1</v>
      </c>
      <c r="G1319" t="s">
        <v>82</v>
      </c>
      <c r="H1319">
        <v>74.5</v>
      </c>
      <c r="L1319" t="s">
        <v>1204</v>
      </c>
      <c r="M1319" t="s">
        <v>71</v>
      </c>
      <c r="N1319" t="s">
        <v>75</v>
      </c>
      <c r="P1319">
        <v>1</v>
      </c>
    </row>
    <row r="1320" spans="1:20" x14ac:dyDescent="0.25">
      <c r="A1320" t="s">
        <v>1204</v>
      </c>
      <c r="B1320" s="4" t="s">
        <v>10</v>
      </c>
      <c r="C1320" s="4" t="s">
        <v>73</v>
      </c>
      <c r="D1320" s="4">
        <v>46139</v>
      </c>
      <c r="E1320" s="5">
        <v>0.63047453703703704</v>
      </c>
      <c r="F1320">
        <v>1</v>
      </c>
      <c r="G1320" t="s">
        <v>82</v>
      </c>
      <c r="H1320">
        <v>99.75</v>
      </c>
      <c r="M1320" t="s">
        <v>79</v>
      </c>
      <c r="N1320" t="s">
        <v>75</v>
      </c>
    </row>
    <row r="1321" spans="1:20" x14ac:dyDescent="0.25">
      <c r="A1321" t="s">
        <v>1204</v>
      </c>
      <c r="B1321" s="4" t="s">
        <v>10</v>
      </c>
      <c r="C1321" s="4" t="s">
        <v>73</v>
      </c>
      <c r="D1321" s="4">
        <v>46139</v>
      </c>
      <c r="E1321" s="5">
        <v>0.63047453703703704</v>
      </c>
      <c r="F1321">
        <v>1</v>
      </c>
      <c r="G1321" t="s">
        <v>82</v>
      </c>
      <c r="H1321">
        <v>99.666666666666657</v>
      </c>
      <c r="M1321" t="s">
        <v>79</v>
      </c>
      <c r="N1321" t="s">
        <v>75</v>
      </c>
    </row>
    <row r="1322" spans="1:20" x14ac:dyDescent="0.25">
      <c r="A1322" t="s">
        <v>1208</v>
      </c>
      <c r="B1322" s="4" t="s">
        <v>10</v>
      </c>
      <c r="C1322" s="4" t="s">
        <v>70</v>
      </c>
      <c r="D1322" s="4">
        <v>46139</v>
      </c>
      <c r="E1322" s="5">
        <v>0.63103009259259257</v>
      </c>
      <c r="F1322">
        <v>1</v>
      </c>
      <c r="G1322" t="s">
        <v>82</v>
      </c>
      <c r="H1322">
        <v>93</v>
      </c>
      <c r="L1322" t="s">
        <v>1204</v>
      </c>
      <c r="M1322" t="s">
        <v>71</v>
      </c>
      <c r="N1322" t="s">
        <v>75</v>
      </c>
      <c r="P1322">
        <v>1</v>
      </c>
      <c r="R1322">
        <v>1</v>
      </c>
      <c r="S1322">
        <v>1</v>
      </c>
      <c r="T1322">
        <v>5.333333333333333</v>
      </c>
    </row>
    <row r="1323" spans="1:20" x14ac:dyDescent="0.25">
      <c r="A1323" t="s">
        <v>1204</v>
      </c>
      <c r="B1323" s="4" t="s">
        <v>10</v>
      </c>
      <c r="C1323" s="4" t="s">
        <v>73</v>
      </c>
      <c r="D1323" s="4">
        <v>46139</v>
      </c>
      <c r="E1323" s="5">
        <v>0.63103009259259257</v>
      </c>
      <c r="F1323">
        <v>1</v>
      </c>
      <c r="G1323" t="s">
        <v>82</v>
      </c>
      <c r="H1323">
        <v>6.6666666666666661</v>
      </c>
      <c r="M1323" t="s">
        <v>79</v>
      </c>
      <c r="N1323" t="s">
        <v>75</v>
      </c>
    </row>
    <row r="1324" spans="1:20" x14ac:dyDescent="0.25">
      <c r="A1324" t="s">
        <v>1204</v>
      </c>
      <c r="B1324" s="4" t="s">
        <v>10</v>
      </c>
      <c r="C1324" s="4" t="s">
        <v>73</v>
      </c>
      <c r="D1324" s="4">
        <v>46139</v>
      </c>
      <c r="E1324" s="5">
        <v>0.63103009259259257</v>
      </c>
      <c r="F1324">
        <v>1</v>
      </c>
      <c r="G1324" t="s">
        <v>82</v>
      </c>
      <c r="H1324">
        <v>6.583333333333333</v>
      </c>
      <c r="M1324" t="s">
        <v>79</v>
      </c>
      <c r="N1324" t="s">
        <v>75</v>
      </c>
    </row>
    <row r="1325" spans="1:20" x14ac:dyDescent="0.25">
      <c r="A1325" t="s">
        <v>1204</v>
      </c>
      <c r="B1325" s="4" t="s">
        <v>10</v>
      </c>
      <c r="C1325" s="4" t="s">
        <v>73</v>
      </c>
      <c r="D1325" s="4">
        <v>46139</v>
      </c>
      <c r="E1325" s="5">
        <v>0.63121527777777775</v>
      </c>
      <c r="F1325">
        <v>1</v>
      </c>
      <c r="G1325" t="s">
        <v>82</v>
      </c>
      <c r="H1325">
        <v>5.333333333333333</v>
      </c>
      <c r="M1325" t="s">
        <v>76</v>
      </c>
      <c r="N1325" t="s">
        <v>75</v>
      </c>
    </row>
    <row r="1326" spans="1:20" x14ac:dyDescent="0.25">
      <c r="A1326" t="s">
        <v>1209</v>
      </c>
      <c r="B1326" s="4" t="s">
        <v>10</v>
      </c>
      <c r="C1326" s="4" t="s">
        <v>70</v>
      </c>
      <c r="D1326" s="4">
        <v>46139</v>
      </c>
      <c r="E1326" s="5">
        <v>0.63187499999999996</v>
      </c>
      <c r="F1326">
        <v>1</v>
      </c>
      <c r="G1326" t="s">
        <v>82</v>
      </c>
      <c r="H1326">
        <v>1</v>
      </c>
      <c r="L1326" s="21" t="s">
        <v>1210</v>
      </c>
      <c r="M1326" t="s">
        <v>71</v>
      </c>
      <c r="N1326" t="s">
        <v>75</v>
      </c>
      <c r="O1326">
        <v>1</v>
      </c>
      <c r="S1326">
        <v>1</v>
      </c>
      <c r="T1326">
        <v>112.33333333333333</v>
      </c>
    </row>
    <row r="1327" spans="1:20" x14ac:dyDescent="0.25">
      <c r="A1327" t="s">
        <v>1210</v>
      </c>
      <c r="B1327" s="4" t="s">
        <v>10</v>
      </c>
      <c r="C1327" s="4" t="s">
        <v>73</v>
      </c>
      <c r="D1327" s="4">
        <v>46139</v>
      </c>
      <c r="E1327" s="5">
        <v>0.63187499999999996</v>
      </c>
      <c r="F1327">
        <v>1</v>
      </c>
      <c r="G1327" t="s">
        <v>82</v>
      </c>
      <c r="H1327">
        <v>119.91666666666666</v>
      </c>
      <c r="M1327" t="s">
        <v>79</v>
      </c>
      <c r="N1327" t="s">
        <v>75</v>
      </c>
    </row>
    <row r="1328" spans="1:20" x14ac:dyDescent="0.25">
      <c r="A1328" t="s">
        <v>1210</v>
      </c>
      <c r="B1328" s="4" t="s">
        <v>10</v>
      </c>
      <c r="C1328" s="4" t="s">
        <v>73</v>
      </c>
      <c r="D1328" s="4">
        <v>46139</v>
      </c>
      <c r="E1328" s="5">
        <v>0.63187499999999996</v>
      </c>
      <c r="F1328">
        <v>1</v>
      </c>
      <c r="G1328" t="s">
        <v>82</v>
      </c>
      <c r="H1328">
        <v>119.83333333333333</v>
      </c>
      <c r="M1328" t="s">
        <v>79</v>
      </c>
      <c r="N1328" t="s">
        <v>75</v>
      </c>
    </row>
    <row r="1329" spans="1:20" x14ac:dyDescent="0.25">
      <c r="A1329" t="s">
        <v>1210</v>
      </c>
      <c r="B1329" s="4" t="s">
        <v>10</v>
      </c>
      <c r="C1329" s="4" t="s">
        <v>73</v>
      </c>
      <c r="D1329" s="4">
        <v>46139</v>
      </c>
      <c r="E1329" s="5">
        <v>0.63219907407407405</v>
      </c>
      <c r="F1329">
        <v>1</v>
      </c>
      <c r="G1329" t="s">
        <v>82</v>
      </c>
      <c r="H1329">
        <v>115</v>
      </c>
      <c r="M1329" t="s">
        <v>79</v>
      </c>
      <c r="N1329" t="s">
        <v>75</v>
      </c>
    </row>
    <row r="1330" spans="1:20" x14ac:dyDescent="0.25">
      <c r="A1330" t="s">
        <v>1210</v>
      </c>
      <c r="B1330" s="4" t="s">
        <v>10</v>
      </c>
      <c r="C1330" s="4" t="s">
        <v>73</v>
      </c>
      <c r="D1330" s="4">
        <v>46139</v>
      </c>
      <c r="E1330" s="5">
        <v>0.63275462962962958</v>
      </c>
      <c r="F1330">
        <v>1</v>
      </c>
      <c r="G1330" t="s">
        <v>82</v>
      </c>
      <c r="H1330">
        <v>112.33333333333333</v>
      </c>
      <c r="M1330" t="s">
        <v>76</v>
      </c>
      <c r="N1330" t="s">
        <v>75</v>
      </c>
    </row>
    <row r="1331" spans="1:20" x14ac:dyDescent="0.25">
      <c r="A1331" t="s">
        <v>1215</v>
      </c>
      <c r="B1331" s="4" t="s">
        <v>10</v>
      </c>
      <c r="C1331" s="4" t="s">
        <v>70</v>
      </c>
      <c r="D1331" s="4">
        <v>46139</v>
      </c>
      <c r="E1331" s="5">
        <v>0.63346064814814818</v>
      </c>
      <c r="F1331">
        <v>1</v>
      </c>
      <c r="G1331" t="s">
        <v>82</v>
      </c>
      <c r="H1331">
        <v>20</v>
      </c>
      <c r="L1331" t="s">
        <v>1216</v>
      </c>
      <c r="M1331" t="s">
        <v>71</v>
      </c>
      <c r="N1331" t="s">
        <v>75</v>
      </c>
      <c r="O1331">
        <v>1</v>
      </c>
      <c r="R1331">
        <v>1</v>
      </c>
      <c r="S1331">
        <v>1</v>
      </c>
      <c r="T1331">
        <v>24.416666666666664</v>
      </c>
    </row>
    <row r="1332" spans="1:20" x14ac:dyDescent="0.25">
      <c r="A1332" t="s">
        <v>1216</v>
      </c>
      <c r="B1332" s="4" t="s">
        <v>10</v>
      </c>
      <c r="C1332" s="4" t="s">
        <v>73</v>
      </c>
      <c r="D1332" s="4">
        <v>46139</v>
      </c>
      <c r="E1332" s="5">
        <v>0.63346064814814818</v>
      </c>
      <c r="F1332">
        <v>1</v>
      </c>
      <c r="G1332" t="s">
        <v>82</v>
      </c>
      <c r="H1332">
        <v>24.916666666666664</v>
      </c>
      <c r="M1332" t="s">
        <v>79</v>
      </c>
      <c r="N1332" t="s">
        <v>75</v>
      </c>
    </row>
    <row r="1333" spans="1:20" x14ac:dyDescent="0.25">
      <c r="A1333" t="s">
        <v>1216</v>
      </c>
      <c r="B1333" s="4" t="s">
        <v>10</v>
      </c>
      <c r="C1333" s="4" t="s">
        <v>73</v>
      </c>
      <c r="D1333" s="4">
        <v>46139</v>
      </c>
      <c r="E1333" s="5">
        <v>0.63346064814814818</v>
      </c>
      <c r="F1333">
        <v>1</v>
      </c>
      <c r="G1333" t="s">
        <v>82</v>
      </c>
      <c r="H1333">
        <v>24.833333333333336</v>
      </c>
      <c r="M1333" t="s">
        <v>79</v>
      </c>
      <c r="N1333" t="s">
        <v>75</v>
      </c>
    </row>
    <row r="1334" spans="1:20" x14ac:dyDescent="0.25">
      <c r="A1334" t="s">
        <v>1216</v>
      </c>
      <c r="B1334" s="4" t="s">
        <v>10</v>
      </c>
      <c r="C1334" s="4" t="s">
        <v>73</v>
      </c>
      <c r="D1334" s="4">
        <v>46139</v>
      </c>
      <c r="E1334" s="5">
        <v>0.63364583333333335</v>
      </c>
      <c r="F1334">
        <v>1</v>
      </c>
      <c r="G1334" t="s">
        <v>82</v>
      </c>
      <c r="H1334">
        <v>24.416666666666664</v>
      </c>
      <c r="M1334" t="s">
        <v>76</v>
      </c>
      <c r="N1334" t="s">
        <v>75</v>
      </c>
    </row>
    <row r="1335" spans="1:20" x14ac:dyDescent="0.25">
      <c r="A1335" t="s">
        <v>1217</v>
      </c>
      <c r="B1335" s="4" t="s">
        <v>10</v>
      </c>
      <c r="C1335" s="4" t="s">
        <v>70</v>
      </c>
      <c r="D1335" s="4">
        <v>46139</v>
      </c>
      <c r="E1335" s="5">
        <v>0.63428240740740738</v>
      </c>
      <c r="F1335">
        <v>1</v>
      </c>
      <c r="G1335" t="s">
        <v>82</v>
      </c>
      <c r="H1335">
        <v>22.666666666666664</v>
      </c>
      <c r="L1335" t="s">
        <v>1218</v>
      </c>
      <c r="M1335" t="s">
        <v>71</v>
      </c>
      <c r="N1335" t="s">
        <v>72</v>
      </c>
      <c r="O1335">
        <v>1</v>
      </c>
      <c r="S1335">
        <v>1</v>
      </c>
      <c r="T1335">
        <v>52.5</v>
      </c>
    </row>
    <row r="1336" spans="1:20" x14ac:dyDescent="0.25">
      <c r="A1336" t="s">
        <v>1218</v>
      </c>
      <c r="B1336" s="4" t="s">
        <v>10</v>
      </c>
      <c r="C1336" s="4" t="s">
        <v>73</v>
      </c>
      <c r="D1336" s="4">
        <v>46139</v>
      </c>
      <c r="E1336" s="5">
        <v>0.63428240740740738</v>
      </c>
      <c r="F1336">
        <v>1</v>
      </c>
      <c r="G1336" t="s">
        <v>82</v>
      </c>
      <c r="H1336">
        <v>52.75</v>
      </c>
      <c r="M1336" t="s">
        <v>79</v>
      </c>
      <c r="N1336" t="s">
        <v>72</v>
      </c>
    </row>
    <row r="1337" spans="1:20" x14ac:dyDescent="0.25">
      <c r="A1337" t="s">
        <v>1218</v>
      </c>
      <c r="B1337" s="4" t="s">
        <v>10</v>
      </c>
      <c r="C1337" s="4" t="s">
        <v>73</v>
      </c>
      <c r="D1337" s="4">
        <v>46139</v>
      </c>
      <c r="E1337" s="5">
        <v>0.63428240740740738</v>
      </c>
      <c r="F1337">
        <v>1</v>
      </c>
      <c r="G1337" t="s">
        <v>82</v>
      </c>
      <c r="H1337">
        <v>52.666666666666664</v>
      </c>
      <c r="M1337" t="s">
        <v>79</v>
      </c>
      <c r="N1337" t="s">
        <v>72</v>
      </c>
    </row>
    <row r="1338" spans="1:20" x14ac:dyDescent="0.25">
      <c r="A1338" t="s">
        <v>1218</v>
      </c>
      <c r="B1338" s="4" t="s">
        <v>10</v>
      </c>
      <c r="C1338" s="4" t="s">
        <v>73</v>
      </c>
      <c r="D1338" s="4">
        <v>46139</v>
      </c>
      <c r="E1338" s="5">
        <v>0.6345601851851852</v>
      </c>
      <c r="F1338">
        <v>1</v>
      </c>
      <c r="G1338" t="s">
        <v>82</v>
      </c>
      <c r="H1338">
        <v>52.5</v>
      </c>
      <c r="M1338" t="s">
        <v>76</v>
      </c>
      <c r="N1338" t="s">
        <v>72</v>
      </c>
    </row>
    <row r="1339" spans="1:20" x14ac:dyDescent="0.25">
      <c r="A1339" t="s">
        <v>1221</v>
      </c>
      <c r="B1339" s="4" t="s">
        <v>10</v>
      </c>
      <c r="C1339" s="4" t="s">
        <v>70</v>
      </c>
      <c r="D1339" s="4">
        <v>46139</v>
      </c>
      <c r="E1339" s="5">
        <v>0.63511574074074073</v>
      </c>
      <c r="F1339">
        <v>1</v>
      </c>
      <c r="G1339" t="s">
        <v>82</v>
      </c>
      <c r="H1339">
        <v>2</v>
      </c>
      <c r="L1339" t="s">
        <v>1222</v>
      </c>
      <c r="M1339" t="s">
        <v>71</v>
      </c>
      <c r="N1339" t="s">
        <v>75</v>
      </c>
      <c r="O1339">
        <v>1</v>
      </c>
      <c r="R1339">
        <v>1</v>
      </c>
      <c r="S1339">
        <v>1</v>
      </c>
      <c r="T1339">
        <v>11.833333333333334</v>
      </c>
    </row>
    <row r="1340" spans="1:20" x14ac:dyDescent="0.25">
      <c r="A1340" t="s">
        <v>1222</v>
      </c>
      <c r="B1340" s="4" t="s">
        <v>10</v>
      </c>
      <c r="C1340" s="4" t="s">
        <v>73</v>
      </c>
      <c r="D1340" s="4">
        <v>46139</v>
      </c>
      <c r="E1340" s="5">
        <v>0.63512731481481477</v>
      </c>
      <c r="F1340">
        <v>1</v>
      </c>
      <c r="G1340" t="s">
        <v>82</v>
      </c>
      <c r="H1340">
        <v>11.583333333333332</v>
      </c>
      <c r="M1340" t="s">
        <v>79</v>
      </c>
      <c r="N1340" t="s">
        <v>75</v>
      </c>
    </row>
    <row r="1341" spans="1:20" x14ac:dyDescent="0.25">
      <c r="A1341" t="s">
        <v>1222</v>
      </c>
      <c r="B1341" s="4" t="s">
        <v>10</v>
      </c>
      <c r="C1341" s="4" t="s">
        <v>73</v>
      </c>
      <c r="D1341" s="4">
        <v>46139</v>
      </c>
      <c r="E1341" s="5">
        <v>0.63512731481481477</v>
      </c>
      <c r="F1341">
        <v>1</v>
      </c>
      <c r="G1341" t="s">
        <v>82</v>
      </c>
      <c r="H1341">
        <v>11.5</v>
      </c>
      <c r="M1341" t="s">
        <v>79</v>
      </c>
      <c r="N1341" t="s">
        <v>75</v>
      </c>
    </row>
    <row r="1342" spans="1:20" x14ac:dyDescent="0.25">
      <c r="A1342" t="s">
        <v>1222</v>
      </c>
      <c r="B1342" s="4" t="s">
        <v>10</v>
      </c>
      <c r="C1342" s="4" t="s">
        <v>73</v>
      </c>
      <c r="D1342" s="4">
        <v>46139</v>
      </c>
      <c r="E1342" s="5">
        <v>0.6353819444444444</v>
      </c>
      <c r="F1342">
        <v>1</v>
      </c>
      <c r="G1342" t="s">
        <v>82</v>
      </c>
      <c r="H1342">
        <v>11.833333333333334</v>
      </c>
      <c r="M1342" t="s">
        <v>76</v>
      </c>
      <c r="N1342" t="s">
        <v>75</v>
      </c>
    </row>
    <row r="1343" spans="1:20" x14ac:dyDescent="0.25">
      <c r="A1343" t="s">
        <v>1225</v>
      </c>
      <c r="B1343" s="4" t="s">
        <v>10</v>
      </c>
      <c r="C1343" s="4" t="s">
        <v>70</v>
      </c>
      <c r="D1343" s="4">
        <v>46139</v>
      </c>
      <c r="E1343" s="5">
        <v>0.63633101851851848</v>
      </c>
      <c r="F1343">
        <v>1</v>
      </c>
      <c r="G1343" t="s">
        <v>82</v>
      </c>
      <c r="H1343">
        <v>37.083333333333336</v>
      </c>
      <c r="L1343" t="s">
        <v>1226</v>
      </c>
      <c r="M1343" t="s">
        <v>71</v>
      </c>
      <c r="N1343" t="s">
        <v>72</v>
      </c>
      <c r="O1343">
        <v>1</v>
      </c>
      <c r="R1343">
        <v>1</v>
      </c>
      <c r="S1343">
        <v>1</v>
      </c>
      <c r="T1343">
        <v>17.916666666666668</v>
      </c>
    </row>
    <row r="1344" spans="1:20" x14ac:dyDescent="0.25">
      <c r="A1344" t="s">
        <v>1226</v>
      </c>
      <c r="B1344" s="4" t="s">
        <v>10</v>
      </c>
      <c r="C1344" s="4" t="s">
        <v>73</v>
      </c>
      <c r="D1344" s="4">
        <v>46139</v>
      </c>
      <c r="E1344" s="5">
        <v>0.63633101851851848</v>
      </c>
      <c r="F1344">
        <v>1</v>
      </c>
      <c r="G1344" t="s">
        <v>82</v>
      </c>
      <c r="H1344">
        <v>18.166666666666668</v>
      </c>
      <c r="M1344" t="s">
        <v>74</v>
      </c>
      <c r="N1344" t="s">
        <v>72</v>
      </c>
    </row>
    <row r="1345" spans="1:20" x14ac:dyDescent="0.25">
      <c r="A1345" t="s">
        <v>1226</v>
      </c>
      <c r="B1345" s="4" t="s">
        <v>10</v>
      </c>
      <c r="C1345" s="4" t="s">
        <v>73</v>
      </c>
      <c r="D1345" s="4">
        <v>46139</v>
      </c>
      <c r="E1345" s="5">
        <v>0.63633101851851848</v>
      </c>
      <c r="F1345">
        <v>1</v>
      </c>
      <c r="G1345" t="s">
        <v>82</v>
      </c>
      <c r="H1345">
        <v>18.083333333333332</v>
      </c>
      <c r="M1345" t="s">
        <v>74</v>
      </c>
      <c r="N1345" t="s">
        <v>72</v>
      </c>
    </row>
    <row r="1346" spans="1:20" x14ac:dyDescent="0.25">
      <c r="A1346" t="s">
        <v>1226</v>
      </c>
      <c r="B1346" s="4" t="s">
        <v>10</v>
      </c>
      <c r="C1346" s="4" t="s">
        <v>73</v>
      </c>
      <c r="D1346" s="4">
        <v>46139</v>
      </c>
      <c r="E1346" s="5">
        <v>0.63671296296296298</v>
      </c>
      <c r="F1346">
        <v>1</v>
      </c>
      <c r="G1346" t="s">
        <v>82</v>
      </c>
      <c r="H1346">
        <v>17.916666666666668</v>
      </c>
      <c r="M1346" t="s">
        <v>76</v>
      </c>
      <c r="N1346" t="s">
        <v>72</v>
      </c>
    </row>
    <row r="1347" spans="1:20" x14ac:dyDescent="0.25">
      <c r="A1347" t="s">
        <v>1229</v>
      </c>
      <c r="B1347" s="4" t="s">
        <v>10</v>
      </c>
      <c r="C1347" s="4" t="s">
        <v>70</v>
      </c>
      <c r="D1347" s="4">
        <v>46139</v>
      </c>
      <c r="E1347" s="5">
        <v>0.63722222222222213</v>
      </c>
      <c r="F1347">
        <v>1</v>
      </c>
      <c r="G1347" t="s">
        <v>82</v>
      </c>
      <c r="H1347">
        <v>2</v>
      </c>
      <c r="L1347" t="s">
        <v>1230</v>
      </c>
      <c r="M1347" t="s">
        <v>71</v>
      </c>
      <c r="N1347" t="s">
        <v>75</v>
      </c>
      <c r="O1347">
        <v>1</v>
      </c>
      <c r="S1347">
        <v>1</v>
      </c>
      <c r="T1347">
        <v>70.75</v>
      </c>
    </row>
    <row r="1348" spans="1:20" x14ac:dyDescent="0.25">
      <c r="A1348" t="s">
        <v>1230</v>
      </c>
      <c r="B1348" s="4" t="s">
        <v>10</v>
      </c>
      <c r="C1348" s="4" t="s">
        <v>73</v>
      </c>
      <c r="D1348" s="4">
        <v>46139</v>
      </c>
      <c r="E1348" s="5">
        <v>0.63722222222222213</v>
      </c>
      <c r="F1348">
        <v>1</v>
      </c>
      <c r="G1348" t="s">
        <v>82</v>
      </c>
      <c r="H1348">
        <v>70.833333333333329</v>
      </c>
      <c r="M1348" t="s">
        <v>74</v>
      </c>
      <c r="N1348" t="s">
        <v>75</v>
      </c>
    </row>
    <row r="1349" spans="1:20" x14ac:dyDescent="0.25">
      <c r="A1349" t="s">
        <v>1230</v>
      </c>
      <c r="B1349" s="4" t="s">
        <v>10</v>
      </c>
      <c r="C1349" s="4" t="s">
        <v>73</v>
      </c>
      <c r="D1349" s="4">
        <v>46139</v>
      </c>
      <c r="E1349" s="5">
        <v>0.63722222222222213</v>
      </c>
      <c r="F1349">
        <v>1</v>
      </c>
      <c r="G1349" t="s">
        <v>82</v>
      </c>
      <c r="H1349">
        <v>70.75</v>
      </c>
      <c r="M1349" t="s">
        <v>74</v>
      </c>
      <c r="N1349" t="s">
        <v>75</v>
      </c>
    </row>
    <row r="1350" spans="1:20" x14ac:dyDescent="0.25">
      <c r="A1350" t="s">
        <v>1230</v>
      </c>
      <c r="B1350" s="4" t="s">
        <v>10</v>
      </c>
      <c r="C1350" s="4" t="s">
        <v>73</v>
      </c>
      <c r="D1350" s="4">
        <v>46139</v>
      </c>
      <c r="E1350" s="5">
        <v>0.63765046296296291</v>
      </c>
      <c r="F1350">
        <v>1</v>
      </c>
      <c r="G1350" t="s">
        <v>82</v>
      </c>
      <c r="H1350">
        <v>70.75</v>
      </c>
      <c r="M1350" t="s">
        <v>76</v>
      </c>
      <c r="N1350" t="s">
        <v>75</v>
      </c>
    </row>
    <row r="1351" spans="1:20" x14ac:dyDescent="0.25">
      <c r="A1351" t="s">
        <v>1233</v>
      </c>
      <c r="B1351" s="4" t="s">
        <v>10</v>
      </c>
      <c r="C1351" s="4" t="s">
        <v>70</v>
      </c>
      <c r="D1351" s="4">
        <v>46139</v>
      </c>
      <c r="E1351" s="5">
        <v>0.63812500000000005</v>
      </c>
      <c r="F1351">
        <v>1</v>
      </c>
      <c r="G1351" t="s">
        <v>82</v>
      </c>
      <c r="H1351">
        <v>2</v>
      </c>
      <c r="L1351" t="s">
        <v>1234</v>
      </c>
      <c r="M1351" t="s">
        <v>71</v>
      </c>
      <c r="N1351" t="s">
        <v>75</v>
      </c>
      <c r="O1351">
        <v>1</v>
      </c>
      <c r="R1351">
        <v>1</v>
      </c>
      <c r="S1351">
        <v>1</v>
      </c>
      <c r="T1351">
        <v>12</v>
      </c>
    </row>
    <row r="1352" spans="1:20" x14ac:dyDescent="0.25">
      <c r="A1352" t="s">
        <v>1234</v>
      </c>
      <c r="B1352" s="4" t="s">
        <v>10</v>
      </c>
      <c r="C1352" s="4" t="s">
        <v>73</v>
      </c>
      <c r="D1352" s="4">
        <v>46139</v>
      </c>
      <c r="E1352" s="5">
        <v>0.63812500000000005</v>
      </c>
      <c r="F1352">
        <v>1</v>
      </c>
      <c r="G1352" t="s">
        <v>82</v>
      </c>
      <c r="H1352">
        <v>11.75</v>
      </c>
      <c r="M1352" t="s">
        <v>74</v>
      </c>
      <c r="N1352" t="s">
        <v>75</v>
      </c>
    </row>
    <row r="1353" spans="1:20" x14ac:dyDescent="0.25">
      <c r="A1353" t="s">
        <v>1234</v>
      </c>
      <c r="B1353" s="4" t="s">
        <v>10</v>
      </c>
      <c r="C1353" s="4" t="s">
        <v>73</v>
      </c>
      <c r="D1353" s="4">
        <v>46139</v>
      </c>
      <c r="E1353" s="5">
        <v>0.63812500000000005</v>
      </c>
      <c r="F1353">
        <v>1</v>
      </c>
      <c r="G1353" t="s">
        <v>82</v>
      </c>
      <c r="H1353">
        <v>11.666666666666666</v>
      </c>
      <c r="M1353" t="s">
        <v>74</v>
      </c>
      <c r="N1353" t="s">
        <v>75</v>
      </c>
    </row>
    <row r="1354" spans="1:20" x14ac:dyDescent="0.25">
      <c r="A1354" t="s">
        <v>1234</v>
      </c>
      <c r="B1354" s="4" t="s">
        <v>10</v>
      </c>
      <c r="C1354" s="4" t="s">
        <v>73</v>
      </c>
      <c r="D1354" s="4">
        <v>46139</v>
      </c>
      <c r="E1354" s="5">
        <v>0.63850694444444445</v>
      </c>
      <c r="F1354">
        <v>1</v>
      </c>
      <c r="G1354" t="s">
        <v>82</v>
      </c>
      <c r="H1354">
        <v>12</v>
      </c>
      <c r="M1354" t="s">
        <v>76</v>
      </c>
      <c r="N1354" t="s">
        <v>75</v>
      </c>
    </row>
    <row r="1355" spans="1:20" x14ac:dyDescent="0.25">
      <c r="A1355" t="s">
        <v>1237</v>
      </c>
      <c r="B1355" s="4" t="s">
        <v>10</v>
      </c>
      <c r="C1355" s="4" t="s">
        <v>70</v>
      </c>
      <c r="D1355" s="4">
        <v>46139</v>
      </c>
      <c r="E1355" s="5">
        <v>0.6392592592592593</v>
      </c>
      <c r="F1355">
        <v>1</v>
      </c>
      <c r="G1355" t="s">
        <v>82</v>
      </c>
      <c r="H1355">
        <v>1</v>
      </c>
      <c r="L1355" t="s">
        <v>1238</v>
      </c>
      <c r="M1355" t="s">
        <v>71</v>
      </c>
      <c r="N1355" t="s">
        <v>75</v>
      </c>
      <c r="O1355">
        <v>1</v>
      </c>
      <c r="R1355">
        <v>1</v>
      </c>
      <c r="S1355">
        <v>1</v>
      </c>
      <c r="T1355">
        <v>11.916666666666666</v>
      </c>
    </row>
    <row r="1356" spans="1:20" x14ac:dyDescent="0.25">
      <c r="A1356" t="s">
        <v>1238</v>
      </c>
      <c r="B1356" s="4" t="s">
        <v>10</v>
      </c>
      <c r="C1356" s="4" t="s">
        <v>73</v>
      </c>
      <c r="D1356" s="4">
        <v>46139</v>
      </c>
      <c r="E1356" s="5">
        <v>0.6392592592592593</v>
      </c>
      <c r="F1356">
        <v>1</v>
      </c>
      <c r="G1356" t="s">
        <v>82</v>
      </c>
      <c r="H1356">
        <v>11.833333333333334</v>
      </c>
      <c r="M1356" t="s">
        <v>74</v>
      </c>
      <c r="N1356" t="s">
        <v>75</v>
      </c>
    </row>
    <row r="1357" spans="1:20" x14ac:dyDescent="0.25">
      <c r="A1357" t="s">
        <v>1238</v>
      </c>
      <c r="B1357" s="4" t="s">
        <v>10</v>
      </c>
      <c r="C1357" s="4" t="s">
        <v>73</v>
      </c>
      <c r="D1357" s="4">
        <v>46139</v>
      </c>
      <c r="E1357" s="5">
        <v>0.6392592592592593</v>
      </c>
      <c r="F1357">
        <v>1</v>
      </c>
      <c r="G1357" t="s">
        <v>82</v>
      </c>
      <c r="H1357">
        <v>11.75</v>
      </c>
      <c r="M1357" t="s">
        <v>74</v>
      </c>
      <c r="N1357" t="s">
        <v>75</v>
      </c>
    </row>
    <row r="1358" spans="1:20" x14ac:dyDescent="0.25">
      <c r="A1358" t="s">
        <v>1238</v>
      </c>
      <c r="B1358" s="4" t="s">
        <v>10</v>
      </c>
      <c r="C1358" s="4" t="s">
        <v>73</v>
      </c>
      <c r="D1358" s="4">
        <v>46139</v>
      </c>
      <c r="E1358" s="5">
        <v>0.63974537037037027</v>
      </c>
      <c r="F1358">
        <v>1</v>
      </c>
      <c r="G1358" t="s">
        <v>82</v>
      </c>
      <c r="H1358">
        <v>11.916666666666666</v>
      </c>
      <c r="M1358" t="s">
        <v>76</v>
      </c>
      <c r="N1358" t="s">
        <v>75</v>
      </c>
    </row>
    <row r="1359" spans="1:20" x14ac:dyDescent="0.25">
      <c r="A1359" t="s">
        <v>1240</v>
      </c>
      <c r="B1359" s="4" t="s">
        <v>10</v>
      </c>
      <c r="C1359" s="4" t="s">
        <v>70</v>
      </c>
      <c r="D1359" s="4">
        <v>46139</v>
      </c>
      <c r="E1359" s="5">
        <v>0.64027777777777772</v>
      </c>
      <c r="F1359">
        <v>1</v>
      </c>
      <c r="G1359" t="s">
        <v>82</v>
      </c>
      <c r="H1359">
        <v>15</v>
      </c>
      <c r="L1359" t="s">
        <v>1241</v>
      </c>
      <c r="M1359" t="s">
        <v>71</v>
      </c>
      <c r="N1359" t="s">
        <v>75</v>
      </c>
      <c r="O1359">
        <v>1</v>
      </c>
      <c r="S1359">
        <v>1</v>
      </c>
      <c r="T1359">
        <v>58.083333333333329</v>
      </c>
    </row>
    <row r="1360" spans="1:20" x14ac:dyDescent="0.25">
      <c r="A1360" t="s">
        <v>1241</v>
      </c>
      <c r="B1360" s="4" t="s">
        <v>10</v>
      </c>
      <c r="C1360" s="4" t="s">
        <v>73</v>
      </c>
      <c r="D1360" s="4">
        <v>46139</v>
      </c>
      <c r="E1360" s="5">
        <v>0.64027777777777772</v>
      </c>
      <c r="F1360">
        <v>1</v>
      </c>
      <c r="G1360" t="s">
        <v>82</v>
      </c>
      <c r="H1360">
        <v>59.416666666666671</v>
      </c>
      <c r="M1360" t="s">
        <v>74</v>
      </c>
      <c r="N1360" t="s">
        <v>75</v>
      </c>
    </row>
    <row r="1361" spans="1:21" x14ac:dyDescent="0.25">
      <c r="A1361" t="s">
        <v>1241</v>
      </c>
      <c r="B1361" s="4" t="s">
        <v>10</v>
      </c>
      <c r="C1361" s="4" t="s">
        <v>73</v>
      </c>
      <c r="D1361" s="4">
        <v>46139</v>
      </c>
      <c r="E1361" s="5">
        <v>0.64027777777777772</v>
      </c>
      <c r="F1361">
        <v>1</v>
      </c>
      <c r="G1361" t="s">
        <v>82</v>
      </c>
      <c r="H1361">
        <v>59.333333333333329</v>
      </c>
      <c r="M1361" t="s">
        <v>74</v>
      </c>
      <c r="N1361" t="s">
        <v>75</v>
      </c>
    </row>
    <row r="1362" spans="1:21" x14ac:dyDescent="0.25">
      <c r="A1362" t="s">
        <v>1241</v>
      </c>
      <c r="B1362" s="4" t="s">
        <v>10</v>
      </c>
      <c r="C1362" s="4" t="s">
        <v>73</v>
      </c>
      <c r="D1362" s="4">
        <v>46139</v>
      </c>
      <c r="E1362" s="5">
        <v>0.64054398148148139</v>
      </c>
      <c r="F1362">
        <v>1</v>
      </c>
      <c r="G1362" t="s">
        <v>82</v>
      </c>
      <c r="H1362">
        <v>58.083333333333329</v>
      </c>
      <c r="M1362" t="s">
        <v>76</v>
      </c>
      <c r="N1362" t="s">
        <v>75</v>
      </c>
    </row>
    <row r="1363" spans="1:21" x14ac:dyDescent="0.25">
      <c r="A1363" t="s">
        <v>1242</v>
      </c>
      <c r="B1363" s="4" t="s">
        <v>10</v>
      </c>
      <c r="C1363" s="4" t="s">
        <v>70</v>
      </c>
      <c r="D1363" s="4">
        <v>46139</v>
      </c>
      <c r="E1363" s="5">
        <v>0.64137731481481475</v>
      </c>
      <c r="F1363">
        <v>1</v>
      </c>
      <c r="G1363" t="s">
        <v>82</v>
      </c>
      <c r="H1363">
        <v>13.166666666666666</v>
      </c>
      <c r="L1363" t="s">
        <v>1243</v>
      </c>
      <c r="M1363" t="s">
        <v>71</v>
      </c>
      <c r="N1363" t="s">
        <v>75</v>
      </c>
      <c r="O1363">
        <v>1</v>
      </c>
      <c r="S1363">
        <v>1</v>
      </c>
      <c r="T1363">
        <v>37.166666666666664</v>
      </c>
    </row>
    <row r="1364" spans="1:21" x14ac:dyDescent="0.25">
      <c r="A1364" t="s">
        <v>1243</v>
      </c>
      <c r="B1364" s="4" t="s">
        <v>10</v>
      </c>
      <c r="C1364" s="4" t="s">
        <v>73</v>
      </c>
      <c r="D1364" s="4">
        <v>46139</v>
      </c>
      <c r="E1364" s="5">
        <v>0.64137731481481475</v>
      </c>
      <c r="F1364">
        <v>1</v>
      </c>
      <c r="G1364" t="s">
        <v>82</v>
      </c>
      <c r="H1364">
        <v>37.333333333333329</v>
      </c>
      <c r="M1364" t="s">
        <v>74</v>
      </c>
      <c r="N1364" t="s">
        <v>75</v>
      </c>
    </row>
    <row r="1365" spans="1:21" x14ac:dyDescent="0.25">
      <c r="A1365" t="s">
        <v>1243</v>
      </c>
      <c r="B1365" s="4" t="s">
        <v>10</v>
      </c>
      <c r="C1365" s="4" t="s">
        <v>73</v>
      </c>
      <c r="D1365" s="4">
        <v>46139</v>
      </c>
      <c r="E1365" s="5">
        <v>0.64137731481481475</v>
      </c>
      <c r="F1365">
        <v>1</v>
      </c>
      <c r="G1365" t="s">
        <v>82</v>
      </c>
      <c r="H1365">
        <v>37.25</v>
      </c>
      <c r="M1365" t="s">
        <v>74</v>
      </c>
      <c r="N1365" t="s">
        <v>75</v>
      </c>
    </row>
    <row r="1366" spans="1:21" x14ac:dyDescent="0.25">
      <c r="A1366" t="s">
        <v>1243</v>
      </c>
      <c r="B1366" s="4" t="s">
        <v>10</v>
      </c>
      <c r="C1366" s="4" t="s">
        <v>73</v>
      </c>
      <c r="D1366" s="4">
        <v>46139</v>
      </c>
      <c r="E1366" s="5">
        <v>0.64163194444444438</v>
      </c>
      <c r="F1366">
        <v>1</v>
      </c>
      <c r="G1366" t="s">
        <v>82</v>
      </c>
      <c r="H1366">
        <v>37.166666666666664</v>
      </c>
      <c r="M1366" t="s">
        <v>76</v>
      </c>
      <c r="N1366" t="s">
        <v>75</v>
      </c>
    </row>
    <row r="1367" spans="1:21" x14ac:dyDescent="0.25">
      <c r="A1367" t="s">
        <v>1244</v>
      </c>
      <c r="B1367" s="4" t="s">
        <v>10</v>
      </c>
      <c r="C1367" s="4" t="s">
        <v>70</v>
      </c>
      <c r="D1367" s="4">
        <v>46139</v>
      </c>
      <c r="E1367" s="5">
        <v>0.64218749999999991</v>
      </c>
      <c r="F1367">
        <v>1</v>
      </c>
      <c r="G1367" t="s">
        <v>82</v>
      </c>
      <c r="H1367">
        <v>3</v>
      </c>
      <c r="L1367" t="s">
        <v>1245</v>
      </c>
      <c r="M1367" t="s">
        <v>71</v>
      </c>
      <c r="N1367" t="s">
        <v>75</v>
      </c>
      <c r="O1367">
        <v>1</v>
      </c>
      <c r="S1367">
        <v>1</v>
      </c>
      <c r="T1367">
        <v>62.5</v>
      </c>
    </row>
    <row r="1368" spans="1:21" x14ac:dyDescent="0.25">
      <c r="A1368" t="s">
        <v>1245</v>
      </c>
      <c r="B1368" s="4" t="s">
        <v>10</v>
      </c>
      <c r="C1368" s="4" t="s">
        <v>73</v>
      </c>
      <c r="D1368" s="4">
        <v>46139</v>
      </c>
      <c r="E1368" s="5">
        <v>0.64218749999999991</v>
      </c>
      <c r="F1368">
        <v>1</v>
      </c>
      <c r="G1368" t="s">
        <v>82</v>
      </c>
      <c r="H1368">
        <v>62.666666666666657</v>
      </c>
      <c r="M1368" t="s">
        <v>74</v>
      </c>
      <c r="N1368" t="s">
        <v>75</v>
      </c>
    </row>
    <row r="1369" spans="1:21" x14ac:dyDescent="0.25">
      <c r="A1369" t="s">
        <v>1245</v>
      </c>
      <c r="B1369" s="4" t="s">
        <v>10</v>
      </c>
      <c r="C1369" s="4" t="s">
        <v>73</v>
      </c>
      <c r="D1369" s="4">
        <v>46139</v>
      </c>
      <c r="E1369" s="5">
        <v>0.64218749999999991</v>
      </c>
      <c r="F1369">
        <v>1</v>
      </c>
      <c r="G1369" t="s">
        <v>82</v>
      </c>
      <c r="H1369">
        <v>62.583333333333329</v>
      </c>
      <c r="M1369" t="s">
        <v>74</v>
      </c>
      <c r="N1369" t="s">
        <v>75</v>
      </c>
    </row>
    <row r="1370" spans="1:21" x14ac:dyDescent="0.25">
      <c r="A1370" t="s">
        <v>1245</v>
      </c>
      <c r="B1370" s="4" t="s">
        <v>10</v>
      </c>
      <c r="C1370" s="4" t="s">
        <v>73</v>
      </c>
      <c r="D1370" s="4">
        <v>46139</v>
      </c>
      <c r="E1370" s="5">
        <v>0.64255787037037038</v>
      </c>
      <c r="F1370">
        <v>1</v>
      </c>
      <c r="G1370" t="s">
        <v>82</v>
      </c>
      <c r="H1370">
        <v>62.5</v>
      </c>
      <c r="M1370" t="s">
        <v>76</v>
      </c>
      <c r="N1370" t="s">
        <v>75</v>
      </c>
    </row>
    <row r="1371" spans="1:21" x14ac:dyDescent="0.25">
      <c r="A1371" t="s">
        <v>1246</v>
      </c>
      <c r="B1371" s="4" t="s">
        <v>10</v>
      </c>
      <c r="C1371" s="4" t="s">
        <v>70</v>
      </c>
      <c r="D1371" s="4">
        <v>46139</v>
      </c>
      <c r="E1371" s="5">
        <v>0.6431944444444444</v>
      </c>
      <c r="F1371">
        <v>1</v>
      </c>
      <c r="G1371" t="s">
        <v>82</v>
      </c>
      <c r="H1371">
        <v>19</v>
      </c>
      <c r="L1371" t="s">
        <v>1247</v>
      </c>
      <c r="M1371" t="s">
        <v>71</v>
      </c>
      <c r="N1371" t="s">
        <v>72</v>
      </c>
      <c r="O1371">
        <v>1</v>
      </c>
      <c r="R1371">
        <v>1</v>
      </c>
      <c r="S1371">
        <v>1</v>
      </c>
      <c r="T1371">
        <v>6.833333333333333</v>
      </c>
    </row>
    <row r="1372" spans="1:21" x14ac:dyDescent="0.25">
      <c r="A1372" t="s">
        <v>1247</v>
      </c>
      <c r="B1372" s="4" t="s">
        <v>10</v>
      </c>
      <c r="C1372" s="4" t="s">
        <v>73</v>
      </c>
      <c r="D1372" s="4">
        <v>46139</v>
      </c>
      <c r="E1372" s="5">
        <v>0.6431944444444444</v>
      </c>
      <c r="F1372">
        <v>1</v>
      </c>
      <c r="G1372" t="s">
        <v>82</v>
      </c>
      <c r="H1372">
        <v>6.6666666666666661</v>
      </c>
      <c r="M1372" t="s">
        <v>74</v>
      </c>
      <c r="N1372" t="s">
        <v>72</v>
      </c>
    </row>
    <row r="1373" spans="1:21" x14ac:dyDescent="0.25">
      <c r="A1373" t="s">
        <v>1247</v>
      </c>
      <c r="B1373" s="4" t="s">
        <v>10</v>
      </c>
      <c r="C1373" s="4" t="s">
        <v>73</v>
      </c>
      <c r="D1373" s="4">
        <v>46139</v>
      </c>
      <c r="E1373" s="5">
        <v>0.6431944444444444</v>
      </c>
      <c r="F1373">
        <v>1</v>
      </c>
      <c r="G1373" t="s">
        <v>82</v>
      </c>
      <c r="H1373">
        <v>6.583333333333333</v>
      </c>
      <c r="M1373" t="s">
        <v>74</v>
      </c>
      <c r="N1373" t="s">
        <v>72</v>
      </c>
    </row>
    <row r="1374" spans="1:21" x14ac:dyDescent="0.25">
      <c r="A1374" t="s">
        <v>1247</v>
      </c>
      <c r="B1374" s="4" t="s">
        <v>10</v>
      </c>
      <c r="C1374" s="4" t="s">
        <v>73</v>
      </c>
      <c r="D1374" s="4">
        <v>46139</v>
      </c>
      <c r="E1374" s="5">
        <v>0.64337962962962958</v>
      </c>
      <c r="F1374">
        <v>1</v>
      </c>
      <c r="G1374" t="s">
        <v>82</v>
      </c>
      <c r="H1374">
        <v>6.833333333333333</v>
      </c>
      <c r="M1374" t="s">
        <v>76</v>
      </c>
      <c r="N1374" t="s">
        <v>72</v>
      </c>
    </row>
    <row r="1375" spans="1:21" x14ac:dyDescent="0.25">
      <c r="A1375" t="s">
        <v>1250</v>
      </c>
      <c r="B1375" s="4" t="s">
        <v>10</v>
      </c>
      <c r="C1375" s="4" t="s">
        <v>73</v>
      </c>
      <c r="D1375" s="4">
        <v>46139</v>
      </c>
      <c r="E1375" s="5">
        <v>0.64406249999999998</v>
      </c>
      <c r="F1375">
        <v>1</v>
      </c>
      <c r="G1375" t="s">
        <v>82</v>
      </c>
      <c r="H1375">
        <v>25.166666666666668</v>
      </c>
      <c r="M1375" t="s">
        <v>74</v>
      </c>
      <c r="N1375" t="s">
        <v>75</v>
      </c>
    </row>
    <row r="1376" spans="1:21" x14ac:dyDescent="0.25">
      <c r="A1376" t="s">
        <v>1251</v>
      </c>
      <c r="B1376" s="4" t="s">
        <v>10</v>
      </c>
      <c r="C1376" s="4" t="s">
        <v>70</v>
      </c>
      <c r="D1376" s="4">
        <v>46139</v>
      </c>
      <c r="E1376" s="5">
        <v>0.64439814814814811</v>
      </c>
      <c r="F1376">
        <v>1</v>
      </c>
      <c r="G1376" t="s">
        <v>82</v>
      </c>
      <c r="H1376">
        <v>25.25</v>
      </c>
      <c r="L1376" t="s">
        <v>1250</v>
      </c>
      <c r="M1376" t="s">
        <v>71</v>
      </c>
      <c r="N1376" t="s">
        <v>75</v>
      </c>
      <c r="O1376">
        <v>1</v>
      </c>
      <c r="Q1376">
        <v>1</v>
      </c>
      <c r="S1376">
        <v>1</v>
      </c>
      <c r="U1376">
        <v>0</v>
      </c>
    </row>
    <row r="1377" spans="1:20" x14ac:dyDescent="0.25">
      <c r="A1377" t="s">
        <v>1250</v>
      </c>
      <c r="B1377" s="4" t="s">
        <v>10</v>
      </c>
      <c r="C1377" s="4" t="s">
        <v>73</v>
      </c>
      <c r="D1377" s="4">
        <v>46139</v>
      </c>
      <c r="E1377" s="5">
        <v>0.64439814814814811</v>
      </c>
      <c r="F1377">
        <v>1</v>
      </c>
      <c r="G1377" t="s">
        <v>82</v>
      </c>
      <c r="H1377">
        <v>0</v>
      </c>
      <c r="M1377" t="s">
        <v>74</v>
      </c>
      <c r="N1377" t="s">
        <v>75</v>
      </c>
    </row>
    <row r="1378" spans="1:20" x14ac:dyDescent="0.25">
      <c r="A1378" t="s">
        <v>1250</v>
      </c>
      <c r="B1378" s="4" t="s">
        <v>10</v>
      </c>
      <c r="C1378" s="4" t="s">
        <v>73</v>
      </c>
      <c r="D1378" s="4">
        <v>46139</v>
      </c>
      <c r="E1378" s="5">
        <v>0.64439814814814811</v>
      </c>
      <c r="F1378">
        <v>1</v>
      </c>
      <c r="G1378" t="s">
        <v>82</v>
      </c>
      <c r="H1378">
        <v>0</v>
      </c>
      <c r="M1378" t="s">
        <v>74</v>
      </c>
      <c r="N1378" t="s">
        <v>75</v>
      </c>
    </row>
    <row r="1379" spans="1:20" x14ac:dyDescent="0.25">
      <c r="A1379" t="s">
        <v>1252</v>
      </c>
      <c r="B1379" s="4" t="s">
        <v>10</v>
      </c>
      <c r="C1379" s="4" t="s">
        <v>70</v>
      </c>
      <c r="D1379" s="4">
        <v>46139</v>
      </c>
      <c r="E1379" s="5">
        <v>0.64520833333333327</v>
      </c>
      <c r="F1379">
        <v>1</v>
      </c>
      <c r="G1379" t="s">
        <v>82</v>
      </c>
      <c r="H1379">
        <v>13.5</v>
      </c>
      <c r="L1379" t="s">
        <v>1253</v>
      </c>
      <c r="M1379" t="s">
        <v>71</v>
      </c>
      <c r="N1379" t="s">
        <v>75</v>
      </c>
      <c r="O1379">
        <v>1</v>
      </c>
      <c r="S1379">
        <v>1</v>
      </c>
      <c r="T1379">
        <v>75.333333333333329</v>
      </c>
    </row>
    <row r="1380" spans="1:20" x14ac:dyDescent="0.25">
      <c r="A1380" t="s">
        <v>1253</v>
      </c>
      <c r="B1380" s="4" t="s">
        <v>10</v>
      </c>
      <c r="C1380" s="4" t="s">
        <v>73</v>
      </c>
      <c r="D1380" s="4">
        <v>46139</v>
      </c>
      <c r="E1380" s="5">
        <v>0.64520833333333327</v>
      </c>
      <c r="F1380">
        <v>1</v>
      </c>
      <c r="G1380" t="s">
        <v>82</v>
      </c>
      <c r="H1380">
        <v>75.5</v>
      </c>
      <c r="M1380" t="s">
        <v>74</v>
      </c>
      <c r="N1380" t="s">
        <v>75</v>
      </c>
    </row>
    <row r="1381" spans="1:20" x14ac:dyDescent="0.25">
      <c r="A1381" t="s">
        <v>1253</v>
      </c>
      <c r="B1381" s="4" t="s">
        <v>10</v>
      </c>
      <c r="C1381" s="4" t="s">
        <v>73</v>
      </c>
      <c r="D1381" s="4">
        <v>46139</v>
      </c>
      <c r="E1381" s="5">
        <v>0.64521990740740742</v>
      </c>
      <c r="F1381">
        <v>1</v>
      </c>
      <c r="G1381" t="s">
        <v>82</v>
      </c>
      <c r="H1381">
        <v>75.416666666666671</v>
      </c>
      <c r="M1381" t="s">
        <v>74</v>
      </c>
      <c r="N1381" t="s">
        <v>75</v>
      </c>
    </row>
    <row r="1382" spans="1:20" x14ac:dyDescent="0.25">
      <c r="A1382" t="s">
        <v>1253</v>
      </c>
      <c r="B1382" s="4" t="s">
        <v>10</v>
      </c>
      <c r="C1382" s="4" t="s">
        <v>73</v>
      </c>
      <c r="D1382" s="4">
        <v>46139</v>
      </c>
      <c r="E1382" s="5">
        <v>0.64549768518518513</v>
      </c>
      <c r="F1382">
        <v>1</v>
      </c>
      <c r="G1382" t="s">
        <v>82</v>
      </c>
      <c r="H1382">
        <v>75.333333333333329</v>
      </c>
      <c r="M1382" t="s">
        <v>76</v>
      </c>
      <c r="N1382" t="s">
        <v>75</v>
      </c>
    </row>
    <row r="1383" spans="1:20" x14ac:dyDescent="0.25">
      <c r="A1383" t="s">
        <v>1254</v>
      </c>
      <c r="B1383" s="4" t="s">
        <v>10</v>
      </c>
      <c r="C1383" s="4" t="s">
        <v>70</v>
      </c>
      <c r="D1383" s="4">
        <v>46139</v>
      </c>
      <c r="E1383" s="5">
        <v>0.64636574074074071</v>
      </c>
      <c r="F1383">
        <v>1</v>
      </c>
      <c r="G1383" t="s">
        <v>82</v>
      </c>
      <c r="H1383">
        <v>48.583333333333336</v>
      </c>
      <c r="L1383" t="s">
        <v>1255</v>
      </c>
      <c r="M1383" t="s">
        <v>71</v>
      </c>
      <c r="N1383" t="s">
        <v>78</v>
      </c>
      <c r="O1383">
        <v>1</v>
      </c>
      <c r="R1383">
        <v>1</v>
      </c>
      <c r="S1383">
        <v>1</v>
      </c>
      <c r="T1383">
        <v>28.083333333333332</v>
      </c>
    </row>
    <row r="1384" spans="1:20" x14ac:dyDescent="0.25">
      <c r="A1384" t="s">
        <v>1255</v>
      </c>
      <c r="B1384" s="4" t="s">
        <v>10</v>
      </c>
      <c r="C1384" s="4" t="s">
        <v>73</v>
      </c>
      <c r="D1384" s="4">
        <v>46139</v>
      </c>
      <c r="E1384" s="5">
        <v>0.64636574074074071</v>
      </c>
      <c r="F1384">
        <v>1</v>
      </c>
      <c r="G1384" t="s">
        <v>82</v>
      </c>
      <c r="H1384">
        <v>28.333333333333329</v>
      </c>
      <c r="M1384" t="s">
        <v>74</v>
      </c>
      <c r="N1384" t="s">
        <v>78</v>
      </c>
    </row>
    <row r="1385" spans="1:20" x14ac:dyDescent="0.25">
      <c r="A1385" t="s">
        <v>1255</v>
      </c>
      <c r="B1385" s="4" t="s">
        <v>10</v>
      </c>
      <c r="C1385" s="4" t="s">
        <v>73</v>
      </c>
      <c r="D1385" s="4">
        <v>46139</v>
      </c>
      <c r="E1385" s="5">
        <v>0.64636574074074071</v>
      </c>
      <c r="F1385">
        <v>1</v>
      </c>
      <c r="G1385" t="s">
        <v>82</v>
      </c>
      <c r="H1385">
        <v>28.25</v>
      </c>
      <c r="M1385" t="s">
        <v>74</v>
      </c>
      <c r="N1385" t="s">
        <v>78</v>
      </c>
    </row>
    <row r="1386" spans="1:20" x14ac:dyDescent="0.25">
      <c r="A1386" t="s">
        <v>1255</v>
      </c>
      <c r="B1386" s="4" t="s">
        <v>10</v>
      </c>
      <c r="C1386" s="4" t="s">
        <v>73</v>
      </c>
      <c r="D1386" s="4">
        <v>46139</v>
      </c>
      <c r="E1386" s="5">
        <v>0.64656249999999993</v>
      </c>
      <c r="F1386">
        <v>1</v>
      </c>
      <c r="G1386" t="s">
        <v>82</v>
      </c>
      <c r="H1386">
        <v>28.083333333333332</v>
      </c>
      <c r="M1386" t="s">
        <v>76</v>
      </c>
      <c r="N1386" t="s">
        <v>78</v>
      </c>
    </row>
    <row r="1387" spans="1:20" x14ac:dyDescent="0.25">
      <c r="A1387" t="s">
        <v>1256</v>
      </c>
      <c r="B1387" s="4" t="s">
        <v>10</v>
      </c>
      <c r="C1387" s="4" t="s">
        <v>70</v>
      </c>
      <c r="D1387" s="4">
        <v>46139</v>
      </c>
      <c r="E1387" s="5">
        <v>0.64728009259259256</v>
      </c>
      <c r="F1387">
        <v>1</v>
      </c>
      <c r="G1387" t="s">
        <v>82</v>
      </c>
      <c r="H1387">
        <v>21.583333333333332</v>
      </c>
      <c r="L1387" t="s">
        <v>1257</v>
      </c>
      <c r="M1387" t="s">
        <v>71</v>
      </c>
      <c r="N1387" t="s">
        <v>72</v>
      </c>
      <c r="O1387">
        <v>1</v>
      </c>
      <c r="R1387">
        <v>1</v>
      </c>
      <c r="S1387">
        <v>1</v>
      </c>
      <c r="T1387">
        <v>23.583333333333332</v>
      </c>
    </row>
    <row r="1388" spans="1:20" x14ac:dyDescent="0.25">
      <c r="A1388" t="s">
        <v>1257</v>
      </c>
      <c r="B1388" s="4" t="s">
        <v>10</v>
      </c>
      <c r="C1388" s="4" t="s">
        <v>73</v>
      </c>
      <c r="D1388" s="4">
        <v>46139</v>
      </c>
      <c r="E1388" s="5">
        <v>0.64728009259259256</v>
      </c>
      <c r="F1388">
        <v>1</v>
      </c>
      <c r="G1388" t="s">
        <v>82</v>
      </c>
      <c r="H1388">
        <v>23.916666666666664</v>
      </c>
      <c r="M1388" t="s">
        <v>74</v>
      </c>
      <c r="N1388" t="s">
        <v>72</v>
      </c>
    </row>
    <row r="1389" spans="1:20" x14ac:dyDescent="0.25">
      <c r="A1389" t="s">
        <v>1257</v>
      </c>
      <c r="B1389" s="4" t="s">
        <v>10</v>
      </c>
      <c r="C1389" s="4" t="s">
        <v>73</v>
      </c>
      <c r="D1389" s="4">
        <v>46139</v>
      </c>
      <c r="E1389" s="5">
        <v>0.64728009259259256</v>
      </c>
      <c r="F1389">
        <v>1</v>
      </c>
      <c r="G1389" t="s">
        <v>82</v>
      </c>
      <c r="H1389">
        <v>23.833333333333332</v>
      </c>
      <c r="M1389" t="s">
        <v>74</v>
      </c>
      <c r="N1389" t="s">
        <v>72</v>
      </c>
    </row>
    <row r="1390" spans="1:20" x14ac:dyDescent="0.25">
      <c r="A1390" t="s">
        <v>1257</v>
      </c>
      <c r="B1390" s="4" t="s">
        <v>10</v>
      </c>
      <c r="C1390" s="4" t="s">
        <v>73</v>
      </c>
      <c r="D1390" s="4">
        <v>46139</v>
      </c>
      <c r="E1390" s="5">
        <v>0.647511574074074</v>
      </c>
      <c r="F1390">
        <v>1</v>
      </c>
      <c r="G1390" t="s">
        <v>82</v>
      </c>
      <c r="H1390">
        <v>23.583333333333332</v>
      </c>
      <c r="M1390" t="s">
        <v>76</v>
      </c>
      <c r="N1390" t="s">
        <v>72</v>
      </c>
    </row>
    <row r="1391" spans="1:20" x14ac:dyDescent="0.25">
      <c r="A1391" t="s">
        <v>1258</v>
      </c>
      <c r="B1391" s="4" t="s">
        <v>10</v>
      </c>
      <c r="C1391" s="4" t="s">
        <v>70</v>
      </c>
      <c r="D1391" s="4">
        <v>46139</v>
      </c>
      <c r="E1391" s="5">
        <v>0.64812499999999995</v>
      </c>
      <c r="F1391">
        <v>1</v>
      </c>
      <c r="G1391" t="s">
        <v>82</v>
      </c>
      <c r="H1391">
        <v>10</v>
      </c>
      <c r="L1391" t="s">
        <v>1259</v>
      </c>
      <c r="M1391" t="s">
        <v>71</v>
      </c>
      <c r="N1391" t="s">
        <v>75</v>
      </c>
      <c r="O1391">
        <v>1</v>
      </c>
      <c r="R1391">
        <v>1</v>
      </c>
      <c r="S1391">
        <v>1</v>
      </c>
      <c r="T1391">
        <v>29.25</v>
      </c>
    </row>
    <row r="1392" spans="1:20" x14ac:dyDescent="0.25">
      <c r="A1392" t="s">
        <v>1259</v>
      </c>
      <c r="B1392" s="4" t="s">
        <v>10</v>
      </c>
      <c r="C1392" s="4" t="s">
        <v>73</v>
      </c>
      <c r="D1392" s="4">
        <v>46139</v>
      </c>
      <c r="E1392" s="5">
        <v>0.64812499999999995</v>
      </c>
      <c r="F1392">
        <v>1</v>
      </c>
      <c r="G1392" t="s">
        <v>82</v>
      </c>
      <c r="H1392">
        <v>29.333333333333332</v>
      </c>
      <c r="M1392" t="s">
        <v>79</v>
      </c>
      <c r="N1392" t="s">
        <v>75</v>
      </c>
    </row>
    <row r="1393" spans="1:21" x14ac:dyDescent="0.25">
      <c r="A1393" t="s">
        <v>1259</v>
      </c>
      <c r="B1393" s="4" t="s">
        <v>10</v>
      </c>
      <c r="C1393" s="4" t="s">
        <v>73</v>
      </c>
      <c r="D1393" s="4">
        <v>46139</v>
      </c>
      <c r="E1393" s="5">
        <v>0.64812499999999995</v>
      </c>
      <c r="F1393">
        <v>1</v>
      </c>
      <c r="G1393" t="s">
        <v>82</v>
      </c>
      <c r="H1393">
        <v>29.25</v>
      </c>
      <c r="M1393" t="s">
        <v>79</v>
      </c>
      <c r="N1393" t="s">
        <v>75</v>
      </c>
    </row>
    <row r="1394" spans="1:21" x14ac:dyDescent="0.25">
      <c r="A1394" t="s">
        <v>1259</v>
      </c>
      <c r="B1394" s="4" t="s">
        <v>10</v>
      </c>
      <c r="C1394" s="4" t="s">
        <v>73</v>
      </c>
      <c r="D1394" s="4">
        <v>46139</v>
      </c>
      <c r="E1394" s="5">
        <v>0.64840277777777777</v>
      </c>
      <c r="F1394">
        <v>1</v>
      </c>
      <c r="G1394" t="s">
        <v>82</v>
      </c>
      <c r="H1394">
        <v>29.25</v>
      </c>
      <c r="M1394" t="s">
        <v>76</v>
      </c>
      <c r="N1394" t="s">
        <v>75</v>
      </c>
    </row>
    <row r="1395" spans="1:21" x14ac:dyDescent="0.25">
      <c r="A1395" t="s">
        <v>1260</v>
      </c>
      <c r="B1395" s="4" t="s">
        <v>10</v>
      </c>
      <c r="C1395" s="4" t="s">
        <v>70</v>
      </c>
      <c r="D1395" s="4">
        <v>46139</v>
      </c>
      <c r="E1395" s="5">
        <v>0.64916666666666667</v>
      </c>
      <c r="F1395">
        <v>1</v>
      </c>
      <c r="G1395" t="s">
        <v>82</v>
      </c>
      <c r="H1395">
        <v>172</v>
      </c>
      <c r="L1395" t="s">
        <v>1261</v>
      </c>
      <c r="M1395" t="s">
        <v>71</v>
      </c>
      <c r="N1395" t="s">
        <v>72</v>
      </c>
      <c r="O1395">
        <v>1</v>
      </c>
      <c r="S1395">
        <v>1</v>
      </c>
      <c r="T1395">
        <v>55</v>
      </c>
    </row>
    <row r="1396" spans="1:21" x14ac:dyDescent="0.25">
      <c r="A1396" t="s">
        <v>1261</v>
      </c>
      <c r="B1396" s="4" t="s">
        <v>10</v>
      </c>
      <c r="C1396" s="4" t="s">
        <v>73</v>
      </c>
      <c r="D1396" s="4">
        <v>46139</v>
      </c>
      <c r="E1396" s="5">
        <v>0.64916666666666667</v>
      </c>
      <c r="F1396">
        <v>1</v>
      </c>
      <c r="G1396" t="s">
        <v>82</v>
      </c>
      <c r="H1396">
        <v>57.583333333333336</v>
      </c>
      <c r="M1396" t="s">
        <v>79</v>
      </c>
      <c r="N1396" t="s">
        <v>72</v>
      </c>
    </row>
    <row r="1397" spans="1:21" x14ac:dyDescent="0.25">
      <c r="A1397" t="s">
        <v>1261</v>
      </c>
      <c r="B1397" s="4" t="s">
        <v>10</v>
      </c>
      <c r="C1397" s="4" t="s">
        <v>73</v>
      </c>
      <c r="D1397" s="4">
        <v>46139</v>
      </c>
      <c r="E1397" s="5">
        <v>0.64916666666666667</v>
      </c>
      <c r="F1397">
        <v>1</v>
      </c>
      <c r="G1397" t="s">
        <v>82</v>
      </c>
      <c r="H1397">
        <v>57.5</v>
      </c>
      <c r="M1397" t="s">
        <v>79</v>
      </c>
      <c r="N1397" t="s">
        <v>72</v>
      </c>
    </row>
    <row r="1398" spans="1:21" x14ac:dyDescent="0.25">
      <c r="A1398" t="s">
        <v>1261</v>
      </c>
      <c r="B1398" s="4" t="s">
        <v>10</v>
      </c>
      <c r="C1398" s="4" t="s">
        <v>73</v>
      </c>
      <c r="D1398" s="4">
        <v>46139</v>
      </c>
      <c r="E1398" s="5">
        <v>0.64944444444444438</v>
      </c>
      <c r="F1398">
        <v>1</v>
      </c>
      <c r="G1398" t="s">
        <v>82</v>
      </c>
      <c r="H1398">
        <v>55</v>
      </c>
      <c r="M1398" t="s">
        <v>76</v>
      </c>
      <c r="N1398" t="s">
        <v>72</v>
      </c>
    </row>
    <row r="1399" spans="1:21" x14ac:dyDescent="0.25">
      <c r="A1399" t="s">
        <v>1264</v>
      </c>
      <c r="B1399" s="4" t="s">
        <v>10</v>
      </c>
      <c r="C1399" s="4" t="s">
        <v>70</v>
      </c>
      <c r="D1399" s="4">
        <v>46139</v>
      </c>
      <c r="E1399" s="5">
        <v>0.65032407407407411</v>
      </c>
      <c r="F1399">
        <v>1</v>
      </c>
      <c r="G1399" t="s">
        <v>82</v>
      </c>
      <c r="H1399">
        <v>12</v>
      </c>
      <c r="L1399" t="s">
        <v>1265</v>
      </c>
      <c r="M1399" t="s">
        <v>71</v>
      </c>
      <c r="N1399" t="s">
        <v>75</v>
      </c>
      <c r="O1399">
        <v>1</v>
      </c>
      <c r="S1399">
        <v>1</v>
      </c>
      <c r="T1399">
        <v>66.75</v>
      </c>
    </row>
    <row r="1400" spans="1:21" x14ac:dyDescent="0.25">
      <c r="A1400" t="s">
        <v>1265</v>
      </c>
      <c r="B1400" s="4" t="s">
        <v>10</v>
      </c>
      <c r="C1400" s="4" t="s">
        <v>73</v>
      </c>
      <c r="D1400" s="4">
        <v>46139</v>
      </c>
      <c r="E1400" s="5">
        <v>0.65032407407407411</v>
      </c>
      <c r="F1400">
        <v>1</v>
      </c>
      <c r="G1400" t="s">
        <v>82</v>
      </c>
      <c r="H1400">
        <v>66.916666666666671</v>
      </c>
      <c r="M1400" t="s">
        <v>79</v>
      </c>
      <c r="N1400" t="s">
        <v>75</v>
      </c>
    </row>
    <row r="1401" spans="1:21" x14ac:dyDescent="0.25">
      <c r="A1401" t="s">
        <v>1265</v>
      </c>
      <c r="B1401" s="4" t="s">
        <v>10</v>
      </c>
      <c r="C1401" s="4" t="s">
        <v>73</v>
      </c>
      <c r="D1401" s="4">
        <v>46139</v>
      </c>
      <c r="E1401" s="5">
        <v>0.65032407407407411</v>
      </c>
      <c r="F1401">
        <v>1</v>
      </c>
      <c r="G1401" t="s">
        <v>82</v>
      </c>
      <c r="H1401">
        <v>66.833333333333329</v>
      </c>
      <c r="M1401" t="s">
        <v>79</v>
      </c>
      <c r="N1401" t="s">
        <v>75</v>
      </c>
    </row>
    <row r="1402" spans="1:21" x14ac:dyDescent="0.25">
      <c r="A1402" t="s">
        <v>1265</v>
      </c>
      <c r="B1402" s="4" t="s">
        <v>10</v>
      </c>
      <c r="C1402" s="4" t="s">
        <v>73</v>
      </c>
      <c r="D1402" s="4">
        <v>46139</v>
      </c>
      <c r="E1402" s="5">
        <v>0.65061342592592586</v>
      </c>
      <c r="F1402">
        <v>1</v>
      </c>
      <c r="G1402" t="s">
        <v>82</v>
      </c>
      <c r="H1402">
        <v>66.75</v>
      </c>
      <c r="M1402" t="s">
        <v>76</v>
      </c>
      <c r="N1402" t="s">
        <v>75</v>
      </c>
    </row>
    <row r="1403" spans="1:21" x14ac:dyDescent="0.25">
      <c r="A1403" t="s">
        <v>1268</v>
      </c>
      <c r="B1403" s="4" t="s">
        <v>10</v>
      </c>
      <c r="C1403" s="4" t="s">
        <v>70</v>
      </c>
      <c r="D1403" s="4">
        <v>46139</v>
      </c>
      <c r="E1403" s="5">
        <v>0.65135416666666668</v>
      </c>
      <c r="F1403">
        <v>1</v>
      </c>
      <c r="G1403" t="s">
        <v>82</v>
      </c>
      <c r="H1403">
        <v>14.5</v>
      </c>
      <c r="L1403" t="s">
        <v>1269</v>
      </c>
      <c r="M1403" t="s">
        <v>71</v>
      </c>
      <c r="N1403" t="s">
        <v>72</v>
      </c>
      <c r="O1403">
        <v>1</v>
      </c>
      <c r="Q1403">
        <v>1</v>
      </c>
      <c r="S1403">
        <v>1</v>
      </c>
      <c r="U1403">
        <v>0.5</v>
      </c>
    </row>
    <row r="1404" spans="1:21" x14ac:dyDescent="0.25">
      <c r="A1404" t="s">
        <v>1269</v>
      </c>
      <c r="B1404" s="4" t="s">
        <v>10</v>
      </c>
      <c r="C1404" s="4" t="s">
        <v>73</v>
      </c>
      <c r="D1404" s="4">
        <v>46139</v>
      </c>
      <c r="E1404" s="5">
        <v>0.65135416666666668</v>
      </c>
      <c r="F1404">
        <v>1</v>
      </c>
      <c r="G1404" t="s">
        <v>82</v>
      </c>
      <c r="H1404">
        <v>0.5</v>
      </c>
      <c r="M1404" t="s">
        <v>79</v>
      </c>
      <c r="N1404" t="s">
        <v>72</v>
      </c>
    </row>
    <row r="1405" spans="1:21" x14ac:dyDescent="0.25">
      <c r="A1405" t="s">
        <v>1269</v>
      </c>
      <c r="B1405" s="4" t="s">
        <v>10</v>
      </c>
      <c r="C1405" s="4" t="s">
        <v>73</v>
      </c>
      <c r="D1405" s="4">
        <v>46139</v>
      </c>
      <c r="E1405" s="5">
        <v>0.65135416666666668</v>
      </c>
      <c r="F1405">
        <v>1</v>
      </c>
      <c r="G1405" t="s">
        <v>82</v>
      </c>
      <c r="H1405">
        <v>0</v>
      </c>
      <c r="M1405" t="s">
        <v>79</v>
      </c>
      <c r="N1405" t="s">
        <v>72</v>
      </c>
    </row>
    <row r="1406" spans="1:21" x14ac:dyDescent="0.25">
      <c r="A1406" t="s">
        <v>1270</v>
      </c>
      <c r="B1406" s="4" t="s">
        <v>10</v>
      </c>
      <c r="C1406" s="4" t="s">
        <v>73</v>
      </c>
      <c r="D1406" s="4">
        <v>46139</v>
      </c>
      <c r="E1406" s="5">
        <v>0.65215277777777769</v>
      </c>
      <c r="F1406">
        <v>1</v>
      </c>
      <c r="G1406" t="s">
        <v>82</v>
      </c>
      <c r="H1406">
        <v>23.583333333333332</v>
      </c>
      <c r="M1406" t="s">
        <v>79</v>
      </c>
      <c r="N1406" t="s">
        <v>72</v>
      </c>
    </row>
    <row r="1407" spans="1:21" x14ac:dyDescent="0.25">
      <c r="A1407" t="s">
        <v>1272</v>
      </c>
      <c r="B1407" s="4" t="s">
        <v>10</v>
      </c>
      <c r="C1407" s="4" t="s">
        <v>70</v>
      </c>
      <c r="D1407" s="4">
        <v>46139</v>
      </c>
      <c r="E1407" s="5">
        <v>0.65241898148148147</v>
      </c>
      <c r="F1407">
        <v>1</v>
      </c>
      <c r="G1407" t="s">
        <v>82</v>
      </c>
      <c r="H1407">
        <v>9.5</v>
      </c>
      <c r="L1407" t="s">
        <v>1270</v>
      </c>
      <c r="M1407" t="s">
        <v>71</v>
      </c>
      <c r="N1407" t="s">
        <v>72</v>
      </c>
      <c r="O1407">
        <v>1</v>
      </c>
      <c r="R1407">
        <v>1</v>
      </c>
      <c r="S1407">
        <v>1</v>
      </c>
      <c r="T1407">
        <v>14.333333333333334</v>
      </c>
    </row>
    <row r="1408" spans="1:21" x14ac:dyDescent="0.25">
      <c r="A1408" t="s">
        <v>1270</v>
      </c>
      <c r="B1408" s="4" t="s">
        <v>10</v>
      </c>
      <c r="C1408" s="4" t="s">
        <v>73</v>
      </c>
      <c r="D1408" s="4">
        <v>46139</v>
      </c>
      <c r="E1408" s="5">
        <v>0.65241898148148147</v>
      </c>
      <c r="F1408">
        <v>1</v>
      </c>
      <c r="G1408" t="s">
        <v>82</v>
      </c>
      <c r="H1408">
        <v>14.083333333333334</v>
      </c>
      <c r="M1408" t="s">
        <v>79</v>
      </c>
      <c r="N1408" t="s">
        <v>72</v>
      </c>
    </row>
    <row r="1409" spans="1:20" x14ac:dyDescent="0.25">
      <c r="A1409" t="s">
        <v>1270</v>
      </c>
      <c r="B1409" s="4" t="s">
        <v>10</v>
      </c>
      <c r="C1409" s="4" t="s">
        <v>73</v>
      </c>
      <c r="D1409" s="4">
        <v>46139</v>
      </c>
      <c r="E1409" s="5">
        <v>0.65241898148148147</v>
      </c>
      <c r="F1409">
        <v>1</v>
      </c>
      <c r="G1409" t="s">
        <v>82</v>
      </c>
      <c r="H1409">
        <v>14</v>
      </c>
      <c r="M1409" t="s">
        <v>79</v>
      </c>
      <c r="N1409" t="s">
        <v>72</v>
      </c>
    </row>
    <row r="1410" spans="1:20" x14ac:dyDescent="0.25">
      <c r="A1410" t="s">
        <v>1270</v>
      </c>
      <c r="B1410" s="4" t="s">
        <v>10</v>
      </c>
      <c r="C1410" s="4" t="s">
        <v>73</v>
      </c>
      <c r="D1410" s="4">
        <v>46139</v>
      </c>
      <c r="E1410" s="5">
        <v>0.65262731481481484</v>
      </c>
      <c r="F1410">
        <v>1</v>
      </c>
      <c r="G1410" t="s">
        <v>82</v>
      </c>
      <c r="H1410">
        <v>14.333333333333334</v>
      </c>
      <c r="M1410" t="s">
        <v>76</v>
      </c>
      <c r="N1410" t="s">
        <v>72</v>
      </c>
    </row>
    <row r="1411" spans="1:20" x14ac:dyDescent="0.25">
      <c r="A1411" t="s">
        <v>1274</v>
      </c>
      <c r="B1411" s="4" t="s">
        <v>10</v>
      </c>
      <c r="C1411" s="4" t="s">
        <v>70</v>
      </c>
      <c r="D1411" s="4">
        <v>46139</v>
      </c>
      <c r="E1411" s="5">
        <v>0.65327546296296291</v>
      </c>
      <c r="F1411">
        <v>1</v>
      </c>
      <c r="G1411" t="s">
        <v>82</v>
      </c>
      <c r="H1411">
        <v>1</v>
      </c>
      <c r="L1411" t="s">
        <v>1275</v>
      </c>
      <c r="M1411" t="s">
        <v>71</v>
      </c>
      <c r="N1411" t="s">
        <v>78</v>
      </c>
      <c r="O1411">
        <v>1</v>
      </c>
      <c r="R1411">
        <v>1</v>
      </c>
      <c r="S1411">
        <v>1</v>
      </c>
      <c r="T1411">
        <v>9.5833333333333339</v>
      </c>
    </row>
    <row r="1412" spans="1:20" x14ac:dyDescent="0.25">
      <c r="A1412" t="s">
        <v>1275</v>
      </c>
      <c r="B1412" s="4" t="s">
        <v>10</v>
      </c>
      <c r="C1412" s="4" t="s">
        <v>73</v>
      </c>
      <c r="D1412" s="4">
        <v>46139</v>
      </c>
      <c r="E1412" s="5">
        <v>0.65327546296296291</v>
      </c>
      <c r="F1412">
        <v>1</v>
      </c>
      <c r="G1412" t="s">
        <v>82</v>
      </c>
      <c r="H1412">
        <v>9.9166666666666661</v>
      </c>
      <c r="M1412" t="s">
        <v>79</v>
      </c>
      <c r="N1412" t="s">
        <v>78</v>
      </c>
    </row>
    <row r="1413" spans="1:20" x14ac:dyDescent="0.25">
      <c r="A1413" t="s">
        <v>1275</v>
      </c>
      <c r="B1413" s="4" t="s">
        <v>10</v>
      </c>
      <c r="C1413" s="4" t="s">
        <v>73</v>
      </c>
      <c r="D1413" s="4">
        <v>46139</v>
      </c>
      <c r="E1413" s="5">
        <v>0.65327546296296291</v>
      </c>
      <c r="F1413">
        <v>1</v>
      </c>
      <c r="G1413" t="s">
        <v>82</v>
      </c>
      <c r="H1413">
        <v>9.8333333333333321</v>
      </c>
      <c r="M1413" t="s">
        <v>79</v>
      </c>
      <c r="N1413" t="s">
        <v>78</v>
      </c>
    </row>
    <row r="1414" spans="1:20" x14ac:dyDescent="0.25">
      <c r="A1414" t="s">
        <v>1275</v>
      </c>
      <c r="B1414" s="4" t="s">
        <v>10</v>
      </c>
      <c r="C1414" s="4" t="s">
        <v>73</v>
      </c>
      <c r="D1414" s="4">
        <v>46139</v>
      </c>
      <c r="E1414" s="5">
        <v>0.65361111111111103</v>
      </c>
      <c r="F1414">
        <v>1</v>
      </c>
      <c r="G1414" t="s">
        <v>82</v>
      </c>
      <c r="H1414">
        <v>9.5833333333333339</v>
      </c>
      <c r="M1414" t="s">
        <v>76</v>
      </c>
      <c r="N1414" t="s">
        <v>78</v>
      </c>
    </row>
    <row r="1415" spans="1:20" x14ac:dyDescent="0.25">
      <c r="A1415" t="s">
        <v>1276</v>
      </c>
      <c r="B1415" s="4" t="s">
        <v>10</v>
      </c>
      <c r="C1415" s="4" t="s">
        <v>70</v>
      </c>
      <c r="D1415" s="4">
        <v>46139</v>
      </c>
      <c r="E1415" s="5">
        <v>0.65442129629629631</v>
      </c>
      <c r="F1415">
        <v>1</v>
      </c>
      <c r="G1415" t="s">
        <v>82</v>
      </c>
      <c r="H1415">
        <v>1</v>
      </c>
      <c r="L1415" t="s">
        <v>1277</v>
      </c>
      <c r="M1415" t="s">
        <v>71</v>
      </c>
      <c r="N1415" t="s">
        <v>75</v>
      </c>
      <c r="O1415">
        <v>1</v>
      </c>
      <c r="R1415">
        <v>1</v>
      </c>
      <c r="S1415">
        <v>1</v>
      </c>
      <c r="T1415">
        <v>10.5</v>
      </c>
    </row>
    <row r="1416" spans="1:20" x14ac:dyDescent="0.25">
      <c r="A1416" t="s">
        <v>1277</v>
      </c>
      <c r="B1416" s="4" t="s">
        <v>10</v>
      </c>
      <c r="C1416" s="4" t="s">
        <v>73</v>
      </c>
      <c r="D1416" s="4">
        <v>46139</v>
      </c>
      <c r="E1416" s="5">
        <v>0.65442129629629631</v>
      </c>
      <c r="F1416">
        <v>1</v>
      </c>
      <c r="G1416" t="s">
        <v>82</v>
      </c>
      <c r="H1416">
        <v>10.5</v>
      </c>
      <c r="M1416" t="s">
        <v>79</v>
      </c>
      <c r="N1416" t="s">
        <v>75</v>
      </c>
    </row>
    <row r="1417" spans="1:20" x14ac:dyDescent="0.25">
      <c r="A1417" t="s">
        <v>1277</v>
      </c>
      <c r="B1417" s="4" t="s">
        <v>10</v>
      </c>
      <c r="C1417" s="4" t="s">
        <v>73</v>
      </c>
      <c r="D1417" s="4">
        <v>46139</v>
      </c>
      <c r="E1417" s="5">
        <v>0.65442129629629631</v>
      </c>
      <c r="F1417">
        <v>1</v>
      </c>
      <c r="G1417" t="s">
        <v>82</v>
      </c>
      <c r="H1417">
        <v>10.416666666666666</v>
      </c>
      <c r="M1417" t="s">
        <v>79</v>
      </c>
      <c r="N1417" t="s">
        <v>75</v>
      </c>
    </row>
    <row r="1418" spans="1:20" x14ac:dyDescent="0.25">
      <c r="A1418" t="s">
        <v>1277</v>
      </c>
      <c r="B1418" s="4" t="s">
        <v>10</v>
      </c>
      <c r="C1418" s="4" t="s">
        <v>73</v>
      </c>
      <c r="D1418" s="4">
        <v>46139</v>
      </c>
      <c r="E1418" s="5">
        <v>0.65467592592592583</v>
      </c>
      <c r="F1418">
        <v>1</v>
      </c>
      <c r="G1418" t="s">
        <v>82</v>
      </c>
      <c r="H1418">
        <v>10.5</v>
      </c>
      <c r="M1418" t="s">
        <v>76</v>
      </c>
      <c r="N1418" t="s">
        <v>75</v>
      </c>
    </row>
    <row r="1419" spans="1:20" x14ac:dyDescent="0.25">
      <c r="A1419" t="s">
        <v>1278</v>
      </c>
      <c r="B1419" s="4" t="s">
        <v>10</v>
      </c>
      <c r="C1419" s="4" t="s">
        <v>73</v>
      </c>
      <c r="D1419" s="4">
        <v>46139</v>
      </c>
      <c r="E1419" s="5">
        <v>0.65516203703703701</v>
      </c>
      <c r="F1419">
        <v>1</v>
      </c>
      <c r="G1419" t="s">
        <v>82</v>
      </c>
      <c r="H1419">
        <v>258.91666666666669</v>
      </c>
      <c r="M1419" t="s">
        <v>79</v>
      </c>
      <c r="N1419" t="s">
        <v>75</v>
      </c>
    </row>
    <row r="1420" spans="1:20" x14ac:dyDescent="0.25">
      <c r="A1420" t="s">
        <v>1281</v>
      </c>
      <c r="B1420" s="4" t="s">
        <v>10</v>
      </c>
      <c r="C1420" s="4" t="s">
        <v>70</v>
      </c>
      <c r="D1420" s="4">
        <v>46139</v>
      </c>
      <c r="E1420" s="5">
        <v>0.65571759259259255</v>
      </c>
      <c r="F1420">
        <v>1</v>
      </c>
      <c r="G1420" t="s">
        <v>82</v>
      </c>
      <c r="H1420">
        <v>43.5</v>
      </c>
      <c r="L1420" t="s">
        <v>1278</v>
      </c>
      <c r="M1420" t="s">
        <v>71</v>
      </c>
      <c r="N1420" t="s">
        <v>75</v>
      </c>
      <c r="O1420">
        <v>1</v>
      </c>
      <c r="S1420">
        <v>1</v>
      </c>
      <c r="T1420">
        <v>215.33333333333334</v>
      </c>
    </row>
    <row r="1421" spans="1:20" x14ac:dyDescent="0.25">
      <c r="A1421" t="s">
        <v>1278</v>
      </c>
      <c r="B1421" s="4" t="s">
        <v>10</v>
      </c>
      <c r="C1421" s="4" t="s">
        <v>73</v>
      </c>
      <c r="D1421" s="4">
        <v>46139</v>
      </c>
      <c r="E1421" s="5">
        <v>0.65571759259259255</v>
      </c>
      <c r="F1421">
        <v>1</v>
      </c>
      <c r="G1421" t="s">
        <v>82</v>
      </c>
      <c r="H1421">
        <v>215.41666666666666</v>
      </c>
      <c r="M1421" t="s">
        <v>79</v>
      </c>
      <c r="N1421" t="s">
        <v>75</v>
      </c>
    </row>
    <row r="1422" spans="1:20" x14ac:dyDescent="0.25">
      <c r="A1422" t="s">
        <v>1278</v>
      </c>
      <c r="B1422" s="4" t="s">
        <v>10</v>
      </c>
      <c r="C1422" s="4" t="s">
        <v>73</v>
      </c>
      <c r="D1422" s="4">
        <v>46139</v>
      </c>
      <c r="E1422" s="5">
        <v>0.65571759259259255</v>
      </c>
      <c r="F1422">
        <v>1</v>
      </c>
      <c r="G1422" t="s">
        <v>82</v>
      </c>
      <c r="H1422">
        <v>215.33333333333334</v>
      </c>
      <c r="M1422" t="s">
        <v>79</v>
      </c>
      <c r="N1422" t="s">
        <v>75</v>
      </c>
    </row>
    <row r="1423" spans="1:20" x14ac:dyDescent="0.25">
      <c r="A1423" t="s">
        <v>1278</v>
      </c>
      <c r="B1423" s="4" t="s">
        <v>10</v>
      </c>
      <c r="C1423" s="4" t="s">
        <v>73</v>
      </c>
      <c r="D1423" s="4">
        <v>46139</v>
      </c>
      <c r="E1423" s="5">
        <v>0.65581018518518519</v>
      </c>
      <c r="F1423">
        <v>1</v>
      </c>
      <c r="G1423" t="s">
        <v>82</v>
      </c>
      <c r="H1423">
        <v>215.33333333333334</v>
      </c>
      <c r="M1423" t="s">
        <v>76</v>
      </c>
      <c r="N1423" t="s">
        <v>75</v>
      </c>
    </row>
    <row r="1424" spans="1:20" x14ac:dyDescent="0.25">
      <c r="A1424" t="s">
        <v>1282</v>
      </c>
      <c r="B1424" s="4" t="s">
        <v>10</v>
      </c>
      <c r="C1424" s="4" t="s">
        <v>70</v>
      </c>
      <c r="D1424" s="4">
        <v>46139</v>
      </c>
      <c r="E1424" s="5">
        <v>0.65640046296296295</v>
      </c>
      <c r="F1424">
        <v>1</v>
      </c>
      <c r="G1424" t="s">
        <v>82</v>
      </c>
      <c r="H1424">
        <v>31.5</v>
      </c>
      <c r="L1424" t="s">
        <v>1283</v>
      </c>
      <c r="M1424" t="s">
        <v>71</v>
      </c>
      <c r="N1424" t="s">
        <v>75</v>
      </c>
      <c r="O1424">
        <v>1</v>
      </c>
    </row>
    <row r="1425" spans="1:20" x14ac:dyDescent="0.25">
      <c r="A1425" t="s">
        <v>1283</v>
      </c>
      <c r="B1425" s="4" t="s">
        <v>10</v>
      </c>
      <c r="C1425" s="4" t="s">
        <v>73</v>
      </c>
      <c r="D1425" s="4">
        <v>46139</v>
      </c>
      <c r="E1425" s="5">
        <v>0.65640046296296295</v>
      </c>
      <c r="F1425">
        <v>1</v>
      </c>
      <c r="G1425" t="s">
        <v>82</v>
      </c>
      <c r="H1425">
        <v>263.66666666666663</v>
      </c>
      <c r="M1425" t="s">
        <v>79</v>
      </c>
      <c r="N1425" t="s">
        <v>75</v>
      </c>
    </row>
    <row r="1426" spans="1:20" x14ac:dyDescent="0.25">
      <c r="A1426" t="s">
        <v>1283</v>
      </c>
      <c r="B1426" s="4" t="s">
        <v>10</v>
      </c>
      <c r="C1426" s="4" t="s">
        <v>73</v>
      </c>
      <c r="D1426" s="4">
        <v>46139</v>
      </c>
      <c r="E1426" s="5">
        <v>0.65640046296296295</v>
      </c>
      <c r="F1426">
        <v>1</v>
      </c>
      <c r="G1426" t="s">
        <v>82</v>
      </c>
      <c r="H1426">
        <v>263.58333333333331</v>
      </c>
      <c r="M1426" t="s">
        <v>79</v>
      </c>
      <c r="N1426" t="s">
        <v>75</v>
      </c>
    </row>
    <row r="1427" spans="1:20" x14ac:dyDescent="0.25">
      <c r="A1427" t="s">
        <v>1284</v>
      </c>
      <c r="B1427" s="4" t="s">
        <v>10</v>
      </c>
      <c r="C1427" s="4" t="s">
        <v>70</v>
      </c>
      <c r="D1427" s="4">
        <v>46139</v>
      </c>
      <c r="E1427" s="5">
        <v>0.65665509259259258</v>
      </c>
      <c r="F1427">
        <v>1</v>
      </c>
      <c r="G1427" t="s">
        <v>82</v>
      </c>
      <c r="H1427">
        <v>31.5</v>
      </c>
      <c r="L1427" t="s">
        <v>1283</v>
      </c>
      <c r="M1427" t="s">
        <v>71</v>
      </c>
      <c r="N1427" t="s">
        <v>75</v>
      </c>
      <c r="P1427">
        <v>1</v>
      </c>
    </row>
    <row r="1428" spans="1:20" x14ac:dyDescent="0.25">
      <c r="A1428" t="s">
        <v>1283</v>
      </c>
      <c r="B1428" s="4" t="s">
        <v>10</v>
      </c>
      <c r="C1428" s="4" t="s">
        <v>73</v>
      </c>
      <c r="D1428" s="4">
        <v>46139</v>
      </c>
      <c r="E1428" s="5">
        <v>0.65665509259259258</v>
      </c>
      <c r="F1428">
        <v>1</v>
      </c>
      <c r="G1428" t="s">
        <v>82</v>
      </c>
      <c r="H1428">
        <v>232.08333333333331</v>
      </c>
      <c r="M1428" t="s">
        <v>79</v>
      </c>
      <c r="N1428" t="s">
        <v>75</v>
      </c>
    </row>
    <row r="1429" spans="1:20" x14ac:dyDescent="0.25">
      <c r="A1429" t="s">
        <v>1283</v>
      </c>
      <c r="B1429" s="4" t="s">
        <v>10</v>
      </c>
      <c r="C1429" s="4" t="s">
        <v>73</v>
      </c>
      <c r="D1429" s="4">
        <v>46139</v>
      </c>
      <c r="E1429" s="5">
        <v>0.65665509259259258</v>
      </c>
      <c r="F1429">
        <v>1</v>
      </c>
      <c r="G1429" t="s">
        <v>82</v>
      </c>
      <c r="H1429">
        <v>232</v>
      </c>
      <c r="M1429" t="s">
        <v>79</v>
      </c>
      <c r="N1429" t="s">
        <v>75</v>
      </c>
    </row>
    <row r="1430" spans="1:20" x14ac:dyDescent="0.25">
      <c r="A1430" t="s">
        <v>1288</v>
      </c>
      <c r="B1430" s="4" t="s">
        <v>10</v>
      </c>
      <c r="C1430" s="4" t="s">
        <v>70</v>
      </c>
      <c r="D1430" s="4">
        <v>46139</v>
      </c>
      <c r="E1430" s="5">
        <v>0.65696759259259252</v>
      </c>
      <c r="F1430">
        <v>1</v>
      </c>
      <c r="G1430" t="s">
        <v>82</v>
      </c>
      <c r="H1430">
        <v>37</v>
      </c>
      <c r="L1430" t="s">
        <v>1283</v>
      </c>
      <c r="M1430" t="s">
        <v>71</v>
      </c>
      <c r="N1430" t="s">
        <v>75</v>
      </c>
      <c r="P1430">
        <v>1</v>
      </c>
    </row>
    <row r="1431" spans="1:20" x14ac:dyDescent="0.25">
      <c r="A1431" t="s">
        <v>1283</v>
      </c>
      <c r="B1431" s="4" t="s">
        <v>10</v>
      </c>
      <c r="C1431" s="4" t="s">
        <v>73</v>
      </c>
      <c r="D1431" s="4">
        <v>46139</v>
      </c>
      <c r="E1431" s="5">
        <v>0.65696759259259252</v>
      </c>
      <c r="F1431">
        <v>1</v>
      </c>
      <c r="G1431" t="s">
        <v>82</v>
      </c>
      <c r="H1431">
        <v>195</v>
      </c>
      <c r="M1431" t="s">
        <v>79</v>
      </c>
      <c r="N1431" t="s">
        <v>75</v>
      </c>
    </row>
    <row r="1432" spans="1:20" x14ac:dyDescent="0.25">
      <c r="A1432" t="s">
        <v>1283</v>
      </c>
      <c r="B1432" s="4" t="s">
        <v>10</v>
      </c>
      <c r="C1432" s="4" t="s">
        <v>73</v>
      </c>
      <c r="D1432" s="4">
        <v>46139</v>
      </c>
      <c r="E1432" s="5">
        <v>0.65696759259259252</v>
      </c>
      <c r="F1432">
        <v>1</v>
      </c>
      <c r="G1432" t="s">
        <v>82</v>
      </c>
      <c r="H1432">
        <v>194.91666666666666</v>
      </c>
      <c r="M1432" t="s">
        <v>79</v>
      </c>
      <c r="N1432" t="s">
        <v>75</v>
      </c>
    </row>
    <row r="1433" spans="1:20" x14ac:dyDescent="0.25">
      <c r="A1433" t="s">
        <v>1289</v>
      </c>
      <c r="B1433" s="4" t="s">
        <v>10</v>
      </c>
      <c r="C1433" s="4" t="s">
        <v>70</v>
      </c>
      <c r="D1433" s="4">
        <v>46139</v>
      </c>
      <c r="E1433" s="5">
        <v>0.65722222222222215</v>
      </c>
      <c r="F1433">
        <v>1</v>
      </c>
      <c r="G1433" t="s">
        <v>82</v>
      </c>
      <c r="H1433">
        <v>42.583333333333336</v>
      </c>
      <c r="L1433" t="s">
        <v>1283</v>
      </c>
      <c r="M1433" t="s">
        <v>71</v>
      </c>
      <c r="N1433" t="s">
        <v>75</v>
      </c>
      <c r="P1433">
        <v>1</v>
      </c>
    </row>
    <row r="1434" spans="1:20" x14ac:dyDescent="0.25">
      <c r="A1434" t="s">
        <v>1283</v>
      </c>
      <c r="B1434" s="4" t="s">
        <v>10</v>
      </c>
      <c r="C1434" s="4" t="s">
        <v>73</v>
      </c>
      <c r="D1434" s="4">
        <v>46139</v>
      </c>
      <c r="E1434" s="5">
        <v>0.65722222222222215</v>
      </c>
      <c r="F1434">
        <v>1</v>
      </c>
      <c r="G1434" t="s">
        <v>82</v>
      </c>
      <c r="H1434">
        <v>152.33333333333331</v>
      </c>
      <c r="M1434" t="s">
        <v>79</v>
      </c>
      <c r="N1434" t="s">
        <v>75</v>
      </c>
    </row>
    <row r="1435" spans="1:20" x14ac:dyDescent="0.25">
      <c r="A1435" t="s">
        <v>1283</v>
      </c>
      <c r="B1435" s="4" t="s">
        <v>10</v>
      </c>
      <c r="C1435" s="4" t="s">
        <v>73</v>
      </c>
      <c r="D1435" s="4">
        <v>46139</v>
      </c>
      <c r="E1435" s="5">
        <v>0.65722222222222215</v>
      </c>
      <c r="F1435">
        <v>1</v>
      </c>
      <c r="G1435" t="s">
        <v>82</v>
      </c>
      <c r="H1435">
        <v>152.25</v>
      </c>
      <c r="M1435" t="s">
        <v>79</v>
      </c>
      <c r="N1435" t="s">
        <v>75</v>
      </c>
    </row>
    <row r="1436" spans="1:20" x14ac:dyDescent="0.25">
      <c r="A1436" t="s">
        <v>1290</v>
      </c>
      <c r="B1436" s="4" t="s">
        <v>10</v>
      </c>
      <c r="C1436" s="4" t="s">
        <v>70</v>
      </c>
      <c r="D1436" s="4">
        <v>46139</v>
      </c>
      <c r="E1436" s="5">
        <v>0.65749999999999997</v>
      </c>
      <c r="F1436">
        <v>1</v>
      </c>
      <c r="G1436" t="s">
        <v>82</v>
      </c>
      <c r="H1436">
        <v>44</v>
      </c>
      <c r="L1436" t="s">
        <v>1283</v>
      </c>
      <c r="M1436" t="s">
        <v>71</v>
      </c>
      <c r="N1436" t="s">
        <v>75</v>
      </c>
      <c r="P1436">
        <v>1</v>
      </c>
    </row>
    <row r="1437" spans="1:20" x14ac:dyDescent="0.25">
      <c r="A1437" t="s">
        <v>1283</v>
      </c>
      <c r="B1437" s="4" t="s">
        <v>10</v>
      </c>
      <c r="C1437" s="4" t="s">
        <v>73</v>
      </c>
      <c r="D1437" s="4">
        <v>46139</v>
      </c>
      <c r="E1437" s="5">
        <v>0.65749999999999997</v>
      </c>
      <c r="F1437">
        <v>1</v>
      </c>
      <c r="G1437" t="s">
        <v>82</v>
      </c>
      <c r="H1437">
        <v>108.25</v>
      </c>
      <c r="M1437" t="s">
        <v>79</v>
      </c>
      <c r="N1437" t="s">
        <v>75</v>
      </c>
    </row>
    <row r="1438" spans="1:20" x14ac:dyDescent="0.25">
      <c r="A1438" t="s">
        <v>1283</v>
      </c>
      <c r="B1438" s="4" t="s">
        <v>10</v>
      </c>
      <c r="C1438" s="4" t="s">
        <v>73</v>
      </c>
      <c r="D1438" s="4">
        <v>46139</v>
      </c>
      <c r="E1438" s="5">
        <v>0.65749999999999997</v>
      </c>
      <c r="F1438">
        <v>1</v>
      </c>
      <c r="G1438" t="s">
        <v>82</v>
      </c>
      <c r="H1438">
        <v>108.16666666666666</v>
      </c>
      <c r="M1438" t="s">
        <v>79</v>
      </c>
      <c r="N1438" t="s">
        <v>75</v>
      </c>
    </row>
    <row r="1439" spans="1:20" x14ac:dyDescent="0.25">
      <c r="A1439" t="s">
        <v>1291</v>
      </c>
      <c r="B1439" s="4" t="s">
        <v>10</v>
      </c>
      <c r="C1439" s="4" t="s">
        <v>70</v>
      </c>
      <c r="D1439" s="4">
        <v>46139</v>
      </c>
      <c r="E1439" s="5">
        <v>0.65789351851851852</v>
      </c>
      <c r="F1439">
        <v>1</v>
      </c>
      <c r="G1439" t="s">
        <v>82</v>
      </c>
      <c r="H1439">
        <v>89</v>
      </c>
      <c r="L1439" t="s">
        <v>1283</v>
      </c>
      <c r="M1439" t="s">
        <v>71</v>
      </c>
      <c r="N1439" t="s">
        <v>75</v>
      </c>
      <c r="P1439">
        <v>1</v>
      </c>
      <c r="R1439">
        <v>1</v>
      </c>
      <c r="S1439">
        <v>1</v>
      </c>
      <c r="T1439">
        <v>17.333333333333332</v>
      </c>
    </row>
    <row r="1440" spans="1:20" x14ac:dyDescent="0.25">
      <c r="A1440" t="s">
        <v>1283</v>
      </c>
      <c r="B1440" s="4" t="s">
        <v>10</v>
      </c>
      <c r="C1440" s="4" t="s">
        <v>73</v>
      </c>
      <c r="D1440" s="4">
        <v>46139</v>
      </c>
      <c r="E1440" s="5">
        <v>0.65789351851851852</v>
      </c>
      <c r="F1440">
        <v>1</v>
      </c>
      <c r="G1440" t="s">
        <v>82</v>
      </c>
      <c r="H1440">
        <v>19.166666666666668</v>
      </c>
      <c r="M1440" t="s">
        <v>79</v>
      </c>
      <c r="N1440" t="s">
        <v>75</v>
      </c>
    </row>
    <row r="1441" spans="1:20" x14ac:dyDescent="0.25">
      <c r="A1441" t="s">
        <v>1283</v>
      </c>
      <c r="B1441" s="4" t="s">
        <v>10</v>
      </c>
      <c r="C1441" s="4" t="s">
        <v>73</v>
      </c>
      <c r="D1441" s="4">
        <v>46139</v>
      </c>
      <c r="E1441" s="5">
        <v>0.65789351851851852</v>
      </c>
      <c r="F1441">
        <v>1</v>
      </c>
      <c r="G1441" t="s">
        <v>82</v>
      </c>
      <c r="H1441">
        <v>19.083333333333332</v>
      </c>
      <c r="M1441" t="s">
        <v>79</v>
      </c>
      <c r="N1441" t="s">
        <v>75</v>
      </c>
    </row>
    <row r="1442" spans="1:20" x14ac:dyDescent="0.25">
      <c r="A1442" t="s">
        <v>1283</v>
      </c>
      <c r="B1442" s="4" t="s">
        <v>10</v>
      </c>
      <c r="C1442" s="4" t="s">
        <v>73</v>
      </c>
      <c r="D1442" s="4">
        <v>46139</v>
      </c>
      <c r="E1442" s="5">
        <v>0.65815972222222219</v>
      </c>
      <c r="F1442">
        <v>1</v>
      </c>
      <c r="G1442" t="s">
        <v>82</v>
      </c>
      <c r="H1442">
        <v>17.333333333333332</v>
      </c>
      <c r="M1442" t="s">
        <v>76</v>
      </c>
      <c r="N1442" t="s">
        <v>75</v>
      </c>
    </row>
    <row r="1443" spans="1:20" x14ac:dyDescent="0.25">
      <c r="A1443" t="s">
        <v>1294</v>
      </c>
      <c r="B1443" s="4" t="s">
        <v>10</v>
      </c>
      <c r="C1443" s="4" t="s">
        <v>70</v>
      </c>
      <c r="D1443" s="4">
        <v>46139</v>
      </c>
      <c r="E1443" s="5">
        <v>0.65866898148148145</v>
      </c>
      <c r="F1443">
        <v>1</v>
      </c>
      <c r="G1443" t="s">
        <v>82</v>
      </c>
      <c r="H1443">
        <v>10.75</v>
      </c>
      <c r="L1443" t="s">
        <v>1295</v>
      </c>
      <c r="M1443" t="s">
        <v>71</v>
      </c>
      <c r="N1443" t="s">
        <v>72</v>
      </c>
      <c r="O1443">
        <v>1</v>
      </c>
      <c r="S1443">
        <v>1</v>
      </c>
      <c r="T1443">
        <v>170.75</v>
      </c>
    </row>
    <row r="1444" spans="1:20" x14ac:dyDescent="0.25">
      <c r="A1444" t="s">
        <v>1295</v>
      </c>
      <c r="B1444" s="4" t="s">
        <v>10</v>
      </c>
      <c r="C1444" s="4" t="s">
        <v>73</v>
      </c>
      <c r="D1444" s="4">
        <v>46139</v>
      </c>
      <c r="E1444" s="5">
        <v>0.65866898148148145</v>
      </c>
      <c r="F1444">
        <v>1</v>
      </c>
      <c r="G1444" t="s">
        <v>82</v>
      </c>
      <c r="H1444">
        <v>172.33333333333334</v>
      </c>
      <c r="M1444" t="s">
        <v>79</v>
      </c>
      <c r="N1444" t="s">
        <v>72</v>
      </c>
    </row>
    <row r="1445" spans="1:20" x14ac:dyDescent="0.25">
      <c r="A1445" t="s">
        <v>1295</v>
      </c>
      <c r="B1445" s="4" t="s">
        <v>10</v>
      </c>
      <c r="C1445" s="4" t="s">
        <v>73</v>
      </c>
      <c r="D1445" s="4">
        <v>46139</v>
      </c>
      <c r="E1445" s="5">
        <v>0.65866898148148145</v>
      </c>
      <c r="F1445">
        <v>1</v>
      </c>
      <c r="G1445" t="s">
        <v>82</v>
      </c>
      <c r="H1445">
        <v>172.25</v>
      </c>
      <c r="M1445" t="s">
        <v>79</v>
      </c>
      <c r="N1445" t="s">
        <v>72</v>
      </c>
    </row>
    <row r="1446" spans="1:20" x14ac:dyDescent="0.25">
      <c r="A1446" t="s">
        <v>1295</v>
      </c>
      <c r="B1446" s="4" t="s">
        <v>10</v>
      </c>
      <c r="C1446" s="4" t="s">
        <v>73</v>
      </c>
      <c r="D1446" s="4">
        <v>46139</v>
      </c>
      <c r="E1446" s="5">
        <v>0.65924768518518517</v>
      </c>
      <c r="F1446">
        <v>1</v>
      </c>
      <c r="G1446" t="s">
        <v>82</v>
      </c>
      <c r="H1446">
        <v>170.75</v>
      </c>
      <c r="M1446" t="s">
        <v>76</v>
      </c>
      <c r="N1446" t="s">
        <v>72</v>
      </c>
    </row>
    <row r="1447" spans="1:20" x14ac:dyDescent="0.25">
      <c r="A1447" t="s">
        <v>1298</v>
      </c>
      <c r="B1447" s="4" t="s">
        <v>10</v>
      </c>
      <c r="C1447" s="4" t="s">
        <v>70</v>
      </c>
      <c r="D1447" s="4">
        <v>46139</v>
      </c>
      <c r="E1447" s="5">
        <v>0.66002314814814811</v>
      </c>
      <c r="F1447">
        <v>1</v>
      </c>
      <c r="G1447" t="s">
        <v>82</v>
      </c>
      <c r="H1447">
        <v>58</v>
      </c>
      <c r="L1447" t="s">
        <v>1299</v>
      </c>
      <c r="M1447" t="s">
        <v>71</v>
      </c>
      <c r="N1447" t="s">
        <v>72</v>
      </c>
      <c r="O1447">
        <v>1</v>
      </c>
      <c r="S1447">
        <v>1</v>
      </c>
      <c r="T1447">
        <v>178.5</v>
      </c>
    </row>
    <row r="1448" spans="1:20" x14ac:dyDescent="0.25">
      <c r="A1448" t="s">
        <v>1299</v>
      </c>
      <c r="B1448" s="4" t="s">
        <v>10</v>
      </c>
      <c r="C1448" s="4" t="s">
        <v>73</v>
      </c>
      <c r="D1448" s="4">
        <v>46139</v>
      </c>
      <c r="E1448" s="5">
        <v>0.66002314814814811</v>
      </c>
      <c r="F1448">
        <v>1</v>
      </c>
      <c r="G1448" t="s">
        <v>82</v>
      </c>
      <c r="H1448">
        <v>180.75</v>
      </c>
      <c r="M1448" t="s">
        <v>79</v>
      </c>
      <c r="N1448" t="s">
        <v>72</v>
      </c>
    </row>
    <row r="1449" spans="1:20" x14ac:dyDescent="0.25">
      <c r="A1449" t="s">
        <v>1299</v>
      </c>
      <c r="B1449" s="4" t="s">
        <v>10</v>
      </c>
      <c r="C1449" s="4" t="s">
        <v>73</v>
      </c>
      <c r="D1449" s="4">
        <v>46139</v>
      </c>
      <c r="E1449" s="5">
        <v>0.66002314814814811</v>
      </c>
      <c r="F1449">
        <v>1</v>
      </c>
      <c r="G1449" t="s">
        <v>82</v>
      </c>
      <c r="H1449">
        <v>180.66666666666666</v>
      </c>
      <c r="M1449" t="s">
        <v>79</v>
      </c>
      <c r="N1449" t="s">
        <v>72</v>
      </c>
    </row>
    <row r="1450" spans="1:20" x14ac:dyDescent="0.25">
      <c r="A1450" t="s">
        <v>1299</v>
      </c>
      <c r="B1450" s="4" t="s">
        <v>10</v>
      </c>
      <c r="C1450" s="4" t="s">
        <v>73</v>
      </c>
      <c r="D1450" s="4">
        <v>46139</v>
      </c>
      <c r="E1450" s="5">
        <v>0.66052083333333322</v>
      </c>
      <c r="F1450">
        <v>1</v>
      </c>
      <c r="G1450" t="s">
        <v>82</v>
      </c>
      <c r="H1450">
        <v>178.5</v>
      </c>
      <c r="M1450" t="s">
        <v>76</v>
      </c>
      <c r="N1450" t="s">
        <v>72</v>
      </c>
    </row>
    <row r="1451" spans="1:20" x14ac:dyDescent="0.25">
      <c r="A1451" t="s">
        <v>1304</v>
      </c>
      <c r="B1451" s="4" t="s">
        <v>10</v>
      </c>
      <c r="C1451" s="4" t="s">
        <v>70</v>
      </c>
      <c r="D1451" s="4">
        <v>46139</v>
      </c>
      <c r="E1451" s="5">
        <v>0.66105324074074068</v>
      </c>
      <c r="F1451">
        <v>1</v>
      </c>
      <c r="G1451" t="s">
        <v>82</v>
      </c>
      <c r="H1451">
        <v>3</v>
      </c>
      <c r="L1451" t="s">
        <v>1305</v>
      </c>
      <c r="M1451" t="s">
        <v>71</v>
      </c>
      <c r="N1451" t="s">
        <v>75</v>
      </c>
      <c r="O1451">
        <v>1</v>
      </c>
      <c r="R1451">
        <v>1</v>
      </c>
      <c r="S1451">
        <v>1</v>
      </c>
      <c r="T1451">
        <v>20.916666666666668</v>
      </c>
    </row>
    <row r="1452" spans="1:20" x14ac:dyDescent="0.25">
      <c r="A1452" t="s">
        <v>1305</v>
      </c>
      <c r="B1452" s="4" t="s">
        <v>10</v>
      </c>
      <c r="C1452" s="4" t="s">
        <v>73</v>
      </c>
      <c r="D1452" s="4">
        <v>46139</v>
      </c>
      <c r="E1452" s="5">
        <v>0.66105324074074068</v>
      </c>
      <c r="F1452">
        <v>1</v>
      </c>
      <c r="G1452" t="s">
        <v>82</v>
      </c>
      <c r="H1452">
        <v>21.166666666666664</v>
      </c>
      <c r="M1452" t="s">
        <v>79</v>
      </c>
      <c r="N1452" t="s">
        <v>75</v>
      </c>
    </row>
    <row r="1453" spans="1:20" x14ac:dyDescent="0.25">
      <c r="A1453" t="s">
        <v>1305</v>
      </c>
      <c r="B1453" s="4" t="s">
        <v>10</v>
      </c>
      <c r="C1453" s="4" t="s">
        <v>73</v>
      </c>
      <c r="D1453" s="4">
        <v>46139</v>
      </c>
      <c r="E1453" s="5">
        <v>0.66134259259259254</v>
      </c>
      <c r="F1453">
        <v>1</v>
      </c>
      <c r="G1453" t="s">
        <v>82</v>
      </c>
      <c r="H1453">
        <v>20.916666666666668</v>
      </c>
      <c r="M1453" t="s">
        <v>76</v>
      </c>
      <c r="N1453" t="s">
        <v>75</v>
      </c>
    </row>
    <row r="1454" spans="1:20" x14ac:dyDescent="0.25">
      <c r="A1454" t="s">
        <v>1306</v>
      </c>
      <c r="B1454" s="4" t="s">
        <v>10</v>
      </c>
      <c r="C1454" s="4" t="s">
        <v>70</v>
      </c>
      <c r="D1454" s="4">
        <v>46140</v>
      </c>
      <c r="E1454" s="5">
        <v>0.2572800925925926</v>
      </c>
      <c r="F1454" t="s">
        <v>87</v>
      </c>
      <c r="G1454" t="s">
        <v>82</v>
      </c>
      <c r="H1454">
        <v>3</v>
      </c>
      <c r="L1454" t="s">
        <v>1307</v>
      </c>
      <c r="M1454" t="s">
        <v>71</v>
      </c>
      <c r="N1454" t="s">
        <v>75</v>
      </c>
    </row>
    <row r="1455" spans="1:20" x14ac:dyDescent="0.25">
      <c r="A1455" t="s">
        <v>1307</v>
      </c>
      <c r="B1455" s="4" t="s">
        <v>10</v>
      </c>
      <c r="C1455" s="4" t="s">
        <v>73</v>
      </c>
      <c r="D1455" s="4">
        <v>46140</v>
      </c>
      <c r="E1455" s="5">
        <v>0.2572800925925926</v>
      </c>
      <c r="F1455" t="s">
        <v>87</v>
      </c>
      <c r="G1455" t="s">
        <v>82</v>
      </c>
      <c r="H1455">
        <v>8.5833333333333321</v>
      </c>
      <c r="M1455" t="s">
        <v>79</v>
      </c>
      <c r="N1455" t="s">
        <v>75</v>
      </c>
    </row>
    <row r="1456" spans="1:20" x14ac:dyDescent="0.25">
      <c r="A1456" t="s">
        <v>1307</v>
      </c>
      <c r="B1456" s="4" t="s">
        <v>10</v>
      </c>
      <c r="C1456" s="4" t="s">
        <v>73</v>
      </c>
      <c r="D1456" s="4">
        <v>46140</v>
      </c>
      <c r="E1456" s="5">
        <v>0.2572800925925926</v>
      </c>
      <c r="F1456" t="s">
        <v>87</v>
      </c>
      <c r="G1456" t="s">
        <v>82</v>
      </c>
      <c r="H1456">
        <v>8.5</v>
      </c>
      <c r="M1456" t="s">
        <v>79</v>
      </c>
      <c r="N1456" t="s">
        <v>75</v>
      </c>
    </row>
    <row r="1457" spans="1:14" x14ac:dyDescent="0.25">
      <c r="A1457" t="s">
        <v>1307</v>
      </c>
      <c r="B1457" s="4" t="s">
        <v>10</v>
      </c>
      <c r="C1457" s="4" t="s">
        <v>73</v>
      </c>
      <c r="D1457" s="4">
        <v>46140</v>
      </c>
      <c r="E1457" s="5">
        <v>0.25784722222222223</v>
      </c>
      <c r="F1457" t="s">
        <v>87</v>
      </c>
      <c r="G1457" t="s">
        <v>82</v>
      </c>
      <c r="H1457">
        <v>8.3333333333333339</v>
      </c>
      <c r="M1457" t="s">
        <v>76</v>
      </c>
      <c r="N1457" t="s">
        <v>75</v>
      </c>
    </row>
    <row r="1458" spans="1:14" x14ac:dyDescent="0.25">
      <c r="A1458" t="s">
        <v>1313</v>
      </c>
      <c r="B1458" s="4" t="s">
        <v>10</v>
      </c>
      <c r="C1458" s="4" t="s">
        <v>70</v>
      </c>
      <c r="D1458" s="4">
        <v>46140</v>
      </c>
      <c r="E1458" s="5">
        <v>0.25971064814814815</v>
      </c>
      <c r="F1458" t="s">
        <v>87</v>
      </c>
      <c r="G1458" t="s">
        <v>82</v>
      </c>
      <c r="H1458">
        <v>10</v>
      </c>
      <c r="L1458" t="s">
        <v>1314</v>
      </c>
      <c r="M1458" t="s">
        <v>71</v>
      </c>
      <c r="N1458" t="s">
        <v>78</v>
      </c>
    </row>
    <row r="1459" spans="1:14" x14ac:dyDescent="0.25">
      <c r="A1459" t="s">
        <v>1314</v>
      </c>
      <c r="B1459" s="4" t="s">
        <v>10</v>
      </c>
      <c r="C1459" s="4" t="s">
        <v>73</v>
      </c>
      <c r="D1459" s="4">
        <v>46140</v>
      </c>
      <c r="E1459" s="5">
        <v>0.25971064814814815</v>
      </c>
      <c r="F1459" t="s">
        <v>87</v>
      </c>
      <c r="G1459" t="s">
        <v>82</v>
      </c>
      <c r="H1459">
        <v>20.083333333333332</v>
      </c>
      <c r="M1459" t="s">
        <v>79</v>
      </c>
      <c r="N1459" t="s">
        <v>78</v>
      </c>
    </row>
    <row r="1460" spans="1:14" x14ac:dyDescent="0.25">
      <c r="A1460" t="s">
        <v>1314</v>
      </c>
      <c r="B1460" s="4" t="s">
        <v>10</v>
      </c>
      <c r="C1460" s="4" t="s">
        <v>73</v>
      </c>
      <c r="D1460" s="4">
        <v>46140</v>
      </c>
      <c r="E1460" s="5">
        <v>0.25971064814814815</v>
      </c>
      <c r="F1460" t="s">
        <v>87</v>
      </c>
      <c r="G1460" t="s">
        <v>82</v>
      </c>
      <c r="H1460">
        <v>20</v>
      </c>
      <c r="M1460" t="s">
        <v>79</v>
      </c>
      <c r="N1460" t="s">
        <v>78</v>
      </c>
    </row>
    <row r="1461" spans="1:14" x14ac:dyDescent="0.25">
      <c r="A1461" t="s">
        <v>1314</v>
      </c>
      <c r="B1461" s="4" t="s">
        <v>10</v>
      </c>
      <c r="C1461" s="4" t="s">
        <v>73</v>
      </c>
      <c r="D1461" s="4">
        <v>46140</v>
      </c>
      <c r="E1461" s="5">
        <v>0.25994212962962959</v>
      </c>
      <c r="F1461" t="s">
        <v>87</v>
      </c>
      <c r="G1461" t="s">
        <v>82</v>
      </c>
      <c r="H1461">
        <v>19.916666666666664</v>
      </c>
      <c r="M1461" t="s">
        <v>76</v>
      </c>
      <c r="N1461" t="s">
        <v>78</v>
      </c>
    </row>
    <row r="1462" spans="1:14" x14ac:dyDescent="0.25">
      <c r="A1462" t="s">
        <v>1315</v>
      </c>
      <c r="B1462" s="4" t="s">
        <v>10</v>
      </c>
      <c r="C1462" s="4" t="s">
        <v>70</v>
      </c>
      <c r="D1462" s="4">
        <v>46140</v>
      </c>
      <c r="E1462" s="5">
        <v>0.26057870370370373</v>
      </c>
      <c r="F1462" t="s">
        <v>87</v>
      </c>
      <c r="G1462" t="s">
        <v>82</v>
      </c>
      <c r="H1462">
        <v>10</v>
      </c>
      <c r="L1462" t="s">
        <v>1316</v>
      </c>
      <c r="M1462" t="s">
        <v>71</v>
      </c>
      <c r="N1462" t="s">
        <v>75</v>
      </c>
    </row>
    <row r="1463" spans="1:14" x14ac:dyDescent="0.25">
      <c r="A1463" t="s">
        <v>1316</v>
      </c>
      <c r="B1463" s="4" t="s">
        <v>10</v>
      </c>
      <c r="C1463" s="4" t="s">
        <v>73</v>
      </c>
      <c r="D1463" s="4">
        <v>46140</v>
      </c>
      <c r="E1463" s="5">
        <v>0.26057870370370373</v>
      </c>
      <c r="F1463" t="s">
        <v>87</v>
      </c>
      <c r="G1463" t="s">
        <v>82</v>
      </c>
      <c r="H1463">
        <v>6.833333333333333</v>
      </c>
      <c r="M1463" t="s">
        <v>79</v>
      </c>
      <c r="N1463" t="s">
        <v>75</v>
      </c>
    </row>
    <row r="1464" spans="1:14" x14ac:dyDescent="0.25">
      <c r="A1464" t="s">
        <v>1316</v>
      </c>
      <c r="B1464" s="4" t="s">
        <v>10</v>
      </c>
      <c r="C1464" s="4" t="s">
        <v>73</v>
      </c>
      <c r="D1464" s="4">
        <v>46140</v>
      </c>
      <c r="E1464" s="5">
        <v>0.26057870370370373</v>
      </c>
      <c r="F1464" t="s">
        <v>87</v>
      </c>
      <c r="G1464" t="s">
        <v>82</v>
      </c>
      <c r="H1464">
        <v>6.75</v>
      </c>
      <c r="M1464" t="s">
        <v>79</v>
      </c>
      <c r="N1464" t="s">
        <v>75</v>
      </c>
    </row>
    <row r="1465" spans="1:14" x14ac:dyDescent="0.25">
      <c r="A1465" t="s">
        <v>1316</v>
      </c>
      <c r="B1465" s="4" t="s">
        <v>10</v>
      </c>
      <c r="C1465" s="4" t="s">
        <v>73</v>
      </c>
      <c r="D1465" s="4">
        <v>46140</v>
      </c>
      <c r="E1465" s="5">
        <v>0.26084490740740734</v>
      </c>
      <c r="F1465" t="s">
        <v>87</v>
      </c>
      <c r="G1465" t="s">
        <v>82</v>
      </c>
      <c r="H1465">
        <v>6.3333333333333321</v>
      </c>
      <c r="M1465" t="s">
        <v>76</v>
      </c>
      <c r="N1465" t="s">
        <v>75</v>
      </c>
    </row>
    <row r="1466" spans="1:14" x14ac:dyDescent="0.25">
      <c r="A1466" t="s">
        <v>1318</v>
      </c>
      <c r="B1466" s="4" t="s">
        <v>10</v>
      </c>
      <c r="C1466" s="4" t="s">
        <v>70</v>
      </c>
      <c r="D1466" s="4">
        <v>46140</v>
      </c>
      <c r="E1466" s="5">
        <v>0.2618287037037037</v>
      </c>
      <c r="F1466" t="s">
        <v>87</v>
      </c>
      <c r="G1466" t="s">
        <v>82</v>
      </c>
      <c r="H1466">
        <v>12.5</v>
      </c>
      <c r="L1466" t="s">
        <v>1319</v>
      </c>
      <c r="M1466" t="s">
        <v>71</v>
      </c>
      <c r="N1466" t="s">
        <v>72</v>
      </c>
    </row>
    <row r="1467" spans="1:14" x14ac:dyDescent="0.25">
      <c r="A1467" t="s">
        <v>1319</v>
      </c>
      <c r="B1467" s="4" t="s">
        <v>10</v>
      </c>
      <c r="C1467" s="4" t="s">
        <v>73</v>
      </c>
      <c r="D1467" s="4">
        <v>46140</v>
      </c>
      <c r="E1467" s="5">
        <v>0.2618287037037037</v>
      </c>
      <c r="F1467" t="s">
        <v>87</v>
      </c>
      <c r="G1467" t="s">
        <v>82</v>
      </c>
      <c r="H1467">
        <v>8.0833333333333321</v>
      </c>
      <c r="M1467" t="s">
        <v>79</v>
      </c>
      <c r="N1467" t="s">
        <v>72</v>
      </c>
    </row>
    <row r="1468" spans="1:14" x14ac:dyDescent="0.25">
      <c r="A1468" t="s">
        <v>1319</v>
      </c>
      <c r="B1468" s="4" t="s">
        <v>10</v>
      </c>
      <c r="C1468" s="4" t="s">
        <v>73</v>
      </c>
      <c r="D1468" s="4">
        <v>46140</v>
      </c>
      <c r="E1468" s="5">
        <v>0.2618287037037037</v>
      </c>
      <c r="F1468" t="s">
        <v>87</v>
      </c>
      <c r="G1468" t="s">
        <v>82</v>
      </c>
      <c r="H1468">
        <v>8</v>
      </c>
      <c r="M1468" t="s">
        <v>79</v>
      </c>
      <c r="N1468" t="s">
        <v>72</v>
      </c>
    </row>
    <row r="1469" spans="1:14" x14ac:dyDescent="0.25">
      <c r="A1469" t="s">
        <v>1319</v>
      </c>
      <c r="B1469" s="4" t="s">
        <v>10</v>
      </c>
      <c r="C1469" s="4" t="s">
        <v>73</v>
      </c>
      <c r="D1469" s="4">
        <v>46140</v>
      </c>
      <c r="E1469" s="5">
        <v>0.26208333333333333</v>
      </c>
      <c r="F1469" t="s">
        <v>87</v>
      </c>
      <c r="G1469" t="s">
        <v>82</v>
      </c>
      <c r="H1469">
        <v>8</v>
      </c>
      <c r="M1469" t="s">
        <v>76</v>
      </c>
      <c r="N1469" t="s">
        <v>72</v>
      </c>
    </row>
    <row r="1470" spans="1:14" x14ac:dyDescent="0.25">
      <c r="A1470" t="s">
        <v>1322</v>
      </c>
      <c r="B1470" s="4" t="s">
        <v>10</v>
      </c>
      <c r="C1470" s="4" t="s">
        <v>70</v>
      </c>
      <c r="D1470" s="4">
        <v>46140</v>
      </c>
      <c r="E1470" s="5">
        <v>0.26287037037037037</v>
      </c>
      <c r="F1470" t="s">
        <v>87</v>
      </c>
      <c r="G1470" t="s">
        <v>82</v>
      </c>
      <c r="H1470">
        <v>97.5</v>
      </c>
      <c r="L1470" t="s">
        <v>1323</v>
      </c>
      <c r="M1470" t="s">
        <v>71</v>
      </c>
      <c r="N1470" t="s">
        <v>75</v>
      </c>
    </row>
    <row r="1471" spans="1:14" x14ac:dyDescent="0.25">
      <c r="A1471" t="s">
        <v>1323</v>
      </c>
      <c r="B1471" s="4" t="s">
        <v>10</v>
      </c>
      <c r="C1471" s="4" t="s">
        <v>73</v>
      </c>
      <c r="D1471" s="4">
        <v>46140</v>
      </c>
      <c r="E1471" s="5">
        <v>0.26287037037037037</v>
      </c>
      <c r="F1471" t="s">
        <v>87</v>
      </c>
      <c r="G1471" t="s">
        <v>82</v>
      </c>
      <c r="H1471">
        <v>16.083333333333332</v>
      </c>
      <c r="M1471" t="s">
        <v>74</v>
      </c>
      <c r="N1471" t="s">
        <v>75</v>
      </c>
    </row>
    <row r="1472" spans="1:14" x14ac:dyDescent="0.25">
      <c r="A1472" t="s">
        <v>1323</v>
      </c>
      <c r="B1472" s="4" t="s">
        <v>10</v>
      </c>
      <c r="C1472" s="4" t="s">
        <v>73</v>
      </c>
      <c r="D1472" s="4">
        <v>46140</v>
      </c>
      <c r="E1472" s="5">
        <v>0.26287037037037037</v>
      </c>
      <c r="F1472" t="s">
        <v>87</v>
      </c>
      <c r="G1472" t="s">
        <v>82</v>
      </c>
      <c r="H1472">
        <v>16</v>
      </c>
      <c r="M1472" t="s">
        <v>74</v>
      </c>
      <c r="N1472" t="s">
        <v>75</v>
      </c>
    </row>
    <row r="1473" spans="1:14" x14ac:dyDescent="0.25">
      <c r="A1473" t="s">
        <v>1323</v>
      </c>
      <c r="B1473" s="4" t="s">
        <v>10</v>
      </c>
      <c r="C1473" s="4" t="s">
        <v>73</v>
      </c>
      <c r="D1473" s="4">
        <v>46140</v>
      </c>
      <c r="E1473" s="5">
        <v>0.26302083333333331</v>
      </c>
      <c r="F1473" t="s">
        <v>87</v>
      </c>
      <c r="G1473" t="s">
        <v>82</v>
      </c>
      <c r="H1473">
        <v>14.083333333333334</v>
      </c>
      <c r="M1473" t="s">
        <v>76</v>
      </c>
      <c r="N1473" t="s">
        <v>75</v>
      </c>
    </row>
    <row r="1474" spans="1:14" x14ac:dyDescent="0.25">
      <c r="A1474" t="s">
        <v>1324</v>
      </c>
      <c r="B1474" s="4" t="s">
        <v>10</v>
      </c>
      <c r="C1474" s="4" t="s">
        <v>70</v>
      </c>
      <c r="D1474" s="4">
        <v>46140</v>
      </c>
      <c r="E1474" s="5">
        <v>0.26394675925925926</v>
      </c>
      <c r="F1474" t="s">
        <v>87</v>
      </c>
      <c r="G1474" t="s">
        <v>82</v>
      </c>
      <c r="H1474">
        <v>38.583333333333329</v>
      </c>
      <c r="L1474" t="s">
        <v>1325</v>
      </c>
      <c r="M1474" t="s">
        <v>71</v>
      </c>
      <c r="N1474" t="s">
        <v>72</v>
      </c>
    </row>
    <row r="1475" spans="1:14" x14ac:dyDescent="0.25">
      <c r="A1475" t="s">
        <v>1325</v>
      </c>
      <c r="B1475" s="4" t="s">
        <v>10</v>
      </c>
      <c r="C1475" s="4" t="s">
        <v>73</v>
      </c>
      <c r="D1475" s="4">
        <v>46140</v>
      </c>
      <c r="E1475" s="5">
        <v>0.26394675925925926</v>
      </c>
      <c r="F1475" t="s">
        <v>87</v>
      </c>
      <c r="G1475" t="s">
        <v>82</v>
      </c>
      <c r="H1475">
        <v>17.833333333333332</v>
      </c>
      <c r="M1475" t="s">
        <v>74</v>
      </c>
      <c r="N1475" t="s">
        <v>72</v>
      </c>
    </row>
    <row r="1476" spans="1:14" x14ac:dyDescent="0.25">
      <c r="A1476" t="s">
        <v>1325</v>
      </c>
      <c r="B1476" s="4" t="s">
        <v>10</v>
      </c>
      <c r="C1476" s="4" t="s">
        <v>73</v>
      </c>
      <c r="D1476" s="4">
        <v>46140</v>
      </c>
      <c r="E1476" s="5">
        <v>0.26394675925925926</v>
      </c>
      <c r="F1476" t="s">
        <v>87</v>
      </c>
      <c r="G1476" t="s">
        <v>82</v>
      </c>
      <c r="H1476">
        <v>17.75</v>
      </c>
      <c r="M1476" t="s">
        <v>74</v>
      </c>
      <c r="N1476" t="s">
        <v>72</v>
      </c>
    </row>
    <row r="1477" spans="1:14" x14ac:dyDescent="0.25">
      <c r="A1477" t="s">
        <v>1325</v>
      </c>
      <c r="B1477" s="4" t="s">
        <v>10</v>
      </c>
      <c r="C1477" s="4" t="s">
        <v>73</v>
      </c>
      <c r="D1477" s="4">
        <v>46140</v>
      </c>
      <c r="E1477" s="5">
        <v>0.26446759259259262</v>
      </c>
      <c r="F1477" t="s">
        <v>87</v>
      </c>
      <c r="G1477" t="s">
        <v>82</v>
      </c>
      <c r="H1477">
        <v>15.916666666666666</v>
      </c>
      <c r="M1477" t="s">
        <v>76</v>
      </c>
      <c r="N1477" t="s">
        <v>72</v>
      </c>
    </row>
    <row r="1478" spans="1:14" x14ac:dyDescent="0.25">
      <c r="A1478" t="s">
        <v>1330</v>
      </c>
      <c r="B1478" s="4" t="s">
        <v>10</v>
      </c>
      <c r="C1478" s="4" t="s">
        <v>70</v>
      </c>
      <c r="D1478" s="4">
        <v>46140</v>
      </c>
      <c r="E1478" s="5">
        <v>0.26518518518518519</v>
      </c>
      <c r="F1478" t="s">
        <v>87</v>
      </c>
      <c r="G1478" t="s">
        <v>82</v>
      </c>
      <c r="H1478">
        <v>51</v>
      </c>
      <c r="L1478" t="s">
        <v>1331</v>
      </c>
      <c r="M1478" t="s">
        <v>71</v>
      </c>
      <c r="N1478" t="s">
        <v>78</v>
      </c>
    </row>
    <row r="1479" spans="1:14" x14ac:dyDescent="0.25">
      <c r="A1479" t="s">
        <v>1331</v>
      </c>
      <c r="B1479" s="4" t="s">
        <v>10</v>
      </c>
      <c r="C1479" s="4" t="s">
        <v>73</v>
      </c>
      <c r="D1479" s="4">
        <v>46140</v>
      </c>
      <c r="E1479" s="5">
        <v>0.26518518518518519</v>
      </c>
      <c r="F1479" t="s">
        <v>87</v>
      </c>
      <c r="G1479" t="s">
        <v>82</v>
      </c>
      <c r="H1479">
        <v>6.25</v>
      </c>
      <c r="M1479" t="s">
        <v>74</v>
      </c>
      <c r="N1479" t="s">
        <v>78</v>
      </c>
    </row>
    <row r="1480" spans="1:14" x14ac:dyDescent="0.25">
      <c r="A1480" t="s">
        <v>1331</v>
      </c>
      <c r="B1480" s="4" t="s">
        <v>10</v>
      </c>
      <c r="C1480" s="4" t="s">
        <v>73</v>
      </c>
      <c r="D1480" s="4">
        <v>46140</v>
      </c>
      <c r="E1480" s="5">
        <v>0.26518518518518519</v>
      </c>
      <c r="F1480" t="s">
        <v>87</v>
      </c>
      <c r="G1480" t="s">
        <v>82</v>
      </c>
      <c r="H1480">
        <v>6.1666666666666661</v>
      </c>
      <c r="M1480" t="s">
        <v>74</v>
      </c>
      <c r="N1480" t="s">
        <v>78</v>
      </c>
    </row>
    <row r="1481" spans="1:14" x14ac:dyDescent="0.25">
      <c r="A1481" t="s">
        <v>1331</v>
      </c>
      <c r="B1481" s="4" t="s">
        <v>10</v>
      </c>
      <c r="C1481" s="4" t="s">
        <v>73</v>
      </c>
      <c r="D1481" s="4">
        <v>46140</v>
      </c>
      <c r="E1481" s="5">
        <v>0.26531250000000001</v>
      </c>
      <c r="F1481" t="s">
        <v>87</v>
      </c>
      <c r="G1481" t="s">
        <v>82</v>
      </c>
      <c r="H1481">
        <v>5.916666666666667</v>
      </c>
      <c r="M1481" t="s">
        <v>76</v>
      </c>
      <c r="N1481" t="s">
        <v>78</v>
      </c>
    </row>
    <row r="1482" spans="1:14" x14ac:dyDescent="0.25">
      <c r="A1482" t="s">
        <v>1332</v>
      </c>
      <c r="B1482" s="4" t="s">
        <v>10</v>
      </c>
      <c r="C1482" s="4" t="s">
        <v>70</v>
      </c>
      <c r="D1482" s="4">
        <v>46140</v>
      </c>
      <c r="E1482" s="5">
        <v>0.26620370370370372</v>
      </c>
      <c r="F1482" t="s">
        <v>87</v>
      </c>
      <c r="G1482" t="s">
        <v>82</v>
      </c>
      <c r="H1482">
        <v>9.5</v>
      </c>
      <c r="L1482" t="s">
        <v>1333</v>
      </c>
      <c r="M1482" t="s">
        <v>71</v>
      </c>
      <c r="N1482" t="s">
        <v>80</v>
      </c>
    </row>
    <row r="1483" spans="1:14" x14ac:dyDescent="0.25">
      <c r="A1483" t="s">
        <v>1333</v>
      </c>
      <c r="B1483" s="4" t="s">
        <v>10</v>
      </c>
      <c r="C1483" s="4" t="s">
        <v>73</v>
      </c>
      <c r="D1483" s="4">
        <v>46140</v>
      </c>
      <c r="E1483" s="5">
        <v>0.26620370370370372</v>
      </c>
      <c r="F1483" t="s">
        <v>87</v>
      </c>
      <c r="G1483" t="s">
        <v>82</v>
      </c>
      <c r="H1483">
        <v>82.416666666666671</v>
      </c>
      <c r="M1483" t="s">
        <v>79</v>
      </c>
      <c r="N1483" t="s">
        <v>80</v>
      </c>
    </row>
    <row r="1484" spans="1:14" x14ac:dyDescent="0.25">
      <c r="A1484" t="s">
        <v>1333</v>
      </c>
      <c r="B1484" s="4" t="s">
        <v>10</v>
      </c>
      <c r="C1484" s="4" t="s">
        <v>73</v>
      </c>
      <c r="D1484" s="4">
        <v>46140</v>
      </c>
      <c r="E1484" s="5">
        <v>0.26620370370370372</v>
      </c>
      <c r="F1484" t="s">
        <v>87</v>
      </c>
      <c r="G1484" t="s">
        <v>82</v>
      </c>
      <c r="H1484">
        <v>82.333333333333329</v>
      </c>
      <c r="M1484" t="s">
        <v>79</v>
      </c>
      <c r="N1484" t="s">
        <v>80</v>
      </c>
    </row>
    <row r="1485" spans="1:14" x14ac:dyDescent="0.25">
      <c r="A1485" t="s">
        <v>1333</v>
      </c>
      <c r="B1485" s="4" t="s">
        <v>10</v>
      </c>
      <c r="C1485" s="4" t="s">
        <v>73</v>
      </c>
      <c r="D1485" s="4">
        <v>46140</v>
      </c>
      <c r="E1485" s="5">
        <v>0.26700231481481479</v>
      </c>
      <c r="F1485" t="s">
        <v>87</v>
      </c>
      <c r="G1485" t="s">
        <v>82</v>
      </c>
      <c r="H1485">
        <v>82.833333333333329</v>
      </c>
      <c r="M1485" t="s">
        <v>76</v>
      </c>
      <c r="N1485" t="s">
        <v>80</v>
      </c>
    </row>
    <row r="1486" spans="1:14" x14ac:dyDescent="0.25">
      <c r="A1486" t="s">
        <v>1336</v>
      </c>
      <c r="B1486" s="4" t="s">
        <v>10</v>
      </c>
      <c r="C1486" s="4" t="s">
        <v>73</v>
      </c>
      <c r="D1486" s="4">
        <v>46140</v>
      </c>
      <c r="E1486" s="5">
        <v>0.26770833333333333</v>
      </c>
      <c r="F1486" t="s">
        <v>87</v>
      </c>
      <c r="G1486" t="s">
        <v>82</v>
      </c>
      <c r="H1486">
        <v>55</v>
      </c>
      <c r="M1486" t="s">
        <v>79</v>
      </c>
      <c r="N1486" t="s">
        <v>80</v>
      </c>
    </row>
    <row r="1487" spans="1:14" x14ac:dyDescent="0.25">
      <c r="A1487" t="s">
        <v>1337</v>
      </c>
      <c r="B1487" s="4" t="s">
        <v>10</v>
      </c>
      <c r="C1487" s="4" t="s">
        <v>70</v>
      </c>
      <c r="D1487" s="4">
        <v>46140</v>
      </c>
      <c r="E1487" s="5">
        <v>0.26793981481481483</v>
      </c>
      <c r="F1487" t="s">
        <v>87</v>
      </c>
      <c r="G1487" t="s">
        <v>82</v>
      </c>
      <c r="H1487">
        <v>8.5</v>
      </c>
      <c r="L1487" t="s">
        <v>1336</v>
      </c>
      <c r="M1487" t="s">
        <v>71</v>
      </c>
      <c r="N1487" t="s">
        <v>80</v>
      </c>
    </row>
    <row r="1488" spans="1:14" x14ac:dyDescent="0.25">
      <c r="A1488" t="s">
        <v>1336</v>
      </c>
      <c r="B1488" s="4" t="s">
        <v>10</v>
      </c>
      <c r="C1488" s="4" t="s">
        <v>73</v>
      </c>
      <c r="D1488" s="4">
        <v>46140</v>
      </c>
      <c r="E1488" s="5">
        <v>0.26793981481481483</v>
      </c>
      <c r="F1488" t="s">
        <v>87</v>
      </c>
      <c r="G1488" t="s">
        <v>82</v>
      </c>
      <c r="H1488">
        <v>46.5</v>
      </c>
      <c r="M1488" t="s">
        <v>79</v>
      </c>
      <c r="N1488" t="s">
        <v>80</v>
      </c>
    </row>
    <row r="1489" spans="1:14" x14ac:dyDescent="0.25">
      <c r="A1489" t="s">
        <v>1336</v>
      </c>
      <c r="B1489" s="4" t="s">
        <v>10</v>
      </c>
      <c r="C1489" s="4" t="s">
        <v>73</v>
      </c>
      <c r="D1489" s="4">
        <v>46140</v>
      </c>
      <c r="E1489" s="5">
        <v>0.26793981481481483</v>
      </c>
      <c r="F1489" t="s">
        <v>87</v>
      </c>
      <c r="G1489" t="s">
        <v>82</v>
      </c>
      <c r="H1489">
        <v>46.416666666666664</v>
      </c>
      <c r="L1489" s="21"/>
      <c r="M1489" t="s">
        <v>79</v>
      </c>
      <c r="N1489" t="s">
        <v>80</v>
      </c>
    </row>
    <row r="1490" spans="1:14" x14ac:dyDescent="0.25">
      <c r="A1490" t="s">
        <v>1336</v>
      </c>
      <c r="B1490" s="4" t="s">
        <v>10</v>
      </c>
      <c r="C1490" s="4" t="s">
        <v>73</v>
      </c>
      <c r="D1490" s="4">
        <v>46140</v>
      </c>
      <c r="E1490" s="5">
        <v>0.26835648148148145</v>
      </c>
      <c r="F1490" t="s">
        <v>87</v>
      </c>
      <c r="G1490" t="s">
        <v>82</v>
      </c>
      <c r="H1490">
        <v>46.333333333333329</v>
      </c>
      <c r="M1490" t="s">
        <v>76</v>
      </c>
      <c r="N1490" t="s">
        <v>80</v>
      </c>
    </row>
    <row r="1491" spans="1:14" x14ac:dyDescent="0.25">
      <c r="A1491" t="s">
        <v>1341</v>
      </c>
      <c r="B1491" s="4" t="s">
        <v>10</v>
      </c>
      <c r="C1491" s="4" t="s">
        <v>70</v>
      </c>
      <c r="D1491" s="4">
        <v>46140</v>
      </c>
      <c r="E1491" s="5">
        <v>0.26937499999999998</v>
      </c>
      <c r="F1491" t="s">
        <v>87</v>
      </c>
      <c r="G1491" t="s">
        <v>82</v>
      </c>
      <c r="H1491">
        <v>52.5</v>
      </c>
      <c r="L1491" t="s">
        <v>1342</v>
      </c>
      <c r="M1491" t="s">
        <v>71</v>
      </c>
      <c r="N1491" t="s">
        <v>75</v>
      </c>
    </row>
    <row r="1492" spans="1:14" x14ac:dyDescent="0.25">
      <c r="A1492" t="s">
        <v>1342</v>
      </c>
      <c r="B1492" s="4" t="s">
        <v>10</v>
      </c>
      <c r="C1492" s="4" t="s">
        <v>73</v>
      </c>
      <c r="D1492" s="4">
        <v>46140</v>
      </c>
      <c r="E1492" s="5">
        <v>0.26937499999999998</v>
      </c>
      <c r="F1492" t="s">
        <v>87</v>
      </c>
      <c r="G1492" t="s">
        <v>82</v>
      </c>
      <c r="H1492">
        <v>121.91666666666666</v>
      </c>
      <c r="M1492" t="s">
        <v>79</v>
      </c>
      <c r="N1492" t="s">
        <v>75</v>
      </c>
    </row>
    <row r="1493" spans="1:14" x14ac:dyDescent="0.25">
      <c r="A1493" t="s">
        <v>1342</v>
      </c>
      <c r="B1493" s="4" t="s">
        <v>10</v>
      </c>
      <c r="C1493" s="4" t="s">
        <v>73</v>
      </c>
      <c r="D1493" s="4">
        <v>46140</v>
      </c>
      <c r="E1493" s="5">
        <v>0.26937499999999998</v>
      </c>
      <c r="F1493" t="s">
        <v>87</v>
      </c>
      <c r="G1493" t="s">
        <v>82</v>
      </c>
      <c r="H1493">
        <v>121.83333333333333</v>
      </c>
      <c r="M1493" t="s">
        <v>79</v>
      </c>
      <c r="N1493" t="s">
        <v>75</v>
      </c>
    </row>
    <row r="1494" spans="1:14" x14ac:dyDescent="0.25">
      <c r="A1494" t="s">
        <v>1342</v>
      </c>
      <c r="B1494" s="4" t="s">
        <v>10</v>
      </c>
      <c r="C1494" s="4" t="s">
        <v>73</v>
      </c>
      <c r="D1494" s="4">
        <v>46140</v>
      </c>
      <c r="E1494" s="5">
        <v>0.26945601851851853</v>
      </c>
      <c r="F1494" t="s">
        <v>87</v>
      </c>
      <c r="G1494" t="s">
        <v>82</v>
      </c>
      <c r="H1494">
        <v>121.83333333333333</v>
      </c>
      <c r="M1494" t="s">
        <v>76</v>
      </c>
      <c r="N1494" t="s">
        <v>75</v>
      </c>
    </row>
    <row r="1495" spans="1:14" x14ac:dyDescent="0.25">
      <c r="A1495" t="s">
        <v>1343</v>
      </c>
      <c r="B1495" s="4" t="s">
        <v>10</v>
      </c>
      <c r="C1495" s="4" t="s">
        <v>70</v>
      </c>
      <c r="D1495" s="4">
        <v>46140</v>
      </c>
      <c r="E1495" s="5">
        <v>0.27006944444444447</v>
      </c>
      <c r="F1495" t="s">
        <v>87</v>
      </c>
      <c r="G1495" t="s">
        <v>82</v>
      </c>
      <c r="H1495">
        <v>64</v>
      </c>
      <c r="L1495" t="s">
        <v>1344</v>
      </c>
      <c r="M1495" t="s">
        <v>71</v>
      </c>
      <c r="N1495" t="s">
        <v>75</v>
      </c>
    </row>
    <row r="1496" spans="1:14" x14ac:dyDescent="0.25">
      <c r="A1496" t="s">
        <v>1344</v>
      </c>
      <c r="B1496" s="4" t="s">
        <v>10</v>
      </c>
      <c r="C1496" s="4" t="s">
        <v>73</v>
      </c>
      <c r="D1496" s="4">
        <v>46140</v>
      </c>
      <c r="E1496" s="5">
        <v>0.27006944444444447</v>
      </c>
      <c r="F1496" t="s">
        <v>87</v>
      </c>
      <c r="G1496" t="s">
        <v>82</v>
      </c>
      <c r="H1496">
        <v>106</v>
      </c>
      <c r="M1496" t="s">
        <v>79</v>
      </c>
      <c r="N1496" t="s">
        <v>75</v>
      </c>
    </row>
    <row r="1497" spans="1:14" x14ac:dyDescent="0.25">
      <c r="A1497" t="s">
        <v>1344</v>
      </c>
      <c r="B1497" s="4" t="s">
        <v>10</v>
      </c>
      <c r="C1497" s="4" t="s">
        <v>73</v>
      </c>
      <c r="D1497" s="4">
        <v>46140</v>
      </c>
      <c r="E1497" s="5">
        <v>0.27006944444444447</v>
      </c>
      <c r="F1497" t="s">
        <v>87</v>
      </c>
      <c r="G1497" t="s">
        <v>82</v>
      </c>
      <c r="H1497">
        <v>105.91666666666666</v>
      </c>
      <c r="M1497" t="s">
        <v>79</v>
      </c>
      <c r="N1497" t="s">
        <v>75</v>
      </c>
    </row>
    <row r="1498" spans="1:14" x14ac:dyDescent="0.25">
      <c r="A1498" t="s">
        <v>1344</v>
      </c>
      <c r="B1498" s="4" t="s">
        <v>10</v>
      </c>
      <c r="C1498" s="4" t="s">
        <v>73</v>
      </c>
      <c r="D1498" s="4">
        <v>46140</v>
      </c>
      <c r="E1498" s="5">
        <v>0.2701736111111111</v>
      </c>
      <c r="F1498" t="s">
        <v>87</v>
      </c>
      <c r="G1498" t="s">
        <v>82</v>
      </c>
      <c r="H1498">
        <v>105.91666666666666</v>
      </c>
      <c r="M1498" t="s">
        <v>76</v>
      </c>
      <c r="N1498" t="s">
        <v>75</v>
      </c>
    </row>
    <row r="1499" spans="1:14" x14ac:dyDescent="0.25">
      <c r="A1499" t="s">
        <v>1349</v>
      </c>
      <c r="B1499" s="4" t="s">
        <v>10</v>
      </c>
      <c r="C1499" s="4" t="s">
        <v>70</v>
      </c>
      <c r="D1499" s="4">
        <v>46140</v>
      </c>
      <c r="E1499" s="5">
        <v>0.27071759259259259</v>
      </c>
      <c r="F1499" t="s">
        <v>87</v>
      </c>
      <c r="G1499" t="s">
        <v>82</v>
      </c>
      <c r="H1499">
        <v>2</v>
      </c>
      <c r="L1499" t="s">
        <v>1350</v>
      </c>
      <c r="M1499" t="s">
        <v>71</v>
      </c>
      <c r="N1499" t="s">
        <v>75</v>
      </c>
    </row>
    <row r="1500" spans="1:14" x14ac:dyDescent="0.25">
      <c r="A1500" t="s">
        <v>1350</v>
      </c>
      <c r="B1500" s="4" t="s">
        <v>10</v>
      </c>
      <c r="C1500" s="4" t="s">
        <v>73</v>
      </c>
      <c r="D1500" s="4">
        <v>46140</v>
      </c>
      <c r="E1500" s="5">
        <v>0.27071759259259259</v>
      </c>
      <c r="F1500" t="s">
        <v>87</v>
      </c>
      <c r="G1500" t="s">
        <v>82</v>
      </c>
      <c r="H1500">
        <v>6.1666666666666661</v>
      </c>
      <c r="M1500" t="s">
        <v>79</v>
      </c>
      <c r="N1500" t="s">
        <v>75</v>
      </c>
    </row>
    <row r="1501" spans="1:14" x14ac:dyDescent="0.25">
      <c r="A1501" t="s">
        <v>1350</v>
      </c>
      <c r="B1501" s="4" t="s">
        <v>10</v>
      </c>
      <c r="C1501" s="4" t="s">
        <v>73</v>
      </c>
      <c r="D1501" s="4">
        <v>46140</v>
      </c>
      <c r="E1501" s="5">
        <v>0.27109953703703704</v>
      </c>
      <c r="F1501" t="s">
        <v>87</v>
      </c>
      <c r="G1501" t="s">
        <v>82</v>
      </c>
      <c r="H1501">
        <v>6.3333333333333321</v>
      </c>
      <c r="M1501" t="s">
        <v>76</v>
      </c>
      <c r="N1501" t="s">
        <v>75</v>
      </c>
    </row>
    <row r="1502" spans="1:14" x14ac:dyDescent="0.25">
      <c r="A1502" t="s">
        <v>1353</v>
      </c>
      <c r="B1502" s="4" t="s">
        <v>10</v>
      </c>
      <c r="C1502" s="4" t="s">
        <v>70</v>
      </c>
      <c r="D1502" s="4">
        <v>46140</v>
      </c>
      <c r="E1502" s="5">
        <v>0.27167824074074071</v>
      </c>
      <c r="F1502" t="s">
        <v>87</v>
      </c>
      <c r="G1502" t="s">
        <v>82</v>
      </c>
      <c r="H1502">
        <v>14</v>
      </c>
      <c r="L1502" t="s">
        <v>1354</v>
      </c>
      <c r="M1502" t="s">
        <v>71</v>
      </c>
      <c r="N1502" t="s">
        <v>72</v>
      </c>
    </row>
    <row r="1503" spans="1:14" x14ac:dyDescent="0.25">
      <c r="A1503" t="s">
        <v>1354</v>
      </c>
      <c r="B1503" s="4" t="s">
        <v>10</v>
      </c>
      <c r="C1503" s="4" t="s">
        <v>73</v>
      </c>
      <c r="D1503" s="4">
        <v>46140</v>
      </c>
      <c r="E1503" s="5">
        <v>0.27167824074074071</v>
      </c>
      <c r="F1503" t="s">
        <v>87</v>
      </c>
      <c r="G1503" t="s">
        <v>82</v>
      </c>
      <c r="H1503">
        <v>25.916666666666664</v>
      </c>
      <c r="M1503" t="s">
        <v>79</v>
      </c>
      <c r="N1503" t="s">
        <v>72</v>
      </c>
    </row>
    <row r="1504" spans="1:14" x14ac:dyDescent="0.25">
      <c r="A1504" t="s">
        <v>1354</v>
      </c>
      <c r="B1504" s="4" t="s">
        <v>10</v>
      </c>
      <c r="C1504" s="4" t="s">
        <v>73</v>
      </c>
      <c r="D1504" s="4">
        <v>46140</v>
      </c>
      <c r="E1504" s="5">
        <v>0.27167824074074071</v>
      </c>
      <c r="F1504" t="s">
        <v>87</v>
      </c>
      <c r="G1504" t="s">
        <v>82</v>
      </c>
      <c r="H1504">
        <v>25.833333333333332</v>
      </c>
      <c r="M1504" t="s">
        <v>79</v>
      </c>
      <c r="N1504" t="s">
        <v>72</v>
      </c>
    </row>
    <row r="1505" spans="1:14" x14ac:dyDescent="0.25">
      <c r="A1505" t="s">
        <v>1354</v>
      </c>
      <c r="B1505" s="4" t="s">
        <v>10</v>
      </c>
      <c r="C1505" s="4" t="s">
        <v>73</v>
      </c>
      <c r="D1505" s="4">
        <v>46140</v>
      </c>
      <c r="E1505" s="5">
        <v>0.2719212962962963</v>
      </c>
      <c r="F1505" t="s">
        <v>87</v>
      </c>
      <c r="G1505" t="s">
        <v>82</v>
      </c>
      <c r="H1505">
        <v>25.666666666666668</v>
      </c>
      <c r="M1505" t="s">
        <v>76</v>
      </c>
      <c r="N1505" t="s">
        <v>72</v>
      </c>
    </row>
    <row r="1506" spans="1:14" x14ac:dyDescent="0.25">
      <c r="A1506" t="s">
        <v>1356</v>
      </c>
      <c r="B1506" s="4" t="s">
        <v>10</v>
      </c>
      <c r="C1506" s="4" t="s">
        <v>70</v>
      </c>
      <c r="D1506" s="4">
        <v>46140</v>
      </c>
      <c r="E1506" s="5">
        <v>0.27262731481481478</v>
      </c>
      <c r="F1506" t="s">
        <v>87</v>
      </c>
      <c r="G1506" t="s">
        <v>82</v>
      </c>
      <c r="H1506">
        <v>21</v>
      </c>
      <c r="L1506" t="s">
        <v>1357</v>
      </c>
      <c r="M1506" t="s">
        <v>71</v>
      </c>
      <c r="N1506" t="s">
        <v>75</v>
      </c>
    </row>
    <row r="1507" spans="1:14" x14ac:dyDescent="0.25">
      <c r="A1507" t="s">
        <v>1357</v>
      </c>
      <c r="B1507" s="4" t="s">
        <v>10</v>
      </c>
      <c r="C1507" s="4" t="s">
        <v>73</v>
      </c>
      <c r="D1507" s="4">
        <v>46140</v>
      </c>
      <c r="E1507" s="5">
        <v>0.27262731481481478</v>
      </c>
      <c r="F1507" t="s">
        <v>87</v>
      </c>
      <c r="G1507" t="s">
        <v>82</v>
      </c>
      <c r="H1507">
        <v>24.25</v>
      </c>
      <c r="M1507" t="s">
        <v>79</v>
      </c>
      <c r="N1507" t="s">
        <v>75</v>
      </c>
    </row>
    <row r="1508" spans="1:14" x14ac:dyDescent="0.25">
      <c r="A1508" t="s">
        <v>1357</v>
      </c>
      <c r="B1508" s="4" t="s">
        <v>10</v>
      </c>
      <c r="C1508" s="4" t="s">
        <v>73</v>
      </c>
      <c r="D1508" s="4">
        <v>46140</v>
      </c>
      <c r="E1508" s="5">
        <v>0.27262731481481478</v>
      </c>
      <c r="F1508" t="s">
        <v>87</v>
      </c>
      <c r="G1508" t="s">
        <v>82</v>
      </c>
      <c r="H1508">
        <v>24.166666666666664</v>
      </c>
      <c r="M1508" t="s">
        <v>79</v>
      </c>
      <c r="N1508" t="s">
        <v>75</v>
      </c>
    </row>
    <row r="1509" spans="1:14" x14ac:dyDescent="0.25">
      <c r="A1509" t="s">
        <v>1357</v>
      </c>
      <c r="B1509" s="4" t="s">
        <v>10</v>
      </c>
      <c r="C1509" s="4" t="s">
        <v>73</v>
      </c>
      <c r="D1509" s="4">
        <v>46140</v>
      </c>
      <c r="E1509" s="5">
        <v>0.27280092592592592</v>
      </c>
      <c r="F1509" t="s">
        <v>87</v>
      </c>
      <c r="G1509" t="s">
        <v>82</v>
      </c>
      <c r="H1509">
        <v>23</v>
      </c>
      <c r="M1509" t="s">
        <v>76</v>
      </c>
      <c r="N1509" t="s">
        <v>75</v>
      </c>
    </row>
    <row r="1510" spans="1:14" x14ac:dyDescent="0.25">
      <c r="A1510" t="s">
        <v>1360</v>
      </c>
      <c r="B1510" s="4" t="s">
        <v>10</v>
      </c>
      <c r="C1510" s="4" t="s">
        <v>70</v>
      </c>
      <c r="D1510" s="4">
        <v>46140</v>
      </c>
      <c r="E1510" s="5">
        <v>0.27327546296296296</v>
      </c>
      <c r="F1510" t="s">
        <v>87</v>
      </c>
      <c r="G1510" t="s">
        <v>82</v>
      </c>
      <c r="H1510">
        <v>20</v>
      </c>
      <c r="L1510" t="s">
        <v>1361</v>
      </c>
      <c r="M1510" t="s">
        <v>71</v>
      </c>
      <c r="N1510" t="s">
        <v>75</v>
      </c>
    </row>
    <row r="1511" spans="1:14" x14ac:dyDescent="0.25">
      <c r="A1511" t="s">
        <v>1361</v>
      </c>
      <c r="B1511" s="4" t="s">
        <v>10</v>
      </c>
      <c r="C1511" s="4" t="s">
        <v>73</v>
      </c>
      <c r="D1511" s="4">
        <v>46140</v>
      </c>
      <c r="E1511" s="5">
        <v>0.27327546296296296</v>
      </c>
      <c r="F1511" t="s">
        <v>87</v>
      </c>
      <c r="G1511" t="s">
        <v>82</v>
      </c>
      <c r="H1511">
        <v>203.58333333333331</v>
      </c>
      <c r="M1511" t="s">
        <v>79</v>
      </c>
      <c r="N1511" t="s">
        <v>75</v>
      </c>
    </row>
    <row r="1512" spans="1:14" x14ac:dyDescent="0.25">
      <c r="A1512" t="s">
        <v>1361</v>
      </c>
      <c r="B1512" s="4" t="s">
        <v>10</v>
      </c>
      <c r="C1512" s="4" t="s">
        <v>73</v>
      </c>
      <c r="D1512" s="4">
        <v>46140</v>
      </c>
      <c r="E1512" s="5">
        <v>0.27327546296296296</v>
      </c>
      <c r="F1512" t="s">
        <v>87</v>
      </c>
      <c r="G1512" t="s">
        <v>82</v>
      </c>
      <c r="H1512">
        <v>203.5</v>
      </c>
      <c r="M1512" t="s">
        <v>79</v>
      </c>
      <c r="N1512" t="s">
        <v>75</v>
      </c>
    </row>
    <row r="1513" spans="1:14" x14ac:dyDescent="0.25">
      <c r="A1513" t="s">
        <v>1362</v>
      </c>
      <c r="B1513" s="4" t="s">
        <v>10</v>
      </c>
      <c r="C1513" s="4" t="s">
        <v>70</v>
      </c>
      <c r="D1513" s="4">
        <v>46140</v>
      </c>
      <c r="E1513" s="5">
        <v>0.27366898148148144</v>
      </c>
      <c r="F1513" t="s">
        <v>87</v>
      </c>
      <c r="G1513" t="s">
        <v>82</v>
      </c>
      <c r="H1513">
        <v>53</v>
      </c>
      <c r="L1513" t="s">
        <v>1361</v>
      </c>
      <c r="M1513" t="s">
        <v>71</v>
      </c>
      <c r="N1513" t="s">
        <v>75</v>
      </c>
    </row>
    <row r="1514" spans="1:14" x14ac:dyDescent="0.25">
      <c r="A1514" t="s">
        <v>1361</v>
      </c>
      <c r="B1514" s="4" t="s">
        <v>10</v>
      </c>
      <c r="C1514" s="4" t="s">
        <v>73</v>
      </c>
      <c r="D1514" s="4">
        <v>46140</v>
      </c>
      <c r="E1514" s="5">
        <v>0.27366898148148144</v>
      </c>
      <c r="F1514" t="s">
        <v>87</v>
      </c>
      <c r="G1514" t="s">
        <v>82</v>
      </c>
      <c r="H1514">
        <v>150.5</v>
      </c>
      <c r="M1514" t="s">
        <v>79</v>
      </c>
      <c r="N1514" t="s">
        <v>75</v>
      </c>
    </row>
    <row r="1515" spans="1:14" x14ac:dyDescent="0.25">
      <c r="A1515" t="s">
        <v>1361</v>
      </c>
      <c r="B1515" s="4" t="s">
        <v>10</v>
      </c>
      <c r="C1515" s="4" t="s">
        <v>73</v>
      </c>
      <c r="D1515" s="4">
        <v>46140</v>
      </c>
      <c r="E1515" s="5">
        <v>0.27366898148148144</v>
      </c>
      <c r="F1515" t="s">
        <v>87</v>
      </c>
      <c r="G1515" t="s">
        <v>82</v>
      </c>
      <c r="H1515">
        <v>150.41666666666666</v>
      </c>
      <c r="M1515" t="s">
        <v>79</v>
      </c>
      <c r="N1515" t="s">
        <v>75</v>
      </c>
    </row>
    <row r="1516" spans="1:14" x14ac:dyDescent="0.25">
      <c r="A1516" t="s">
        <v>1363</v>
      </c>
      <c r="B1516" s="4" t="s">
        <v>10</v>
      </c>
      <c r="C1516" s="4" t="s">
        <v>70</v>
      </c>
      <c r="D1516" s="4">
        <v>46140</v>
      </c>
      <c r="E1516" s="5">
        <v>0.27398148148148149</v>
      </c>
      <c r="F1516" t="s">
        <v>87</v>
      </c>
      <c r="G1516" t="s">
        <v>82</v>
      </c>
      <c r="H1516">
        <v>64.333333333333329</v>
      </c>
      <c r="L1516" t="s">
        <v>1361</v>
      </c>
      <c r="M1516" t="s">
        <v>71</v>
      </c>
      <c r="N1516" t="s">
        <v>75</v>
      </c>
    </row>
    <row r="1517" spans="1:14" x14ac:dyDescent="0.25">
      <c r="A1517" t="s">
        <v>1361</v>
      </c>
      <c r="B1517" s="4" t="s">
        <v>10</v>
      </c>
      <c r="C1517" s="4" t="s">
        <v>73</v>
      </c>
      <c r="D1517" s="4">
        <v>46140</v>
      </c>
      <c r="E1517" s="5">
        <v>0.27398148148148149</v>
      </c>
      <c r="F1517" t="s">
        <v>87</v>
      </c>
      <c r="G1517" t="s">
        <v>82</v>
      </c>
      <c r="H1517">
        <v>86.083333333333329</v>
      </c>
      <c r="M1517" t="s">
        <v>79</v>
      </c>
      <c r="N1517" t="s">
        <v>75</v>
      </c>
    </row>
    <row r="1518" spans="1:14" x14ac:dyDescent="0.25">
      <c r="A1518" t="s">
        <v>1361</v>
      </c>
      <c r="B1518" s="4" t="s">
        <v>10</v>
      </c>
      <c r="C1518" s="4" t="s">
        <v>73</v>
      </c>
      <c r="D1518" s="4">
        <v>46140</v>
      </c>
      <c r="E1518" s="5">
        <v>0.27398148148148149</v>
      </c>
      <c r="F1518" t="s">
        <v>87</v>
      </c>
      <c r="G1518" t="s">
        <v>82</v>
      </c>
      <c r="H1518">
        <v>86</v>
      </c>
      <c r="M1518" t="s">
        <v>79</v>
      </c>
      <c r="N1518" t="s">
        <v>75</v>
      </c>
    </row>
    <row r="1519" spans="1:14" x14ac:dyDescent="0.25">
      <c r="A1519" t="s">
        <v>1361</v>
      </c>
      <c r="B1519" s="4" t="s">
        <v>10</v>
      </c>
      <c r="C1519" s="4" t="s">
        <v>73</v>
      </c>
      <c r="D1519" s="4">
        <v>46140</v>
      </c>
      <c r="E1519" s="5">
        <v>0.27410879629629625</v>
      </c>
      <c r="F1519" t="s">
        <v>87</v>
      </c>
      <c r="G1519" t="s">
        <v>82</v>
      </c>
      <c r="H1519">
        <v>86</v>
      </c>
      <c r="M1519" t="s">
        <v>76</v>
      </c>
      <c r="N1519" t="s">
        <v>75</v>
      </c>
    </row>
    <row r="1520" spans="1:14" x14ac:dyDescent="0.25">
      <c r="A1520" t="s">
        <v>1364</v>
      </c>
      <c r="B1520" s="4" t="s">
        <v>10</v>
      </c>
      <c r="C1520" s="4" t="s">
        <v>70</v>
      </c>
      <c r="D1520" s="4">
        <v>46140</v>
      </c>
      <c r="E1520" s="5">
        <v>0.27453703703703702</v>
      </c>
      <c r="F1520" t="s">
        <v>87</v>
      </c>
      <c r="G1520" t="s">
        <v>82</v>
      </c>
      <c r="H1520">
        <v>8</v>
      </c>
      <c r="L1520" t="s">
        <v>1365</v>
      </c>
      <c r="M1520" t="s">
        <v>71</v>
      </c>
      <c r="N1520" t="s">
        <v>81</v>
      </c>
    </row>
    <row r="1521" spans="1:14" x14ac:dyDescent="0.25">
      <c r="A1521" t="s">
        <v>1365</v>
      </c>
      <c r="B1521" s="4" t="s">
        <v>10</v>
      </c>
      <c r="C1521" s="4" t="s">
        <v>73</v>
      </c>
      <c r="D1521" s="4">
        <v>46140</v>
      </c>
      <c r="E1521" s="5">
        <v>0.27453703703703702</v>
      </c>
      <c r="F1521" t="s">
        <v>87</v>
      </c>
      <c r="G1521" t="s">
        <v>82</v>
      </c>
      <c r="H1521">
        <v>123.91666666666666</v>
      </c>
      <c r="M1521" t="s">
        <v>79</v>
      </c>
      <c r="N1521" t="s">
        <v>81</v>
      </c>
    </row>
    <row r="1522" spans="1:14" x14ac:dyDescent="0.25">
      <c r="A1522" t="s">
        <v>1365</v>
      </c>
      <c r="B1522" s="4" t="s">
        <v>10</v>
      </c>
      <c r="C1522" s="4" t="s">
        <v>73</v>
      </c>
      <c r="D1522" s="4">
        <v>46140</v>
      </c>
      <c r="E1522" s="5">
        <v>0.27453703703703702</v>
      </c>
      <c r="F1522" t="s">
        <v>87</v>
      </c>
      <c r="G1522" t="s">
        <v>82</v>
      </c>
      <c r="H1522">
        <v>123.83333333333333</v>
      </c>
      <c r="M1522" t="s">
        <v>79</v>
      </c>
      <c r="N1522" t="s">
        <v>81</v>
      </c>
    </row>
    <row r="1523" spans="1:14" x14ac:dyDescent="0.25">
      <c r="A1523" t="s">
        <v>1365</v>
      </c>
      <c r="B1523" s="4" t="s">
        <v>10</v>
      </c>
      <c r="C1523" s="4" t="s">
        <v>73</v>
      </c>
      <c r="D1523" s="4">
        <v>46140</v>
      </c>
      <c r="E1523" s="5">
        <v>0.27467592592592593</v>
      </c>
      <c r="F1523" t="s">
        <v>87</v>
      </c>
      <c r="G1523" t="s">
        <v>82</v>
      </c>
      <c r="H1523">
        <v>123.83333333333333</v>
      </c>
      <c r="M1523" t="s">
        <v>76</v>
      </c>
      <c r="N1523" t="s">
        <v>81</v>
      </c>
    </row>
    <row r="1524" spans="1:14" x14ac:dyDescent="0.25">
      <c r="A1524" t="s">
        <v>1369</v>
      </c>
      <c r="B1524" s="4" t="s">
        <v>10</v>
      </c>
      <c r="C1524" s="4" t="s">
        <v>70</v>
      </c>
      <c r="D1524" s="4">
        <v>46140</v>
      </c>
      <c r="E1524" s="5">
        <v>0.27575231481481477</v>
      </c>
      <c r="F1524" t="s">
        <v>87</v>
      </c>
      <c r="G1524" t="s">
        <v>82</v>
      </c>
      <c r="H1524">
        <v>87</v>
      </c>
      <c r="L1524" t="s">
        <v>1370</v>
      </c>
      <c r="M1524" t="s">
        <v>71</v>
      </c>
      <c r="N1524" t="s">
        <v>80</v>
      </c>
    </row>
    <row r="1525" spans="1:14" x14ac:dyDescent="0.25">
      <c r="A1525" t="s">
        <v>1370</v>
      </c>
      <c r="B1525" s="4" t="s">
        <v>10</v>
      </c>
      <c r="C1525" s="4" t="s">
        <v>73</v>
      </c>
      <c r="D1525" s="4">
        <v>46140</v>
      </c>
      <c r="E1525" s="5">
        <v>0.27575231481481477</v>
      </c>
      <c r="F1525" t="s">
        <v>87</v>
      </c>
      <c r="G1525" t="s">
        <v>82</v>
      </c>
      <c r="H1525">
        <v>4.166666666666667</v>
      </c>
      <c r="M1525" t="s">
        <v>79</v>
      </c>
      <c r="N1525" t="s">
        <v>80</v>
      </c>
    </row>
    <row r="1526" spans="1:14" x14ac:dyDescent="0.25">
      <c r="A1526" t="s">
        <v>1370</v>
      </c>
      <c r="B1526" s="4" t="s">
        <v>10</v>
      </c>
      <c r="C1526" s="4" t="s">
        <v>73</v>
      </c>
      <c r="D1526" s="4">
        <v>46140</v>
      </c>
      <c r="E1526" s="5">
        <v>0.27575231481481477</v>
      </c>
      <c r="F1526" t="s">
        <v>87</v>
      </c>
      <c r="G1526" t="s">
        <v>82</v>
      </c>
      <c r="H1526">
        <v>0</v>
      </c>
      <c r="M1526" t="s">
        <v>79</v>
      </c>
      <c r="N1526" t="s">
        <v>80</v>
      </c>
    </row>
    <row r="1527" spans="1:14" x14ac:dyDescent="0.25">
      <c r="A1527" t="s">
        <v>1373</v>
      </c>
      <c r="B1527" s="4" t="s">
        <v>10</v>
      </c>
      <c r="C1527" s="4" t="s">
        <v>70</v>
      </c>
      <c r="D1527" s="4">
        <v>46140</v>
      </c>
      <c r="E1527" s="5">
        <v>0.27635416666666662</v>
      </c>
      <c r="F1527" t="s">
        <v>87</v>
      </c>
      <c r="G1527" t="s">
        <v>82</v>
      </c>
      <c r="H1527">
        <v>9.5</v>
      </c>
      <c r="L1527" t="s">
        <v>1374</v>
      </c>
      <c r="M1527" t="s">
        <v>71</v>
      </c>
      <c r="N1527" t="s">
        <v>72</v>
      </c>
    </row>
    <row r="1528" spans="1:14" x14ac:dyDescent="0.25">
      <c r="A1528" t="s">
        <v>1374</v>
      </c>
      <c r="B1528" s="4" t="s">
        <v>10</v>
      </c>
      <c r="C1528" s="4" t="s">
        <v>73</v>
      </c>
      <c r="D1528" s="4">
        <v>46140</v>
      </c>
      <c r="E1528" s="5">
        <v>0.27635416666666662</v>
      </c>
      <c r="F1528" t="s">
        <v>87</v>
      </c>
      <c r="G1528" t="s">
        <v>82</v>
      </c>
      <c r="H1528">
        <v>81</v>
      </c>
      <c r="M1528" t="s">
        <v>79</v>
      </c>
      <c r="N1528" t="s">
        <v>72</v>
      </c>
    </row>
    <row r="1529" spans="1:14" x14ac:dyDescent="0.25">
      <c r="A1529" t="s">
        <v>1374</v>
      </c>
      <c r="B1529" s="4" t="s">
        <v>10</v>
      </c>
      <c r="C1529" s="4" t="s">
        <v>73</v>
      </c>
      <c r="D1529" s="4">
        <v>46140</v>
      </c>
      <c r="E1529" s="5">
        <v>0.27635416666666662</v>
      </c>
      <c r="F1529" t="s">
        <v>87</v>
      </c>
      <c r="G1529" t="s">
        <v>82</v>
      </c>
      <c r="H1529">
        <v>80.916666666666657</v>
      </c>
      <c r="M1529" t="s">
        <v>79</v>
      </c>
      <c r="N1529" t="s">
        <v>72</v>
      </c>
    </row>
    <row r="1530" spans="1:14" x14ac:dyDescent="0.25">
      <c r="A1530" t="s">
        <v>1374</v>
      </c>
      <c r="B1530" s="4" t="s">
        <v>10</v>
      </c>
      <c r="C1530" s="4" t="s">
        <v>73</v>
      </c>
      <c r="D1530" s="4">
        <v>46140</v>
      </c>
      <c r="E1530" s="5">
        <v>0.27651620370370367</v>
      </c>
      <c r="F1530" t="s">
        <v>87</v>
      </c>
      <c r="G1530" t="s">
        <v>82</v>
      </c>
      <c r="H1530">
        <v>80.916666666666657</v>
      </c>
      <c r="M1530" t="s">
        <v>76</v>
      </c>
      <c r="N1530" t="s">
        <v>72</v>
      </c>
    </row>
    <row r="1531" spans="1:14" x14ac:dyDescent="0.25">
      <c r="A1531" t="s">
        <v>1377</v>
      </c>
      <c r="B1531" s="4" t="s">
        <v>10</v>
      </c>
      <c r="C1531" s="4" t="s">
        <v>70</v>
      </c>
      <c r="D1531" s="4">
        <v>46140</v>
      </c>
      <c r="E1531" s="5">
        <v>0.27773148148148147</v>
      </c>
      <c r="F1531" t="s">
        <v>87</v>
      </c>
      <c r="G1531" t="s">
        <v>82</v>
      </c>
      <c r="H1531">
        <v>63.25</v>
      </c>
      <c r="L1531" t="s">
        <v>1378</v>
      </c>
      <c r="M1531" t="s">
        <v>71</v>
      </c>
      <c r="N1531" t="s">
        <v>75</v>
      </c>
    </row>
    <row r="1532" spans="1:14" x14ac:dyDescent="0.25">
      <c r="A1532" t="s">
        <v>1378</v>
      </c>
      <c r="B1532" s="4" t="s">
        <v>10</v>
      </c>
      <c r="C1532" s="4" t="s">
        <v>73</v>
      </c>
      <c r="D1532" s="4">
        <v>46140</v>
      </c>
      <c r="E1532" s="5">
        <v>0.27773148148148147</v>
      </c>
      <c r="F1532" t="s">
        <v>87</v>
      </c>
      <c r="G1532" t="s">
        <v>82</v>
      </c>
      <c r="H1532">
        <v>80.083333333333329</v>
      </c>
      <c r="M1532" t="s">
        <v>79</v>
      </c>
      <c r="N1532" t="s">
        <v>75</v>
      </c>
    </row>
    <row r="1533" spans="1:14" x14ac:dyDescent="0.25">
      <c r="A1533" t="s">
        <v>1378</v>
      </c>
      <c r="B1533" s="4" t="s">
        <v>10</v>
      </c>
      <c r="C1533" s="4" t="s">
        <v>73</v>
      </c>
      <c r="D1533" s="4">
        <v>46140</v>
      </c>
      <c r="E1533" s="5">
        <v>0.27773148148148147</v>
      </c>
      <c r="F1533" t="s">
        <v>87</v>
      </c>
      <c r="G1533" t="s">
        <v>82</v>
      </c>
      <c r="H1533">
        <v>80</v>
      </c>
      <c r="M1533" t="s">
        <v>79</v>
      </c>
      <c r="N1533" t="s">
        <v>75</v>
      </c>
    </row>
    <row r="1534" spans="1:14" x14ac:dyDescent="0.25">
      <c r="A1534" t="s">
        <v>1378</v>
      </c>
      <c r="B1534" s="4" t="s">
        <v>10</v>
      </c>
      <c r="C1534" s="4" t="s">
        <v>73</v>
      </c>
      <c r="D1534" s="4">
        <v>46140</v>
      </c>
      <c r="E1534" s="5">
        <v>0.27803240740740742</v>
      </c>
      <c r="F1534" t="s">
        <v>87</v>
      </c>
      <c r="G1534" t="s">
        <v>82</v>
      </c>
      <c r="H1534">
        <v>77.833333333333329</v>
      </c>
      <c r="M1534" t="s">
        <v>76</v>
      </c>
      <c r="N1534" t="s">
        <v>75</v>
      </c>
    </row>
    <row r="1535" spans="1:14" x14ac:dyDescent="0.25">
      <c r="A1535" t="s">
        <v>1380</v>
      </c>
      <c r="B1535" s="4" t="s">
        <v>10</v>
      </c>
      <c r="C1535" s="4" t="s">
        <v>70</v>
      </c>
      <c r="D1535" s="4">
        <v>46140</v>
      </c>
      <c r="E1535" s="5">
        <v>0.2787384259259259</v>
      </c>
      <c r="F1535" t="s">
        <v>87</v>
      </c>
      <c r="G1535" t="s">
        <v>82</v>
      </c>
      <c r="H1535">
        <v>10.5</v>
      </c>
      <c r="L1535" t="s">
        <v>1381</v>
      </c>
      <c r="M1535" t="s">
        <v>71</v>
      </c>
      <c r="N1535" t="s">
        <v>80</v>
      </c>
    </row>
    <row r="1536" spans="1:14" x14ac:dyDescent="0.25">
      <c r="A1536" t="s">
        <v>1381</v>
      </c>
      <c r="B1536" s="4" t="s">
        <v>10</v>
      </c>
      <c r="C1536" s="4" t="s">
        <v>73</v>
      </c>
      <c r="D1536" s="4">
        <v>46140</v>
      </c>
      <c r="E1536" s="5">
        <v>0.2787384259259259</v>
      </c>
      <c r="F1536" t="s">
        <v>87</v>
      </c>
      <c r="G1536" t="s">
        <v>82</v>
      </c>
      <c r="H1536">
        <v>81.5</v>
      </c>
      <c r="M1536" t="s">
        <v>79</v>
      </c>
      <c r="N1536" t="s">
        <v>80</v>
      </c>
    </row>
    <row r="1537" spans="1:14" x14ac:dyDescent="0.25">
      <c r="A1537" t="s">
        <v>1381</v>
      </c>
      <c r="B1537" s="4" t="s">
        <v>10</v>
      </c>
      <c r="C1537" s="4" t="s">
        <v>73</v>
      </c>
      <c r="D1537" s="4">
        <v>46140</v>
      </c>
      <c r="E1537" s="5">
        <v>0.2787384259259259</v>
      </c>
      <c r="F1537" t="s">
        <v>87</v>
      </c>
      <c r="G1537" t="s">
        <v>82</v>
      </c>
      <c r="H1537">
        <v>81.416666666666671</v>
      </c>
      <c r="M1537" t="s">
        <v>79</v>
      </c>
      <c r="N1537" t="s">
        <v>80</v>
      </c>
    </row>
    <row r="1538" spans="1:14" x14ac:dyDescent="0.25">
      <c r="A1538" t="s">
        <v>1381</v>
      </c>
      <c r="B1538" s="4" t="s">
        <v>10</v>
      </c>
      <c r="C1538" s="4" t="s">
        <v>73</v>
      </c>
      <c r="D1538" s="4">
        <v>46140</v>
      </c>
      <c r="E1538" s="5">
        <v>0.27920138888888885</v>
      </c>
      <c r="F1538" t="s">
        <v>87</v>
      </c>
      <c r="G1538" t="s">
        <v>82</v>
      </c>
      <c r="H1538">
        <v>81.833333333333329</v>
      </c>
      <c r="M1538" t="s">
        <v>76</v>
      </c>
      <c r="N1538" t="s">
        <v>80</v>
      </c>
    </row>
    <row r="1539" spans="1:14" x14ac:dyDescent="0.25">
      <c r="A1539" t="s">
        <v>1384</v>
      </c>
      <c r="B1539" s="4" t="s">
        <v>10</v>
      </c>
      <c r="C1539" s="4" t="s">
        <v>70</v>
      </c>
      <c r="D1539" s="4">
        <v>46140</v>
      </c>
      <c r="E1539" s="5">
        <v>0.27976851851851847</v>
      </c>
      <c r="F1539" t="s">
        <v>87</v>
      </c>
      <c r="G1539" t="s">
        <v>82</v>
      </c>
      <c r="H1539">
        <v>14.5</v>
      </c>
      <c r="L1539" t="s">
        <v>1385</v>
      </c>
      <c r="M1539" t="s">
        <v>71</v>
      </c>
      <c r="N1539" t="s">
        <v>72</v>
      </c>
    </row>
    <row r="1540" spans="1:14" x14ac:dyDescent="0.25">
      <c r="A1540" t="s">
        <v>1385</v>
      </c>
      <c r="B1540" s="4" t="s">
        <v>10</v>
      </c>
      <c r="C1540" s="4" t="s">
        <v>73</v>
      </c>
      <c r="D1540" s="4">
        <v>46140</v>
      </c>
      <c r="E1540" s="5">
        <v>0.27976851851851847</v>
      </c>
      <c r="F1540" t="s">
        <v>87</v>
      </c>
      <c r="G1540" t="s">
        <v>82</v>
      </c>
      <c r="H1540">
        <v>99.5</v>
      </c>
      <c r="M1540" t="s">
        <v>79</v>
      </c>
      <c r="N1540" t="s">
        <v>72</v>
      </c>
    </row>
    <row r="1541" spans="1:14" x14ac:dyDescent="0.25">
      <c r="A1541" t="s">
        <v>1385</v>
      </c>
      <c r="B1541" s="4" t="s">
        <v>10</v>
      </c>
      <c r="C1541" s="4" t="s">
        <v>73</v>
      </c>
      <c r="D1541" s="4">
        <v>46140</v>
      </c>
      <c r="E1541" s="5">
        <v>0.27976851851851847</v>
      </c>
      <c r="F1541" t="s">
        <v>87</v>
      </c>
      <c r="G1541" t="s">
        <v>82</v>
      </c>
      <c r="H1541">
        <v>99.416666666666671</v>
      </c>
      <c r="M1541" t="s">
        <v>79</v>
      </c>
      <c r="N1541" t="s">
        <v>72</v>
      </c>
    </row>
    <row r="1542" spans="1:14" x14ac:dyDescent="0.25">
      <c r="A1542" t="s">
        <v>1385</v>
      </c>
      <c r="B1542" s="4" t="s">
        <v>10</v>
      </c>
      <c r="C1542" s="4" t="s">
        <v>73</v>
      </c>
      <c r="D1542" s="4">
        <v>46140</v>
      </c>
      <c r="E1542" s="5">
        <v>0.27986111111111112</v>
      </c>
      <c r="F1542" t="s">
        <v>87</v>
      </c>
      <c r="G1542" t="s">
        <v>82</v>
      </c>
      <c r="H1542">
        <v>99.416666666666671</v>
      </c>
      <c r="M1542" t="s">
        <v>76</v>
      </c>
      <c r="N1542" t="s">
        <v>72</v>
      </c>
    </row>
    <row r="1543" spans="1:14" x14ac:dyDescent="0.25">
      <c r="A1543" t="s">
        <v>1387</v>
      </c>
      <c r="B1543" s="4" t="s">
        <v>10</v>
      </c>
      <c r="C1543" s="4" t="s">
        <v>70</v>
      </c>
      <c r="D1543" s="4">
        <v>46140</v>
      </c>
      <c r="E1543" s="5">
        <v>0.28023148148148147</v>
      </c>
      <c r="F1543" t="s">
        <v>87</v>
      </c>
      <c r="G1543" t="s">
        <v>82</v>
      </c>
      <c r="H1543">
        <v>9.5</v>
      </c>
      <c r="L1543" t="s">
        <v>1388</v>
      </c>
      <c r="M1543" t="s">
        <v>71</v>
      </c>
      <c r="N1543" t="s">
        <v>77</v>
      </c>
    </row>
    <row r="1544" spans="1:14" x14ac:dyDescent="0.25">
      <c r="A1544" t="s">
        <v>1388</v>
      </c>
      <c r="B1544" s="4" t="s">
        <v>10</v>
      </c>
      <c r="C1544" s="4" t="s">
        <v>73</v>
      </c>
      <c r="D1544" s="4">
        <v>46140</v>
      </c>
      <c r="E1544" s="5">
        <v>0.28023148148148147</v>
      </c>
      <c r="F1544" t="s">
        <v>87</v>
      </c>
      <c r="G1544" t="s">
        <v>82</v>
      </c>
      <c r="H1544">
        <v>78.25</v>
      </c>
      <c r="M1544" t="s">
        <v>79</v>
      </c>
      <c r="N1544" t="s">
        <v>77</v>
      </c>
    </row>
    <row r="1545" spans="1:14" x14ac:dyDescent="0.25">
      <c r="A1545" t="s">
        <v>1388</v>
      </c>
      <c r="B1545" s="4" t="s">
        <v>10</v>
      </c>
      <c r="C1545" s="4" t="s">
        <v>73</v>
      </c>
      <c r="D1545" s="4">
        <v>46140</v>
      </c>
      <c r="E1545" s="5">
        <v>0.28023148148148147</v>
      </c>
      <c r="F1545" t="s">
        <v>87</v>
      </c>
      <c r="G1545" t="s">
        <v>82</v>
      </c>
      <c r="H1545">
        <v>78.166666666666657</v>
      </c>
      <c r="M1545" t="s">
        <v>79</v>
      </c>
      <c r="N1545" t="s">
        <v>77</v>
      </c>
    </row>
    <row r="1546" spans="1:14" x14ac:dyDescent="0.25">
      <c r="A1546" t="s">
        <v>1388</v>
      </c>
      <c r="B1546" s="4" t="s">
        <v>10</v>
      </c>
      <c r="C1546" s="4" t="s">
        <v>73</v>
      </c>
      <c r="D1546" s="4">
        <v>46140</v>
      </c>
      <c r="E1546" s="5">
        <v>0.28042824074074074</v>
      </c>
      <c r="F1546" t="s">
        <v>87</v>
      </c>
      <c r="G1546" t="s">
        <v>82</v>
      </c>
      <c r="H1546">
        <v>78.166666666666657</v>
      </c>
      <c r="M1546" t="s">
        <v>76</v>
      </c>
      <c r="N1546" t="s">
        <v>77</v>
      </c>
    </row>
    <row r="1547" spans="1:14" x14ac:dyDescent="0.25">
      <c r="A1547" t="s">
        <v>1390</v>
      </c>
      <c r="B1547" s="4" t="s">
        <v>10</v>
      </c>
      <c r="C1547" s="4" t="s">
        <v>70</v>
      </c>
      <c r="D1547" s="4">
        <v>46140</v>
      </c>
      <c r="E1547" s="5">
        <v>0.2810300925925926</v>
      </c>
      <c r="F1547" t="s">
        <v>87</v>
      </c>
      <c r="G1547" t="s">
        <v>82</v>
      </c>
      <c r="H1547">
        <v>14.5</v>
      </c>
      <c r="L1547" t="s">
        <v>1391</v>
      </c>
      <c r="M1547" t="s">
        <v>71</v>
      </c>
      <c r="N1547" t="s">
        <v>72</v>
      </c>
    </row>
    <row r="1548" spans="1:14" x14ac:dyDescent="0.25">
      <c r="A1548" t="s">
        <v>1391</v>
      </c>
      <c r="B1548" s="4" t="s">
        <v>10</v>
      </c>
      <c r="C1548" s="4" t="s">
        <v>73</v>
      </c>
      <c r="D1548" s="4">
        <v>46140</v>
      </c>
      <c r="E1548" s="5">
        <v>0.2810300925925926</v>
      </c>
      <c r="F1548" t="s">
        <v>87</v>
      </c>
      <c r="G1548" t="s">
        <v>82</v>
      </c>
      <c r="H1548">
        <v>20</v>
      </c>
      <c r="M1548" t="s">
        <v>79</v>
      </c>
      <c r="N1548" t="s">
        <v>72</v>
      </c>
    </row>
    <row r="1549" spans="1:14" x14ac:dyDescent="0.25">
      <c r="A1549" t="s">
        <v>1391</v>
      </c>
      <c r="B1549" s="4" t="s">
        <v>10</v>
      </c>
      <c r="C1549" s="4" t="s">
        <v>73</v>
      </c>
      <c r="D1549" s="4">
        <v>46140</v>
      </c>
      <c r="E1549" s="5">
        <v>0.2810300925925926</v>
      </c>
      <c r="F1549" t="s">
        <v>87</v>
      </c>
      <c r="G1549" t="s">
        <v>82</v>
      </c>
      <c r="H1549">
        <v>19.916666666666664</v>
      </c>
      <c r="M1549" t="s">
        <v>79</v>
      </c>
      <c r="N1549" t="s">
        <v>72</v>
      </c>
    </row>
    <row r="1550" spans="1:14" x14ac:dyDescent="0.25">
      <c r="A1550" t="s">
        <v>1391</v>
      </c>
      <c r="B1550" s="4" t="s">
        <v>10</v>
      </c>
      <c r="C1550" s="4" t="s">
        <v>73</v>
      </c>
      <c r="D1550" s="4">
        <v>46140</v>
      </c>
      <c r="E1550" s="5">
        <v>0.28123842592592591</v>
      </c>
      <c r="F1550" t="s">
        <v>87</v>
      </c>
      <c r="G1550" t="s">
        <v>82</v>
      </c>
      <c r="H1550">
        <v>20</v>
      </c>
      <c r="M1550" t="s">
        <v>76</v>
      </c>
      <c r="N1550" t="s">
        <v>72</v>
      </c>
    </row>
    <row r="1551" spans="1:14" x14ac:dyDescent="0.25">
      <c r="A1551" t="s">
        <v>1392</v>
      </c>
      <c r="B1551" s="4" t="s">
        <v>10</v>
      </c>
      <c r="C1551" s="4" t="s">
        <v>70</v>
      </c>
      <c r="D1551" s="4">
        <v>46140</v>
      </c>
      <c r="E1551" s="5">
        <v>0.2817708333333333</v>
      </c>
      <c r="F1551" t="s">
        <v>87</v>
      </c>
      <c r="G1551" t="s">
        <v>82</v>
      </c>
      <c r="H1551">
        <v>21</v>
      </c>
      <c r="L1551" t="s">
        <v>823</v>
      </c>
      <c r="M1551" t="s">
        <v>71</v>
      </c>
      <c r="N1551" t="s">
        <v>72</v>
      </c>
    </row>
    <row r="1552" spans="1:14" x14ac:dyDescent="0.25">
      <c r="A1552" t="s">
        <v>823</v>
      </c>
      <c r="B1552" s="4" t="s">
        <v>10</v>
      </c>
      <c r="C1552" s="4" t="s">
        <v>73</v>
      </c>
      <c r="D1552" s="4">
        <v>46140</v>
      </c>
      <c r="E1552" s="5">
        <v>0.2817708333333333</v>
      </c>
      <c r="F1552" t="s">
        <v>87</v>
      </c>
      <c r="G1552" t="s">
        <v>82</v>
      </c>
      <c r="H1552">
        <v>19.5</v>
      </c>
      <c r="M1552" t="s">
        <v>79</v>
      </c>
      <c r="N1552" t="s">
        <v>72</v>
      </c>
    </row>
    <row r="1553" spans="1:14" x14ac:dyDescent="0.25">
      <c r="A1553" t="s">
        <v>823</v>
      </c>
      <c r="B1553" s="4" t="s">
        <v>10</v>
      </c>
      <c r="C1553" s="4" t="s">
        <v>73</v>
      </c>
      <c r="D1553" s="4">
        <v>46140</v>
      </c>
      <c r="E1553" s="5">
        <v>0.2817708333333333</v>
      </c>
      <c r="F1553" t="s">
        <v>87</v>
      </c>
      <c r="G1553" t="s">
        <v>82</v>
      </c>
      <c r="H1553">
        <v>19.416666666666668</v>
      </c>
      <c r="M1553" t="s">
        <v>79</v>
      </c>
      <c r="N1553" t="s">
        <v>72</v>
      </c>
    </row>
    <row r="1554" spans="1:14" x14ac:dyDescent="0.25">
      <c r="A1554" t="s">
        <v>823</v>
      </c>
      <c r="B1554" s="4" t="s">
        <v>10</v>
      </c>
      <c r="C1554" s="4" t="s">
        <v>73</v>
      </c>
      <c r="D1554" s="4">
        <v>46140</v>
      </c>
      <c r="E1554" s="5">
        <v>0.28199074074074071</v>
      </c>
      <c r="F1554" t="s">
        <v>87</v>
      </c>
      <c r="G1554" t="s">
        <v>82</v>
      </c>
      <c r="H1554">
        <v>19.333333333333332</v>
      </c>
      <c r="M1554" t="s">
        <v>76</v>
      </c>
      <c r="N1554" t="s">
        <v>72</v>
      </c>
    </row>
    <row r="1555" spans="1:14" x14ac:dyDescent="0.25">
      <c r="A1555" t="s">
        <v>1393</v>
      </c>
      <c r="B1555" s="4" t="s">
        <v>10</v>
      </c>
      <c r="C1555" s="4" t="s">
        <v>70</v>
      </c>
      <c r="D1555" s="4">
        <v>46140</v>
      </c>
      <c r="E1555" s="5">
        <v>0.28233796296296293</v>
      </c>
      <c r="F1555" t="s">
        <v>87</v>
      </c>
      <c r="G1555" t="s">
        <v>82</v>
      </c>
      <c r="H1555">
        <v>3</v>
      </c>
      <c r="L1555" t="s">
        <v>1394</v>
      </c>
      <c r="M1555" t="s">
        <v>71</v>
      </c>
      <c r="N1555" t="s">
        <v>75</v>
      </c>
    </row>
    <row r="1556" spans="1:14" x14ac:dyDescent="0.25">
      <c r="A1556" t="s">
        <v>1394</v>
      </c>
      <c r="B1556" s="4" t="s">
        <v>10</v>
      </c>
      <c r="C1556" s="4" t="s">
        <v>73</v>
      </c>
      <c r="D1556" s="4">
        <v>46140</v>
      </c>
      <c r="E1556" s="5">
        <v>0.28233796296296293</v>
      </c>
      <c r="F1556" t="s">
        <v>87</v>
      </c>
      <c r="G1556" t="s">
        <v>82</v>
      </c>
      <c r="H1556">
        <v>46.083333333333336</v>
      </c>
      <c r="M1556" t="s">
        <v>74</v>
      </c>
      <c r="N1556" t="s">
        <v>75</v>
      </c>
    </row>
    <row r="1557" spans="1:14" x14ac:dyDescent="0.25">
      <c r="A1557" t="s">
        <v>1394</v>
      </c>
      <c r="B1557" s="4" t="s">
        <v>10</v>
      </c>
      <c r="C1557" s="4" t="s">
        <v>73</v>
      </c>
      <c r="D1557" s="4">
        <v>46140</v>
      </c>
      <c r="E1557" s="5">
        <v>0.28269675925925924</v>
      </c>
      <c r="F1557" t="s">
        <v>87</v>
      </c>
      <c r="G1557" t="s">
        <v>82</v>
      </c>
      <c r="H1557">
        <v>46.166666666666664</v>
      </c>
      <c r="M1557" t="s">
        <v>76</v>
      </c>
      <c r="N1557" t="s">
        <v>75</v>
      </c>
    </row>
    <row r="1558" spans="1:14" x14ac:dyDescent="0.25">
      <c r="A1558" t="s">
        <v>1395</v>
      </c>
      <c r="B1558" s="4" t="s">
        <v>10</v>
      </c>
      <c r="C1558" s="4" t="s">
        <v>70</v>
      </c>
      <c r="D1558" s="4">
        <v>46140</v>
      </c>
      <c r="E1558" s="5">
        <v>0.28332175925925923</v>
      </c>
      <c r="F1558" t="s">
        <v>87</v>
      </c>
      <c r="G1558" t="s">
        <v>82</v>
      </c>
      <c r="H1558">
        <v>18</v>
      </c>
      <c r="L1558" t="s">
        <v>1396</v>
      </c>
      <c r="M1558" t="s">
        <v>71</v>
      </c>
      <c r="N1558" t="s">
        <v>77</v>
      </c>
    </row>
    <row r="1559" spans="1:14" x14ac:dyDescent="0.25">
      <c r="A1559" t="s">
        <v>1396</v>
      </c>
      <c r="B1559" s="4" t="s">
        <v>10</v>
      </c>
      <c r="C1559" s="4" t="s">
        <v>73</v>
      </c>
      <c r="D1559" s="4">
        <v>46140</v>
      </c>
      <c r="E1559" s="5">
        <v>0.28332175925925923</v>
      </c>
      <c r="F1559" t="s">
        <v>87</v>
      </c>
      <c r="G1559" t="s">
        <v>82</v>
      </c>
      <c r="H1559">
        <v>1</v>
      </c>
      <c r="M1559" t="s">
        <v>79</v>
      </c>
      <c r="N1559" t="s">
        <v>77</v>
      </c>
    </row>
    <row r="1560" spans="1:14" x14ac:dyDescent="0.25">
      <c r="A1560" t="s">
        <v>1396</v>
      </c>
      <c r="B1560" s="4" t="s">
        <v>10</v>
      </c>
      <c r="C1560" s="4" t="s">
        <v>73</v>
      </c>
      <c r="D1560" s="4">
        <v>46140</v>
      </c>
      <c r="E1560" s="5">
        <v>0.28332175925925923</v>
      </c>
      <c r="F1560" t="s">
        <v>87</v>
      </c>
      <c r="G1560" t="s">
        <v>82</v>
      </c>
      <c r="H1560">
        <v>0.25</v>
      </c>
      <c r="M1560" t="s">
        <v>79</v>
      </c>
      <c r="N1560" t="s">
        <v>77</v>
      </c>
    </row>
    <row r="1561" spans="1:14" x14ac:dyDescent="0.25">
      <c r="A1561" t="s">
        <v>1396</v>
      </c>
      <c r="B1561" s="4" t="s">
        <v>10</v>
      </c>
      <c r="C1561" s="4" t="s">
        <v>73</v>
      </c>
      <c r="D1561" s="4">
        <v>46140</v>
      </c>
      <c r="E1561" s="5">
        <v>0.28332175925925923</v>
      </c>
      <c r="F1561" t="s">
        <v>87</v>
      </c>
      <c r="G1561" t="s">
        <v>82</v>
      </c>
      <c r="H1561">
        <v>0</v>
      </c>
      <c r="M1561" t="s">
        <v>79</v>
      </c>
      <c r="N1561" t="s">
        <v>77</v>
      </c>
    </row>
    <row r="1562" spans="1:14" x14ac:dyDescent="0.25">
      <c r="A1562" t="s">
        <v>1397</v>
      </c>
      <c r="B1562" s="4" t="s">
        <v>10</v>
      </c>
      <c r="C1562" s="4" t="s">
        <v>70</v>
      </c>
      <c r="D1562" s="4">
        <v>46140</v>
      </c>
      <c r="E1562" s="5">
        <v>0.28384259259259259</v>
      </c>
      <c r="F1562" t="s">
        <v>87</v>
      </c>
      <c r="G1562" t="s">
        <v>82</v>
      </c>
      <c r="H1562">
        <v>1.6666666666666665</v>
      </c>
      <c r="L1562" t="s">
        <v>1398</v>
      </c>
      <c r="M1562" t="s">
        <v>71</v>
      </c>
      <c r="N1562" t="s">
        <v>72</v>
      </c>
    </row>
    <row r="1563" spans="1:14" x14ac:dyDescent="0.25">
      <c r="A1563" t="s">
        <v>1398</v>
      </c>
      <c r="B1563" s="4" t="s">
        <v>10</v>
      </c>
      <c r="C1563" s="4" t="s">
        <v>73</v>
      </c>
      <c r="D1563" s="4">
        <v>46140</v>
      </c>
      <c r="E1563" s="5">
        <v>0.28385416666666669</v>
      </c>
      <c r="F1563" t="s">
        <v>87</v>
      </c>
      <c r="G1563" t="s">
        <v>82</v>
      </c>
      <c r="H1563">
        <v>66.583333333333329</v>
      </c>
      <c r="M1563" t="s">
        <v>74</v>
      </c>
      <c r="N1563" t="s">
        <v>72</v>
      </c>
    </row>
    <row r="1564" spans="1:14" x14ac:dyDescent="0.25">
      <c r="A1564" t="s">
        <v>1398</v>
      </c>
      <c r="B1564" s="4" t="s">
        <v>10</v>
      </c>
      <c r="C1564" s="4" t="s">
        <v>73</v>
      </c>
      <c r="D1564" s="4">
        <v>46140</v>
      </c>
      <c r="E1564" s="5">
        <v>0.28385416666666669</v>
      </c>
      <c r="F1564" t="s">
        <v>87</v>
      </c>
      <c r="G1564" t="s">
        <v>82</v>
      </c>
      <c r="H1564">
        <v>66.5</v>
      </c>
      <c r="M1564" t="s">
        <v>74</v>
      </c>
      <c r="N1564" t="s">
        <v>72</v>
      </c>
    </row>
    <row r="1565" spans="1:14" x14ac:dyDescent="0.25">
      <c r="A1565" t="s">
        <v>1399</v>
      </c>
      <c r="B1565" s="4" t="s">
        <v>10</v>
      </c>
      <c r="C1565" s="4" t="s">
        <v>70</v>
      </c>
      <c r="D1565" s="4">
        <v>46140</v>
      </c>
      <c r="E1565" s="5">
        <v>0.28434027777777776</v>
      </c>
      <c r="F1565" t="s">
        <v>87</v>
      </c>
      <c r="G1565" t="s">
        <v>82</v>
      </c>
      <c r="H1565">
        <v>1.6666666666666665</v>
      </c>
      <c r="L1565" t="s">
        <v>1398</v>
      </c>
      <c r="M1565" t="s">
        <v>71</v>
      </c>
      <c r="N1565" t="s">
        <v>72</v>
      </c>
    </row>
    <row r="1566" spans="1:14" x14ac:dyDescent="0.25">
      <c r="A1566" t="s">
        <v>1398</v>
      </c>
      <c r="B1566" s="4" t="s">
        <v>10</v>
      </c>
      <c r="C1566" s="4" t="s">
        <v>73</v>
      </c>
      <c r="D1566" s="4">
        <v>46140</v>
      </c>
      <c r="E1566" s="5">
        <v>0.28434027777777776</v>
      </c>
      <c r="F1566" t="s">
        <v>87</v>
      </c>
      <c r="G1566" t="s">
        <v>82</v>
      </c>
      <c r="H1566">
        <v>64.833333333333329</v>
      </c>
      <c r="M1566" t="s">
        <v>74</v>
      </c>
      <c r="N1566" t="s">
        <v>72</v>
      </c>
    </row>
    <row r="1567" spans="1:14" x14ac:dyDescent="0.25">
      <c r="A1567" t="s">
        <v>1398</v>
      </c>
      <c r="B1567" s="4" t="s">
        <v>10</v>
      </c>
      <c r="C1567" s="4" t="s">
        <v>73</v>
      </c>
      <c r="D1567" s="4">
        <v>46140</v>
      </c>
      <c r="E1567" s="5">
        <v>0.28434027777777776</v>
      </c>
      <c r="F1567" t="s">
        <v>87</v>
      </c>
      <c r="G1567" t="s">
        <v>82</v>
      </c>
      <c r="H1567">
        <v>64.75</v>
      </c>
      <c r="M1567" t="s">
        <v>74</v>
      </c>
      <c r="N1567" t="s">
        <v>72</v>
      </c>
    </row>
    <row r="1568" spans="1:14" x14ac:dyDescent="0.25">
      <c r="A1568" t="s">
        <v>1398</v>
      </c>
      <c r="B1568" s="4" t="s">
        <v>10</v>
      </c>
      <c r="C1568" s="4" t="s">
        <v>73</v>
      </c>
      <c r="D1568" s="4">
        <v>46140</v>
      </c>
      <c r="E1568" s="5">
        <v>0.28483796296296293</v>
      </c>
      <c r="F1568" t="s">
        <v>87</v>
      </c>
      <c r="G1568" t="s">
        <v>82</v>
      </c>
      <c r="H1568">
        <v>66.5</v>
      </c>
      <c r="M1568" t="s">
        <v>76</v>
      </c>
      <c r="N1568" t="s">
        <v>72</v>
      </c>
    </row>
    <row r="1569" spans="1:14" x14ac:dyDescent="0.25">
      <c r="A1569" t="s">
        <v>1401</v>
      </c>
      <c r="B1569" s="4" t="s">
        <v>10</v>
      </c>
      <c r="C1569" s="4" t="s">
        <v>70</v>
      </c>
      <c r="D1569" s="4">
        <v>46140</v>
      </c>
      <c r="E1569" s="5">
        <v>0.28542824074074075</v>
      </c>
      <c r="F1569" t="s">
        <v>87</v>
      </c>
      <c r="G1569" t="s">
        <v>82</v>
      </c>
      <c r="H1569">
        <v>20.25</v>
      </c>
      <c r="L1569" t="s">
        <v>1402</v>
      </c>
      <c r="M1569" t="s">
        <v>71</v>
      </c>
      <c r="N1569" t="s">
        <v>72</v>
      </c>
    </row>
    <row r="1570" spans="1:14" x14ac:dyDescent="0.25">
      <c r="A1570" t="s">
        <v>1402</v>
      </c>
      <c r="B1570" s="4" t="s">
        <v>10</v>
      </c>
      <c r="C1570" s="4" t="s">
        <v>73</v>
      </c>
      <c r="D1570" s="4">
        <v>46140</v>
      </c>
      <c r="E1570" s="5">
        <v>0.28542824074074075</v>
      </c>
      <c r="F1570" t="s">
        <v>87</v>
      </c>
      <c r="G1570" t="s">
        <v>82</v>
      </c>
      <c r="H1570">
        <v>3</v>
      </c>
      <c r="M1570" t="s">
        <v>74</v>
      </c>
      <c r="N1570" t="s">
        <v>72</v>
      </c>
    </row>
    <row r="1571" spans="1:14" x14ac:dyDescent="0.25">
      <c r="A1571" t="s">
        <v>1402</v>
      </c>
      <c r="B1571" s="4" t="s">
        <v>10</v>
      </c>
      <c r="C1571" s="4" t="s">
        <v>73</v>
      </c>
      <c r="D1571" s="4">
        <v>46140</v>
      </c>
      <c r="E1571" s="5">
        <v>0.28542824074074075</v>
      </c>
      <c r="F1571" t="s">
        <v>87</v>
      </c>
      <c r="G1571" t="s">
        <v>82</v>
      </c>
      <c r="H1571">
        <v>1.3333333333333333</v>
      </c>
      <c r="M1571" t="s">
        <v>74</v>
      </c>
      <c r="N1571" t="s">
        <v>72</v>
      </c>
    </row>
    <row r="1572" spans="1:14" x14ac:dyDescent="0.25">
      <c r="A1572" t="s">
        <v>1402</v>
      </c>
      <c r="B1572" s="4" t="s">
        <v>10</v>
      </c>
      <c r="C1572" s="4" t="s">
        <v>73</v>
      </c>
      <c r="D1572" s="4">
        <v>46140</v>
      </c>
      <c r="E1572" s="5">
        <v>0.28542824074074075</v>
      </c>
      <c r="F1572" t="s">
        <v>87</v>
      </c>
      <c r="G1572" t="s">
        <v>82</v>
      </c>
      <c r="H1572">
        <v>0</v>
      </c>
      <c r="M1572" t="s">
        <v>74</v>
      </c>
      <c r="N1572" t="s">
        <v>72</v>
      </c>
    </row>
    <row r="1573" spans="1:14" x14ac:dyDescent="0.25">
      <c r="A1573" t="s">
        <v>1406</v>
      </c>
      <c r="B1573" s="4" t="s">
        <v>10</v>
      </c>
      <c r="C1573" s="4" t="s">
        <v>73</v>
      </c>
      <c r="D1573" s="4">
        <v>46140</v>
      </c>
      <c r="E1573" s="5">
        <v>0.28611111111111109</v>
      </c>
      <c r="F1573" t="s">
        <v>87</v>
      </c>
      <c r="G1573" t="s">
        <v>82</v>
      </c>
      <c r="H1573">
        <v>6.416666666666667</v>
      </c>
      <c r="M1573" t="s">
        <v>74</v>
      </c>
      <c r="N1573" t="s">
        <v>72</v>
      </c>
    </row>
    <row r="1574" spans="1:14" x14ac:dyDescent="0.25">
      <c r="A1574" t="s">
        <v>1406</v>
      </c>
      <c r="B1574" s="4" t="s">
        <v>10</v>
      </c>
      <c r="C1574" s="4" t="s">
        <v>73</v>
      </c>
      <c r="D1574" s="4">
        <v>46140</v>
      </c>
      <c r="E1574" s="5">
        <v>0.28623842592592591</v>
      </c>
      <c r="F1574" t="s">
        <v>87</v>
      </c>
      <c r="G1574" t="s">
        <v>82</v>
      </c>
      <c r="H1574">
        <v>6.1666666666666661</v>
      </c>
      <c r="M1574" t="s">
        <v>76</v>
      </c>
      <c r="N1574" t="s">
        <v>72</v>
      </c>
    </row>
    <row r="1575" spans="1:14" x14ac:dyDescent="0.25">
      <c r="A1575" t="s">
        <v>1407</v>
      </c>
      <c r="B1575" s="4" t="s">
        <v>10</v>
      </c>
      <c r="C1575" s="4" t="s">
        <v>70</v>
      </c>
      <c r="D1575" s="4">
        <v>46140</v>
      </c>
      <c r="E1575" s="5">
        <v>0.2867824074074074</v>
      </c>
      <c r="F1575" t="s">
        <v>87</v>
      </c>
      <c r="G1575" t="s">
        <v>82</v>
      </c>
      <c r="H1575">
        <v>45.5</v>
      </c>
      <c r="L1575" t="s">
        <v>1408</v>
      </c>
      <c r="M1575" t="s">
        <v>71</v>
      </c>
      <c r="N1575" t="s">
        <v>75</v>
      </c>
    </row>
    <row r="1576" spans="1:14" x14ac:dyDescent="0.25">
      <c r="A1576" t="s">
        <v>1408</v>
      </c>
      <c r="B1576" s="4" t="s">
        <v>10</v>
      </c>
      <c r="C1576" s="4" t="s">
        <v>73</v>
      </c>
      <c r="D1576" s="4">
        <v>46140</v>
      </c>
      <c r="E1576" s="5">
        <v>0.2867824074074074</v>
      </c>
      <c r="F1576" t="s">
        <v>87</v>
      </c>
      <c r="G1576" t="s">
        <v>82</v>
      </c>
      <c r="H1576">
        <v>21.166666666666664</v>
      </c>
      <c r="M1576" t="s">
        <v>79</v>
      </c>
      <c r="N1576" t="s">
        <v>75</v>
      </c>
    </row>
    <row r="1577" spans="1:14" x14ac:dyDescent="0.25">
      <c r="A1577" t="s">
        <v>1408</v>
      </c>
      <c r="B1577" s="4" t="s">
        <v>10</v>
      </c>
      <c r="C1577" s="4" t="s">
        <v>73</v>
      </c>
      <c r="D1577" s="4">
        <v>46140</v>
      </c>
      <c r="E1577" s="5">
        <v>0.2867824074074074</v>
      </c>
      <c r="F1577" t="s">
        <v>87</v>
      </c>
      <c r="G1577" t="s">
        <v>82</v>
      </c>
      <c r="H1577">
        <v>21.083333333333332</v>
      </c>
      <c r="M1577" t="s">
        <v>79</v>
      </c>
      <c r="N1577" t="s">
        <v>75</v>
      </c>
    </row>
    <row r="1578" spans="1:14" x14ac:dyDescent="0.25">
      <c r="A1578" t="s">
        <v>1408</v>
      </c>
      <c r="B1578" s="4" t="s">
        <v>10</v>
      </c>
      <c r="C1578" s="4" t="s">
        <v>73</v>
      </c>
      <c r="D1578" s="4">
        <v>46140</v>
      </c>
      <c r="E1578" s="5">
        <v>0.28694444444444445</v>
      </c>
      <c r="F1578" t="s">
        <v>87</v>
      </c>
      <c r="G1578" t="s">
        <v>82</v>
      </c>
      <c r="H1578">
        <v>20.666666666666668</v>
      </c>
      <c r="M1578" t="s">
        <v>76</v>
      </c>
      <c r="N1578" t="s">
        <v>75</v>
      </c>
    </row>
    <row r="1579" spans="1:14" x14ac:dyDescent="0.25">
      <c r="A1579" t="s">
        <v>1411</v>
      </c>
      <c r="B1579" s="4" t="s">
        <v>10</v>
      </c>
      <c r="C1579" s="4" t="s">
        <v>70</v>
      </c>
      <c r="D1579" s="4">
        <v>46140</v>
      </c>
      <c r="E1579" s="5">
        <v>0.28787037037037033</v>
      </c>
      <c r="F1579" t="s">
        <v>87</v>
      </c>
      <c r="G1579" t="s">
        <v>82</v>
      </c>
      <c r="H1579">
        <v>1.6666666666666665</v>
      </c>
      <c r="L1579" t="s">
        <v>1412</v>
      </c>
      <c r="M1579" t="s">
        <v>71</v>
      </c>
      <c r="N1579" t="s">
        <v>72</v>
      </c>
    </row>
    <row r="1580" spans="1:14" x14ac:dyDescent="0.25">
      <c r="A1580" t="s">
        <v>1412</v>
      </c>
      <c r="B1580" s="4" t="s">
        <v>10</v>
      </c>
      <c r="C1580" s="4" t="s">
        <v>73</v>
      </c>
      <c r="D1580" s="4">
        <v>46140</v>
      </c>
      <c r="E1580" s="5">
        <v>0.28787037037037033</v>
      </c>
      <c r="F1580" t="s">
        <v>87</v>
      </c>
      <c r="G1580" t="s">
        <v>82</v>
      </c>
      <c r="H1580">
        <v>89.916666666666671</v>
      </c>
      <c r="M1580" t="s">
        <v>74</v>
      </c>
      <c r="N1580" t="s">
        <v>72</v>
      </c>
    </row>
    <row r="1581" spans="1:14" x14ac:dyDescent="0.25">
      <c r="A1581" t="s">
        <v>1412</v>
      </c>
      <c r="B1581" s="4" t="s">
        <v>10</v>
      </c>
      <c r="C1581" s="4" t="s">
        <v>73</v>
      </c>
      <c r="D1581" s="4">
        <v>46140</v>
      </c>
      <c r="E1581" s="5">
        <v>0.28787037037037033</v>
      </c>
      <c r="F1581" t="s">
        <v>87</v>
      </c>
      <c r="G1581" t="s">
        <v>82</v>
      </c>
      <c r="H1581">
        <v>89.833333333333329</v>
      </c>
      <c r="M1581" t="s">
        <v>74</v>
      </c>
      <c r="N1581" t="s">
        <v>72</v>
      </c>
    </row>
    <row r="1582" spans="1:14" x14ac:dyDescent="0.25">
      <c r="A1582" t="s">
        <v>1412</v>
      </c>
      <c r="B1582" s="4" t="s">
        <v>10</v>
      </c>
      <c r="C1582" s="4" t="s">
        <v>73</v>
      </c>
      <c r="D1582" s="4">
        <v>46140</v>
      </c>
      <c r="E1582" s="5">
        <v>0.2883796296296296</v>
      </c>
      <c r="F1582" t="s">
        <v>87</v>
      </c>
      <c r="G1582" t="s">
        <v>82</v>
      </c>
      <c r="H1582">
        <v>89.916666666666671</v>
      </c>
      <c r="M1582" t="s">
        <v>76</v>
      </c>
      <c r="N1582" t="s">
        <v>72</v>
      </c>
    </row>
    <row r="1583" spans="1:14" x14ac:dyDescent="0.25">
      <c r="A1583" t="s">
        <v>1413</v>
      </c>
      <c r="B1583" s="4" t="s">
        <v>10</v>
      </c>
      <c r="C1583" s="4" t="s">
        <v>70</v>
      </c>
      <c r="D1583" s="4">
        <v>46140</v>
      </c>
      <c r="E1583" s="5">
        <v>0.28885416666666663</v>
      </c>
      <c r="F1583" t="s">
        <v>87</v>
      </c>
      <c r="G1583" t="s">
        <v>82</v>
      </c>
      <c r="H1583">
        <v>13.083333333333332</v>
      </c>
      <c r="L1583" t="s">
        <v>1414</v>
      </c>
      <c r="M1583" t="s">
        <v>71</v>
      </c>
      <c r="N1583" t="s">
        <v>77</v>
      </c>
    </row>
    <row r="1584" spans="1:14" x14ac:dyDescent="0.25">
      <c r="A1584" t="s">
        <v>1414</v>
      </c>
      <c r="B1584" s="4" t="s">
        <v>10</v>
      </c>
      <c r="C1584" s="4" t="s">
        <v>73</v>
      </c>
      <c r="D1584" s="4">
        <v>46140</v>
      </c>
      <c r="E1584" s="5">
        <v>0.28885416666666663</v>
      </c>
      <c r="F1584" t="s">
        <v>87</v>
      </c>
      <c r="G1584" t="s">
        <v>82</v>
      </c>
      <c r="H1584">
        <v>6.3333333333333321</v>
      </c>
      <c r="M1584" t="s">
        <v>79</v>
      </c>
      <c r="N1584" t="s">
        <v>77</v>
      </c>
    </row>
    <row r="1585" spans="1:14" x14ac:dyDescent="0.25">
      <c r="A1585" t="s">
        <v>1414</v>
      </c>
      <c r="B1585" s="4" t="s">
        <v>10</v>
      </c>
      <c r="C1585" s="4" t="s">
        <v>73</v>
      </c>
      <c r="D1585" s="4">
        <v>46140</v>
      </c>
      <c r="E1585" s="5">
        <v>0.28885416666666663</v>
      </c>
      <c r="F1585" t="s">
        <v>87</v>
      </c>
      <c r="G1585" t="s">
        <v>82</v>
      </c>
      <c r="H1585">
        <v>6.25</v>
      </c>
      <c r="M1585" t="s">
        <v>79</v>
      </c>
      <c r="N1585" t="s">
        <v>77</v>
      </c>
    </row>
    <row r="1586" spans="1:14" x14ac:dyDescent="0.25">
      <c r="A1586" t="s">
        <v>1414</v>
      </c>
      <c r="B1586" s="4" t="s">
        <v>10</v>
      </c>
      <c r="C1586" s="4" t="s">
        <v>73</v>
      </c>
      <c r="D1586" s="4">
        <v>46140</v>
      </c>
      <c r="E1586" s="5">
        <v>0.28902777777777777</v>
      </c>
      <c r="F1586" t="s">
        <v>87</v>
      </c>
      <c r="G1586" t="s">
        <v>82</v>
      </c>
      <c r="H1586">
        <v>6.1666666666666661</v>
      </c>
      <c r="M1586" t="s">
        <v>76</v>
      </c>
      <c r="N1586" t="s">
        <v>77</v>
      </c>
    </row>
    <row r="1587" spans="1:14" x14ac:dyDescent="0.25">
      <c r="A1587" t="s">
        <v>1418</v>
      </c>
      <c r="B1587" s="4" t="s">
        <v>10</v>
      </c>
      <c r="C1587" s="4" t="s">
        <v>70</v>
      </c>
      <c r="D1587" s="4">
        <v>46140</v>
      </c>
      <c r="E1587" s="5">
        <v>0.28974537037037035</v>
      </c>
      <c r="F1587" t="s">
        <v>87</v>
      </c>
      <c r="G1587" t="s">
        <v>82</v>
      </c>
      <c r="H1587">
        <v>13.25</v>
      </c>
      <c r="L1587" t="s">
        <v>1419</v>
      </c>
      <c r="M1587" t="s">
        <v>71</v>
      </c>
      <c r="N1587" t="s">
        <v>72</v>
      </c>
    </row>
    <row r="1588" spans="1:14" x14ac:dyDescent="0.25">
      <c r="A1588" t="s">
        <v>1419</v>
      </c>
      <c r="B1588" s="4" t="s">
        <v>10</v>
      </c>
      <c r="C1588" s="4" t="s">
        <v>73</v>
      </c>
      <c r="D1588" s="4">
        <v>46140</v>
      </c>
      <c r="E1588" s="5">
        <v>0.28974537037037035</v>
      </c>
      <c r="F1588" t="s">
        <v>87</v>
      </c>
      <c r="G1588" t="s">
        <v>82</v>
      </c>
      <c r="H1588">
        <v>103.33333333333333</v>
      </c>
      <c r="M1588" t="s">
        <v>79</v>
      </c>
      <c r="N1588" t="s">
        <v>72</v>
      </c>
    </row>
    <row r="1589" spans="1:14" x14ac:dyDescent="0.25">
      <c r="A1589" t="s">
        <v>1419</v>
      </c>
      <c r="B1589" s="4" t="s">
        <v>10</v>
      </c>
      <c r="C1589" s="4" t="s">
        <v>73</v>
      </c>
      <c r="D1589" s="4">
        <v>46140</v>
      </c>
      <c r="E1589" s="5">
        <v>0.28974537037037035</v>
      </c>
      <c r="F1589" t="s">
        <v>87</v>
      </c>
      <c r="G1589" t="s">
        <v>82</v>
      </c>
      <c r="H1589">
        <v>103.25</v>
      </c>
      <c r="M1589" t="s">
        <v>79</v>
      </c>
      <c r="N1589" t="s">
        <v>72</v>
      </c>
    </row>
    <row r="1590" spans="1:14" x14ac:dyDescent="0.25">
      <c r="A1590" t="s">
        <v>1419</v>
      </c>
      <c r="B1590" s="4" t="s">
        <v>10</v>
      </c>
      <c r="C1590" s="4" t="s">
        <v>73</v>
      </c>
      <c r="D1590" s="4">
        <v>46140</v>
      </c>
      <c r="E1590" s="5">
        <v>0.28986111111111112</v>
      </c>
      <c r="F1590" t="s">
        <v>87</v>
      </c>
      <c r="G1590" t="s">
        <v>82</v>
      </c>
      <c r="H1590">
        <v>103.25</v>
      </c>
      <c r="M1590" t="s">
        <v>76</v>
      </c>
      <c r="N1590" t="s">
        <v>72</v>
      </c>
    </row>
    <row r="1591" spans="1:14" x14ac:dyDescent="0.25">
      <c r="A1591" t="s">
        <v>1422</v>
      </c>
      <c r="B1591" s="4" t="s">
        <v>10</v>
      </c>
      <c r="C1591" s="4" t="s">
        <v>70</v>
      </c>
      <c r="D1591" s="4">
        <v>46140</v>
      </c>
      <c r="E1591" s="5">
        <v>0.29053240740740743</v>
      </c>
      <c r="F1591" t="s">
        <v>87</v>
      </c>
      <c r="G1591" t="s">
        <v>82</v>
      </c>
      <c r="H1591">
        <v>91</v>
      </c>
      <c r="L1591" t="s">
        <v>1423</v>
      </c>
      <c r="M1591" t="s">
        <v>71</v>
      </c>
      <c r="N1591" t="s">
        <v>75</v>
      </c>
    </row>
    <row r="1592" spans="1:14" x14ac:dyDescent="0.25">
      <c r="A1592" t="s">
        <v>1423</v>
      </c>
      <c r="B1592" s="4" t="s">
        <v>10</v>
      </c>
      <c r="C1592" s="4" t="s">
        <v>73</v>
      </c>
      <c r="D1592" s="4">
        <v>46140</v>
      </c>
      <c r="E1592" s="5">
        <v>0.29053240740740743</v>
      </c>
      <c r="F1592" t="s">
        <v>87</v>
      </c>
      <c r="G1592" t="s">
        <v>82</v>
      </c>
      <c r="H1592">
        <v>51.583333333333336</v>
      </c>
      <c r="M1592" t="s">
        <v>79</v>
      </c>
      <c r="N1592" t="s">
        <v>75</v>
      </c>
    </row>
    <row r="1593" spans="1:14" x14ac:dyDescent="0.25">
      <c r="A1593" t="s">
        <v>1423</v>
      </c>
      <c r="B1593" s="4" t="s">
        <v>10</v>
      </c>
      <c r="C1593" s="4" t="s">
        <v>73</v>
      </c>
      <c r="D1593" s="4">
        <v>46140</v>
      </c>
      <c r="E1593" s="5">
        <v>0.29053240740740743</v>
      </c>
      <c r="F1593" t="s">
        <v>87</v>
      </c>
      <c r="G1593" t="s">
        <v>82</v>
      </c>
      <c r="H1593">
        <v>51.5</v>
      </c>
      <c r="M1593" t="s">
        <v>79</v>
      </c>
      <c r="N1593" t="s">
        <v>75</v>
      </c>
    </row>
    <row r="1594" spans="1:14" x14ac:dyDescent="0.25">
      <c r="A1594" t="s">
        <v>1423</v>
      </c>
      <c r="B1594" s="4" t="s">
        <v>10</v>
      </c>
      <c r="C1594" s="4" t="s">
        <v>73</v>
      </c>
      <c r="D1594" s="4">
        <v>46140</v>
      </c>
      <c r="E1594" s="5">
        <v>0.29076388888888888</v>
      </c>
      <c r="F1594" t="s">
        <v>87</v>
      </c>
      <c r="G1594" t="s">
        <v>82</v>
      </c>
      <c r="H1594">
        <v>50.75</v>
      </c>
      <c r="M1594" t="s">
        <v>76</v>
      </c>
      <c r="N1594" t="s">
        <v>75</v>
      </c>
    </row>
    <row r="1595" spans="1:14" x14ac:dyDescent="0.25">
      <c r="A1595" t="s">
        <v>1424</v>
      </c>
      <c r="B1595" s="4" t="s">
        <v>10</v>
      </c>
      <c r="C1595" s="4" t="s">
        <v>70</v>
      </c>
      <c r="D1595" s="4">
        <v>46140</v>
      </c>
      <c r="E1595" s="5">
        <v>0.29128472222222218</v>
      </c>
      <c r="F1595" t="s">
        <v>87</v>
      </c>
      <c r="G1595" t="s">
        <v>82</v>
      </c>
      <c r="H1595">
        <v>1</v>
      </c>
      <c r="L1595" t="s">
        <v>1425</v>
      </c>
      <c r="M1595" t="s">
        <v>71</v>
      </c>
      <c r="N1595" t="s">
        <v>75</v>
      </c>
    </row>
    <row r="1596" spans="1:14" x14ac:dyDescent="0.25">
      <c r="A1596" t="s">
        <v>1425</v>
      </c>
      <c r="B1596" s="4" t="s">
        <v>10</v>
      </c>
      <c r="C1596" s="4" t="s">
        <v>73</v>
      </c>
      <c r="D1596" s="4">
        <v>46140</v>
      </c>
      <c r="E1596" s="5">
        <v>0.29128472222222218</v>
      </c>
      <c r="F1596" t="s">
        <v>87</v>
      </c>
      <c r="G1596" t="s">
        <v>82</v>
      </c>
      <c r="H1596">
        <v>12.166666666666666</v>
      </c>
      <c r="M1596" t="s">
        <v>74</v>
      </c>
      <c r="N1596" t="s">
        <v>75</v>
      </c>
    </row>
    <row r="1597" spans="1:14" x14ac:dyDescent="0.25">
      <c r="A1597" t="s">
        <v>1425</v>
      </c>
      <c r="B1597" s="4" t="s">
        <v>10</v>
      </c>
      <c r="C1597" s="4" t="s">
        <v>73</v>
      </c>
      <c r="D1597" s="4">
        <v>46140</v>
      </c>
      <c r="E1597" s="5">
        <v>0.29128472222222218</v>
      </c>
      <c r="F1597" t="s">
        <v>87</v>
      </c>
      <c r="G1597" t="s">
        <v>82</v>
      </c>
      <c r="H1597">
        <v>12.083333333333332</v>
      </c>
      <c r="M1597" t="s">
        <v>74</v>
      </c>
      <c r="N1597" t="s">
        <v>75</v>
      </c>
    </row>
    <row r="1598" spans="1:14" x14ac:dyDescent="0.25">
      <c r="A1598" t="s">
        <v>1425</v>
      </c>
      <c r="B1598" s="4" t="s">
        <v>10</v>
      </c>
      <c r="C1598" s="4" t="s">
        <v>73</v>
      </c>
      <c r="D1598" s="4">
        <v>46140</v>
      </c>
      <c r="E1598" s="5">
        <v>0.29152777777777777</v>
      </c>
      <c r="F1598" t="s">
        <v>87</v>
      </c>
      <c r="G1598" t="s">
        <v>82</v>
      </c>
      <c r="H1598">
        <v>12.333333333333332</v>
      </c>
      <c r="M1598" t="s">
        <v>76</v>
      </c>
      <c r="N1598" t="s">
        <v>75</v>
      </c>
    </row>
    <row r="1599" spans="1:14" x14ac:dyDescent="0.25">
      <c r="A1599" t="s">
        <v>1428</v>
      </c>
      <c r="B1599" s="4" t="s">
        <v>10</v>
      </c>
      <c r="C1599" s="4" t="s">
        <v>70</v>
      </c>
      <c r="D1599" s="4">
        <v>46140</v>
      </c>
      <c r="E1599" s="5">
        <v>0.29226851851851848</v>
      </c>
      <c r="F1599" t="s">
        <v>87</v>
      </c>
      <c r="G1599" t="s">
        <v>82</v>
      </c>
      <c r="H1599">
        <v>78.75</v>
      </c>
      <c r="L1599" t="s">
        <v>1429</v>
      </c>
      <c r="M1599" t="s">
        <v>71</v>
      </c>
      <c r="N1599" t="s">
        <v>75</v>
      </c>
    </row>
    <row r="1600" spans="1:14" x14ac:dyDescent="0.25">
      <c r="A1600" t="s">
        <v>1429</v>
      </c>
      <c r="B1600" s="4" t="s">
        <v>10</v>
      </c>
      <c r="C1600" s="4" t="s">
        <v>73</v>
      </c>
      <c r="D1600" s="4">
        <v>46140</v>
      </c>
      <c r="E1600" s="5">
        <v>0.29226851851851848</v>
      </c>
      <c r="F1600" t="s">
        <v>87</v>
      </c>
      <c r="G1600" t="s">
        <v>82</v>
      </c>
      <c r="H1600">
        <v>100.16666666666667</v>
      </c>
      <c r="M1600" t="s">
        <v>79</v>
      </c>
      <c r="N1600" t="s">
        <v>75</v>
      </c>
    </row>
    <row r="1601" spans="1:14" x14ac:dyDescent="0.25">
      <c r="A1601" t="s">
        <v>1429</v>
      </c>
      <c r="B1601" s="4" t="s">
        <v>10</v>
      </c>
      <c r="C1601" s="4" t="s">
        <v>73</v>
      </c>
      <c r="D1601" s="4">
        <v>46140</v>
      </c>
      <c r="E1601" s="5">
        <v>0.29226851851851848</v>
      </c>
      <c r="F1601" t="s">
        <v>87</v>
      </c>
      <c r="G1601" t="s">
        <v>82</v>
      </c>
      <c r="H1601">
        <v>100.08333333333331</v>
      </c>
      <c r="M1601" t="s">
        <v>79</v>
      </c>
      <c r="N1601" t="s">
        <v>75</v>
      </c>
    </row>
    <row r="1602" spans="1:14" x14ac:dyDescent="0.25">
      <c r="A1602" t="s">
        <v>1429</v>
      </c>
      <c r="B1602" s="4" t="s">
        <v>10</v>
      </c>
      <c r="C1602" s="4" t="s">
        <v>73</v>
      </c>
      <c r="D1602" s="4">
        <v>46140</v>
      </c>
      <c r="E1602" s="5">
        <v>0.29234953703703703</v>
      </c>
      <c r="F1602" t="s">
        <v>87</v>
      </c>
      <c r="G1602" t="s">
        <v>82</v>
      </c>
      <c r="H1602">
        <v>100.08333333333331</v>
      </c>
      <c r="M1602" t="s">
        <v>76</v>
      </c>
      <c r="N1602" t="s">
        <v>75</v>
      </c>
    </row>
    <row r="1603" spans="1:14" x14ac:dyDescent="0.25">
      <c r="A1603" t="s">
        <v>1432</v>
      </c>
      <c r="B1603" s="4" t="s">
        <v>10</v>
      </c>
      <c r="C1603" s="4" t="s">
        <v>70</v>
      </c>
      <c r="D1603" s="4">
        <v>46140</v>
      </c>
      <c r="E1603" s="5">
        <v>0.29287037037037034</v>
      </c>
      <c r="F1603" t="s">
        <v>87</v>
      </c>
      <c r="G1603" t="s">
        <v>82</v>
      </c>
      <c r="H1603">
        <v>1</v>
      </c>
      <c r="L1603" t="s">
        <v>1433</v>
      </c>
      <c r="M1603" t="s">
        <v>71</v>
      </c>
      <c r="N1603" t="s">
        <v>75</v>
      </c>
    </row>
    <row r="1604" spans="1:14" x14ac:dyDescent="0.25">
      <c r="A1604" t="s">
        <v>1433</v>
      </c>
      <c r="B1604" s="4" t="s">
        <v>10</v>
      </c>
      <c r="C1604" s="4" t="s">
        <v>73</v>
      </c>
      <c r="D1604" s="4">
        <v>46140</v>
      </c>
      <c r="E1604" s="5">
        <v>0.29287037037037034</v>
      </c>
      <c r="F1604" t="s">
        <v>87</v>
      </c>
      <c r="G1604" t="s">
        <v>82</v>
      </c>
      <c r="H1604">
        <v>38.166666666666664</v>
      </c>
      <c r="M1604" t="s">
        <v>74</v>
      </c>
      <c r="N1604" t="s">
        <v>75</v>
      </c>
    </row>
    <row r="1605" spans="1:14" x14ac:dyDescent="0.25">
      <c r="A1605" t="s">
        <v>1433</v>
      </c>
      <c r="B1605" s="4" t="s">
        <v>10</v>
      </c>
      <c r="C1605" s="4" t="s">
        <v>73</v>
      </c>
      <c r="D1605" s="4">
        <v>46140</v>
      </c>
      <c r="E1605" s="5">
        <v>0.29287037037037034</v>
      </c>
      <c r="F1605" t="s">
        <v>87</v>
      </c>
      <c r="G1605" t="s">
        <v>82</v>
      </c>
      <c r="H1605">
        <v>38.083333333333329</v>
      </c>
      <c r="M1605" t="s">
        <v>74</v>
      </c>
      <c r="N1605" t="s">
        <v>75</v>
      </c>
    </row>
    <row r="1606" spans="1:14" x14ac:dyDescent="0.25">
      <c r="A1606" t="s">
        <v>1433</v>
      </c>
      <c r="B1606" s="4" t="s">
        <v>10</v>
      </c>
      <c r="C1606" s="4" t="s">
        <v>73</v>
      </c>
      <c r="D1606" s="4">
        <v>46140</v>
      </c>
      <c r="E1606" s="5">
        <v>0.29321759259259256</v>
      </c>
      <c r="F1606" t="s">
        <v>87</v>
      </c>
      <c r="G1606" t="s">
        <v>82</v>
      </c>
      <c r="H1606">
        <v>37.833333333333329</v>
      </c>
      <c r="M1606" t="s">
        <v>76</v>
      </c>
      <c r="N1606" t="s">
        <v>75</v>
      </c>
    </row>
    <row r="1607" spans="1:14" x14ac:dyDescent="0.25">
      <c r="A1607" t="s">
        <v>1434</v>
      </c>
      <c r="B1607" s="4" t="s">
        <v>10</v>
      </c>
      <c r="C1607" s="4" t="s">
        <v>70</v>
      </c>
      <c r="D1607" s="4">
        <v>46140</v>
      </c>
      <c r="E1607" s="5">
        <v>0.29386574074074073</v>
      </c>
      <c r="F1607" t="s">
        <v>87</v>
      </c>
      <c r="G1607" t="s">
        <v>82</v>
      </c>
      <c r="H1607">
        <v>15</v>
      </c>
      <c r="L1607" t="s">
        <v>1435</v>
      </c>
      <c r="M1607" t="s">
        <v>71</v>
      </c>
      <c r="N1607" t="s">
        <v>75</v>
      </c>
    </row>
    <row r="1608" spans="1:14" x14ac:dyDescent="0.25">
      <c r="A1608" t="s">
        <v>1435</v>
      </c>
      <c r="B1608" s="4" t="s">
        <v>10</v>
      </c>
      <c r="C1608" s="4" t="s">
        <v>73</v>
      </c>
      <c r="D1608" s="4">
        <v>46140</v>
      </c>
      <c r="E1608" s="5">
        <v>0.29386574074074073</v>
      </c>
      <c r="F1608" t="s">
        <v>87</v>
      </c>
      <c r="G1608" t="s">
        <v>82</v>
      </c>
      <c r="H1608">
        <v>4.75</v>
      </c>
      <c r="M1608" t="s">
        <v>74</v>
      </c>
      <c r="N1608" t="s">
        <v>75</v>
      </c>
    </row>
    <row r="1609" spans="1:14" x14ac:dyDescent="0.25">
      <c r="A1609" t="s">
        <v>1435</v>
      </c>
      <c r="B1609" s="4" t="s">
        <v>10</v>
      </c>
      <c r="C1609" s="4" t="s">
        <v>73</v>
      </c>
      <c r="D1609" s="4">
        <v>46140</v>
      </c>
      <c r="E1609" s="5">
        <v>0.29386574074074073</v>
      </c>
      <c r="F1609" t="s">
        <v>87</v>
      </c>
      <c r="G1609" t="s">
        <v>82</v>
      </c>
      <c r="H1609">
        <v>0</v>
      </c>
      <c r="M1609" t="s">
        <v>74</v>
      </c>
      <c r="N1609" t="s">
        <v>75</v>
      </c>
    </row>
    <row r="1610" spans="1:14" x14ac:dyDescent="0.25">
      <c r="A1610" t="s">
        <v>1436</v>
      </c>
      <c r="B1610" s="4" t="s">
        <v>10</v>
      </c>
      <c r="C1610" s="4" t="s">
        <v>70</v>
      </c>
      <c r="D1610" s="4">
        <v>46140</v>
      </c>
      <c r="E1610" s="5">
        <v>0.29443287037037036</v>
      </c>
      <c r="F1610" t="s">
        <v>87</v>
      </c>
      <c r="G1610" t="s">
        <v>82</v>
      </c>
      <c r="H1610">
        <v>62</v>
      </c>
      <c r="L1610" t="s">
        <v>1437</v>
      </c>
      <c r="M1610" t="s">
        <v>71</v>
      </c>
      <c r="N1610" t="s">
        <v>72</v>
      </c>
    </row>
    <row r="1611" spans="1:14" x14ac:dyDescent="0.25">
      <c r="A1611" t="s">
        <v>1437</v>
      </c>
      <c r="B1611" s="4" t="s">
        <v>10</v>
      </c>
      <c r="C1611" s="4" t="s">
        <v>73</v>
      </c>
      <c r="D1611" s="4">
        <v>46140</v>
      </c>
      <c r="E1611" s="5">
        <v>0.29443287037037036</v>
      </c>
      <c r="F1611" t="s">
        <v>87</v>
      </c>
      <c r="G1611" t="s">
        <v>82</v>
      </c>
      <c r="H1611">
        <v>219</v>
      </c>
      <c r="M1611" t="s">
        <v>79</v>
      </c>
      <c r="N1611" t="s">
        <v>72</v>
      </c>
    </row>
    <row r="1612" spans="1:14" x14ac:dyDescent="0.25">
      <c r="A1612" t="s">
        <v>1437</v>
      </c>
      <c r="B1612" s="4" t="s">
        <v>10</v>
      </c>
      <c r="C1612" s="4" t="s">
        <v>73</v>
      </c>
      <c r="D1612" s="4">
        <v>46140</v>
      </c>
      <c r="E1612" s="5">
        <v>0.29443287037037036</v>
      </c>
      <c r="F1612" t="s">
        <v>87</v>
      </c>
      <c r="G1612" t="s">
        <v>82</v>
      </c>
      <c r="H1612">
        <v>218.91666666666669</v>
      </c>
      <c r="M1612" t="s">
        <v>79</v>
      </c>
      <c r="N1612" t="s">
        <v>72</v>
      </c>
    </row>
    <row r="1613" spans="1:14" x14ac:dyDescent="0.25">
      <c r="A1613" t="s">
        <v>1437</v>
      </c>
      <c r="B1613" s="4" t="s">
        <v>10</v>
      </c>
      <c r="C1613" s="4" t="s">
        <v>73</v>
      </c>
      <c r="D1613" s="4">
        <v>46140</v>
      </c>
      <c r="E1613" s="5">
        <v>0.29452546296296295</v>
      </c>
      <c r="F1613" t="s">
        <v>87</v>
      </c>
      <c r="G1613" t="s">
        <v>82</v>
      </c>
      <c r="H1613">
        <v>218.91666666666669</v>
      </c>
      <c r="M1613" t="s">
        <v>76</v>
      </c>
      <c r="N1613" t="s">
        <v>72</v>
      </c>
    </row>
    <row r="1614" spans="1:14" x14ac:dyDescent="0.25">
      <c r="A1614" t="s">
        <v>1440</v>
      </c>
      <c r="B1614" s="4" t="s">
        <v>10</v>
      </c>
      <c r="C1614" s="4" t="s">
        <v>70</v>
      </c>
      <c r="D1614" s="4">
        <v>46140</v>
      </c>
      <c r="E1614" s="5">
        <v>0.2951273148148148</v>
      </c>
      <c r="F1614" t="s">
        <v>87</v>
      </c>
      <c r="G1614" t="s">
        <v>82</v>
      </c>
      <c r="H1614">
        <v>27</v>
      </c>
      <c r="L1614" t="s">
        <v>1441</v>
      </c>
      <c r="M1614" t="s">
        <v>71</v>
      </c>
      <c r="N1614" t="s">
        <v>72</v>
      </c>
    </row>
    <row r="1615" spans="1:14" x14ac:dyDescent="0.25">
      <c r="A1615" t="s">
        <v>1441</v>
      </c>
      <c r="B1615" s="4" t="s">
        <v>10</v>
      </c>
      <c r="C1615" s="4" t="s">
        <v>73</v>
      </c>
      <c r="D1615" s="4">
        <v>46140</v>
      </c>
      <c r="E1615" s="5">
        <v>0.2951273148148148</v>
      </c>
      <c r="F1615" t="s">
        <v>87</v>
      </c>
      <c r="G1615" t="s">
        <v>82</v>
      </c>
      <c r="H1615">
        <v>145.41666666666666</v>
      </c>
      <c r="M1615" t="s">
        <v>79</v>
      </c>
      <c r="N1615" t="s">
        <v>72</v>
      </c>
    </row>
    <row r="1616" spans="1:14" x14ac:dyDescent="0.25">
      <c r="A1616" t="s">
        <v>1441</v>
      </c>
      <c r="B1616" s="4" t="s">
        <v>10</v>
      </c>
      <c r="C1616" s="4" t="s">
        <v>73</v>
      </c>
      <c r="D1616" s="4">
        <v>46140</v>
      </c>
      <c r="E1616" s="5">
        <v>0.2951273148148148</v>
      </c>
      <c r="F1616" t="s">
        <v>87</v>
      </c>
      <c r="G1616" t="s">
        <v>82</v>
      </c>
      <c r="H1616">
        <v>145.33333333333334</v>
      </c>
      <c r="M1616" t="s">
        <v>79</v>
      </c>
      <c r="N1616" t="s">
        <v>72</v>
      </c>
    </row>
    <row r="1617" spans="1:14" x14ac:dyDescent="0.25">
      <c r="A1617" t="s">
        <v>1441</v>
      </c>
      <c r="B1617" s="4" t="s">
        <v>10</v>
      </c>
      <c r="C1617" s="4" t="s">
        <v>73</v>
      </c>
      <c r="D1617" s="4">
        <v>46140</v>
      </c>
      <c r="E1617" s="5">
        <v>0.29520833333333335</v>
      </c>
      <c r="F1617" t="s">
        <v>87</v>
      </c>
      <c r="G1617" t="s">
        <v>82</v>
      </c>
      <c r="H1617">
        <v>145.33333333333334</v>
      </c>
      <c r="M1617" t="s">
        <v>76</v>
      </c>
      <c r="N1617" t="s">
        <v>72</v>
      </c>
    </row>
    <row r="1618" spans="1:14" x14ac:dyDescent="0.25">
      <c r="A1618" t="s">
        <v>1442</v>
      </c>
      <c r="B1618" s="4" t="s">
        <v>10</v>
      </c>
      <c r="C1618" s="4" t="s">
        <v>70</v>
      </c>
      <c r="D1618" s="4">
        <v>46140</v>
      </c>
      <c r="E1618" s="5">
        <v>0.29584490740740738</v>
      </c>
      <c r="F1618" t="s">
        <v>87</v>
      </c>
      <c r="G1618" t="s">
        <v>82</v>
      </c>
      <c r="H1618">
        <v>24</v>
      </c>
      <c r="L1618" t="s">
        <v>1443</v>
      </c>
      <c r="M1618" t="s">
        <v>71</v>
      </c>
      <c r="N1618" t="s">
        <v>75</v>
      </c>
    </row>
    <row r="1619" spans="1:14" x14ac:dyDescent="0.25">
      <c r="A1619" t="s">
        <v>1443</v>
      </c>
      <c r="B1619" s="4" t="s">
        <v>10</v>
      </c>
      <c r="C1619" s="4" t="s">
        <v>73</v>
      </c>
      <c r="D1619" s="4">
        <v>46140</v>
      </c>
      <c r="E1619" s="5">
        <v>0.29584490740740738</v>
      </c>
      <c r="F1619" t="s">
        <v>87</v>
      </c>
      <c r="G1619" t="s">
        <v>82</v>
      </c>
      <c r="H1619">
        <v>16.666666666666668</v>
      </c>
      <c r="M1619" t="s">
        <v>79</v>
      </c>
      <c r="N1619" t="s">
        <v>75</v>
      </c>
    </row>
    <row r="1620" spans="1:14" x14ac:dyDescent="0.25">
      <c r="A1620" t="s">
        <v>1443</v>
      </c>
      <c r="B1620" s="4" t="s">
        <v>10</v>
      </c>
      <c r="C1620" s="4" t="s">
        <v>73</v>
      </c>
      <c r="D1620" s="4">
        <v>46140</v>
      </c>
      <c r="E1620" s="5">
        <v>0.29584490740740738</v>
      </c>
      <c r="F1620" t="s">
        <v>87</v>
      </c>
      <c r="G1620" t="s">
        <v>82</v>
      </c>
      <c r="H1620">
        <v>16.583333333333332</v>
      </c>
      <c r="M1620" t="s">
        <v>79</v>
      </c>
      <c r="N1620" t="s">
        <v>75</v>
      </c>
    </row>
    <row r="1621" spans="1:14" x14ac:dyDescent="0.25">
      <c r="A1621" t="s">
        <v>1443</v>
      </c>
      <c r="B1621" s="4" t="s">
        <v>10</v>
      </c>
      <c r="C1621" s="4" t="s">
        <v>73</v>
      </c>
      <c r="D1621" s="4">
        <v>46140</v>
      </c>
      <c r="E1621" s="5">
        <v>0.29598379629629629</v>
      </c>
      <c r="F1621" t="s">
        <v>87</v>
      </c>
      <c r="G1621" t="s">
        <v>82</v>
      </c>
      <c r="H1621">
        <v>16.5</v>
      </c>
      <c r="M1621" t="s">
        <v>76</v>
      </c>
      <c r="N1621" t="s">
        <v>75</v>
      </c>
    </row>
    <row r="1622" spans="1:14" x14ac:dyDescent="0.25">
      <c r="A1622" t="s">
        <v>1444</v>
      </c>
      <c r="B1622" s="4" t="s">
        <v>10</v>
      </c>
      <c r="C1622" s="4" t="s">
        <v>70</v>
      </c>
      <c r="D1622" s="4">
        <v>46140</v>
      </c>
      <c r="E1622" s="5">
        <v>0.29674768518518518</v>
      </c>
      <c r="F1622" t="s">
        <v>87</v>
      </c>
      <c r="G1622" t="s">
        <v>82</v>
      </c>
      <c r="H1622">
        <v>138</v>
      </c>
      <c r="L1622" t="s">
        <v>1445</v>
      </c>
      <c r="M1622" t="s">
        <v>71</v>
      </c>
      <c r="N1622" t="s">
        <v>75</v>
      </c>
    </row>
    <row r="1623" spans="1:14" x14ac:dyDescent="0.25">
      <c r="A1623" t="s">
        <v>1445</v>
      </c>
      <c r="B1623" s="4" t="s">
        <v>10</v>
      </c>
      <c r="C1623" s="4" t="s">
        <v>73</v>
      </c>
      <c r="D1623" s="4">
        <v>46140</v>
      </c>
      <c r="E1623" s="5">
        <v>0.29674768518518518</v>
      </c>
      <c r="F1623" t="s">
        <v>87</v>
      </c>
      <c r="G1623" t="s">
        <v>82</v>
      </c>
      <c r="H1623">
        <v>86.833333333333329</v>
      </c>
      <c r="M1623" t="s">
        <v>79</v>
      </c>
      <c r="N1623" t="s">
        <v>75</v>
      </c>
    </row>
    <row r="1624" spans="1:14" x14ac:dyDescent="0.25">
      <c r="A1624" t="s">
        <v>1445</v>
      </c>
      <c r="B1624" s="4" t="s">
        <v>10</v>
      </c>
      <c r="C1624" s="4" t="s">
        <v>73</v>
      </c>
      <c r="D1624" s="4">
        <v>46140</v>
      </c>
      <c r="E1624" s="5">
        <v>0.29674768518518518</v>
      </c>
      <c r="F1624" t="s">
        <v>87</v>
      </c>
      <c r="G1624" t="s">
        <v>82</v>
      </c>
      <c r="H1624">
        <v>86.75</v>
      </c>
      <c r="M1624" t="s">
        <v>79</v>
      </c>
      <c r="N1624" t="s">
        <v>75</v>
      </c>
    </row>
    <row r="1625" spans="1:14" x14ac:dyDescent="0.25">
      <c r="A1625" t="s">
        <v>1445</v>
      </c>
      <c r="B1625" s="4" t="s">
        <v>10</v>
      </c>
      <c r="C1625" s="4" t="s">
        <v>73</v>
      </c>
      <c r="D1625" s="4">
        <v>46140</v>
      </c>
      <c r="E1625" s="5">
        <v>0.29686342592592591</v>
      </c>
      <c r="F1625" t="s">
        <v>87</v>
      </c>
      <c r="G1625" t="s">
        <v>82</v>
      </c>
      <c r="H1625">
        <v>86.75</v>
      </c>
      <c r="M1625" t="s">
        <v>76</v>
      </c>
      <c r="N1625" t="s">
        <v>75</v>
      </c>
    </row>
    <row r="1626" spans="1:14" x14ac:dyDescent="0.25">
      <c r="A1626" t="s">
        <v>1446</v>
      </c>
      <c r="B1626" s="4" t="s">
        <v>10</v>
      </c>
      <c r="C1626" s="4" t="s">
        <v>70</v>
      </c>
      <c r="D1626" s="4">
        <v>46140</v>
      </c>
      <c r="E1626" s="5">
        <v>0.29738425925925921</v>
      </c>
      <c r="F1626" t="s">
        <v>87</v>
      </c>
      <c r="G1626" t="s">
        <v>82</v>
      </c>
      <c r="H1626">
        <v>14</v>
      </c>
      <c r="L1626" t="s">
        <v>1447</v>
      </c>
      <c r="M1626" t="s">
        <v>71</v>
      </c>
      <c r="N1626" t="s">
        <v>75</v>
      </c>
    </row>
    <row r="1627" spans="1:14" x14ac:dyDescent="0.25">
      <c r="A1627" t="s">
        <v>1447</v>
      </c>
      <c r="B1627" s="4" t="s">
        <v>10</v>
      </c>
      <c r="C1627" s="4" t="s">
        <v>73</v>
      </c>
      <c r="D1627" s="4">
        <v>46140</v>
      </c>
      <c r="E1627" s="5">
        <v>0.29738425925925921</v>
      </c>
      <c r="F1627" t="s">
        <v>87</v>
      </c>
      <c r="G1627" t="s">
        <v>82</v>
      </c>
      <c r="H1627">
        <v>64</v>
      </c>
      <c r="M1627" t="s">
        <v>79</v>
      </c>
      <c r="N1627" t="s">
        <v>75</v>
      </c>
    </row>
    <row r="1628" spans="1:14" x14ac:dyDescent="0.25">
      <c r="A1628" t="s">
        <v>1447</v>
      </c>
      <c r="B1628" s="4" t="s">
        <v>10</v>
      </c>
      <c r="C1628" s="4" t="s">
        <v>73</v>
      </c>
      <c r="D1628" s="4">
        <v>46140</v>
      </c>
      <c r="E1628" s="5">
        <v>0.29738425925925921</v>
      </c>
      <c r="F1628" t="s">
        <v>87</v>
      </c>
      <c r="G1628" t="s">
        <v>82</v>
      </c>
      <c r="H1628">
        <v>63.916666666666657</v>
      </c>
      <c r="M1628" t="s">
        <v>79</v>
      </c>
      <c r="N1628" t="s">
        <v>75</v>
      </c>
    </row>
    <row r="1629" spans="1:14" x14ac:dyDescent="0.25">
      <c r="A1629" t="s">
        <v>1447</v>
      </c>
      <c r="B1629" s="4" t="s">
        <v>10</v>
      </c>
      <c r="C1629" s="4" t="s">
        <v>73</v>
      </c>
      <c r="D1629" s="4">
        <v>46140</v>
      </c>
      <c r="E1629" s="5">
        <v>0.29773148148148149</v>
      </c>
      <c r="F1629" t="s">
        <v>87</v>
      </c>
      <c r="G1629" t="s">
        <v>82</v>
      </c>
      <c r="H1629">
        <v>63.916666666666657</v>
      </c>
      <c r="M1629" t="s">
        <v>76</v>
      </c>
      <c r="N1629" t="s">
        <v>75</v>
      </c>
    </row>
    <row r="1630" spans="1:14" x14ac:dyDescent="0.25">
      <c r="A1630" t="s">
        <v>1448</v>
      </c>
      <c r="B1630" s="4" t="s">
        <v>10</v>
      </c>
      <c r="C1630" s="4" t="s">
        <v>70</v>
      </c>
      <c r="D1630" s="4">
        <v>46140</v>
      </c>
      <c r="E1630" s="5">
        <v>0.29833333333333334</v>
      </c>
      <c r="F1630" t="s">
        <v>87</v>
      </c>
      <c r="G1630" t="s">
        <v>82</v>
      </c>
      <c r="H1630">
        <v>41</v>
      </c>
      <c r="L1630" t="s">
        <v>1449</v>
      </c>
      <c r="M1630" t="s">
        <v>71</v>
      </c>
      <c r="N1630" t="s">
        <v>75</v>
      </c>
    </row>
    <row r="1631" spans="1:14" x14ac:dyDescent="0.25">
      <c r="A1631" t="s">
        <v>1449</v>
      </c>
      <c r="B1631" s="4" t="s">
        <v>10</v>
      </c>
      <c r="C1631" s="4" t="s">
        <v>73</v>
      </c>
      <c r="D1631" s="4">
        <v>46140</v>
      </c>
      <c r="E1631" s="5">
        <v>0.29833333333333334</v>
      </c>
      <c r="F1631" t="s">
        <v>87</v>
      </c>
      <c r="G1631" t="s">
        <v>82</v>
      </c>
      <c r="H1631">
        <v>70.583333333333329</v>
      </c>
      <c r="M1631" t="s">
        <v>79</v>
      </c>
      <c r="N1631" t="s">
        <v>75</v>
      </c>
    </row>
    <row r="1632" spans="1:14" x14ac:dyDescent="0.25">
      <c r="A1632" t="s">
        <v>1449</v>
      </c>
      <c r="B1632" s="4" t="s">
        <v>10</v>
      </c>
      <c r="C1632" s="4" t="s">
        <v>73</v>
      </c>
      <c r="D1632" s="4">
        <v>46140</v>
      </c>
      <c r="E1632" s="5">
        <v>0.29833333333333334</v>
      </c>
      <c r="F1632" t="s">
        <v>87</v>
      </c>
      <c r="G1632" t="s">
        <v>82</v>
      </c>
      <c r="H1632">
        <v>70.5</v>
      </c>
      <c r="M1632" t="s">
        <v>79</v>
      </c>
      <c r="N1632" t="s">
        <v>75</v>
      </c>
    </row>
    <row r="1633" spans="1:14" x14ac:dyDescent="0.25">
      <c r="A1633" t="s">
        <v>1450</v>
      </c>
      <c r="B1633" s="4" t="s">
        <v>10</v>
      </c>
      <c r="C1633" s="4" t="s">
        <v>70</v>
      </c>
      <c r="D1633" s="4">
        <v>46140</v>
      </c>
      <c r="E1633" s="5">
        <v>0.29859953703703701</v>
      </c>
      <c r="F1633" t="s">
        <v>87</v>
      </c>
      <c r="G1633" t="s">
        <v>82</v>
      </c>
      <c r="H1633">
        <v>48</v>
      </c>
      <c r="L1633" t="s">
        <v>1449</v>
      </c>
      <c r="M1633" t="s">
        <v>71</v>
      </c>
      <c r="N1633" t="s">
        <v>75</v>
      </c>
    </row>
    <row r="1634" spans="1:14" x14ac:dyDescent="0.25">
      <c r="A1634" t="s">
        <v>1449</v>
      </c>
      <c r="B1634" s="4" t="s">
        <v>10</v>
      </c>
      <c r="C1634" s="4" t="s">
        <v>73</v>
      </c>
      <c r="D1634" s="4">
        <v>46140</v>
      </c>
      <c r="E1634" s="5">
        <v>0.29859953703703701</v>
      </c>
      <c r="F1634" t="s">
        <v>87</v>
      </c>
      <c r="G1634" t="s">
        <v>82</v>
      </c>
      <c r="H1634">
        <v>22.5</v>
      </c>
      <c r="M1634" t="s">
        <v>79</v>
      </c>
      <c r="N1634" t="s">
        <v>75</v>
      </c>
    </row>
    <row r="1635" spans="1:14" x14ac:dyDescent="0.25">
      <c r="A1635" t="s">
        <v>1449</v>
      </c>
      <c r="B1635" s="4" t="s">
        <v>10</v>
      </c>
      <c r="C1635" s="4" t="s">
        <v>73</v>
      </c>
      <c r="D1635" s="4">
        <v>46140</v>
      </c>
      <c r="E1635" s="5">
        <v>0.29859953703703701</v>
      </c>
      <c r="F1635" t="s">
        <v>87</v>
      </c>
      <c r="G1635" t="s">
        <v>82</v>
      </c>
      <c r="H1635">
        <v>22.416666666666668</v>
      </c>
      <c r="M1635" t="s">
        <v>79</v>
      </c>
      <c r="N1635" t="s">
        <v>75</v>
      </c>
    </row>
    <row r="1636" spans="1:14" x14ac:dyDescent="0.25">
      <c r="A1636" t="s">
        <v>1449</v>
      </c>
      <c r="B1636" s="4" t="s">
        <v>10</v>
      </c>
      <c r="C1636" s="4" t="s">
        <v>73</v>
      </c>
      <c r="D1636" s="4">
        <v>46140</v>
      </c>
      <c r="E1636" s="5">
        <v>0.29894675925925923</v>
      </c>
      <c r="F1636" t="s">
        <v>87</v>
      </c>
      <c r="G1636" t="s">
        <v>82</v>
      </c>
      <c r="H1636">
        <v>21.583333333333332</v>
      </c>
      <c r="M1636" t="s">
        <v>76</v>
      </c>
      <c r="N1636" t="s">
        <v>75</v>
      </c>
    </row>
    <row r="1637" spans="1:14" x14ac:dyDescent="0.25">
      <c r="A1637" t="s">
        <v>1451</v>
      </c>
      <c r="B1637" s="4" t="s">
        <v>10</v>
      </c>
      <c r="C1637" s="4" t="s">
        <v>70</v>
      </c>
      <c r="D1637" s="4">
        <v>46140</v>
      </c>
      <c r="E1637" s="5">
        <v>0.29931712962962964</v>
      </c>
      <c r="F1637" t="s">
        <v>87</v>
      </c>
      <c r="G1637" t="s">
        <v>82</v>
      </c>
      <c r="H1637">
        <v>2</v>
      </c>
      <c r="L1637" t="s">
        <v>1452</v>
      </c>
      <c r="M1637" t="s">
        <v>71</v>
      </c>
      <c r="N1637" t="s">
        <v>72</v>
      </c>
    </row>
    <row r="1638" spans="1:14" x14ac:dyDescent="0.25">
      <c r="A1638" t="s">
        <v>1452</v>
      </c>
      <c r="B1638" s="4" t="s">
        <v>10</v>
      </c>
      <c r="C1638" s="4" t="s">
        <v>73</v>
      </c>
      <c r="D1638" s="4">
        <v>46140</v>
      </c>
      <c r="E1638" s="5">
        <v>0.29931712962962964</v>
      </c>
      <c r="F1638" t="s">
        <v>87</v>
      </c>
      <c r="G1638" t="s">
        <v>82</v>
      </c>
      <c r="H1638">
        <v>22</v>
      </c>
      <c r="M1638" t="s">
        <v>74</v>
      </c>
      <c r="N1638" t="s">
        <v>72</v>
      </c>
    </row>
    <row r="1639" spans="1:14" x14ac:dyDescent="0.25">
      <c r="A1639" t="s">
        <v>1452</v>
      </c>
      <c r="B1639" s="4" t="s">
        <v>10</v>
      </c>
      <c r="C1639" s="4" t="s">
        <v>73</v>
      </c>
      <c r="D1639" s="4">
        <v>46140</v>
      </c>
      <c r="E1639" s="5">
        <v>0.29931712962962964</v>
      </c>
      <c r="F1639" t="s">
        <v>87</v>
      </c>
      <c r="G1639" t="s">
        <v>82</v>
      </c>
      <c r="H1639">
        <v>21.916666666666664</v>
      </c>
      <c r="M1639" t="s">
        <v>74</v>
      </c>
      <c r="N1639" t="s">
        <v>72</v>
      </c>
    </row>
    <row r="1640" spans="1:14" x14ac:dyDescent="0.25">
      <c r="A1640" t="s">
        <v>1452</v>
      </c>
      <c r="B1640" s="4" t="s">
        <v>10</v>
      </c>
      <c r="C1640" s="4" t="s">
        <v>73</v>
      </c>
      <c r="D1640" s="4">
        <v>46140</v>
      </c>
      <c r="E1640" s="5">
        <v>0.29965277777777777</v>
      </c>
      <c r="F1640" t="s">
        <v>87</v>
      </c>
      <c r="G1640" t="s">
        <v>82</v>
      </c>
      <c r="H1640">
        <v>21.916666666666664</v>
      </c>
      <c r="M1640" t="s">
        <v>76</v>
      </c>
      <c r="N1640" t="s">
        <v>72</v>
      </c>
    </row>
    <row r="1641" spans="1:14" x14ac:dyDescent="0.25">
      <c r="A1641" t="s">
        <v>1455</v>
      </c>
      <c r="B1641" s="4" t="s">
        <v>10</v>
      </c>
      <c r="C1641" s="4" t="s">
        <v>70</v>
      </c>
      <c r="D1641" s="4">
        <v>46140</v>
      </c>
      <c r="E1641" s="5">
        <v>0.30034722222222221</v>
      </c>
      <c r="F1641" t="s">
        <v>87</v>
      </c>
      <c r="G1641" t="s">
        <v>82</v>
      </c>
      <c r="H1641">
        <v>53.25</v>
      </c>
      <c r="L1641" t="s">
        <v>1456</v>
      </c>
      <c r="M1641" t="s">
        <v>71</v>
      </c>
      <c r="N1641" t="s">
        <v>75</v>
      </c>
    </row>
    <row r="1642" spans="1:14" x14ac:dyDescent="0.25">
      <c r="A1642" t="s">
        <v>1456</v>
      </c>
      <c r="B1642" s="4" t="s">
        <v>10</v>
      </c>
      <c r="C1642" s="4" t="s">
        <v>73</v>
      </c>
      <c r="D1642" s="4">
        <v>46140</v>
      </c>
      <c r="E1642" s="5">
        <v>0.30034722222222221</v>
      </c>
      <c r="F1642" t="s">
        <v>87</v>
      </c>
      <c r="G1642" t="s">
        <v>82</v>
      </c>
      <c r="H1642">
        <v>20.083333333333332</v>
      </c>
      <c r="M1642" t="s">
        <v>74</v>
      </c>
      <c r="N1642" t="s">
        <v>75</v>
      </c>
    </row>
    <row r="1643" spans="1:14" x14ac:dyDescent="0.25">
      <c r="A1643" t="s">
        <v>1457</v>
      </c>
      <c r="B1643" s="4" t="s">
        <v>10</v>
      </c>
      <c r="C1643" s="4" t="s">
        <v>70</v>
      </c>
      <c r="D1643" s="4">
        <v>46140</v>
      </c>
      <c r="E1643" s="5">
        <v>0.30057870370370371</v>
      </c>
      <c r="F1643" t="s">
        <v>87</v>
      </c>
      <c r="G1643" t="s">
        <v>82</v>
      </c>
      <c r="H1643">
        <v>17</v>
      </c>
      <c r="L1643" t="s">
        <v>1456</v>
      </c>
      <c r="M1643" t="s">
        <v>71</v>
      </c>
      <c r="N1643" t="s">
        <v>75</v>
      </c>
    </row>
    <row r="1644" spans="1:14" x14ac:dyDescent="0.25">
      <c r="A1644" t="s">
        <v>1456</v>
      </c>
      <c r="B1644" s="4" t="s">
        <v>10</v>
      </c>
      <c r="C1644" s="4" t="s">
        <v>73</v>
      </c>
      <c r="D1644" s="4">
        <v>46140</v>
      </c>
      <c r="E1644" s="5">
        <v>0.30057870370370371</v>
      </c>
      <c r="F1644" t="s">
        <v>87</v>
      </c>
      <c r="G1644" t="s">
        <v>82</v>
      </c>
      <c r="H1644">
        <v>3.083333333333333</v>
      </c>
      <c r="M1644" t="s">
        <v>74</v>
      </c>
      <c r="N1644" t="s">
        <v>75</v>
      </c>
    </row>
    <row r="1645" spans="1:14" x14ac:dyDescent="0.25">
      <c r="A1645" t="s">
        <v>1456</v>
      </c>
      <c r="B1645" s="4" t="s">
        <v>10</v>
      </c>
      <c r="C1645" s="4" t="s">
        <v>73</v>
      </c>
      <c r="D1645" s="4">
        <v>46140</v>
      </c>
      <c r="E1645" s="5">
        <v>0.30057870370370371</v>
      </c>
      <c r="F1645" t="s">
        <v>87</v>
      </c>
      <c r="G1645" t="s">
        <v>82</v>
      </c>
      <c r="H1645">
        <v>1.6666666666666665</v>
      </c>
      <c r="M1645" t="s">
        <v>74</v>
      </c>
      <c r="N1645" t="s">
        <v>75</v>
      </c>
    </row>
    <row r="1646" spans="1:14" x14ac:dyDescent="0.25">
      <c r="A1646" t="s">
        <v>1456</v>
      </c>
      <c r="B1646" s="4" t="s">
        <v>10</v>
      </c>
      <c r="C1646" s="4" t="s">
        <v>73</v>
      </c>
      <c r="D1646" s="4">
        <v>46140</v>
      </c>
      <c r="E1646" s="5">
        <v>0.30057870370370371</v>
      </c>
      <c r="F1646" t="s">
        <v>87</v>
      </c>
      <c r="G1646" t="s">
        <v>82</v>
      </c>
      <c r="H1646">
        <v>0</v>
      </c>
      <c r="M1646" t="s">
        <v>74</v>
      </c>
      <c r="N1646" t="s">
        <v>75</v>
      </c>
    </row>
    <row r="1647" spans="1:14" x14ac:dyDescent="0.25">
      <c r="A1647" t="s">
        <v>1460</v>
      </c>
      <c r="B1647" s="4" t="s">
        <v>10</v>
      </c>
      <c r="C1647" s="4" t="s">
        <v>70</v>
      </c>
      <c r="D1647" s="4">
        <v>46140</v>
      </c>
      <c r="E1647" s="5">
        <v>0.30126157407407406</v>
      </c>
      <c r="F1647" t="s">
        <v>87</v>
      </c>
      <c r="G1647" t="s">
        <v>82</v>
      </c>
      <c r="H1647">
        <v>67.25</v>
      </c>
      <c r="L1647" t="s">
        <v>1461</v>
      </c>
      <c r="M1647" t="s">
        <v>71</v>
      </c>
      <c r="N1647" t="s">
        <v>75</v>
      </c>
    </row>
    <row r="1648" spans="1:14" x14ac:dyDescent="0.25">
      <c r="A1648" t="s">
        <v>1461</v>
      </c>
      <c r="B1648" s="4" t="s">
        <v>10</v>
      </c>
      <c r="C1648" s="4" t="s">
        <v>73</v>
      </c>
      <c r="D1648" s="4">
        <v>46140</v>
      </c>
      <c r="E1648" s="5">
        <v>0.30126157407407406</v>
      </c>
      <c r="F1648" t="s">
        <v>87</v>
      </c>
      <c r="G1648" t="s">
        <v>82</v>
      </c>
      <c r="H1648">
        <v>8.5</v>
      </c>
      <c r="M1648" t="s">
        <v>74</v>
      </c>
      <c r="N1648" t="s">
        <v>75</v>
      </c>
    </row>
    <row r="1649" spans="1:14" x14ac:dyDescent="0.25">
      <c r="A1649" t="s">
        <v>1461</v>
      </c>
      <c r="B1649" s="4" t="s">
        <v>10</v>
      </c>
      <c r="C1649" s="4" t="s">
        <v>73</v>
      </c>
      <c r="D1649" s="4">
        <v>46140</v>
      </c>
      <c r="E1649" s="5">
        <v>0.30126157407407406</v>
      </c>
      <c r="F1649" t="s">
        <v>87</v>
      </c>
      <c r="G1649" t="s">
        <v>82</v>
      </c>
      <c r="H1649">
        <v>8.4166666666666661</v>
      </c>
      <c r="M1649" t="s">
        <v>74</v>
      </c>
      <c r="N1649" t="s">
        <v>75</v>
      </c>
    </row>
    <row r="1650" spans="1:14" x14ac:dyDescent="0.25">
      <c r="A1650" t="s">
        <v>1461</v>
      </c>
      <c r="B1650" s="4" t="s">
        <v>10</v>
      </c>
      <c r="C1650" s="4" t="s">
        <v>73</v>
      </c>
      <c r="D1650" s="4">
        <v>46140</v>
      </c>
      <c r="E1650" s="5">
        <v>0.30143518518518514</v>
      </c>
      <c r="F1650" t="s">
        <v>87</v>
      </c>
      <c r="G1650" t="s">
        <v>82</v>
      </c>
      <c r="H1650">
        <v>8.3333333333333339</v>
      </c>
      <c r="M1650" t="s">
        <v>76</v>
      </c>
      <c r="N1650" t="s">
        <v>75</v>
      </c>
    </row>
    <row r="1651" spans="1:14" x14ac:dyDescent="0.25">
      <c r="A1651" t="s">
        <v>1463</v>
      </c>
      <c r="B1651" s="4" t="s">
        <v>10</v>
      </c>
      <c r="C1651" s="4" t="s">
        <v>70</v>
      </c>
      <c r="D1651" s="4">
        <v>46140</v>
      </c>
      <c r="E1651" s="5">
        <v>0.30204861111111109</v>
      </c>
      <c r="F1651" t="s">
        <v>87</v>
      </c>
      <c r="G1651" t="s">
        <v>82</v>
      </c>
      <c r="H1651">
        <v>20.25</v>
      </c>
      <c r="L1651" t="s">
        <v>1464</v>
      </c>
      <c r="M1651" t="s">
        <v>71</v>
      </c>
      <c r="N1651" t="s">
        <v>75</v>
      </c>
    </row>
    <row r="1652" spans="1:14" x14ac:dyDescent="0.25">
      <c r="A1652" t="s">
        <v>1464</v>
      </c>
      <c r="B1652" s="4" t="s">
        <v>10</v>
      </c>
      <c r="C1652" s="4" t="s">
        <v>73</v>
      </c>
      <c r="D1652" s="4">
        <v>46140</v>
      </c>
      <c r="E1652" s="5">
        <v>0.30204861111111109</v>
      </c>
      <c r="F1652" t="s">
        <v>87</v>
      </c>
      <c r="G1652" t="s">
        <v>82</v>
      </c>
      <c r="H1652">
        <v>20.75</v>
      </c>
      <c r="L1652" t="s">
        <v>1465</v>
      </c>
      <c r="M1652" t="s">
        <v>74</v>
      </c>
      <c r="N1652" t="s">
        <v>75</v>
      </c>
    </row>
    <row r="1653" spans="1:14" x14ac:dyDescent="0.25">
      <c r="A1653" t="s">
        <v>1467</v>
      </c>
      <c r="B1653" s="4" t="s">
        <v>10</v>
      </c>
      <c r="C1653" s="4" t="s">
        <v>70</v>
      </c>
      <c r="D1653" s="4">
        <v>46140</v>
      </c>
      <c r="E1653" s="5">
        <v>0.30221064814814813</v>
      </c>
      <c r="F1653" t="s">
        <v>87</v>
      </c>
      <c r="G1653" t="s">
        <v>82</v>
      </c>
      <c r="H1653">
        <v>17.5</v>
      </c>
      <c r="L1653" t="s">
        <v>1464</v>
      </c>
      <c r="M1653" t="s">
        <v>71</v>
      </c>
      <c r="N1653" t="s">
        <v>75</v>
      </c>
    </row>
    <row r="1654" spans="1:14" x14ac:dyDescent="0.25">
      <c r="A1654" t="s">
        <v>1464</v>
      </c>
      <c r="B1654" s="4" t="s">
        <v>10</v>
      </c>
      <c r="C1654" s="4" t="s">
        <v>73</v>
      </c>
      <c r="D1654" s="4">
        <v>46140</v>
      </c>
      <c r="E1654" s="5">
        <v>0.30221064814814813</v>
      </c>
      <c r="F1654" t="s">
        <v>87</v>
      </c>
      <c r="G1654" t="s">
        <v>82</v>
      </c>
      <c r="H1654">
        <v>3.25</v>
      </c>
      <c r="L1654" t="s">
        <v>1465</v>
      </c>
      <c r="M1654" t="s">
        <v>74</v>
      </c>
      <c r="N1654" t="s">
        <v>75</v>
      </c>
    </row>
    <row r="1655" spans="1:14" x14ac:dyDescent="0.25">
      <c r="A1655" t="s">
        <v>1464</v>
      </c>
      <c r="B1655" s="4" t="s">
        <v>10</v>
      </c>
      <c r="C1655" s="4" t="s">
        <v>73</v>
      </c>
      <c r="D1655" s="4">
        <v>46140</v>
      </c>
      <c r="E1655" s="5">
        <v>0.30221064814814813</v>
      </c>
      <c r="F1655" t="s">
        <v>87</v>
      </c>
      <c r="G1655" t="s">
        <v>82</v>
      </c>
      <c r="H1655">
        <v>0</v>
      </c>
      <c r="L1655" t="s">
        <v>1465</v>
      </c>
      <c r="M1655" t="s">
        <v>74</v>
      </c>
      <c r="N1655" t="s">
        <v>75</v>
      </c>
    </row>
    <row r="1656" spans="1:14" x14ac:dyDescent="0.25">
      <c r="A1656" t="s">
        <v>1469</v>
      </c>
      <c r="B1656" s="4" t="s">
        <v>10</v>
      </c>
      <c r="C1656" s="4" t="s">
        <v>70</v>
      </c>
      <c r="D1656" s="4">
        <v>46140</v>
      </c>
      <c r="E1656" s="5">
        <v>0.30293981481481475</v>
      </c>
      <c r="F1656" t="s">
        <v>87</v>
      </c>
      <c r="G1656" t="s">
        <v>82</v>
      </c>
      <c r="H1656">
        <v>93</v>
      </c>
      <c r="L1656" t="s">
        <v>1470</v>
      </c>
      <c r="M1656" t="s">
        <v>71</v>
      </c>
      <c r="N1656" t="s">
        <v>72</v>
      </c>
    </row>
    <row r="1657" spans="1:14" x14ac:dyDescent="0.25">
      <c r="A1657" t="s">
        <v>1470</v>
      </c>
      <c r="B1657" s="4" t="s">
        <v>10</v>
      </c>
      <c r="C1657" s="4" t="s">
        <v>73</v>
      </c>
      <c r="D1657" s="4">
        <v>46140</v>
      </c>
      <c r="E1657" s="5">
        <v>0.30293981481481475</v>
      </c>
      <c r="F1657" t="s">
        <v>87</v>
      </c>
      <c r="G1657" t="s">
        <v>82</v>
      </c>
      <c r="H1657">
        <v>2.0833333333333335</v>
      </c>
      <c r="M1657" t="s">
        <v>79</v>
      </c>
      <c r="N1657" t="s">
        <v>72</v>
      </c>
    </row>
    <row r="1658" spans="1:14" x14ac:dyDescent="0.25">
      <c r="A1658" t="s">
        <v>1470</v>
      </c>
      <c r="B1658" s="4" t="s">
        <v>10</v>
      </c>
      <c r="C1658" s="4" t="s">
        <v>73</v>
      </c>
      <c r="D1658" s="4">
        <v>46140</v>
      </c>
      <c r="E1658" s="5">
        <v>0.30293981481481475</v>
      </c>
      <c r="F1658" t="s">
        <v>87</v>
      </c>
      <c r="G1658" t="s">
        <v>82</v>
      </c>
      <c r="H1658">
        <v>0</v>
      </c>
      <c r="M1658" t="s">
        <v>79</v>
      </c>
      <c r="N1658" t="s">
        <v>72</v>
      </c>
    </row>
    <row r="1659" spans="1:14" x14ac:dyDescent="0.25">
      <c r="A1659" t="s">
        <v>1471</v>
      </c>
      <c r="B1659" s="4" t="s">
        <v>10</v>
      </c>
      <c r="C1659" s="4" t="s">
        <v>70</v>
      </c>
      <c r="D1659" s="4">
        <v>46140</v>
      </c>
      <c r="E1659" s="5">
        <v>0.30336805555555552</v>
      </c>
      <c r="F1659" t="s">
        <v>87</v>
      </c>
      <c r="G1659" t="s">
        <v>82</v>
      </c>
      <c r="H1659">
        <v>2</v>
      </c>
      <c r="L1659" t="s">
        <v>1472</v>
      </c>
      <c r="M1659" t="s">
        <v>71</v>
      </c>
      <c r="N1659" t="s">
        <v>72</v>
      </c>
    </row>
    <row r="1660" spans="1:14" x14ac:dyDescent="0.25">
      <c r="A1660" t="s">
        <v>1472</v>
      </c>
      <c r="B1660" s="4" t="s">
        <v>10</v>
      </c>
      <c r="C1660" s="4" t="s">
        <v>73</v>
      </c>
      <c r="D1660" s="4">
        <v>46140</v>
      </c>
      <c r="E1660" s="5">
        <v>0.30336805555555552</v>
      </c>
      <c r="F1660" t="s">
        <v>87</v>
      </c>
      <c r="G1660" t="s">
        <v>82</v>
      </c>
      <c r="H1660">
        <v>161.25</v>
      </c>
      <c r="M1660" t="s">
        <v>74</v>
      </c>
      <c r="N1660" t="s">
        <v>72</v>
      </c>
    </row>
    <row r="1661" spans="1:14" x14ac:dyDescent="0.25">
      <c r="A1661" t="s">
        <v>1472</v>
      </c>
      <c r="B1661" s="4" t="s">
        <v>10</v>
      </c>
      <c r="C1661" s="4" t="s">
        <v>73</v>
      </c>
      <c r="D1661" s="4">
        <v>46140</v>
      </c>
      <c r="E1661" s="5">
        <v>0.30336805555555552</v>
      </c>
      <c r="F1661" t="s">
        <v>87</v>
      </c>
      <c r="G1661" t="s">
        <v>82</v>
      </c>
      <c r="H1661">
        <v>161.16666666666666</v>
      </c>
      <c r="M1661" t="s">
        <v>74</v>
      </c>
      <c r="N1661" t="s">
        <v>72</v>
      </c>
    </row>
    <row r="1662" spans="1:14" x14ac:dyDescent="0.25">
      <c r="A1662" t="s">
        <v>1472</v>
      </c>
      <c r="B1662" s="4" t="s">
        <v>10</v>
      </c>
      <c r="C1662" s="4" t="s">
        <v>73</v>
      </c>
      <c r="D1662" s="4">
        <v>46140</v>
      </c>
      <c r="E1662" s="5">
        <v>0.30344907407407407</v>
      </c>
      <c r="F1662" t="s">
        <v>87</v>
      </c>
      <c r="G1662" t="s">
        <v>82</v>
      </c>
      <c r="H1662">
        <v>161.16666666666666</v>
      </c>
      <c r="M1662" t="s">
        <v>76</v>
      </c>
      <c r="N1662" t="s">
        <v>72</v>
      </c>
    </row>
    <row r="1663" spans="1:14" x14ac:dyDescent="0.25">
      <c r="A1663" t="s">
        <v>1473</v>
      </c>
      <c r="B1663" s="4" t="s">
        <v>10</v>
      </c>
      <c r="C1663" s="4" t="s">
        <v>73</v>
      </c>
      <c r="D1663" s="4">
        <v>46140</v>
      </c>
      <c r="E1663" s="5">
        <v>0.30410879629629628</v>
      </c>
      <c r="F1663" t="s">
        <v>87</v>
      </c>
      <c r="G1663" t="s">
        <v>82</v>
      </c>
      <c r="H1663">
        <v>60.916666666666664</v>
      </c>
      <c r="M1663" t="s">
        <v>79</v>
      </c>
      <c r="N1663" t="s">
        <v>75</v>
      </c>
    </row>
    <row r="1664" spans="1:14" x14ac:dyDescent="0.25">
      <c r="A1664" t="s">
        <v>1474</v>
      </c>
      <c r="B1664" s="4" t="s">
        <v>10</v>
      </c>
      <c r="C1664" s="4" t="s">
        <v>70</v>
      </c>
      <c r="D1664" s="4">
        <v>46140</v>
      </c>
      <c r="E1664" s="5">
        <v>0.30440972222222218</v>
      </c>
      <c r="F1664" t="s">
        <v>87</v>
      </c>
      <c r="G1664" t="s">
        <v>82</v>
      </c>
      <c r="H1664">
        <v>48</v>
      </c>
      <c r="L1664" t="s">
        <v>1473</v>
      </c>
      <c r="M1664" t="s">
        <v>71</v>
      </c>
      <c r="N1664" t="s">
        <v>75</v>
      </c>
    </row>
    <row r="1665" spans="1:14" x14ac:dyDescent="0.25">
      <c r="A1665" t="s">
        <v>1473</v>
      </c>
      <c r="B1665" s="4" t="s">
        <v>10</v>
      </c>
      <c r="C1665" s="4" t="s">
        <v>73</v>
      </c>
      <c r="D1665" s="4">
        <v>46140</v>
      </c>
      <c r="E1665" s="5">
        <v>0.30440972222222218</v>
      </c>
      <c r="F1665" t="s">
        <v>87</v>
      </c>
      <c r="G1665" t="s">
        <v>82</v>
      </c>
      <c r="H1665">
        <v>12.916666666666666</v>
      </c>
      <c r="M1665" t="s">
        <v>79</v>
      </c>
      <c r="N1665" t="s">
        <v>75</v>
      </c>
    </row>
    <row r="1666" spans="1:14" x14ac:dyDescent="0.25">
      <c r="A1666" t="s">
        <v>1473</v>
      </c>
      <c r="B1666" s="4" t="s">
        <v>10</v>
      </c>
      <c r="C1666" s="4" t="s">
        <v>73</v>
      </c>
      <c r="D1666" s="4">
        <v>46140</v>
      </c>
      <c r="E1666" s="5">
        <v>0.30440972222222218</v>
      </c>
      <c r="F1666" t="s">
        <v>87</v>
      </c>
      <c r="G1666" t="s">
        <v>82</v>
      </c>
      <c r="H1666">
        <v>12.833333333333334</v>
      </c>
      <c r="M1666" t="s">
        <v>79</v>
      </c>
      <c r="N1666" t="s">
        <v>75</v>
      </c>
    </row>
    <row r="1667" spans="1:14" x14ac:dyDescent="0.25">
      <c r="A1667" t="s">
        <v>1473</v>
      </c>
      <c r="B1667" s="4" t="s">
        <v>10</v>
      </c>
      <c r="C1667" s="4" t="s">
        <v>73</v>
      </c>
      <c r="D1667" s="4">
        <v>46140</v>
      </c>
      <c r="E1667" s="5">
        <v>0.30460648148148145</v>
      </c>
      <c r="F1667" t="s">
        <v>87</v>
      </c>
      <c r="G1667" t="s">
        <v>82</v>
      </c>
      <c r="H1667">
        <v>12.5</v>
      </c>
      <c r="M1667" t="s">
        <v>76</v>
      </c>
      <c r="N1667" t="s">
        <v>75</v>
      </c>
    </row>
    <row r="1668" spans="1:14" x14ac:dyDescent="0.25">
      <c r="A1668" t="s">
        <v>1475</v>
      </c>
      <c r="B1668" s="4" t="s">
        <v>10</v>
      </c>
      <c r="C1668" s="4" t="s">
        <v>70</v>
      </c>
      <c r="D1668" s="4">
        <v>46140</v>
      </c>
      <c r="E1668" s="5">
        <v>0.30515046296296294</v>
      </c>
      <c r="F1668" t="s">
        <v>87</v>
      </c>
      <c r="G1668" t="s">
        <v>82</v>
      </c>
      <c r="H1668">
        <v>14</v>
      </c>
      <c r="L1668" t="s">
        <v>1476</v>
      </c>
      <c r="M1668" t="s">
        <v>71</v>
      </c>
      <c r="N1668" t="s">
        <v>72</v>
      </c>
    </row>
    <row r="1669" spans="1:14" x14ac:dyDescent="0.25">
      <c r="A1669" t="s">
        <v>1476</v>
      </c>
      <c r="B1669" s="4" t="s">
        <v>10</v>
      </c>
      <c r="C1669" s="4" t="s">
        <v>73</v>
      </c>
      <c r="D1669" s="4">
        <v>46140</v>
      </c>
      <c r="E1669" s="5">
        <v>0.30515046296296294</v>
      </c>
      <c r="F1669" t="s">
        <v>87</v>
      </c>
      <c r="G1669" t="s">
        <v>82</v>
      </c>
      <c r="H1669">
        <v>15</v>
      </c>
      <c r="M1669" t="s">
        <v>79</v>
      </c>
      <c r="N1669" t="s">
        <v>72</v>
      </c>
    </row>
    <row r="1670" spans="1:14" x14ac:dyDescent="0.25">
      <c r="A1670" t="s">
        <v>1476</v>
      </c>
      <c r="B1670" s="4" t="s">
        <v>10</v>
      </c>
      <c r="C1670" s="4" t="s">
        <v>73</v>
      </c>
      <c r="D1670" s="4">
        <v>46140</v>
      </c>
      <c r="E1670" s="5">
        <v>0.30515046296296294</v>
      </c>
      <c r="F1670" t="s">
        <v>87</v>
      </c>
      <c r="G1670" t="s">
        <v>82</v>
      </c>
      <c r="H1670">
        <v>14.916666666666666</v>
      </c>
      <c r="M1670" t="s">
        <v>79</v>
      </c>
      <c r="N1670" t="s">
        <v>72</v>
      </c>
    </row>
    <row r="1671" spans="1:14" x14ac:dyDescent="0.25">
      <c r="A1671" t="s">
        <v>1476</v>
      </c>
      <c r="B1671" s="4" t="s">
        <v>10</v>
      </c>
      <c r="C1671" s="4" t="s">
        <v>73</v>
      </c>
      <c r="D1671" s="4">
        <v>46140</v>
      </c>
      <c r="E1671" s="5">
        <v>0.30530092592592595</v>
      </c>
      <c r="F1671" t="s">
        <v>87</v>
      </c>
      <c r="G1671" t="s">
        <v>82</v>
      </c>
      <c r="H1671">
        <v>12.166666666666666</v>
      </c>
      <c r="M1671" t="s">
        <v>76</v>
      </c>
      <c r="N1671" t="s">
        <v>72</v>
      </c>
    </row>
    <row r="1672" spans="1:14" x14ac:dyDescent="0.25">
      <c r="A1672" t="s">
        <v>1477</v>
      </c>
      <c r="B1672" s="4" t="s">
        <v>10</v>
      </c>
      <c r="C1672" s="4" t="s">
        <v>70</v>
      </c>
      <c r="D1672" s="4">
        <v>46140</v>
      </c>
      <c r="E1672" s="5">
        <v>0.30604166666666666</v>
      </c>
      <c r="F1672" t="s">
        <v>87</v>
      </c>
      <c r="G1672" t="s">
        <v>82</v>
      </c>
      <c r="H1672">
        <v>2</v>
      </c>
      <c r="L1672" t="s">
        <v>1478</v>
      </c>
      <c r="M1672" t="s">
        <v>71</v>
      </c>
      <c r="N1672" t="s">
        <v>72</v>
      </c>
    </row>
    <row r="1673" spans="1:14" x14ac:dyDescent="0.25">
      <c r="A1673" t="s">
        <v>1478</v>
      </c>
      <c r="B1673" s="4" t="s">
        <v>10</v>
      </c>
      <c r="C1673" s="4" t="s">
        <v>73</v>
      </c>
      <c r="D1673" s="4">
        <v>46140</v>
      </c>
      <c r="E1673" s="5">
        <v>0.30604166666666666</v>
      </c>
      <c r="F1673" t="s">
        <v>87</v>
      </c>
      <c r="G1673" t="s">
        <v>82</v>
      </c>
      <c r="H1673">
        <v>9.9166666666666661</v>
      </c>
      <c r="M1673" t="s">
        <v>74</v>
      </c>
      <c r="N1673" t="s">
        <v>72</v>
      </c>
    </row>
    <row r="1674" spans="1:14" x14ac:dyDescent="0.25">
      <c r="A1674" t="s">
        <v>1478</v>
      </c>
      <c r="B1674" s="4" t="s">
        <v>10</v>
      </c>
      <c r="C1674" s="4" t="s">
        <v>73</v>
      </c>
      <c r="D1674" s="4">
        <v>46140</v>
      </c>
      <c r="E1674" s="5">
        <v>0.30604166666666666</v>
      </c>
      <c r="F1674" t="s">
        <v>87</v>
      </c>
      <c r="G1674" t="s">
        <v>82</v>
      </c>
      <c r="H1674">
        <v>9.8333333333333321</v>
      </c>
      <c r="M1674" t="s">
        <v>74</v>
      </c>
      <c r="N1674" t="s">
        <v>72</v>
      </c>
    </row>
    <row r="1675" spans="1:14" x14ac:dyDescent="0.25">
      <c r="A1675" t="s">
        <v>1478</v>
      </c>
      <c r="B1675" s="4" t="s">
        <v>10</v>
      </c>
      <c r="C1675" s="4" t="s">
        <v>73</v>
      </c>
      <c r="D1675" s="4">
        <v>46140</v>
      </c>
      <c r="E1675" s="5">
        <v>0.30634259259259261</v>
      </c>
      <c r="F1675" t="s">
        <v>87</v>
      </c>
      <c r="G1675" t="s">
        <v>82</v>
      </c>
      <c r="H1675">
        <v>10.583333333333332</v>
      </c>
      <c r="M1675" t="s">
        <v>76</v>
      </c>
      <c r="N1675" t="s">
        <v>72</v>
      </c>
    </row>
    <row r="1676" spans="1:14" x14ac:dyDescent="0.25">
      <c r="A1676" t="s">
        <v>1481</v>
      </c>
      <c r="B1676" s="4" t="s">
        <v>10</v>
      </c>
      <c r="C1676" s="4" t="s">
        <v>70</v>
      </c>
      <c r="D1676" s="4">
        <v>46140</v>
      </c>
      <c r="E1676" s="5">
        <v>0.30708333333333332</v>
      </c>
      <c r="F1676" t="s">
        <v>87</v>
      </c>
      <c r="G1676" t="s">
        <v>82</v>
      </c>
      <c r="H1676">
        <v>2</v>
      </c>
      <c r="L1676" t="s">
        <v>1482</v>
      </c>
      <c r="M1676" t="s">
        <v>71</v>
      </c>
      <c r="N1676" t="s">
        <v>72</v>
      </c>
    </row>
    <row r="1677" spans="1:14" x14ac:dyDescent="0.25">
      <c r="A1677" t="s">
        <v>1482</v>
      </c>
      <c r="B1677" s="4" t="s">
        <v>10</v>
      </c>
      <c r="C1677" s="4" t="s">
        <v>73</v>
      </c>
      <c r="D1677" s="4">
        <v>46140</v>
      </c>
      <c r="E1677" s="5">
        <v>0.30708333333333332</v>
      </c>
      <c r="F1677" t="s">
        <v>87</v>
      </c>
      <c r="G1677" t="s">
        <v>82</v>
      </c>
      <c r="H1677">
        <v>13.25</v>
      </c>
      <c r="M1677" t="s">
        <v>74</v>
      </c>
      <c r="N1677" t="s">
        <v>72</v>
      </c>
    </row>
    <row r="1678" spans="1:14" x14ac:dyDescent="0.25">
      <c r="A1678" t="s">
        <v>1482</v>
      </c>
      <c r="B1678" s="4" t="s">
        <v>10</v>
      </c>
      <c r="C1678" s="4" t="s">
        <v>73</v>
      </c>
      <c r="D1678" s="4">
        <v>46140</v>
      </c>
      <c r="E1678" s="5">
        <v>0.30708333333333332</v>
      </c>
      <c r="F1678" t="s">
        <v>87</v>
      </c>
      <c r="G1678" t="s">
        <v>82</v>
      </c>
      <c r="H1678">
        <v>13.166666666666666</v>
      </c>
      <c r="M1678" t="s">
        <v>74</v>
      </c>
      <c r="N1678" t="s">
        <v>72</v>
      </c>
    </row>
    <row r="1679" spans="1:14" x14ac:dyDescent="0.25">
      <c r="A1679" t="s">
        <v>1482</v>
      </c>
      <c r="B1679" s="4" t="s">
        <v>10</v>
      </c>
      <c r="C1679" s="4" t="s">
        <v>73</v>
      </c>
      <c r="D1679" s="4">
        <v>46140</v>
      </c>
      <c r="E1679" s="5">
        <v>0.30734953703703705</v>
      </c>
      <c r="F1679" t="s">
        <v>87</v>
      </c>
      <c r="G1679" t="s">
        <v>82</v>
      </c>
      <c r="H1679">
        <v>13.416666666666666</v>
      </c>
      <c r="M1679" t="s">
        <v>76</v>
      </c>
      <c r="N1679" t="s">
        <v>72</v>
      </c>
    </row>
    <row r="1680" spans="1:14" x14ac:dyDescent="0.25">
      <c r="A1680" t="s">
        <v>1483</v>
      </c>
      <c r="B1680" s="4" t="s">
        <v>10</v>
      </c>
      <c r="C1680" s="4" t="s">
        <v>70</v>
      </c>
      <c r="D1680" s="4">
        <v>46140</v>
      </c>
      <c r="E1680" s="5">
        <v>0.30784722222222222</v>
      </c>
      <c r="F1680" t="s">
        <v>87</v>
      </c>
      <c r="G1680" t="s">
        <v>82</v>
      </c>
      <c r="H1680">
        <v>9.5</v>
      </c>
      <c r="L1680" t="s">
        <v>1484</v>
      </c>
      <c r="M1680" t="s">
        <v>71</v>
      </c>
      <c r="N1680" t="s">
        <v>75</v>
      </c>
    </row>
    <row r="1681" spans="1:14" x14ac:dyDescent="0.25">
      <c r="A1681" t="s">
        <v>1484</v>
      </c>
      <c r="B1681" s="4" t="s">
        <v>10</v>
      </c>
      <c r="C1681" s="4" t="s">
        <v>73</v>
      </c>
      <c r="D1681" s="4">
        <v>46140</v>
      </c>
      <c r="E1681" s="5">
        <v>0.30784722222222222</v>
      </c>
      <c r="F1681" t="s">
        <v>87</v>
      </c>
      <c r="G1681" t="s">
        <v>82</v>
      </c>
      <c r="H1681">
        <v>7.6666666666666661</v>
      </c>
      <c r="M1681" t="s">
        <v>74</v>
      </c>
      <c r="N1681" t="s">
        <v>75</v>
      </c>
    </row>
    <row r="1682" spans="1:14" x14ac:dyDescent="0.25">
      <c r="A1682" t="s">
        <v>1484</v>
      </c>
      <c r="B1682" s="4" t="s">
        <v>10</v>
      </c>
      <c r="C1682" s="4" t="s">
        <v>73</v>
      </c>
      <c r="D1682" s="4">
        <v>46140</v>
      </c>
      <c r="E1682" s="5">
        <v>0.30805555555555553</v>
      </c>
      <c r="F1682" t="s">
        <v>87</v>
      </c>
      <c r="G1682" t="s">
        <v>82</v>
      </c>
      <c r="H1682">
        <v>7.5</v>
      </c>
      <c r="M1682" t="s">
        <v>76</v>
      </c>
      <c r="N1682" t="s">
        <v>75</v>
      </c>
    </row>
    <row r="1683" spans="1:14" x14ac:dyDescent="0.25">
      <c r="A1683" t="s">
        <v>1485</v>
      </c>
      <c r="B1683" s="4" t="s">
        <v>10</v>
      </c>
      <c r="C1683" s="4" t="s">
        <v>70</v>
      </c>
      <c r="D1683" s="4">
        <v>46140</v>
      </c>
      <c r="E1683" s="5">
        <v>0.30849537037037034</v>
      </c>
      <c r="F1683" t="s">
        <v>87</v>
      </c>
      <c r="G1683" t="s">
        <v>82</v>
      </c>
      <c r="H1683">
        <v>2</v>
      </c>
      <c r="L1683" t="s">
        <v>1486</v>
      </c>
      <c r="M1683" t="s">
        <v>71</v>
      </c>
      <c r="N1683" t="s">
        <v>72</v>
      </c>
    </row>
    <row r="1684" spans="1:14" x14ac:dyDescent="0.25">
      <c r="A1684" t="s">
        <v>1486</v>
      </c>
      <c r="B1684" s="4" t="s">
        <v>10</v>
      </c>
      <c r="C1684" s="4" t="s">
        <v>73</v>
      </c>
      <c r="D1684" s="4">
        <v>46140</v>
      </c>
      <c r="E1684" s="5">
        <v>0.30849537037037034</v>
      </c>
      <c r="F1684" t="s">
        <v>87</v>
      </c>
      <c r="G1684" t="s">
        <v>82</v>
      </c>
      <c r="H1684">
        <v>31.25</v>
      </c>
      <c r="M1684" t="s">
        <v>74</v>
      </c>
      <c r="N1684" t="s">
        <v>72</v>
      </c>
    </row>
    <row r="1685" spans="1:14" x14ac:dyDescent="0.25">
      <c r="A1685" t="s">
        <v>1486</v>
      </c>
      <c r="B1685" s="4" t="s">
        <v>10</v>
      </c>
      <c r="C1685" s="4" t="s">
        <v>73</v>
      </c>
      <c r="D1685" s="4">
        <v>46140</v>
      </c>
      <c r="E1685" s="5">
        <v>0.30849537037037034</v>
      </c>
      <c r="F1685" t="s">
        <v>87</v>
      </c>
      <c r="G1685" t="s">
        <v>82</v>
      </c>
      <c r="H1685">
        <v>31.166666666666668</v>
      </c>
      <c r="M1685" t="s">
        <v>74</v>
      </c>
      <c r="N1685" t="s">
        <v>72</v>
      </c>
    </row>
    <row r="1686" spans="1:14" x14ac:dyDescent="0.25">
      <c r="A1686" t="s">
        <v>1486</v>
      </c>
      <c r="B1686" s="4" t="s">
        <v>10</v>
      </c>
      <c r="C1686" s="4" t="s">
        <v>73</v>
      </c>
      <c r="D1686" s="4">
        <v>46140</v>
      </c>
      <c r="E1686" s="5">
        <v>0.30884259259259256</v>
      </c>
      <c r="F1686" t="s">
        <v>87</v>
      </c>
      <c r="G1686" t="s">
        <v>82</v>
      </c>
      <c r="H1686">
        <v>30.75</v>
      </c>
      <c r="M1686" t="s">
        <v>76</v>
      </c>
      <c r="N1686" t="s">
        <v>72</v>
      </c>
    </row>
    <row r="1687" spans="1:14" x14ac:dyDescent="0.25">
      <c r="A1687" t="s">
        <v>1487</v>
      </c>
      <c r="B1687" s="4" t="s">
        <v>10</v>
      </c>
      <c r="C1687" s="4" t="s">
        <v>70</v>
      </c>
      <c r="D1687" s="4">
        <v>46140</v>
      </c>
      <c r="E1687" s="5">
        <v>0.30934027777777773</v>
      </c>
      <c r="F1687" t="s">
        <v>87</v>
      </c>
      <c r="G1687" t="s">
        <v>82</v>
      </c>
      <c r="H1687">
        <v>2</v>
      </c>
      <c r="L1687" t="s">
        <v>1488</v>
      </c>
      <c r="M1687" t="s">
        <v>71</v>
      </c>
      <c r="N1687" t="s">
        <v>72</v>
      </c>
    </row>
    <row r="1688" spans="1:14" x14ac:dyDescent="0.25">
      <c r="A1688" t="s">
        <v>1488</v>
      </c>
      <c r="B1688" s="4" t="s">
        <v>10</v>
      </c>
      <c r="C1688" s="4" t="s">
        <v>73</v>
      </c>
      <c r="D1688" s="4">
        <v>46140</v>
      </c>
      <c r="E1688" s="5">
        <v>0.30934027777777773</v>
      </c>
      <c r="F1688" t="s">
        <v>87</v>
      </c>
      <c r="G1688" t="s">
        <v>82</v>
      </c>
      <c r="H1688">
        <v>21.166666666666664</v>
      </c>
      <c r="M1688" t="s">
        <v>74</v>
      </c>
      <c r="N1688" t="s">
        <v>72</v>
      </c>
    </row>
    <row r="1689" spans="1:14" x14ac:dyDescent="0.25">
      <c r="A1689" t="s">
        <v>1488</v>
      </c>
      <c r="B1689" s="4" t="s">
        <v>10</v>
      </c>
      <c r="C1689" s="4" t="s">
        <v>73</v>
      </c>
      <c r="D1689" s="4">
        <v>46140</v>
      </c>
      <c r="E1689" s="5">
        <v>0.30934027777777773</v>
      </c>
      <c r="F1689" t="s">
        <v>87</v>
      </c>
      <c r="G1689" t="s">
        <v>82</v>
      </c>
      <c r="H1689">
        <v>21.083333333333332</v>
      </c>
      <c r="M1689" t="s">
        <v>74</v>
      </c>
      <c r="N1689" t="s">
        <v>72</v>
      </c>
    </row>
    <row r="1690" spans="1:14" x14ac:dyDescent="0.25">
      <c r="A1690" t="s">
        <v>1488</v>
      </c>
      <c r="B1690" s="4" t="s">
        <v>10</v>
      </c>
      <c r="C1690" s="4" t="s">
        <v>73</v>
      </c>
      <c r="D1690" s="4">
        <v>46140</v>
      </c>
      <c r="E1690" s="5">
        <v>0.30964120370370368</v>
      </c>
      <c r="F1690" t="s">
        <v>87</v>
      </c>
      <c r="G1690" t="s">
        <v>82</v>
      </c>
      <c r="H1690">
        <v>21.333333333333332</v>
      </c>
      <c r="M1690" t="s">
        <v>76</v>
      </c>
      <c r="N1690" t="s">
        <v>72</v>
      </c>
    </row>
    <row r="1691" spans="1:14" x14ac:dyDescent="0.25">
      <c r="A1691" t="s">
        <v>1489</v>
      </c>
      <c r="B1691" s="4" t="s">
        <v>10</v>
      </c>
      <c r="C1691" s="4" t="s">
        <v>70</v>
      </c>
      <c r="D1691" s="4">
        <v>46140</v>
      </c>
      <c r="E1691" s="5">
        <v>0.31008101851851849</v>
      </c>
      <c r="F1691" t="s">
        <v>87</v>
      </c>
      <c r="G1691" t="s">
        <v>82</v>
      </c>
      <c r="H1691">
        <v>9</v>
      </c>
      <c r="L1691" t="s">
        <v>1490</v>
      </c>
      <c r="M1691" t="s">
        <v>71</v>
      </c>
      <c r="N1691" t="s">
        <v>72</v>
      </c>
    </row>
    <row r="1692" spans="1:14" x14ac:dyDescent="0.25">
      <c r="A1692" t="s">
        <v>1490</v>
      </c>
      <c r="B1692" s="4" t="s">
        <v>10</v>
      </c>
      <c r="C1692" s="4" t="s">
        <v>73</v>
      </c>
      <c r="D1692" s="4">
        <v>46140</v>
      </c>
      <c r="E1692" s="5">
        <v>0.31008101851851849</v>
      </c>
      <c r="F1692" t="s">
        <v>87</v>
      </c>
      <c r="G1692" t="s">
        <v>82</v>
      </c>
      <c r="H1692">
        <v>2.5833333333333335</v>
      </c>
      <c r="M1692" t="s">
        <v>74</v>
      </c>
      <c r="N1692" t="s">
        <v>72</v>
      </c>
    </row>
    <row r="1693" spans="1:14" x14ac:dyDescent="0.25">
      <c r="A1693" t="s">
        <v>1490</v>
      </c>
      <c r="B1693" s="4" t="s">
        <v>10</v>
      </c>
      <c r="C1693" s="4" t="s">
        <v>73</v>
      </c>
      <c r="D1693" s="4">
        <v>46140</v>
      </c>
      <c r="E1693" s="5">
        <v>0.31008101851851849</v>
      </c>
      <c r="F1693" t="s">
        <v>87</v>
      </c>
      <c r="G1693" t="s">
        <v>82</v>
      </c>
      <c r="H1693">
        <v>8.3333333333333329E-2</v>
      </c>
      <c r="M1693" t="s">
        <v>74</v>
      </c>
      <c r="N1693" t="s">
        <v>72</v>
      </c>
    </row>
    <row r="1694" spans="1:14" x14ac:dyDescent="0.25">
      <c r="A1694" t="s">
        <v>1490</v>
      </c>
      <c r="B1694" s="4" t="s">
        <v>10</v>
      </c>
      <c r="C1694" s="4" t="s">
        <v>73</v>
      </c>
      <c r="D1694" s="4">
        <v>46140</v>
      </c>
      <c r="E1694" s="5">
        <v>0.31008101851851849</v>
      </c>
      <c r="F1694" t="s">
        <v>87</v>
      </c>
      <c r="G1694" t="s">
        <v>82</v>
      </c>
      <c r="H1694">
        <v>0</v>
      </c>
      <c r="M1694" t="s">
        <v>74</v>
      </c>
      <c r="N1694" t="s">
        <v>72</v>
      </c>
    </row>
    <row r="1695" spans="1:14" x14ac:dyDescent="0.25">
      <c r="A1695" t="s">
        <v>1491</v>
      </c>
      <c r="B1695" s="4" t="s">
        <v>10</v>
      </c>
      <c r="C1695" s="4" t="s">
        <v>70</v>
      </c>
      <c r="D1695" s="4">
        <v>46140</v>
      </c>
      <c r="E1695" s="5">
        <v>0.31065972222222221</v>
      </c>
      <c r="F1695" t="s">
        <v>87</v>
      </c>
      <c r="G1695" t="s">
        <v>82</v>
      </c>
      <c r="H1695">
        <v>2</v>
      </c>
      <c r="L1695" t="s">
        <v>1492</v>
      </c>
      <c r="M1695" t="s">
        <v>71</v>
      </c>
      <c r="N1695" t="s">
        <v>72</v>
      </c>
    </row>
    <row r="1696" spans="1:14" x14ac:dyDescent="0.25">
      <c r="A1696" t="s">
        <v>1492</v>
      </c>
      <c r="B1696" s="4" t="s">
        <v>10</v>
      </c>
      <c r="C1696" s="4" t="s">
        <v>73</v>
      </c>
      <c r="D1696" s="4">
        <v>46140</v>
      </c>
      <c r="E1696" s="5">
        <v>0.31065972222222221</v>
      </c>
      <c r="F1696" t="s">
        <v>87</v>
      </c>
      <c r="G1696" t="s">
        <v>82</v>
      </c>
      <c r="H1696">
        <v>6.833333333333333</v>
      </c>
      <c r="M1696" t="s">
        <v>74</v>
      </c>
      <c r="N1696" t="s">
        <v>72</v>
      </c>
    </row>
    <row r="1697" spans="1:14" x14ac:dyDescent="0.25">
      <c r="A1697" t="s">
        <v>1492</v>
      </c>
      <c r="B1697" s="4" t="s">
        <v>10</v>
      </c>
      <c r="C1697" s="4" t="s">
        <v>73</v>
      </c>
      <c r="D1697" s="4">
        <v>46140</v>
      </c>
      <c r="E1697" s="5">
        <v>0.31065972222222221</v>
      </c>
      <c r="F1697" t="s">
        <v>87</v>
      </c>
      <c r="G1697" t="s">
        <v>82</v>
      </c>
      <c r="H1697">
        <v>6.75</v>
      </c>
      <c r="M1697" t="s">
        <v>74</v>
      </c>
      <c r="N1697" t="s">
        <v>72</v>
      </c>
    </row>
    <row r="1698" spans="1:14" x14ac:dyDescent="0.25">
      <c r="A1698" t="s">
        <v>1492</v>
      </c>
      <c r="B1698" s="4" t="s">
        <v>10</v>
      </c>
      <c r="C1698" s="4" t="s">
        <v>73</v>
      </c>
      <c r="D1698" s="4">
        <v>46140</v>
      </c>
      <c r="E1698" s="5">
        <v>0.31093749999999998</v>
      </c>
      <c r="F1698" t="s">
        <v>87</v>
      </c>
      <c r="G1698" t="s">
        <v>82</v>
      </c>
      <c r="H1698">
        <v>6.3333333333333321</v>
      </c>
      <c r="M1698" t="s">
        <v>76</v>
      </c>
      <c r="N1698" t="s">
        <v>72</v>
      </c>
    </row>
    <row r="1699" spans="1:14" x14ac:dyDescent="0.25">
      <c r="A1699" t="s">
        <v>1495</v>
      </c>
      <c r="B1699" s="4" t="s">
        <v>10</v>
      </c>
      <c r="C1699" s="4" t="s">
        <v>70</v>
      </c>
      <c r="D1699" s="4">
        <v>46140</v>
      </c>
      <c r="E1699" s="5">
        <v>0.3115162037037037</v>
      </c>
      <c r="F1699" t="s">
        <v>87</v>
      </c>
      <c r="G1699" t="s">
        <v>82</v>
      </c>
      <c r="H1699">
        <v>41.5</v>
      </c>
      <c r="L1699" t="s">
        <v>1496</v>
      </c>
      <c r="M1699" t="s">
        <v>71</v>
      </c>
      <c r="N1699" t="s">
        <v>72</v>
      </c>
    </row>
    <row r="1700" spans="1:14" x14ac:dyDescent="0.25">
      <c r="A1700" t="s">
        <v>1496</v>
      </c>
      <c r="B1700" s="4" t="s">
        <v>10</v>
      </c>
      <c r="C1700" s="4" t="s">
        <v>73</v>
      </c>
      <c r="D1700" s="4">
        <v>46140</v>
      </c>
      <c r="E1700" s="5">
        <v>0.3115162037037037</v>
      </c>
      <c r="F1700" t="s">
        <v>87</v>
      </c>
      <c r="G1700" t="s">
        <v>82</v>
      </c>
      <c r="H1700">
        <v>16.916666666666664</v>
      </c>
      <c r="M1700" t="s">
        <v>79</v>
      </c>
      <c r="N1700" t="s">
        <v>72</v>
      </c>
    </row>
    <row r="1701" spans="1:14" x14ac:dyDescent="0.25">
      <c r="A1701" t="s">
        <v>1496</v>
      </c>
      <c r="B1701" s="4" t="s">
        <v>10</v>
      </c>
      <c r="C1701" s="4" t="s">
        <v>73</v>
      </c>
      <c r="D1701" s="4">
        <v>46140</v>
      </c>
      <c r="E1701" s="5">
        <v>0.3115162037037037</v>
      </c>
      <c r="F1701" t="s">
        <v>87</v>
      </c>
      <c r="G1701" t="s">
        <v>82</v>
      </c>
      <c r="H1701">
        <v>16.833333333333332</v>
      </c>
      <c r="M1701" t="s">
        <v>79</v>
      </c>
      <c r="N1701" t="s">
        <v>72</v>
      </c>
    </row>
    <row r="1702" spans="1:14" x14ac:dyDescent="0.25">
      <c r="A1702" t="s">
        <v>1496</v>
      </c>
      <c r="B1702" s="4" t="s">
        <v>10</v>
      </c>
      <c r="C1702" s="4" t="s">
        <v>73</v>
      </c>
      <c r="D1702" s="4">
        <v>46140</v>
      </c>
      <c r="E1702" s="5">
        <v>0.31167824074074074</v>
      </c>
      <c r="F1702" t="s">
        <v>87</v>
      </c>
      <c r="G1702" t="s">
        <v>82</v>
      </c>
      <c r="H1702">
        <v>16.75</v>
      </c>
      <c r="M1702" t="s">
        <v>76</v>
      </c>
      <c r="N1702" t="s">
        <v>72</v>
      </c>
    </row>
    <row r="1703" spans="1:14" x14ac:dyDescent="0.25">
      <c r="A1703" t="s">
        <v>1497</v>
      </c>
      <c r="B1703" s="4" t="s">
        <v>10</v>
      </c>
      <c r="C1703" s="4" t="s">
        <v>70</v>
      </c>
      <c r="D1703" s="4">
        <v>46140</v>
      </c>
      <c r="E1703" s="5">
        <v>0.31241898148148145</v>
      </c>
      <c r="F1703" t="s">
        <v>87</v>
      </c>
      <c r="G1703" t="s">
        <v>82</v>
      </c>
      <c r="H1703">
        <v>14.5</v>
      </c>
      <c r="L1703" t="s">
        <v>1498</v>
      </c>
      <c r="M1703" t="s">
        <v>71</v>
      </c>
      <c r="N1703" t="s">
        <v>72</v>
      </c>
    </row>
    <row r="1704" spans="1:14" x14ac:dyDescent="0.25">
      <c r="A1704" t="s">
        <v>1498</v>
      </c>
      <c r="B1704" s="4" t="s">
        <v>10</v>
      </c>
      <c r="C1704" s="4" t="s">
        <v>73</v>
      </c>
      <c r="D1704" s="4">
        <v>46140</v>
      </c>
      <c r="E1704" s="5">
        <v>0.31241898148148145</v>
      </c>
      <c r="F1704" t="s">
        <v>87</v>
      </c>
      <c r="G1704" t="s">
        <v>82</v>
      </c>
      <c r="H1704">
        <v>42.5</v>
      </c>
      <c r="M1704" t="s">
        <v>79</v>
      </c>
      <c r="N1704" t="s">
        <v>72</v>
      </c>
    </row>
    <row r="1705" spans="1:14" x14ac:dyDescent="0.25">
      <c r="A1705" t="s">
        <v>1498</v>
      </c>
      <c r="B1705" s="4" t="s">
        <v>10</v>
      </c>
      <c r="C1705" s="4" t="s">
        <v>73</v>
      </c>
      <c r="D1705" s="4">
        <v>46140</v>
      </c>
      <c r="E1705" s="5">
        <v>0.31241898148148145</v>
      </c>
      <c r="F1705" t="s">
        <v>87</v>
      </c>
      <c r="G1705" t="s">
        <v>82</v>
      </c>
      <c r="H1705">
        <v>42.416666666666664</v>
      </c>
      <c r="M1705" t="s">
        <v>79</v>
      </c>
      <c r="N1705" t="s">
        <v>72</v>
      </c>
    </row>
    <row r="1706" spans="1:14" x14ac:dyDescent="0.25">
      <c r="A1706" t="s">
        <v>1498</v>
      </c>
      <c r="B1706" s="4" t="s">
        <v>10</v>
      </c>
      <c r="C1706" s="4" t="s">
        <v>73</v>
      </c>
      <c r="D1706" s="4">
        <v>46140</v>
      </c>
      <c r="E1706" s="5">
        <v>0.31263888888888886</v>
      </c>
      <c r="F1706" t="s">
        <v>87</v>
      </c>
      <c r="G1706" t="s">
        <v>82</v>
      </c>
      <c r="H1706">
        <v>42.25</v>
      </c>
      <c r="M1706" t="s">
        <v>76</v>
      </c>
      <c r="N1706" t="s">
        <v>72</v>
      </c>
    </row>
    <row r="1707" spans="1:14" x14ac:dyDescent="0.25">
      <c r="A1707" t="s">
        <v>1502</v>
      </c>
      <c r="B1707" s="4" t="s">
        <v>10</v>
      </c>
      <c r="C1707" s="4" t="s">
        <v>70</v>
      </c>
      <c r="D1707" s="4">
        <v>46140</v>
      </c>
      <c r="E1707" s="5">
        <v>0.31337962962962962</v>
      </c>
      <c r="F1707" t="s">
        <v>87</v>
      </c>
      <c r="G1707" t="s">
        <v>82</v>
      </c>
      <c r="H1707">
        <v>83.333333333333329</v>
      </c>
      <c r="L1707" t="s">
        <v>1503</v>
      </c>
      <c r="M1707" t="s">
        <v>71</v>
      </c>
      <c r="N1707" t="s">
        <v>72</v>
      </c>
    </row>
    <row r="1708" spans="1:14" x14ac:dyDescent="0.25">
      <c r="A1708" t="s">
        <v>1503</v>
      </c>
      <c r="B1708" s="4" t="s">
        <v>10</v>
      </c>
      <c r="C1708" s="4" t="s">
        <v>73</v>
      </c>
      <c r="D1708" s="4">
        <v>46140</v>
      </c>
      <c r="E1708" s="5">
        <v>0.31337962962962962</v>
      </c>
      <c r="F1708" t="s">
        <v>87</v>
      </c>
      <c r="G1708" t="s">
        <v>82</v>
      </c>
      <c r="H1708">
        <v>220.41666666666663</v>
      </c>
      <c r="M1708" t="s">
        <v>79</v>
      </c>
      <c r="N1708" t="s">
        <v>72</v>
      </c>
    </row>
    <row r="1709" spans="1:14" x14ac:dyDescent="0.25">
      <c r="A1709" t="s">
        <v>1503</v>
      </c>
      <c r="B1709" s="4" t="s">
        <v>10</v>
      </c>
      <c r="C1709" s="4" t="s">
        <v>73</v>
      </c>
      <c r="D1709" s="4">
        <v>46140</v>
      </c>
      <c r="E1709" s="5">
        <v>0.31337962962962962</v>
      </c>
      <c r="F1709" t="s">
        <v>87</v>
      </c>
      <c r="G1709" t="s">
        <v>82</v>
      </c>
      <c r="H1709">
        <v>220.33333333333334</v>
      </c>
      <c r="M1709" t="s">
        <v>79</v>
      </c>
      <c r="N1709" t="s">
        <v>72</v>
      </c>
    </row>
    <row r="1710" spans="1:14" x14ac:dyDescent="0.25">
      <c r="A1710" t="s">
        <v>1506</v>
      </c>
      <c r="B1710" s="4" t="s">
        <v>10</v>
      </c>
      <c r="C1710" s="4" t="s">
        <v>70</v>
      </c>
      <c r="D1710" s="4">
        <v>46140</v>
      </c>
      <c r="E1710" s="5">
        <v>0.31377314814814811</v>
      </c>
      <c r="F1710" t="s">
        <v>87</v>
      </c>
      <c r="G1710" t="s">
        <v>82</v>
      </c>
      <c r="H1710">
        <v>108.58333333333333</v>
      </c>
      <c r="L1710" t="s">
        <v>1503</v>
      </c>
      <c r="M1710" t="s">
        <v>71</v>
      </c>
      <c r="N1710" t="s">
        <v>72</v>
      </c>
    </row>
    <row r="1711" spans="1:14" x14ac:dyDescent="0.25">
      <c r="A1711" t="s">
        <v>1503</v>
      </c>
      <c r="B1711" s="4" t="s">
        <v>10</v>
      </c>
      <c r="C1711" s="4" t="s">
        <v>73</v>
      </c>
      <c r="D1711" s="4">
        <v>46140</v>
      </c>
      <c r="E1711" s="5">
        <v>0.31377314814814811</v>
      </c>
      <c r="F1711" t="s">
        <v>87</v>
      </c>
      <c r="G1711" t="s">
        <v>82</v>
      </c>
      <c r="H1711">
        <v>111.75</v>
      </c>
      <c r="M1711" t="s">
        <v>79</v>
      </c>
      <c r="N1711" t="s">
        <v>72</v>
      </c>
    </row>
    <row r="1712" spans="1:14" x14ac:dyDescent="0.25">
      <c r="A1712" t="s">
        <v>1503</v>
      </c>
      <c r="B1712" s="4" t="s">
        <v>10</v>
      </c>
      <c r="C1712" s="4" t="s">
        <v>73</v>
      </c>
      <c r="D1712" s="4">
        <v>46140</v>
      </c>
      <c r="E1712" s="5">
        <v>0.31377314814814811</v>
      </c>
      <c r="F1712" t="s">
        <v>87</v>
      </c>
      <c r="G1712" t="s">
        <v>82</v>
      </c>
      <c r="H1712">
        <v>111.66666666666666</v>
      </c>
      <c r="M1712" t="s">
        <v>79</v>
      </c>
      <c r="N1712" t="s">
        <v>72</v>
      </c>
    </row>
    <row r="1713" spans="1:14" x14ac:dyDescent="0.25">
      <c r="A1713" t="s">
        <v>1503</v>
      </c>
      <c r="B1713" s="4" t="s">
        <v>10</v>
      </c>
      <c r="C1713" s="4" t="s">
        <v>73</v>
      </c>
      <c r="D1713" s="4">
        <v>46140</v>
      </c>
      <c r="E1713" s="5">
        <v>0.31387731481481479</v>
      </c>
      <c r="F1713" t="s">
        <v>87</v>
      </c>
      <c r="G1713" t="s">
        <v>82</v>
      </c>
      <c r="H1713">
        <v>111.66666666666666</v>
      </c>
      <c r="M1713" t="s">
        <v>76</v>
      </c>
      <c r="N1713" t="s">
        <v>72</v>
      </c>
    </row>
    <row r="1714" spans="1:14" x14ac:dyDescent="0.25">
      <c r="A1714" t="s">
        <v>1507</v>
      </c>
      <c r="B1714" s="4" t="s">
        <v>10</v>
      </c>
      <c r="C1714" s="4" t="s">
        <v>70</v>
      </c>
      <c r="D1714" s="4">
        <v>46140</v>
      </c>
      <c r="E1714" s="5">
        <v>0.31439814814814809</v>
      </c>
      <c r="F1714" t="s">
        <v>87</v>
      </c>
      <c r="G1714" t="s">
        <v>82</v>
      </c>
      <c r="H1714">
        <v>26</v>
      </c>
      <c r="L1714" t="s">
        <v>1508</v>
      </c>
      <c r="M1714" t="s">
        <v>71</v>
      </c>
      <c r="N1714" t="s">
        <v>78</v>
      </c>
    </row>
    <row r="1715" spans="1:14" x14ac:dyDescent="0.25">
      <c r="A1715" t="s">
        <v>1508</v>
      </c>
      <c r="B1715" s="4" t="s">
        <v>10</v>
      </c>
      <c r="C1715" s="4" t="s">
        <v>73</v>
      </c>
      <c r="D1715" s="4">
        <v>46140</v>
      </c>
      <c r="E1715" s="5">
        <v>0.31439814814814809</v>
      </c>
      <c r="F1715" t="s">
        <v>87</v>
      </c>
      <c r="G1715" t="s">
        <v>82</v>
      </c>
      <c r="H1715">
        <v>49.083333333333336</v>
      </c>
      <c r="M1715" t="s">
        <v>74</v>
      </c>
      <c r="N1715" t="s">
        <v>78</v>
      </c>
    </row>
    <row r="1716" spans="1:14" x14ac:dyDescent="0.25">
      <c r="A1716" t="s">
        <v>1508</v>
      </c>
      <c r="B1716" s="4" t="s">
        <v>10</v>
      </c>
      <c r="C1716" s="4" t="s">
        <v>73</v>
      </c>
      <c r="D1716" s="4">
        <v>46140</v>
      </c>
      <c r="E1716" s="5">
        <v>0.31439814814814809</v>
      </c>
      <c r="F1716" t="s">
        <v>87</v>
      </c>
      <c r="G1716" t="s">
        <v>82</v>
      </c>
      <c r="H1716">
        <v>49</v>
      </c>
      <c r="M1716" t="s">
        <v>74</v>
      </c>
      <c r="N1716" t="s">
        <v>78</v>
      </c>
    </row>
    <row r="1717" spans="1:14" x14ac:dyDescent="0.25">
      <c r="A1717" t="s">
        <v>1508</v>
      </c>
      <c r="B1717" s="4" t="s">
        <v>10</v>
      </c>
      <c r="C1717" s="4" t="s">
        <v>73</v>
      </c>
      <c r="D1717" s="4">
        <v>46140</v>
      </c>
      <c r="E1717" s="5">
        <v>0.31464120370370369</v>
      </c>
      <c r="F1717" t="s">
        <v>87</v>
      </c>
      <c r="G1717" t="s">
        <v>82</v>
      </c>
      <c r="H1717">
        <v>48.666666666666664</v>
      </c>
      <c r="M1717" t="s">
        <v>76</v>
      </c>
      <c r="N1717" t="s">
        <v>78</v>
      </c>
    </row>
    <row r="1718" spans="1:14" x14ac:dyDescent="0.25">
      <c r="A1718" t="s">
        <v>1512</v>
      </c>
      <c r="B1718" s="4" t="s">
        <v>10</v>
      </c>
      <c r="C1718" s="4" t="s">
        <v>70</v>
      </c>
      <c r="D1718" s="4">
        <v>46140</v>
      </c>
      <c r="E1718" s="5">
        <v>0.3153009259259259</v>
      </c>
      <c r="F1718" t="s">
        <v>87</v>
      </c>
      <c r="G1718" t="s">
        <v>82</v>
      </c>
      <c r="H1718">
        <v>43.25</v>
      </c>
      <c r="L1718" t="s">
        <v>1513</v>
      </c>
      <c r="M1718" t="s">
        <v>71</v>
      </c>
      <c r="N1718" t="s">
        <v>75</v>
      </c>
    </row>
    <row r="1719" spans="1:14" x14ac:dyDescent="0.25">
      <c r="A1719" t="s">
        <v>1513</v>
      </c>
      <c r="B1719" s="4" t="s">
        <v>10</v>
      </c>
      <c r="C1719" s="4" t="s">
        <v>73</v>
      </c>
      <c r="D1719" s="4">
        <v>46140</v>
      </c>
      <c r="E1719" s="5">
        <v>0.3153009259259259</v>
      </c>
      <c r="F1719" t="s">
        <v>87</v>
      </c>
      <c r="G1719" t="s">
        <v>82</v>
      </c>
      <c r="H1719">
        <v>11.333333333333332</v>
      </c>
      <c r="M1719" t="s">
        <v>79</v>
      </c>
      <c r="N1719" t="s">
        <v>75</v>
      </c>
    </row>
    <row r="1720" spans="1:14" x14ac:dyDescent="0.25">
      <c r="A1720" t="s">
        <v>1513</v>
      </c>
      <c r="B1720" s="4" t="s">
        <v>10</v>
      </c>
      <c r="C1720" s="4" t="s">
        <v>73</v>
      </c>
      <c r="D1720" s="4">
        <v>46140</v>
      </c>
      <c r="E1720" s="5">
        <v>0.3153009259259259</v>
      </c>
      <c r="F1720" t="s">
        <v>87</v>
      </c>
      <c r="G1720" t="s">
        <v>82</v>
      </c>
      <c r="H1720">
        <v>11.25</v>
      </c>
      <c r="M1720" t="s">
        <v>79</v>
      </c>
      <c r="N1720" t="s">
        <v>75</v>
      </c>
    </row>
    <row r="1721" spans="1:14" x14ac:dyDescent="0.25">
      <c r="A1721" t="s">
        <v>1513</v>
      </c>
      <c r="B1721" s="4" t="s">
        <v>10</v>
      </c>
      <c r="C1721" s="4" t="s">
        <v>73</v>
      </c>
      <c r="D1721" s="4">
        <v>46140</v>
      </c>
      <c r="E1721" s="5">
        <v>0.31552083333333331</v>
      </c>
      <c r="F1721" t="s">
        <v>87</v>
      </c>
      <c r="G1721" t="s">
        <v>82</v>
      </c>
      <c r="H1721">
        <v>11.25</v>
      </c>
      <c r="M1721" t="s">
        <v>76</v>
      </c>
      <c r="N1721" t="s">
        <v>75</v>
      </c>
    </row>
    <row r="1722" spans="1:14" x14ac:dyDescent="0.25">
      <c r="A1722" t="s">
        <v>1517</v>
      </c>
      <c r="B1722" s="4" t="s">
        <v>10</v>
      </c>
      <c r="C1722" s="4" t="s">
        <v>70</v>
      </c>
      <c r="D1722" s="4">
        <v>46140</v>
      </c>
      <c r="E1722" s="5">
        <v>0.31614583333333329</v>
      </c>
      <c r="F1722" t="s">
        <v>87</v>
      </c>
      <c r="G1722" t="s">
        <v>82</v>
      </c>
      <c r="H1722">
        <v>55</v>
      </c>
      <c r="L1722" t="s">
        <v>1518</v>
      </c>
      <c r="M1722" t="s">
        <v>71</v>
      </c>
      <c r="N1722" t="s">
        <v>75</v>
      </c>
    </row>
    <row r="1723" spans="1:14" x14ac:dyDescent="0.25">
      <c r="A1723" t="s">
        <v>1518</v>
      </c>
      <c r="B1723" s="4" t="s">
        <v>10</v>
      </c>
      <c r="C1723" s="4" t="s">
        <v>73</v>
      </c>
      <c r="D1723" s="4">
        <v>46140</v>
      </c>
      <c r="E1723" s="5">
        <v>0.31614583333333329</v>
      </c>
      <c r="F1723" t="s">
        <v>87</v>
      </c>
      <c r="G1723" t="s">
        <v>82</v>
      </c>
      <c r="H1723">
        <v>141.91666666666666</v>
      </c>
      <c r="M1723" t="s">
        <v>79</v>
      </c>
      <c r="N1723" t="s">
        <v>75</v>
      </c>
    </row>
    <row r="1724" spans="1:14" x14ac:dyDescent="0.25">
      <c r="A1724" t="s">
        <v>1518</v>
      </c>
      <c r="B1724" s="4" t="s">
        <v>10</v>
      </c>
      <c r="C1724" s="4" t="s">
        <v>73</v>
      </c>
      <c r="D1724" s="4">
        <v>46140</v>
      </c>
      <c r="E1724" s="5">
        <v>0.31614583333333329</v>
      </c>
      <c r="F1724" t="s">
        <v>87</v>
      </c>
      <c r="G1724" t="s">
        <v>82</v>
      </c>
      <c r="H1724">
        <v>141.83333333333331</v>
      </c>
      <c r="M1724" t="s">
        <v>79</v>
      </c>
      <c r="N1724" t="s">
        <v>75</v>
      </c>
    </row>
    <row r="1725" spans="1:14" x14ac:dyDescent="0.25">
      <c r="A1725" t="s">
        <v>1518</v>
      </c>
      <c r="B1725" s="4" t="s">
        <v>10</v>
      </c>
      <c r="C1725" s="4" t="s">
        <v>73</v>
      </c>
      <c r="D1725" s="4">
        <v>46140</v>
      </c>
      <c r="E1725" s="5">
        <v>0.31624999999999998</v>
      </c>
      <c r="F1725" t="s">
        <v>87</v>
      </c>
      <c r="G1725" t="s">
        <v>82</v>
      </c>
      <c r="H1725">
        <v>141.83333333333331</v>
      </c>
      <c r="M1725" t="s">
        <v>76</v>
      </c>
      <c r="N1725" t="s">
        <v>75</v>
      </c>
    </row>
    <row r="1726" spans="1:14" x14ac:dyDescent="0.25">
      <c r="A1726" t="s">
        <v>1519</v>
      </c>
      <c r="B1726" s="4" t="s">
        <v>10</v>
      </c>
      <c r="C1726" s="4" t="s">
        <v>70</v>
      </c>
      <c r="D1726" s="4">
        <v>46140</v>
      </c>
      <c r="E1726" s="5">
        <v>0.31675925925925924</v>
      </c>
      <c r="F1726" t="s">
        <v>87</v>
      </c>
      <c r="G1726" t="s">
        <v>82</v>
      </c>
      <c r="H1726">
        <v>1</v>
      </c>
      <c r="L1726" t="s">
        <v>1520</v>
      </c>
      <c r="M1726" t="s">
        <v>71</v>
      </c>
      <c r="N1726" t="s">
        <v>78</v>
      </c>
    </row>
    <row r="1727" spans="1:14" x14ac:dyDescent="0.25">
      <c r="A1727" t="s">
        <v>1520</v>
      </c>
      <c r="B1727" s="4" t="s">
        <v>10</v>
      </c>
      <c r="C1727" s="4" t="s">
        <v>73</v>
      </c>
      <c r="D1727" s="4">
        <v>46140</v>
      </c>
      <c r="E1727" s="5">
        <v>0.31675925925925924</v>
      </c>
      <c r="F1727" t="s">
        <v>87</v>
      </c>
      <c r="G1727" t="s">
        <v>82</v>
      </c>
      <c r="H1727">
        <v>41.416666666666664</v>
      </c>
      <c r="M1727" t="s">
        <v>74</v>
      </c>
      <c r="N1727" t="s">
        <v>78</v>
      </c>
    </row>
    <row r="1728" spans="1:14" x14ac:dyDescent="0.25">
      <c r="A1728" t="s">
        <v>1520</v>
      </c>
      <c r="B1728" s="4" t="s">
        <v>10</v>
      </c>
      <c r="C1728" s="4" t="s">
        <v>73</v>
      </c>
      <c r="D1728" s="4">
        <v>46140</v>
      </c>
      <c r="E1728" s="5">
        <v>0.31675925925925924</v>
      </c>
      <c r="F1728" t="s">
        <v>87</v>
      </c>
      <c r="G1728" t="s">
        <v>82</v>
      </c>
      <c r="H1728">
        <v>41.333333333333336</v>
      </c>
      <c r="M1728" t="s">
        <v>74</v>
      </c>
      <c r="N1728" t="s">
        <v>78</v>
      </c>
    </row>
    <row r="1729" spans="1:14" x14ac:dyDescent="0.25">
      <c r="A1729" t="s">
        <v>1520</v>
      </c>
      <c r="B1729" s="4" t="s">
        <v>10</v>
      </c>
      <c r="C1729" s="4" t="s">
        <v>73</v>
      </c>
      <c r="D1729" s="4">
        <v>46140</v>
      </c>
      <c r="E1729" s="5">
        <v>0.31710648148148146</v>
      </c>
      <c r="F1729" t="s">
        <v>87</v>
      </c>
      <c r="G1729" t="s">
        <v>82</v>
      </c>
      <c r="H1729">
        <v>40.666666666666664</v>
      </c>
      <c r="M1729" t="s">
        <v>76</v>
      </c>
      <c r="N1729" t="s">
        <v>78</v>
      </c>
    </row>
    <row r="1730" spans="1:14" x14ac:dyDescent="0.25">
      <c r="A1730" t="s">
        <v>1523</v>
      </c>
      <c r="B1730" s="4" t="s">
        <v>10</v>
      </c>
      <c r="C1730" s="4" t="s">
        <v>70</v>
      </c>
      <c r="D1730" s="4">
        <v>46140</v>
      </c>
      <c r="E1730" s="5">
        <v>0.31799768518518517</v>
      </c>
      <c r="F1730" t="s">
        <v>87</v>
      </c>
      <c r="G1730" t="s">
        <v>82</v>
      </c>
      <c r="H1730">
        <v>16.25</v>
      </c>
      <c r="L1730" t="s">
        <v>1524</v>
      </c>
      <c r="M1730" t="s">
        <v>71</v>
      </c>
      <c r="N1730" t="s">
        <v>72</v>
      </c>
    </row>
    <row r="1731" spans="1:14" x14ac:dyDescent="0.25">
      <c r="A1731" t="s">
        <v>1524</v>
      </c>
      <c r="B1731" s="4" t="s">
        <v>10</v>
      </c>
      <c r="C1731" s="4" t="s">
        <v>73</v>
      </c>
      <c r="D1731" s="4">
        <v>46140</v>
      </c>
      <c r="E1731" s="5">
        <v>0.31799768518518517</v>
      </c>
      <c r="F1731" t="s">
        <v>87</v>
      </c>
      <c r="G1731" t="s">
        <v>82</v>
      </c>
      <c r="H1731">
        <v>9.0833333333333339</v>
      </c>
      <c r="M1731" t="s">
        <v>74</v>
      </c>
      <c r="N1731" t="s">
        <v>72</v>
      </c>
    </row>
    <row r="1732" spans="1:14" x14ac:dyDescent="0.25">
      <c r="A1732" t="s">
        <v>1524</v>
      </c>
      <c r="B1732" s="4" t="s">
        <v>10</v>
      </c>
      <c r="C1732" s="4" t="s">
        <v>73</v>
      </c>
      <c r="D1732" s="4">
        <v>46140</v>
      </c>
      <c r="E1732" s="5">
        <v>0.31799768518518517</v>
      </c>
      <c r="F1732" t="s">
        <v>87</v>
      </c>
      <c r="G1732" t="s">
        <v>82</v>
      </c>
      <c r="H1732">
        <v>9</v>
      </c>
      <c r="M1732" t="s">
        <v>74</v>
      </c>
      <c r="N1732" t="s">
        <v>72</v>
      </c>
    </row>
    <row r="1733" spans="1:14" x14ac:dyDescent="0.25">
      <c r="A1733" t="s">
        <v>1524</v>
      </c>
      <c r="B1733" s="4" t="s">
        <v>10</v>
      </c>
      <c r="C1733" s="4" t="s">
        <v>73</v>
      </c>
      <c r="D1733" s="4">
        <v>46140</v>
      </c>
      <c r="E1733" s="5">
        <v>0.31809027777777776</v>
      </c>
      <c r="F1733" t="s">
        <v>87</v>
      </c>
      <c r="G1733" t="s">
        <v>82</v>
      </c>
      <c r="H1733">
        <v>9.0833333333333339</v>
      </c>
      <c r="M1733" t="s">
        <v>76</v>
      </c>
      <c r="N1733" t="s">
        <v>72</v>
      </c>
    </row>
    <row r="1734" spans="1:14" x14ac:dyDescent="0.25">
      <c r="A1734" t="s">
        <v>1525</v>
      </c>
      <c r="B1734" s="4" t="s">
        <v>10</v>
      </c>
      <c r="C1734" s="4" t="s">
        <v>70</v>
      </c>
      <c r="D1734" s="4">
        <v>46140</v>
      </c>
      <c r="E1734" s="5">
        <v>0.31876157407407407</v>
      </c>
      <c r="F1734" t="s">
        <v>87</v>
      </c>
      <c r="G1734" t="s">
        <v>82</v>
      </c>
      <c r="H1734">
        <v>15</v>
      </c>
      <c r="L1734" t="s">
        <v>1526</v>
      </c>
      <c r="M1734" t="s">
        <v>71</v>
      </c>
      <c r="N1734" t="s">
        <v>72</v>
      </c>
    </row>
    <row r="1735" spans="1:14" x14ac:dyDescent="0.25">
      <c r="A1735" t="s">
        <v>1526</v>
      </c>
      <c r="B1735" s="4" t="s">
        <v>10</v>
      </c>
      <c r="C1735" s="4" t="s">
        <v>73</v>
      </c>
      <c r="D1735" s="4">
        <v>46140</v>
      </c>
      <c r="E1735" s="5">
        <v>0.31876157407407407</v>
      </c>
      <c r="F1735" t="s">
        <v>87</v>
      </c>
      <c r="G1735" t="s">
        <v>82</v>
      </c>
      <c r="H1735">
        <v>2.75</v>
      </c>
      <c r="M1735" t="s">
        <v>79</v>
      </c>
      <c r="N1735" t="s">
        <v>72</v>
      </c>
    </row>
    <row r="1736" spans="1:14" x14ac:dyDescent="0.25">
      <c r="A1736" t="s">
        <v>1526</v>
      </c>
      <c r="B1736" s="4" t="s">
        <v>10</v>
      </c>
      <c r="C1736" s="4" t="s">
        <v>73</v>
      </c>
      <c r="D1736" s="4">
        <v>46140</v>
      </c>
      <c r="E1736" s="5">
        <v>0.31876157407407407</v>
      </c>
      <c r="F1736" t="s">
        <v>87</v>
      </c>
      <c r="G1736" t="s">
        <v>82</v>
      </c>
      <c r="H1736">
        <v>0</v>
      </c>
      <c r="M1736" t="s">
        <v>79</v>
      </c>
      <c r="N1736" t="s">
        <v>72</v>
      </c>
    </row>
    <row r="1737" spans="1:14" x14ac:dyDescent="0.25">
      <c r="A1737" t="s">
        <v>1530</v>
      </c>
      <c r="B1737" s="4" t="s">
        <v>10</v>
      </c>
      <c r="C1737" s="4" t="s">
        <v>70</v>
      </c>
      <c r="D1737" s="4">
        <v>46140</v>
      </c>
      <c r="E1737" s="5">
        <v>0.31946759259259261</v>
      </c>
      <c r="F1737" t="s">
        <v>87</v>
      </c>
      <c r="G1737" t="s">
        <v>82</v>
      </c>
      <c r="H1737">
        <v>83</v>
      </c>
      <c r="L1737" t="s">
        <v>1531</v>
      </c>
      <c r="M1737" t="s">
        <v>71</v>
      </c>
      <c r="N1737" t="s">
        <v>72</v>
      </c>
    </row>
    <row r="1738" spans="1:14" x14ac:dyDescent="0.25">
      <c r="A1738" t="s">
        <v>1531</v>
      </c>
      <c r="B1738" s="4" t="s">
        <v>10</v>
      </c>
      <c r="C1738" s="4" t="s">
        <v>73</v>
      </c>
      <c r="D1738" s="4">
        <v>46140</v>
      </c>
      <c r="E1738" s="5">
        <v>0.31946759259259261</v>
      </c>
      <c r="F1738" t="s">
        <v>87</v>
      </c>
      <c r="G1738" t="s">
        <v>82</v>
      </c>
      <c r="H1738">
        <v>50.083333333333336</v>
      </c>
      <c r="M1738" t="s">
        <v>79</v>
      </c>
      <c r="N1738" t="s">
        <v>72</v>
      </c>
    </row>
    <row r="1739" spans="1:14" x14ac:dyDescent="0.25">
      <c r="A1739" t="s">
        <v>1531</v>
      </c>
      <c r="B1739" s="4" t="s">
        <v>10</v>
      </c>
      <c r="C1739" s="4" t="s">
        <v>73</v>
      </c>
      <c r="D1739" s="4">
        <v>46140</v>
      </c>
      <c r="E1739" s="5">
        <v>0.31946759259259261</v>
      </c>
      <c r="F1739" t="s">
        <v>87</v>
      </c>
      <c r="G1739" t="s">
        <v>82</v>
      </c>
      <c r="H1739">
        <v>50</v>
      </c>
      <c r="M1739" t="s">
        <v>79</v>
      </c>
      <c r="N1739" t="s">
        <v>72</v>
      </c>
    </row>
    <row r="1740" spans="1:14" x14ac:dyDescent="0.25">
      <c r="A1740" t="s">
        <v>1531</v>
      </c>
      <c r="B1740" s="4" t="s">
        <v>10</v>
      </c>
      <c r="C1740" s="4" t="s">
        <v>73</v>
      </c>
      <c r="D1740" s="4">
        <v>46140</v>
      </c>
      <c r="E1740" s="5">
        <v>0.31996527777777778</v>
      </c>
      <c r="F1740" t="s">
        <v>87</v>
      </c>
      <c r="G1740" t="s">
        <v>82</v>
      </c>
      <c r="H1740">
        <v>49.25</v>
      </c>
      <c r="M1740" t="s">
        <v>76</v>
      </c>
      <c r="N1740" t="s">
        <v>72</v>
      </c>
    </row>
    <row r="1741" spans="1:14" x14ac:dyDescent="0.25">
      <c r="A1741" t="s">
        <v>1534</v>
      </c>
      <c r="B1741" s="4" t="s">
        <v>10</v>
      </c>
      <c r="C1741" s="4" t="s">
        <v>70</v>
      </c>
      <c r="D1741" s="4">
        <v>46140</v>
      </c>
      <c r="E1741" s="5">
        <v>0.32063657407407403</v>
      </c>
      <c r="F1741" t="s">
        <v>87</v>
      </c>
      <c r="G1741" t="s">
        <v>82</v>
      </c>
      <c r="H1741">
        <v>10</v>
      </c>
      <c r="L1741" t="s">
        <v>1535</v>
      </c>
      <c r="M1741" t="s">
        <v>71</v>
      </c>
      <c r="N1741" t="s">
        <v>72</v>
      </c>
    </row>
    <row r="1742" spans="1:14" x14ac:dyDescent="0.25">
      <c r="A1742" t="s">
        <v>1535</v>
      </c>
      <c r="B1742" s="4" t="s">
        <v>10</v>
      </c>
      <c r="C1742" s="4" t="s">
        <v>73</v>
      </c>
      <c r="D1742" s="4">
        <v>46140</v>
      </c>
      <c r="E1742" s="5">
        <v>0.32063657407407403</v>
      </c>
      <c r="F1742" t="s">
        <v>87</v>
      </c>
      <c r="G1742" t="s">
        <v>82</v>
      </c>
      <c r="H1742">
        <v>64.5</v>
      </c>
      <c r="M1742" t="s">
        <v>79</v>
      </c>
      <c r="N1742" t="s">
        <v>72</v>
      </c>
    </row>
    <row r="1743" spans="1:14" x14ac:dyDescent="0.25">
      <c r="A1743" t="s">
        <v>1535</v>
      </c>
      <c r="B1743" s="4" t="s">
        <v>10</v>
      </c>
      <c r="C1743" s="4" t="s">
        <v>73</v>
      </c>
      <c r="D1743" s="4">
        <v>46140</v>
      </c>
      <c r="E1743" s="5">
        <v>0.32063657407407403</v>
      </c>
      <c r="F1743" t="s">
        <v>87</v>
      </c>
      <c r="G1743" t="s">
        <v>82</v>
      </c>
      <c r="H1743">
        <v>64.416666666666671</v>
      </c>
      <c r="M1743" t="s">
        <v>79</v>
      </c>
      <c r="N1743" t="s">
        <v>72</v>
      </c>
    </row>
    <row r="1744" spans="1:14" x14ac:dyDescent="0.25">
      <c r="A1744" t="s">
        <v>1535</v>
      </c>
      <c r="B1744" s="4" t="s">
        <v>10</v>
      </c>
      <c r="C1744" s="4" t="s">
        <v>73</v>
      </c>
      <c r="D1744" s="4">
        <v>46140</v>
      </c>
      <c r="E1744" s="5">
        <v>0.32097222222222216</v>
      </c>
      <c r="F1744" t="s">
        <v>87</v>
      </c>
      <c r="G1744" t="s">
        <v>82</v>
      </c>
      <c r="H1744">
        <v>64.333333333333329</v>
      </c>
      <c r="M1744" t="s">
        <v>76</v>
      </c>
      <c r="N1744" t="s">
        <v>72</v>
      </c>
    </row>
    <row r="1745" spans="1:14" x14ac:dyDescent="0.25">
      <c r="A1745" t="s">
        <v>1536</v>
      </c>
      <c r="B1745" s="4" t="s">
        <v>10</v>
      </c>
      <c r="C1745" s="4" t="s">
        <v>70</v>
      </c>
      <c r="D1745" s="4">
        <v>46140</v>
      </c>
      <c r="E1745" s="5">
        <v>0.32153935185185184</v>
      </c>
      <c r="F1745" t="s">
        <v>87</v>
      </c>
      <c r="G1745" t="s">
        <v>82</v>
      </c>
      <c r="H1745">
        <v>28</v>
      </c>
      <c r="L1745" t="s">
        <v>1537</v>
      </c>
      <c r="M1745" t="s">
        <v>71</v>
      </c>
      <c r="N1745" t="s">
        <v>72</v>
      </c>
    </row>
    <row r="1746" spans="1:14" x14ac:dyDescent="0.25">
      <c r="A1746" t="s">
        <v>1537</v>
      </c>
      <c r="B1746" s="4" t="s">
        <v>10</v>
      </c>
      <c r="C1746" s="4" t="s">
        <v>73</v>
      </c>
      <c r="D1746" s="4">
        <v>46140</v>
      </c>
      <c r="E1746" s="5">
        <v>0.32153935185185184</v>
      </c>
      <c r="F1746" t="s">
        <v>87</v>
      </c>
      <c r="G1746" t="s">
        <v>82</v>
      </c>
      <c r="H1746">
        <v>264.08333333333331</v>
      </c>
      <c r="M1746" t="s">
        <v>79</v>
      </c>
      <c r="N1746" t="s">
        <v>72</v>
      </c>
    </row>
    <row r="1747" spans="1:14" x14ac:dyDescent="0.25">
      <c r="A1747" t="s">
        <v>1537</v>
      </c>
      <c r="B1747" s="4" t="s">
        <v>10</v>
      </c>
      <c r="C1747" s="4" t="s">
        <v>73</v>
      </c>
      <c r="D1747" s="4">
        <v>46140</v>
      </c>
      <c r="E1747" s="5">
        <v>0.32153935185185184</v>
      </c>
      <c r="F1747" t="s">
        <v>87</v>
      </c>
      <c r="G1747" t="s">
        <v>82</v>
      </c>
      <c r="H1747">
        <v>264</v>
      </c>
      <c r="M1747" t="s">
        <v>79</v>
      </c>
      <c r="N1747" t="s">
        <v>72</v>
      </c>
    </row>
    <row r="1748" spans="1:14" x14ac:dyDescent="0.25">
      <c r="A1748" t="s">
        <v>1538</v>
      </c>
      <c r="B1748" s="4" t="s">
        <v>10</v>
      </c>
      <c r="C1748" s="4" t="s">
        <v>70</v>
      </c>
      <c r="D1748" s="4">
        <v>46140</v>
      </c>
      <c r="E1748" s="5">
        <v>0.32184027777777774</v>
      </c>
      <c r="F1748" t="s">
        <v>87</v>
      </c>
      <c r="G1748" t="s">
        <v>82</v>
      </c>
      <c r="H1748">
        <v>52</v>
      </c>
      <c r="L1748" t="s">
        <v>1537</v>
      </c>
      <c r="M1748" t="s">
        <v>71</v>
      </c>
      <c r="N1748" t="s">
        <v>72</v>
      </c>
    </row>
    <row r="1749" spans="1:14" x14ac:dyDescent="0.25">
      <c r="A1749" t="s">
        <v>1537</v>
      </c>
      <c r="B1749" s="4" t="s">
        <v>10</v>
      </c>
      <c r="C1749" s="4" t="s">
        <v>73</v>
      </c>
      <c r="D1749" s="4">
        <v>46140</v>
      </c>
      <c r="E1749" s="5">
        <v>0.32184027777777774</v>
      </c>
      <c r="F1749" t="s">
        <v>87</v>
      </c>
      <c r="G1749" t="s">
        <v>82</v>
      </c>
      <c r="H1749">
        <v>212</v>
      </c>
      <c r="M1749" t="s">
        <v>79</v>
      </c>
      <c r="N1749" t="s">
        <v>72</v>
      </c>
    </row>
    <row r="1750" spans="1:14" x14ac:dyDescent="0.25">
      <c r="A1750" t="s">
        <v>1537</v>
      </c>
      <c r="B1750" s="4" t="s">
        <v>10</v>
      </c>
      <c r="C1750" s="4" t="s">
        <v>73</v>
      </c>
      <c r="D1750" s="4">
        <v>46140</v>
      </c>
      <c r="E1750" s="5">
        <v>0.32184027777777774</v>
      </c>
      <c r="F1750" t="s">
        <v>87</v>
      </c>
      <c r="G1750" t="s">
        <v>82</v>
      </c>
      <c r="H1750">
        <v>211.91666666666666</v>
      </c>
      <c r="M1750" t="s">
        <v>79</v>
      </c>
      <c r="N1750" t="s">
        <v>72</v>
      </c>
    </row>
    <row r="1751" spans="1:14" x14ac:dyDescent="0.25">
      <c r="A1751" t="s">
        <v>1537</v>
      </c>
      <c r="B1751" s="4" t="s">
        <v>10</v>
      </c>
      <c r="C1751" s="4" t="s">
        <v>73</v>
      </c>
      <c r="D1751" s="4">
        <v>46140</v>
      </c>
      <c r="E1751" s="5">
        <v>0.32193287037037038</v>
      </c>
      <c r="F1751" t="s">
        <v>87</v>
      </c>
      <c r="G1751" t="s">
        <v>82</v>
      </c>
      <c r="H1751">
        <v>211.91666666666666</v>
      </c>
      <c r="M1751" t="s">
        <v>76</v>
      </c>
      <c r="N1751" t="s">
        <v>72</v>
      </c>
    </row>
    <row r="1752" spans="1:14" x14ac:dyDescent="0.25">
      <c r="A1752" t="s">
        <v>1539</v>
      </c>
      <c r="B1752" s="4" t="s">
        <v>10</v>
      </c>
      <c r="C1752" s="4" t="s">
        <v>70</v>
      </c>
      <c r="D1752" s="4">
        <v>46140</v>
      </c>
      <c r="E1752" s="5">
        <v>0.32254629629629628</v>
      </c>
      <c r="F1752" t="s">
        <v>87</v>
      </c>
      <c r="G1752" t="s">
        <v>82</v>
      </c>
      <c r="H1752">
        <v>51.5</v>
      </c>
      <c r="L1752" t="s">
        <v>1540</v>
      </c>
      <c r="M1752" t="s">
        <v>71</v>
      </c>
      <c r="N1752" t="s">
        <v>75</v>
      </c>
    </row>
    <row r="1753" spans="1:14" x14ac:dyDescent="0.25">
      <c r="A1753" t="s">
        <v>1540</v>
      </c>
      <c r="B1753" s="4" t="s">
        <v>10</v>
      </c>
      <c r="C1753" s="4" t="s">
        <v>73</v>
      </c>
      <c r="D1753" s="4">
        <v>46140</v>
      </c>
      <c r="E1753" s="5">
        <v>0.32254629629629628</v>
      </c>
      <c r="F1753" t="s">
        <v>87</v>
      </c>
      <c r="G1753" t="s">
        <v>82</v>
      </c>
      <c r="H1753">
        <v>13.416666666666666</v>
      </c>
      <c r="M1753" t="s">
        <v>79</v>
      </c>
      <c r="N1753" t="s">
        <v>75</v>
      </c>
    </row>
    <row r="1754" spans="1:14" x14ac:dyDescent="0.25">
      <c r="A1754" t="s">
        <v>1540</v>
      </c>
      <c r="B1754" s="4" t="s">
        <v>10</v>
      </c>
      <c r="C1754" s="4" t="s">
        <v>73</v>
      </c>
      <c r="D1754" s="4">
        <v>46140</v>
      </c>
      <c r="E1754" s="5">
        <v>0.32254629629629628</v>
      </c>
      <c r="F1754" t="s">
        <v>87</v>
      </c>
      <c r="G1754" t="s">
        <v>82</v>
      </c>
      <c r="H1754">
        <v>13.333333333333332</v>
      </c>
      <c r="M1754" t="s">
        <v>79</v>
      </c>
      <c r="N1754" t="s">
        <v>75</v>
      </c>
    </row>
    <row r="1755" spans="1:14" x14ac:dyDescent="0.25">
      <c r="A1755" t="s">
        <v>1540</v>
      </c>
      <c r="B1755" s="4" t="s">
        <v>10</v>
      </c>
      <c r="C1755" s="4" t="s">
        <v>73</v>
      </c>
      <c r="D1755" s="4">
        <v>46140</v>
      </c>
      <c r="E1755" s="5">
        <v>0.32276620370370368</v>
      </c>
      <c r="F1755" t="s">
        <v>87</v>
      </c>
      <c r="G1755" t="s">
        <v>82</v>
      </c>
      <c r="H1755">
        <v>12.916666666666666</v>
      </c>
      <c r="M1755" t="s">
        <v>76</v>
      </c>
      <c r="N1755" t="s">
        <v>75</v>
      </c>
    </row>
    <row r="1756" spans="1:14" x14ac:dyDescent="0.25">
      <c r="A1756" t="s">
        <v>1543</v>
      </c>
      <c r="B1756" s="4" t="s">
        <v>10</v>
      </c>
      <c r="C1756" s="4" t="s">
        <v>70</v>
      </c>
      <c r="D1756" s="4">
        <v>46140</v>
      </c>
      <c r="E1756" s="5">
        <v>0.32354166666666667</v>
      </c>
      <c r="F1756" t="s">
        <v>87</v>
      </c>
      <c r="G1756" t="s">
        <v>82</v>
      </c>
      <c r="H1756">
        <v>99.75</v>
      </c>
      <c r="L1756" t="s">
        <v>1544</v>
      </c>
      <c r="M1756" t="s">
        <v>71</v>
      </c>
      <c r="N1756" t="s">
        <v>72</v>
      </c>
    </row>
    <row r="1757" spans="1:14" x14ac:dyDescent="0.25">
      <c r="A1757" t="s">
        <v>1544</v>
      </c>
      <c r="B1757" s="4" t="s">
        <v>10</v>
      </c>
      <c r="C1757" s="4" t="s">
        <v>73</v>
      </c>
      <c r="D1757" s="4">
        <v>46140</v>
      </c>
      <c r="E1757" s="5">
        <v>0.32354166666666667</v>
      </c>
      <c r="F1757" t="s">
        <v>87</v>
      </c>
      <c r="G1757" t="s">
        <v>82</v>
      </c>
      <c r="H1757">
        <v>100.25</v>
      </c>
      <c r="M1757" t="s">
        <v>79</v>
      </c>
      <c r="N1757" t="s">
        <v>72</v>
      </c>
    </row>
    <row r="1758" spans="1:14" x14ac:dyDescent="0.25">
      <c r="A1758" t="s">
        <v>1544</v>
      </c>
      <c r="B1758" s="4" t="s">
        <v>10</v>
      </c>
      <c r="C1758" s="4" t="s">
        <v>73</v>
      </c>
      <c r="D1758" s="4">
        <v>46140</v>
      </c>
      <c r="E1758" s="5">
        <v>0.32354166666666667</v>
      </c>
      <c r="F1758" t="s">
        <v>87</v>
      </c>
      <c r="G1758" t="s">
        <v>82</v>
      </c>
      <c r="H1758">
        <v>100.16666666666667</v>
      </c>
      <c r="M1758" t="s">
        <v>79</v>
      </c>
      <c r="N1758" t="s">
        <v>72</v>
      </c>
    </row>
    <row r="1759" spans="1:14" x14ac:dyDescent="0.25">
      <c r="A1759" t="s">
        <v>1544</v>
      </c>
      <c r="B1759" s="4" t="s">
        <v>10</v>
      </c>
      <c r="C1759" s="4" t="s">
        <v>73</v>
      </c>
      <c r="D1759" s="4">
        <v>46140</v>
      </c>
      <c r="E1759" s="5">
        <v>0.32365740740740739</v>
      </c>
      <c r="F1759" t="s">
        <v>87</v>
      </c>
      <c r="G1759" t="s">
        <v>82</v>
      </c>
      <c r="H1759">
        <v>100.16666666666667</v>
      </c>
      <c r="M1759" t="s">
        <v>76</v>
      </c>
      <c r="N1759" t="s">
        <v>72</v>
      </c>
    </row>
    <row r="1760" spans="1:14" x14ac:dyDescent="0.25">
      <c r="A1760" t="s">
        <v>1546</v>
      </c>
      <c r="B1760" s="4" t="s">
        <v>10</v>
      </c>
      <c r="C1760" s="4" t="s">
        <v>70</v>
      </c>
      <c r="D1760" s="4">
        <v>46140</v>
      </c>
      <c r="E1760" s="5">
        <v>0.32435185185185184</v>
      </c>
      <c r="F1760" t="s">
        <v>87</v>
      </c>
      <c r="G1760" t="s">
        <v>82</v>
      </c>
      <c r="H1760">
        <v>48</v>
      </c>
      <c r="L1760" t="s">
        <v>1547</v>
      </c>
      <c r="M1760" t="s">
        <v>71</v>
      </c>
      <c r="N1760" t="s">
        <v>72</v>
      </c>
    </row>
    <row r="1761" spans="1:14" x14ac:dyDescent="0.25">
      <c r="A1761" t="s">
        <v>1547</v>
      </c>
      <c r="B1761" s="4" t="s">
        <v>10</v>
      </c>
      <c r="C1761" s="4" t="s">
        <v>73</v>
      </c>
      <c r="D1761" s="4">
        <v>46140</v>
      </c>
      <c r="E1761" s="5">
        <v>0.32435185185185184</v>
      </c>
      <c r="F1761" t="s">
        <v>87</v>
      </c>
      <c r="G1761" t="s">
        <v>82</v>
      </c>
      <c r="H1761">
        <v>45.416666666666664</v>
      </c>
      <c r="M1761" t="s">
        <v>79</v>
      </c>
      <c r="N1761" t="s">
        <v>72</v>
      </c>
    </row>
    <row r="1762" spans="1:14" x14ac:dyDescent="0.25">
      <c r="A1762" t="s">
        <v>1547</v>
      </c>
      <c r="B1762" s="4" t="s">
        <v>10</v>
      </c>
      <c r="C1762" s="4" t="s">
        <v>73</v>
      </c>
      <c r="D1762" s="4">
        <v>46140</v>
      </c>
      <c r="E1762" s="5">
        <v>0.32435185185185184</v>
      </c>
      <c r="F1762" t="s">
        <v>87</v>
      </c>
      <c r="G1762" t="s">
        <v>82</v>
      </c>
      <c r="H1762">
        <v>45.333333333333329</v>
      </c>
      <c r="M1762" t="s">
        <v>79</v>
      </c>
      <c r="N1762" t="s">
        <v>72</v>
      </c>
    </row>
    <row r="1763" spans="1:14" x14ac:dyDescent="0.25">
      <c r="A1763" t="s">
        <v>1547</v>
      </c>
      <c r="B1763" s="4" t="s">
        <v>10</v>
      </c>
      <c r="C1763" s="4" t="s">
        <v>73</v>
      </c>
      <c r="D1763" s="4">
        <v>46140</v>
      </c>
      <c r="E1763" s="5">
        <v>0.32457175925925924</v>
      </c>
      <c r="F1763" t="s">
        <v>87</v>
      </c>
      <c r="G1763" t="s">
        <v>82</v>
      </c>
      <c r="H1763">
        <v>44.833333333333336</v>
      </c>
      <c r="M1763" t="s">
        <v>76</v>
      </c>
      <c r="N1763" t="s">
        <v>72</v>
      </c>
    </row>
    <row r="1764" spans="1:14" x14ac:dyDescent="0.25">
      <c r="A1764" t="s">
        <v>1550</v>
      </c>
      <c r="B1764" s="4" t="s">
        <v>10</v>
      </c>
      <c r="C1764" s="4" t="s">
        <v>73</v>
      </c>
      <c r="D1764" s="4">
        <v>46140</v>
      </c>
      <c r="E1764" s="5">
        <v>0.32547453703703699</v>
      </c>
      <c r="F1764" t="s">
        <v>87</v>
      </c>
      <c r="G1764" t="s">
        <v>82</v>
      </c>
      <c r="H1764">
        <v>54.5</v>
      </c>
      <c r="L1764" t="s">
        <v>1551</v>
      </c>
      <c r="M1764" t="s">
        <v>76</v>
      </c>
      <c r="N1764" t="s">
        <v>75</v>
      </c>
    </row>
    <row r="1765" spans="1:14" x14ac:dyDescent="0.25">
      <c r="A1765" t="s">
        <v>1554</v>
      </c>
      <c r="B1765" s="4" t="s">
        <v>10</v>
      </c>
      <c r="C1765" s="4" t="s">
        <v>70</v>
      </c>
      <c r="D1765" s="4">
        <v>46140</v>
      </c>
      <c r="E1765" s="5">
        <v>0.32613425925925921</v>
      </c>
      <c r="F1765" t="s">
        <v>87</v>
      </c>
      <c r="G1765" t="s">
        <v>82</v>
      </c>
      <c r="H1765">
        <v>26.25</v>
      </c>
      <c r="L1765" t="s">
        <v>1555</v>
      </c>
      <c r="M1765" t="s">
        <v>71</v>
      </c>
      <c r="N1765" t="s">
        <v>78</v>
      </c>
    </row>
    <row r="1766" spans="1:14" x14ac:dyDescent="0.25">
      <c r="A1766" t="s">
        <v>1555</v>
      </c>
      <c r="B1766" s="4" t="s">
        <v>10</v>
      </c>
      <c r="C1766" s="4" t="s">
        <v>73</v>
      </c>
      <c r="D1766" s="4">
        <v>46140</v>
      </c>
      <c r="E1766" s="5">
        <v>0.32613425925925921</v>
      </c>
      <c r="F1766" t="s">
        <v>87</v>
      </c>
      <c r="G1766" t="s">
        <v>82</v>
      </c>
      <c r="H1766">
        <v>17.333333333333332</v>
      </c>
      <c r="M1766" t="s">
        <v>79</v>
      </c>
      <c r="N1766" t="s">
        <v>78</v>
      </c>
    </row>
    <row r="1767" spans="1:14" x14ac:dyDescent="0.25">
      <c r="A1767" t="s">
        <v>1556</v>
      </c>
      <c r="B1767" s="4" t="s">
        <v>10</v>
      </c>
      <c r="C1767" s="4" t="s">
        <v>70</v>
      </c>
      <c r="D1767" s="4">
        <v>46140</v>
      </c>
      <c r="E1767" s="5">
        <v>0.32630787037037035</v>
      </c>
      <c r="F1767" t="s">
        <v>87</v>
      </c>
      <c r="G1767" t="s">
        <v>82</v>
      </c>
      <c r="H1767">
        <v>15.5</v>
      </c>
      <c r="L1767" t="s">
        <v>1555</v>
      </c>
      <c r="M1767" t="s">
        <v>71</v>
      </c>
      <c r="N1767" t="s">
        <v>78</v>
      </c>
    </row>
    <row r="1768" spans="1:14" x14ac:dyDescent="0.25">
      <c r="A1768" t="s">
        <v>1555</v>
      </c>
      <c r="B1768" s="4" t="s">
        <v>10</v>
      </c>
      <c r="C1768" s="4" t="s">
        <v>73</v>
      </c>
      <c r="D1768" s="4">
        <v>46140</v>
      </c>
      <c r="E1768" s="5">
        <v>0.32630787037037035</v>
      </c>
      <c r="F1768" t="s">
        <v>87</v>
      </c>
      <c r="G1768" t="s">
        <v>82</v>
      </c>
      <c r="H1768">
        <v>1.8333333333333333</v>
      </c>
      <c r="M1768" t="s">
        <v>79</v>
      </c>
      <c r="N1768" t="s">
        <v>78</v>
      </c>
    </row>
    <row r="1769" spans="1:14" x14ac:dyDescent="0.25">
      <c r="A1769" t="s">
        <v>1555</v>
      </c>
      <c r="B1769" s="4" t="s">
        <v>10</v>
      </c>
      <c r="C1769" s="4" t="s">
        <v>73</v>
      </c>
      <c r="D1769" s="4">
        <v>46140</v>
      </c>
      <c r="E1769" s="5">
        <v>0.32630787037037035</v>
      </c>
      <c r="F1769" t="s">
        <v>87</v>
      </c>
      <c r="G1769" t="s">
        <v>82</v>
      </c>
      <c r="H1769">
        <v>0.16666666666666666</v>
      </c>
      <c r="M1769" t="s">
        <v>79</v>
      </c>
      <c r="N1769" t="s">
        <v>78</v>
      </c>
    </row>
    <row r="1770" spans="1:14" x14ac:dyDescent="0.25">
      <c r="A1770" t="s">
        <v>1555</v>
      </c>
      <c r="B1770" s="4" t="s">
        <v>10</v>
      </c>
      <c r="C1770" s="4" t="s">
        <v>73</v>
      </c>
      <c r="D1770" s="4">
        <v>46140</v>
      </c>
      <c r="E1770" s="5">
        <v>0.32630787037037035</v>
      </c>
      <c r="F1770" t="s">
        <v>87</v>
      </c>
      <c r="G1770" t="s">
        <v>82</v>
      </c>
      <c r="H1770">
        <v>0</v>
      </c>
      <c r="M1770" t="s">
        <v>79</v>
      </c>
      <c r="N1770" t="s">
        <v>78</v>
      </c>
    </row>
    <row r="1771" spans="1:14" x14ac:dyDescent="0.25">
      <c r="A1771" t="s">
        <v>1557</v>
      </c>
      <c r="B1771" s="4" t="s">
        <v>10</v>
      </c>
      <c r="C1771" s="4" t="s">
        <v>70</v>
      </c>
      <c r="D1771" s="4">
        <v>46140</v>
      </c>
      <c r="E1771" s="5">
        <v>0.32711805555555551</v>
      </c>
      <c r="F1771" t="s">
        <v>87</v>
      </c>
      <c r="G1771" t="s">
        <v>82</v>
      </c>
      <c r="H1771">
        <v>35</v>
      </c>
      <c r="L1771" t="s">
        <v>1558</v>
      </c>
      <c r="M1771" t="s">
        <v>71</v>
      </c>
      <c r="N1771" t="s">
        <v>78</v>
      </c>
    </row>
    <row r="1772" spans="1:14" x14ac:dyDescent="0.25">
      <c r="A1772" t="s">
        <v>1558</v>
      </c>
      <c r="B1772" s="4" t="s">
        <v>10</v>
      </c>
      <c r="C1772" s="4" t="s">
        <v>73</v>
      </c>
      <c r="D1772" s="4">
        <v>46140</v>
      </c>
      <c r="E1772" s="5">
        <v>0.32711805555555551</v>
      </c>
      <c r="F1772" t="s">
        <v>87</v>
      </c>
      <c r="G1772" t="s">
        <v>82</v>
      </c>
      <c r="H1772">
        <v>11.75</v>
      </c>
      <c r="M1772" t="s">
        <v>79</v>
      </c>
      <c r="N1772" t="s">
        <v>78</v>
      </c>
    </row>
    <row r="1773" spans="1:14" x14ac:dyDescent="0.25">
      <c r="A1773" t="s">
        <v>1558</v>
      </c>
      <c r="B1773" s="4" t="s">
        <v>10</v>
      </c>
      <c r="C1773" s="4" t="s">
        <v>73</v>
      </c>
      <c r="D1773" s="4">
        <v>46140</v>
      </c>
      <c r="E1773" s="5">
        <v>0.32711805555555551</v>
      </c>
      <c r="F1773" t="s">
        <v>87</v>
      </c>
      <c r="G1773" t="s">
        <v>82</v>
      </c>
      <c r="H1773">
        <v>11.666666666666666</v>
      </c>
      <c r="M1773" t="s">
        <v>79</v>
      </c>
      <c r="N1773" t="s">
        <v>78</v>
      </c>
    </row>
    <row r="1774" spans="1:14" x14ac:dyDescent="0.25">
      <c r="A1774" t="s">
        <v>1558</v>
      </c>
      <c r="B1774" s="4" t="s">
        <v>10</v>
      </c>
      <c r="C1774" s="4" t="s">
        <v>73</v>
      </c>
      <c r="D1774" s="4">
        <v>46140</v>
      </c>
      <c r="E1774" s="5">
        <v>0.32738425925925924</v>
      </c>
      <c r="F1774" t="s">
        <v>87</v>
      </c>
      <c r="G1774" t="s">
        <v>82</v>
      </c>
      <c r="H1774">
        <v>11.666666666666666</v>
      </c>
      <c r="M1774" t="s">
        <v>76</v>
      </c>
      <c r="N1774" t="s">
        <v>78</v>
      </c>
    </row>
    <row r="1775" spans="1:14" x14ac:dyDescent="0.25">
      <c r="A1775" t="s">
        <v>1561</v>
      </c>
      <c r="B1775" s="4" t="s">
        <v>10</v>
      </c>
      <c r="C1775" s="4" t="s">
        <v>70</v>
      </c>
      <c r="D1775" s="4">
        <v>46140</v>
      </c>
      <c r="E1775" s="5">
        <v>0.3285763888888889</v>
      </c>
      <c r="F1775" t="s">
        <v>87</v>
      </c>
      <c r="G1775" t="s">
        <v>82</v>
      </c>
      <c r="H1775">
        <v>191.25</v>
      </c>
      <c r="L1775" t="s">
        <v>1562</v>
      </c>
      <c r="M1775" t="s">
        <v>71</v>
      </c>
      <c r="N1775" t="s">
        <v>75</v>
      </c>
    </row>
    <row r="1776" spans="1:14" x14ac:dyDescent="0.25">
      <c r="A1776" t="s">
        <v>1562</v>
      </c>
      <c r="B1776" s="4" t="s">
        <v>10</v>
      </c>
      <c r="C1776" s="4" t="s">
        <v>73</v>
      </c>
      <c r="D1776" s="4">
        <v>46140</v>
      </c>
      <c r="E1776" s="5">
        <v>0.3285763888888889</v>
      </c>
      <c r="F1776" t="s">
        <v>87</v>
      </c>
      <c r="G1776" t="s">
        <v>82</v>
      </c>
      <c r="H1776">
        <v>56.166666666666664</v>
      </c>
      <c r="M1776" t="s">
        <v>74</v>
      </c>
      <c r="N1776" t="s">
        <v>75</v>
      </c>
    </row>
    <row r="1777" spans="1:20" x14ac:dyDescent="0.25">
      <c r="A1777" t="s">
        <v>1562</v>
      </c>
      <c r="B1777" s="4" t="s">
        <v>10</v>
      </c>
      <c r="C1777" s="4" t="s">
        <v>73</v>
      </c>
      <c r="D1777" s="4">
        <v>46140</v>
      </c>
      <c r="E1777" s="5">
        <v>0.3285763888888889</v>
      </c>
      <c r="F1777" t="s">
        <v>87</v>
      </c>
      <c r="G1777" t="s">
        <v>82</v>
      </c>
      <c r="H1777">
        <v>56.083333333333336</v>
      </c>
      <c r="M1777" t="s">
        <v>74</v>
      </c>
      <c r="N1777" t="s">
        <v>75</v>
      </c>
    </row>
    <row r="1778" spans="1:20" x14ac:dyDescent="0.25">
      <c r="A1778" t="s">
        <v>1562</v>
      </c>
      <c r="B1778" s="4" t="s">
        <v>10</v>
      </c>
      <c r="C1778" s="4" t="s">
        <v>73</v>
      </c>
      <c r="D1778" s="4">
        <v>46140</v>
      </c>
      <c r="E1778" s="5">
        <v>0.32905092592592589</v>
      </c>
      <c r="F1778" t="s">
        <v>87</v>
      </c>
      <c r="G1778" t="s">
        <v>82</v>
      </c>
      <c r="H1778">
        <v>55</v>
      </c>
      <c r="M1778" t="s">
        <v>76</v>
      </c>
      <c r="N1778" t="s">
        <v>75</v>
      </c>
    </row>
    <row r="1779" spans="1:20" x14ac:dyDescent="0.25">
      <c r="A1779" t="s">
        <v>97</v>
      </c>
      <c r="B1779" s="4" t="s">
        <v>9</v>
      </c>
      <c r="C1779" s="4" t="s">
        <v>70</v>
      </c>
      <c r="D1779" s="4">
        <v>46139</v>
      </c>
      <c r="E1779" s="5">
        <v>0.25413194444444442</v>
      </c>
      <c r="F1779">
        <v>1</v>
      </c>
      <c r="G1779" t="s">
        <v>83</v>
      </c>
      <c r="H1779">
        <v>3</v>
      </c>
      <c r="L1779" t="s">
        <v>98</v>
      </c>
      <c r="M1779" t="s">
        <v>71</v>
      </c>
      <c r="N1779" t="s">
        <v>75</v>
      </c>
    </row>
    <row r="1780" spans="1:20" x14ac:dyDescent="0.25">
      <c r="A1780" t="s">
        <v>98</v>
      </c>
      <c r="B1780" s="4" t="s">
        <v>9</v>
      </c>
      <c r="C1780" s="4" t="s">
        <v>73</v>
      </c>
      <c r="D1780" s="4">
        <v>46139</v>
      </c>
      <c r="E1780" s="5">
        <v>0.25413194444444442</v>
      </c>
      <c r="F1780">
        <v>1</v>
      </c>
      <c r="G1780" t="s">
        <v>83</v>
      </c>
      <c r="H1780">
        <v>40.833333333333329</v>
      </c>
      <c r="M1780" t="s">
        <v>74</v>
      </c>
      <c r="N1780" t="s">
        <v>75</v>
      </c>
    </row>
    <row r="1781" spans="1:20" x14ac:dyDescent="0.25">
      <c r="A1781" t="s">
        <v>98</v>
      </c>
      <c r="B1781" s="4" t="s">
        <v>9</v>
      </c>
      <c r="C1781" s="4" t="s">
        <v>73</v>
      </c>
      <c r="D1781" s="4">
        <v>46139</v>
      </c>
      <c r="E1781" s="5">
        <v>0.25413194444444442</v>
      </c>
      <c r="F1781">
        <v>1</v>
      </c>
      <c r="G1781" t="s">
        <v>83</v>
      </c>
      <c r="H1781">
        <v>40.75</v>
      </c>
      <c r="M1781" t="s">
        <v>74</v>
      </c>
      <c r="N1781" t="s">
        <v>75</v>
      </c>
    </row>
    <row r="1782" spans="1:20" x14ac:dyDescent="0.25">
      <c r="A1782" t="s">
        <v>99</v>
      </c>
      <c r="B1782" s="4" t="s">
        <v>9</v>
      </c>
      <c r="C1782" s="4" t="s">
        <v>70</v>
      </c>
      <c r="D1782" s="4">
        <v>46139</v>
      </c>
      <c r="E1782" s="5">
        <v>0.25440972222222219</v>
      </c>
      <c r="F1782">
        <v>1</v>
      </c>
      <c r="G1782" t="s">
        <v>83</v>
      </c>
      <c r="H1782">
        <v>15.75</v>
      </c>
      <c r="L1782" t="s">
        <v>98</v>
      </c>
      <c r="M1782" t="s">
        <v>71</v>
      </c>
      <c r="N1782" t="s">
        <v>75</v>
      </c>
      <c r="O1782">
        <v>1</v>
      </c>
      <c r="R1782">
        <v>1</v>
      </c>
      <c r="S1782">
        <v>1</v>
      </c>
      <c r="T1782">
        <v>24.916666666666664</v>
      </c>
    </row>
    <row r="1783" spans="1:20" x14ac:dyDescent="0.25">
      <c r="A1783" t="s">
        <v>98</v>
      </c>
      <c r="B1783" s="4" t="s">
        <v>9</v>
      </c>
      <c r="C1783" s="4" t="s">
        <v>73</v>
      </c>
      <c r="D1783" s="4">
        <v>46139</v>
      </c>
      <c r="E1783" s="5">
        <v>0.25440972222222219</v>
      </c>
      <c r="F1783">
        <v>1</v>
      </c>
      <c r="G1783" t="s">
        <v>83</v>
      </c>
      <c r="H1783">
        <v>25</v>
      </c>
      <c r="M1783" t="s">
        <v>74</v>
      </c>
      <c r="N1783" t="s">
        <v>75</v>
      </c>
    </row>
    <row r="1784" spans="1:20" x14ac:dyDescent="0.25">
      <c r="A1784" t="s">
        <v>98</v>
      </c>
      <c r="B1784" s="4" t="s">
        <v>9</v>
      </c>
      <c r="C1784" s="4" t="s">
        <v>73</v>
      </c>
      <c r="D1784" s="4">
        <v>46139</v>
      </c>
      <c r="E1784" s="5">
        <v>0.25440972222222219</v>
      </c>
      <c r="F1784">
        <v>1</v>
      </c>
      <c r="G1784" t="s">
        <v>83</v>
      </c>
      <c r="H1784">
        <v>24.916666666666664</v>
      </c>
      <c r="M1784" t="s">
        <v>74</v>
      </c>
      <c r="N1784" t="s">
        <v>75</v>
      </c>
    </row>
    <row r="1785" spans="1:20" x14ac:dyDescent="0.25">
      <c r="A1785" t="s">
        <v>98</v>
      </c>
      <c r="B1785" s="4" t="s">
        <v>9</v>
      </c>
      <c r="C1785" s="4" t="s">
        <v>73</v>
      </c>
      <c r="D1785" s="4">
        <v>46139</v>
      </c>
      <c r="E1785" s="5">
        <v>0.25604166666666667</v>
      </c>
      <c r="F1785">
        <v>1</v>
      </c>
      <c r="G1785" t="s">
        <v>83</v>
      </c>
      <c r="H1785">
        <v>24.916666666666664</v>
      </c>
      <c r="M1785" t="s">
        <v>76</v>
      </c>
      <c r="N1785" t="s">
        <v>75</v>
      </c>
    </row>
    <row r="1786" spans="1:20" x14ac:dyDescent="0.25">
      <c r="A1786" t="s">
        <v>100</v>
      </c>
      <c r="B1786" s="4" t="s">
        <v>9</v>
      </c>
      <c r="C1786" s="4" t="s">
        <v>70</v>
      </c>
      <c r="D1786" s="4">
        <v>46139</v>
      </c>
      <c r="E1786" s="5">
        <v>0.25689814814814815</v>
      </c>
      <c r="F1786">
        <v>1</v>
      </c>
      <c r="G1786" t="s">
        <v>83</v>
      </c>
      <c r="H1786">
        <v>3</v>
      </c>
      <c r="L1786" t="s">
        <v>101</v>
      </c>
      <c r="M1786" t="s">
        <v>71</v>
      </c>
      <c r="N1786" t="s">
        <v>75</v>
      </c>
      <c r="O1786">
        <v>1</v>
      </c>
      <c r="R1786">
        <v>1</v>
      </c>
      <c r="S1786">
        <v>1</v>
      </c>
      <c r="T1786">
        <v>19.833333333333332</v>
      </c>
    </row>
    <row r="1787" spans="1:20" x14ac:dyDescent="0.25">
      <c r="A1787" t="s">
        <v>101</v>
      </c>
      <c r="B1787" s="4" t="s">
        <v>9</v>
      </c>
      <c r="C1787" s="4" t="s">
        <v>73</v>
      </c>
      <c r="D1787" s="4">
        <v>46139</v>
      </c>
      <c r="E1787" s="5">
        <v>0.25689814814814815</v>
      </c>
      <c r="F1787">
        <v>1</v>
      </c>
      <c r="G1787" t="s">
        <v>83</v>
      </c>
      <c r="H1787">
        <v>19.833333333333332</v>
      </c>
      <c r="M1787" t="s">
        <v>84</v>
      </c>
      <c r="N1787" t="s">
        <v>75</v>
      </c>
    </row>
    <row r="1788" spans="1:20" x14ac:dyDescent="0.25">
      <c r="A1788" t="s">
        <v>101</v>
      </c>
      <c r="B1788" s="4" t="s">
        <v>9</v>
      </c>
      <c r="C1788" s="4" t="s">
        <v>73</v>
      </c>
      <c r="D1788" s="4">
        <v>46139</v>
      </c>
      <c r="E1788" s="5">
        <v>0.25689814814814815</v>
      </c>
      <c r="F1788">
        <v>1</v>
      </c>
      <c r="G1788" t="s">
        <v>83</v>
      </c>
      <c r="H1788">
        <v>19.75</v>
      </c>
      <c r="M1788" t="s">
        <v>84</v>
      </c>
      <c r="N1788" t="s">
        <v>75</v>
      </c>
    </row>
    <row r="1789" spans="1:20" x14ac:dyDescent="0.25">
      <c r="A1789" t="s">
        <v>101</v>
      </c>
      <c r="B1789" s="4" t="s">
        <v>9</v>
      </c>
      <c r="C1789" s="4" t="s">
        <v>73</v>
      </c>
      <c r="D1789" s="4">
        <v>46139</v>
      </c>
      <c r="E1789" s="5">
        <v>0.25718750000000001</v>
      </c>
      <c r="F1789">
        <v>1</v>
      </c>
      <c r="G1789" t="s">
        <v>83</v>
      </c>
      <c r="H1789">
        <v>19.833333333333332</v>
      </c>
      <c r="M1789" t="s">
        <v>76</v>
      </c>
      <c r="N1789" t="s">
        <v>75</v>
      </c>
    </row>
    <row r="1790" spans="1:20" x14ac:dyDescent="0.25">
      <c r="A1790" t="s">
        <v>104</v>
      </c>
      <c r="B1790" s="4" t="s">
        <v>9</v>
      </c>
      <c r="C1790" s="4" t="s">
        <v>70</v>
      </c>
      <c r="D1790" s="4">
        <v>46139</v>
      </c>
      <c r="E1790" s="5">
        <v>0.25802083333333331</v>
      </c>
      <c r="F1790">
        <v>1</v>
      </c>
      <c r="G1790" t="s">
        <v>83</v>
      </c>
      <c r="H1790">
        <v>4</v>
      </c>
      <c r="L1790" t="s">
        <v>105</v>
      </c>
      <c r="M1790" t="s">
        <v>71</v>
      </c>
      <c r="N1790" t="s">
        <v>75</v>
      </c>
      <c r="O1790">
        <v>1</v>
      </c>
      <c r="S1790">
        <v>1</v>
      </c>
      <c r="T1790">
        <v>100.91666666666666</v>
      </c>
    </row>
    <row r="1791" spans="1:20" x14ac:dyDescent="0.25">
      <c r="A1791" t="s">
        <v>105</v>
      </c>
      <c r="B1791" s="4" t="s">
        <v>9</v>
      </c>
      <c r="C1791" s="4" t="s">
        <v>73</v>
      </c>
      <c r="D1791" s="4">
        <v>46139</v>
      </c>
      <c r="E1791" s="5">
        <v>0.25802083333333331</v>
      </c>
      <c r="F1791">
        <v>1</v>
      </c>
      <c r="G1791" t="s">
        <v>83</v>
      </c>
      <c r="H1791">
        <v>101</v>
      </c>
      <c r="M1791" t="s">
        <v>84</v>
      </c>
      <c r="N1791" t="s">
        <v>75</v>
      </c>
    </row>
    <row r="1792" spans="1:20" x14ac:dyDescent="0.25">
      <c r="A1792" t="s">
        <v>105</v>
      </c>
      <c r="B1792" s="4" t="s">
        <v>9</v>
      </c>
      <c r="C1792" s="4" t="s">
        <v>73</v>
      </c>
      <c r="D1792" s="4">
        <v>46139</v>
      </c>
      <c r="E1792" s="5">
        <v>0.25802083333333331</v>
      </c>
      <c r="F1792">
        <v>1</v>
      </c>
      <c r="G1792" t="s">
        <v>83</v>
      </c>
      <c r="H1792">
        <v>100.91666666666666</v>
      </c>
      <c r="M1792" t="s">
        <v>84</v>
      </c>
      <c r="N1792" t="s">
        <v>75</v>
      </c>
    </row>
    <row r="1793" spans="1:21" x14ac:dyDescent="0.25">
      <c r="A1793" t="s">
        <v>105</v>
      </c>
      <c r="B1793" s="4" t="s">
        <v>9</v>
      </c>
      <c r="C1793" s="4" t="s">
        <v>73</v>
      </c>
      <c r="D1793" s="4">
        <v>46139</v>
      </c>
      <c r="E1793" s="5">
        <v>0.25820601851851849</v>
      </c>
      <c r="F1793">
        <v>1</v>
      </c>
      <c r="G1793" t="s">
        <v>83</v>
      </c>
      <c r="H1793">
        <v>100.91666666666666</v>
      </c>
      <c r="M1793" t="s">
        <v>76</v>
      </c>
      <c r="N1793" t="s">
        <v>75</v>
      </c>
    </row>
    <row r="1794" spans="1:21" x14ac:dyDescent="0.25">
      <c r="A1794" t="s">
        <v>108</v>
      </c>
      <c r="B1794" s="4" t="s">
        <v>9</v>
      </c>
      <c r="C1794" s="4" t="s">
        <v>70</v>
      </c>
      <c r="D1794" s="4">
        <v>46139</v>
      </c>
      <c r="E1794" s="5">
        <v>0.25900462962962961</v>
      </c>
      <c r="F1794">
        <v>1</v>
      </c>
      <c r="G1794" t="s">
        <v>83</v>
      </c>
      <c r="H1794">
        <v>3</v>
      </c>
      <c r="L1794" t="s">
        <v>109</v>
      </c>
      <c r="M1794" t="s">
        <v>71</v>
      </c>
      <c r="N1794" t="s">
        <v>75</v>
      </c>
      <c r="O1794">
        <v>1</v>
      </c>
      <c r="R1794">
        <v>1</v>
      </c>
      <c r="S1794">
        <v>1</v>
      </c>
      <c r="T1794">
        <v>26.083333333333336</v>
      </c>
    </row>
    <row r="1795" spans="1:21" x14ac:dyDescent="0.25">
      <c r="A1795" t="s">
        <v>109</v>
      </c>
      <c r="B1795" s="4" t="s">
        <v>9</v>
      </c>
      <c r="C1795" s="4" t="s">
        <v>73</v>
      </c>
      <c r="D1795" s="4">
        <v>46139</v>
      </c>
      <c r="E1795" s="5">
        <v>0.25900462962962961</v>
      </c>
      <c r="F1795">
        <v>1</v>
      </c>
      <c r="G1795" t="s">
        <v>83</v>
      </c>
      <c r="H1795">
        <v>26.416666666666668</v>
      </c>
      <c r="M1795" t="s">
        <v>84</v>
      </c>
      <c r="N1795" t="s">
        <v>75</v>
      </c>
    </row>
    <row r="1796" spans="1:21" x14ac:dyDescent="0.25">
      <c r="A1796" t="s">
        <v>109</v>
      </c>
      <c r="B1796" s="4" t="s">
        <v>9</v>
      </c>
      <c r="C1796" s="4" t="s">
        <v>73</v>
      </c>
      <c r="D1796" s="4">
        <v>46139</v>
      </c>
      <c r="E1796" s="5">
        <v>0.2593287037037037</v>
      </c>
      <c r="F1796">
        <v>1</v>
      </c>
      <c r="G1796" t="s">
        <v>83</v>
      </c>
      <c r="H1796">
        <v>26.083333333333336</v>
      </c>
      <c r="M1796" t="s">
        <v>76</v>
      </c>
      <c r="N1796" t="s">
        <v>75</v>
      </c>
    </row>
    <row r="1797" spans="1:21" x14ac:dyDescent="0.25">
      <c r="A1797" t="s">
        <v>113</v>
      </c>
      <c r="B1797" s="4" t="s">
        <v>9</v>
      </c>
      <c r="C1797" s="4" t="s">
        <v>70</v>
      </c>
      <c r="D1797" s="4">
        <v>46139</v>
      </c>
      <c r="E1797" s="5">
        <v>0.26032407407407404</v>
      </c>
      <c r="F1797">
        <v>1</v>
      </c>
      <c r="G1797" t="s">
        <v>83</v>
      </c>
      <c r="H1797">
        <v>3</v>
      </c>
      <c r="L1797" t="s">
        <v>114</v>
      </c>
      <c r="M1797" t="s">
        <v>71</v>
      </c>
      <c r="N1797" t="s">
        <v>75</v>
      </c>
      <c r="O1797">
        <v>1</v>
      </c>
      <c r="R1797">
        <v>1</v>
      </c>
      <c r="S1797">
        <v>1</v>
      </c>
      <c r="T1797">
        <v>7.333333333333333</v>
      </c>
    </row>
    <row r="1798" spans="1:21" x14ac:dyDescent="0.25">
      <c r="A1798" t="s">
        <v>114</v>
      </c>
      <c r="B1798" s="4" t="s">
        <v>9</v>
      </c>
      <c r="C1798" s="4" t="s">
        <v>73</v>
      </c>
      <c r="D1798" s="4">
        <v>46139</v>
      </c>
      <c r="E1798" s="5">
        <v>0.26032407407407404</v>
      </c>
      <c r="F1798">
        <v>1</v>
      </c>
      <c r="G1798" t="s">
        <v>83</v>
      </c>
      <c r="H1798">
        <v>7.75</v>
      </c>
      <c r="M1798" t="s">
        <v>84</v>
      </c>
      <c r="N1798" t="s">
        <v>75</v>
      </c>
    </row>
    <row r="1799" spans="1:21" x14ac:dyDescent="0.25">
      <c r="A1799" t="s">
        <v>114</v>
      </c>
      <c r="B1799" s="4" t="s">
        <v>9</v>
      </c>
      <c r="C1799" s="4" t="s">
        <v>73</v>
      </c>
      <c r="D1799" s="4">
        <v>46139</v>
      </c>
      <c r="E1799" s="5">
        <v>0.26032407407407404</v>
      </c>
      <c r="F1799">
        <v>1</v>
      </c>
      <c r="G1799" t="s">
        <v>83</v>
      </c>
      <c r="H1799">
        <v>7.6666666666666661</v>
      </c>
      <c r="M1799" t="s">
        <v>84</v>
      </c>
      <c r="N1799" t="s">
        <v>75</v>
      </c>
    </row>
    <row r="1800" spans="1:21" x14ac:dyDescent="0.25">
      <c r="A1800" t="s">
        <v>114</v>
      </c>
      <c r="B1800" s="4" t="s">
        <v>9</v>
      </c>
      <c r="C1800" s="4" t="s">
        <v>73</v>
      </c>
      <c r="D1800" s="4">
        <v>46139</v>
      </c>
      <c r="E1800" s="5">
        <v>0.26059027777777777</v>
      </c>
      <c r="F1800">
        <v>1</v>
      </c>
      <c r="G1800" t="s">
        <v>83</v>
      </c>
      <c r="H1800">
        <v>7.333333333333333</v>
      </c>
      <c r="M1800" t="s">
        <v>76</v>
      </c>
      <c r="N1800" t="s">
        <v>75</v>
      </c>
    </row>
    <row r="1801" spans="1:21" x14ac:dyDescent="0.25">
      <c r="A1801" t="s">
        <v>117</v>
      </c>
      <c r="B1801" s="4" t="s">
        <v>9</v>
      </c>
      <c r="C1801" s="4" t="s">
        <v>70</v>
      </c>
      <c r="D1801" s="4">
        <v>46139</v>
      </c>
      <c r="E1801" s="5">
        <v>0.26122685185185185</v>
      </c>
      <c r="F1801">
        <v>1</v>
      </c>
      <c r="G1801" t="s">
        <v>83</v>
      </c>
      <c r="H1801">
        <v>3</v>
      </c>
      <c r="L1801" t="s">
        <v>118</v>
      </c>
      <c r="M1801" t="s">
        <v>71</v>
      </c>
      <c r="N1801" t="s">
        <v>75</v>
      </c>
      <c r="O1801">
        <v>1</v>
      </c>
      <c r="S1801">
        <v>1</v>
      </c>
      <c r="T1801">
        <v>100.75</v>
      </c>
    </row>
    <row r="1802" spans="1:21" x14ac:dyDescent="0.25">
      <c r="A1802" t="s">
        <v>118</v>
      </c>
      <c r="B1802" s="4" t="s">
        <v>9</v>
      </c>
      <c r="C1802" s="4" t="s">
        <v>73</v>
      </c>
      <c r="D1802" s="4">
        <v>46139</v>
      </c>
      <c r="E1802" s="5">
        <v>0.26122685185185185</v>
      </c>
      <c r="F1802">
        <v>1</v>
      </c>
      <c r="G1802" t="s">
        <v>83</v>
      </c>
      <c r="H1802">
        <v>100.83333333333333</v>
      </c>
      <c r="M1802" t="s">
        <v>84</v>
      </c>
      <c r="N1802" t="s">
        <v>75</v>
      </c>
    </row>
    <row r="1803" spans="1:21" x14ac:dyDescent="0.25">
      <c r="A1803" t="s">
        <v>118</v>
      </c>
      <c r="B1803" s="4" t="s">
        <v>9</v>
      </c>
      <c r="C1803" s="4" t="s">
        <v>73</v>
      </c>
      <c r="D1803" s="4">
        <v>46139</v>
      </c>
      <c r="E1803" s="5">
        <v>0.26122685185185185</v>
      </c>
      <c r="F1803">
        <v>1</v>
      </c>
      <c r="G1803" t="s">
        <v>83</v>
      </c>
      <c r="H1803">
        <v>100.75</v>
      </c>
      <c r="M1803" t="s">
        <v>84</v>
      </c>
      <c r="N1803" t="s">
        <v>75</v>
      </c>
    </row>
    <row r="1804" spans="1:21" x14ac:dyDescent="0.25">
      <c r="A1804" t="s">
        <v>118</v>
      </c>
      <c r="B1804" s="4" t="s">
        <v>9</v>
      </c>
      <c r="C1804" s="4" t="s">
        <v>73</v>
      </c>
      <c r="D1804" s="4">
        <v>46139</v>
      </c>
      <c r="E1804" s="5">
        <v>0.26133101851851853</v>
      </c>
      <c r="F1804">
        <v>1</v>
      </c>
      <c r="G1804" t="s">
        <v>83</v>
      </c>
      <c r="H1804">
        <v>100.75</v>
      </c>
      <c r="M1804" t="s">
        <v>76</v>
      </c>
      <c r="N1804" t="s">
        <v>75</v>
      </c>
    </row>
    <row r="1805" spans="1:21" x14ac:dyDescent="0.25">
      <c r="A1805" t="s">
        <v>125</v>
      </c>
      <c r="B1805" s="4" t="s">
        <v>9</v>
      </c>
      <c r="C1805" s="4" t="s">
        <v>73</v>
      </c>
      <c r="D1805" s="4">
        <v>46139</v>
      </c>
      <c r="E1805" s="5">
        <v>0.26324074074074072</v>
      </c>
      <c r="F1805">
        <v>1</v>
      </c>
      <c r="G1805" t="s">
        <v>83</v>
      </c>
      <c r="H1805">
        <v>185.5</v>
      </c>
      <c r="M1805" t="s">
        <v>76</v>
      </c>
      <c r="N1805" t="s">
        <v>75</v>
      </c>
    </row>
    <row r="1806" spans="1:21" x14ac:dyDescent="0.25">
      <c r="A1806" t="s">
        <v>125</v>
      </c>
      <c r="B1806" s="4" t="s">
        <v>9</v>
      </c>
      <c r="C1806" s="4" t="s">
        <v>73</v>
      </c>
      <c r="D1806" s="4">
        <v>46139</v>
      </c>
      <c r="E1806" s="5">
        <v>0.26335648148148144</v>
      </c>
      <c r="F1806">
        <v>1</v>
      </c>
      <c r="G1806" t="s">
        <v>83</v>
      </c>
      <c r="H1806">
        <v>185.5</v>
      </c>
      <c r="M1806" t="s">
        <v>76</v>
      </c>
      <c r="N1806" t="s">
        <v>75</v>
      </c>
    </row>
    <row r="1807" spans="1:21" x14ac:dyDescent="0.25">
      <c r="A1807" t="s">
        <v>132</v>
      </c>
      <c r="B1807" s="4" t="s">
        <v>9</v>
      </c>
      <c r="C1807" s="4" t="s">
        <v>70</v>
      </c>
      <c r="D1807" s="4">
        <v>46139</v>
      </c>
      <c r="E1807" s="5">
        <v>0.26513888888888887</v>
      </c>
      <c r="F1807">
        <v>1</v>
      </c>
      <c r="G1807" t="s">
        <v>83</v>
      </c>
      <c r="H1807">
        <v>4</v>
      </c>
      <c r="L1807" t="s">
        <v>133</v>
      </c>
      <c r="M1807" t="s">
        <v>71</v>
      </c>
      <c r="N1807" t="s">
        <v>75</v>
      </c>
      <c r="O1807">
        <v>1</v>
      </c>
      <c r="R1807">
        <v>1</v>
      </c>
      <c r="S1807">
        <v>1</v>
      </c>
      <c r="U1807">
        <v>0.66666666666666663</v>
      </c>
    </row>
    <row r="1808" spans="1:21" x14ac:dyDescent="0.25">
      <c r="A1808" t="s">
        <v>133</v>
      </c>
      <c r="B1808" s="4" t="s">
        <v>9</v>
      </c>
      <c r="C1808" s="4" t="s">
        <v>73</v>
      </c>
      <c r="D1808" s="4">
        <v>46139</v>
      </c>
      <c r="E1808" s="5">
        <v>0.26513888888888887</v>
      </c>
      <c r="F1808">
        <v>1</v>
      </c>
      <c r="G1808" t="s">
        <v>83</v>
      </c>
      <c r="H1808">
        <v>5.333333333333333</v>
      </c>
      <c r="M1808" t="s">
        <v>74</v>
      </c>
      <c r="N1808" t="s">
        <v>75</v>
      </c>
    </row>
    <row r="1809" spans="1:21" x14ac:dyDescent="0.25">
      <c r="A1809" t="s">
        <v>133</v>
      </c>
      <c r="B1809" s="4" t="s">
        <v>9</v>
      </c>
      <c r="C1809" s="4" t="s">
        <v>73</v>
      </c>
      <c r="D1809" s="4">
        <v>46139</v>
      </c>
      <c r="E1809" s="5">
        <v>0.26513888888888887</v>
      </c>
      <c r="F1809">
        <v>1</v>
      </c>
      <c r="G1809" t="s">
        <v>83</v>
      </c>
      <c r="H1809">
        <v>0.66666666666666663</v>
      </c>
      <c r="M1809" t="s">
        <v>74</v>
      </c>
      <c r="N1809" t="s">
        <v>75</v>
      </c>
    </row>
    <row r="1810" spans="1:21" x14ac:dyDescent="0.25">
      <c r="A1810" t="s">
        <v>133</v>
      </c>
      <c r="B1810" s="4" t="s">
        <v>9</v>
      </c>
      <c r="C1810" s="4" t="s">
        <v>73</v>
      </c>
      <c r="D1810" s="4">
        <v>46139</v>
      </c>
      <c r="E1810" s="5">
        <v>0.26513888888888887</v>
      </c>
      <c r="F1810">
        <v>1</v>
      </c>
      <c r="G1810" t="s">
        <v>83</v>
      </c>
      <c r="H1810">
        <v>0</v>
      </c>
      <c r="M1810" t="s">
        <v>74</v>
      </c>
      <c r="N1810" t="s">
        <v>75</v>
      </c>
    </row>
    <row r="1811" spans="1:21" x14ac:dyDescent="0.25">
      <c r="A1811" t="s">
        <v>136</v>
      </c>
      <c r="B1811" s="4" t="s">
        <v>9</v>
      </c>
      <c r="C1811" s="4" t="s">
        <v>70</v>
      </c>
      <c r="D1811" s="4">
        <v>46139</v>
      </c>
      <c r="E1811" s="5">
        <v>0.26655092592592594</v>
      </c>
      <c r="F1811">
        <v>1</v>
      </c>
      <c r="G1811" t="s">
        <v>83</v>
      </c>
      <c r="H1811">
        <v>5</v>
      </c>
      <c r="L1811" t="s">
        <v>137</v>
      </c>
      <c r="M1811" t="s">
        <v>71</v>
      </c>
      <c r="N1811" t="s">
        <v>75</v>
      </c>
      <c r="O1811">
        <v>1</v>
      </c>
      <c r="R1811">
        <v>1</v>
      </c>
      <c r="S1811">
        <v>1</v>
      </c>
      <c r="T1811">
        <v>22</v>
      </c>
    </row>
    <row r="1812" spans="1:21" x14ac:dyDescent="0.25">
      <c r="A1812" t="s">
        <v>137</v>
      </c>
      <c r="B1812" s="4" t="s">
        <v>9</v>
      </c>
      <c r="C1812" s="4" t="s">
        <v>73</v>
      </c>
      <c r="D1812" s="4">
        <v>46139</v>
      </c>
      <c r="E1812" s="5">
        <v>0.26655092592592594</v>
      </c>
      <c r="F1812">
        <v>1</v>
      </c>
      <c r="G1812" t="s">
        <v>83</v>
      </c>
      <c r="H1812">
        <v>22.75</v>
      </c>
      <c r="M1812" t="s">
        <v>74</v>
      </c>
      <c r="N1812" t="s">
        <v>75</v>
      </c>
    </row>
    <row r="1813" spans="1:21" x14ac:dyDescent="0.25">
      <c r="A1813" t="s">
        <v>137</v>
      </c>
      <c r="B1813" s="4" t="s">
        <v>9</v>
      </c>
      <c r="C1813" s="4" t="s">
        <v>73</v>
      </c>
      <c r="D1813" s="4">
        <v>46139</v>
      </c>
      <c r="E1813" s="5">
        <v>0.26741898148148147</v>
      </c>
      <c r="F1813">
        <v>1</v>
      </c>
      <c r="G1813" t="s">
        <v>83</v>
      </c>
      <c r="H1813">
        <v>22</v>
      </c>
      <c r="M1813" t="s">
        <v>76</v>
      </c>
      <c r="N1813" t="s">
        <v>75</v>
      </c>
    </row>
    <row r="1814" spans="1:21" x14ac:dyDescent="0.25">
      <c r="A1814" t="s">
        <v>142</v>
      </c>
      <c r="B1814" s="4" t="s">
        <v>9</v>
      </c>
      <c r="C1814" s="4" t="s">
        <v>70</v>
      </c>
      <c r="D1814" s="4">
        <v>46139</v>
      </c>
      <c r="E1814" s="5">
        <v>0.26802083333333332</v>
      </c>
      <c r="F1814">
        <v>1</v>
      </c>
      <c r="G1814" t="s">
        <v>83</v>
      </c>
      <c r="H1814">
        <v>4</v>
      </c>
      <c r="L1814" t="s">
        <v>143</v>
      </c>
      <c r="M1814" t="s">
        <v>71</v>
      </c>
      <c r="N1814" t="s">
        <v>75</v>
      </c>
      <c r="O1814">
        <v>1</v>
      </c>
      <c r="S1814">
        <v>1</v>
      </c>
      <c r="T1814">
        <v>73.5</v>
      </c>
    </row>
    <row r="1815" spans="1:21" x14ac:dyDescent="0.25">
      <c r="A1815" t="s">
        <v>143</v>
      </c>
      <c r="B1815" s="4" t="s">
        <v>9</v>
      </c>
      <c r="C1815" s="4" t="s">
        <v>73</v>
      </c>
      <c r="D1815" s="4">
        <v>46139</v>
      </c>
      <c r="E1815" s="5">
        <v>0.26802083333333332</v>
      </c>
      <c r="F1815">
        <v>1</v>
      </c>
      <c r="G1815" t="s">
        <v>83</v>
      </c>
      <c r="H1815">
        <v>73.5</v>
      </c>
      <c r="M1815" t="s">
        <v>84</v>
      </c>
      <c r="N1815" t="s">
        <v>75</v>
      </c>
    </row>
    <row r="1816" spans="1:21" x14ac:dyDescent="0.25">
      <c r="A1816" t="s">
        <v>143</v>
      </c>
      <c r="B1816" s="4" t="s">
        <v>9</v>
      </c>
      <c r="C1816" s="4" t="s">
        <v>73</v>
      </c>
      <c r="D1816" s="4">
        <v>46139</v>
      </c>
      <c r="E1816" s="5">
        <v>0.26819444444444446</v>
      </c>
      <c r="F1816">
        <v>1</v>
      </c>
      <c r="G1816" t="s">
        <v>83</v>
      </c>
      <c r="H1816">
        <v>73.5</v>
      </c>
      <c r="M1816" t="s">
        <v>76</v>
      </c>
      <c r="N1816" t="s">
        <v>75</v>
      </c>
    </row>
    <row r="1817" spans="1:21" x14ac:dyDescent="0.25">
      <c r="A1817" t="s">
        <v>147</v>
      </c>
      <c r="B1817" s="4" t="s">
        <v>9</v>
      </c>
      <c r="C1817" s="4" t="s">
        <v>70</v>
      </c>
      <c r="D1817" s="4">
        <v>46139</v>
      </c>
      <c r="E1817" s="5">
        <v>0.26878472222222222</v>
      </c>
      <c r="F1817">
        <v>1</v>
      </c>
      <c r="G1817" t="s">
        <v>83</v>
      </c>
      <c r="H1817">
        <v>3</v>
      </c>
      <c r="L1817" t="s">
        <v>148</v>
      </c>
      <c r="M1817" t="s">
        <v>71</v>
      </c>
      <c r="N1817" t="s">
        <v>75</v>
      </c>
      <c r="O1817">
        <v>1</v>
      </c>
      <c r="S1817">
        <v>1</v>
      </c>
      <c r="T1817">
        <v>69.083333333333329</v>
      </c>
    </row>
    <row r="1818" spans="1:21" x14ac:dyDescent="0.25">
      <c r="A1818" t="s">
        <v>148</v>
      </c>
      <c r="B1818" s="4" t="s">
        <v>9</v>
      </c>
      <c r="C1818" s="4" t="s">
        <v>73</v>
      </c>
      <c r="D1818" s="4">
        <v>46139</v>
      </c>
      <c r="E1818" s="5">
        <v>0.26878472222222222</v>
      </c>
      <c r="F1818">
        <v>1</v>
      </c>
      <c r="G1818" t="s">
        <v>83</v>
      </c>
      <c r="H1818">
        <v>69.083333333333329</v>
      </c>
      <c r="M1818" t="s">
        <v>74</v>
      </c>
      <c r="N1818" t="s">
        <v>75</v>
      </c>
    </row>
    <row r="1819" spans="1:21" x14ac:dyDescent="0.25">
      <c r="A1819" t="s">
        <v>148</v>
      </c>
      <c r="B1819" s="4" t="s">
        <v>9</v>
      </c>
      <c r="C1819" s="4" t="s">
        <v>73</v>
      </c>
      <c r="D1819" s="4">
        <v>46139</v>
      </c>
      <c r="E1819" s="5">
        <v>0.26888888888888884</v>
      </c>
      <c r="F1819">
        <v>1</v>
      </c>
      <c r="G1819" t="s">
        <v>83</v>
      </c>
      <c r="H1819">
        <v>69.083333333333329</v>
      </c>
      <c r="M1819" t="s">
        <v>76</v>
      </c>
      <c r="N1819" t="s">
        <v>75</v>
      </c>
    </row>
    <row r="1820" spans="1:21" x14ac:dyDescent="0.25">
      <c r="A1820" t="s">
        <v>151</v>
      </c>
      <c r="B1820" s="4" t="s">
        <v>9</v>
      </c>
      <c r="C1820" s="4" t="s">
        <v>70</v>
      </c>
      <c r="D1820" s="4">
        <v>46139</v>
      </c>
      <c r="E1820" s="5">
        <v>0.26978009259259256</v>
      </c>
      <c r="F1820">
        <v>1</v>
      </c>
      <c r="G1820" t="s">
        <v>83</v>
      </c>
      <c r="H1820">
        <v>18.5</v>
      </c>
      <c r="L1820" t="s">
        <v>152</v>
      </c>
      <c r="M1820" t="s">
        <v>71</v>
      </c>
      <c r="N1820" t="s">
        <v>75</v>
      </c>
      <c r="O1820">
        <v>1</v>
      </c>
      <c r="Q1820">
        <v>1</v>
      </c>
      <c r="S1820">
        <v>1</v>
      </c>
      <c r="U1820">
        <v>0.33333333333333331</v>
      </c>
    </row>
    <row r="1821" spans="1:21" x14ac:dyDescent="0.25">
      <c r="A1821" t="s">
        <v>152</v>
      </c>
      <c r="B1821" s="4" t="s">
        <v>9</v>
      </c>
      <c r="C1821" s="4" t="s">
        <v>73</v>
      </c>
      <c r="D1821" s="4">
        <v>46139</v>
      </c>
      <c r="E1821" s="5">
        <v>0.26978009259259256</v>
      </c>
      <c r="F1821">
        <v>1</v>
      </c>
      <c r="G1821" t="s">
        <v>83</v>
      </c>
      <c r="H1821">
        <v>2.833333333333333</v>
      </c>
      <c r="M1821" t="s">
        <v>84</v>
      </c>
      <c r="N1821" t="s">
        <v>75</v>
      </c>
    </row>
    <row r="1822" spans="1:21" x14ac:dyDescent="0.25">
      <c r="A1822" t="s">
        <v>152</v>
      </c>
      <c r="B1822" s="4" t="s">
        <v>9</v>
      </c>
      <c r="C1822" s="4" t="s">
        <v>73</v>
      </c>
      <c r="D1822" s="4">
        <v>46139</v>
      </c>
      <c r="E1822" s="5">
        <v>0.26978009259259256</v>
      </c>
      <c r="F1822">
        <v>1</v>
      </c>
      <c r="G1822" t="s">
        <v>83</v>
      </c>
      <c r="H1822">
        <v>0.33333333333333331</v>
      </c>
      <c r="M1822" t="s">
        <v>84</v>
      </c>
      <c r="N1822" t="s">
        <v>75</v>
      </c>
    </row>
    <row r="1823" spans="1:21" x14ac:dyDescent="0.25">
      <c r="A1823" t="s">
        <v>152</v>
      </c>
      <c r="B1823" s="4" t="s">
        <v>9</v>
      </c>
      <c r="C1823" s="4" t="s">
        <v>73</v>
      </c>
      <c r="D1823" s="4">
        <v>46139</v>
      </c>
      <c r="E1823" s="5">
        <v>0.26978009259259256</v>
      </c>
      <c r="F1823">
        <v>1</v>
      </c>
      <c r="G1823" t="s">
        <v>83</v>
      </c>
      <c r="H1823">
        <v>0</v>
      </c>
      <c r="M1823" t="s">
        <v>84</v>
      </c>
      <c r="N1823" t="s">
        <v>75</v>
      </c>
    </row>
    <row r="1824" spans="1:21" x14ac:dyDescent="0.25">
      <c r="A1824" t="s">
        <v>155</v>
      </c>
      <c r="B1824" s="4" t="s">
        <v>9</v>
      </c>
      <c r="C1824" s="4" t="s">
        <v>70</v>
      </c>
      <c r="D1824" s="4">
        <v>46139</v>
      </c>
      <c r="E1824" s="5">
        <v>0.270474537037037</v>
      </c>
      <c r="F1824">
        <v>1</v>
      </c>
      <c r="G1824" t="s">
        <v>83</v>
      </c>
      <c r="H1824">
        <v>3</v>
      </c>
      <c r="L1824" t="s">
        <v>156</v>
      </c>
      <c r="M1824" t="s">
        <v>71</v>
      </c>
      <c r="N1824" t="s">
        <v>75</v>
      </c>
      <c r="O1824">
        <v>1</v>
      </c>
    </row>
    <row r="1825" spans="1:20" x14ac:dyDescent="0.25">
      <c r="A1825" t="s">
        <v>156</v>
      </c>
      <c r="B1825" s="4" t="s">
        <v>9</v>
      </c>
      <c r="C1825" s="4" t="s">
        <v>73</v>
      </c>
      <c r="D1825" s="4">
        <v>46139</v>
      </c>
      <c r="E1825" s="5">
        <v>0.270474537037037</v>
      </c>
      <c r="F1825">
        <v>1</v>
      </c>
      <c r="G1825" t="s">
        <v>83</v>
      </c>
      <c r="H1825">
        <v>56.583333333333329</v>
      </c>
      <c r="M1825" t="s">
        <v>84</v>
      </c>
      <c r="N1825" t="s">
        <v>75</v>
      </c>
    </row>
    <row r="1826" spans="1:20" x14ac:dyDescent="0.25">
      <c r="A1826" t="s">
        <v>158</v>
      </c>
      <c r="B1826" s="4" t="s">
        <v>9</v>
      </c>
      <c r="C1826" s="4" t="s">
        <v>70</v>
      </c>
      <c r="D1826" s="4">
        <v>46139</v>
      </c>
      <c r="E1826" s="5">
        <v>0.27087962962962964</v>
      </c>
      <c r="F1826">
        <v>1</v>
      </c>
      <c r="G1826" t="s">
        <v>83</v>
      </c>
      <c r="H1826">
        <v>23.166666666666664</v>
      </c>
      <c r="L1826" t="s">
        <v>156</v>
      </c>
      <c r="M1826" t="s">
        <v>71</v>
      </c>
      <c r="N1826" t="s">
        <v>75</v>
      </c>
      <c r="P1826">
        <v>1</v>
      </c>
      <c r="S1826">
        <v>1</v>
      </c>
      <c r="T1826">
        <v>59.75</v>
      </c>
    </row>
    <row r="1827" spans="1:20" x14ac:dyDescent="0.25">
      <c r="A1827" t="s">
        <v>156</v>
      </c>
      <c r="B1827" s="4" t="s">
        <v>9</v>
      </c>
      <c r="C1827" s="4" t="s">
        <v>73</v>
      </c>
      <c r="D1827" s="4">
        <v>46139</v>
      </c>
      <c r="E1827" s="5">
        <v>0.27087962962962964</v>
      </c>
      <c r="F1827">
        <v>1</v>
      </c>
      <c r="G1827" t="s">
        <v>83</v>
      </c>
      <c r="H1827">
        <v>33.416666666666664</v>
      </c>
      <c r="M1827" t="s">
        <v>84</v>
      </c>
      <c r="N1827" t="s">
        <v>75</v>
      </c>
    </row>
    <row r="1828" spans="1:20" x14ac:dyDescent="0.25">
      <c r="A1828" t="s">
        <v>156</v>
      </c>
      <c r="B1828" s="4" t="s">
        <v>9</v>
      </c>
      <c r="C1828" s="4" t="s">
        <v>73</v>
      </c>
      <c r="D1828" s="4">
        <v>46139</v>
      </c>
      <c r="E1828" s="5">
        <v>0.27136574074074071</v>
      </c>
      <c r="F1828">
        <v>1</v>
      </c>
      <c r="G1828" t="s">
        <v>83</v>
      </c>
      <c r="H1828">
        <v>33.083333333333329</v>
      </c>
      <c r="M1828" t="s">
        <v>76</v>
      </c>
      <c r="N1828" t="s">
        <v>75</v>
      </c>
    </row>
    <row r="1829" spans="1:20" x14ac:dyDescent="0.25">
      <c r="A1829" t="s">
        <v>156</v>
      </c>
      <c r="B1829" s="4" t="s">
        <v>9</v>
      </c>
      <c r="C1829" s="4" t="s">
        <v>73</v>
      </c>
      <c r="D1829" s="4">
        <v>46139</v>
      </c>
      <c r="E1829" s="5">
        <v>0.27263888888888888</v>
      </c>
      <c r="F1829">
        <v>1</v>
      </c>
      <c r="G1829" t="s">
        <v>83</v>
      </c>
      <c r="H1829">
        <v>59.75</v>
      </c>
      <c r="M1829" t="s">
        <v>76</v>
      </c>
      <c r="N1829" t="s">
        <v>75</v>
      </c>
    </row>
    <row r="1830" spans="1:20" x14ac:dyDescent="0.25">
      <c r="A1830" t="s">
        <v>172</v>
      </c>
      <c r="B1830" s="4" t="s">
        <v>9</v>
      </c>
      <c r="C1830" s="4" t="s">
        <v>70</v>
      </c>
      <c r="D1830" s="4">
        <v>46139</v>
      </c>
      <c r="E1830" s="5">
        <v>0.27658564814814812</v>
      </c>
      <c r="F1830">
        <v>1</v>
      </c>
      <c r="G1830" t="s">
        <v>83</v>
      </c>
      <c r="H1830">
        <v>44</v>
      </c>
      <c r="L1830" t="s">
        <v>173</v>
      </c>
      <c r="M1830" t="s">
        <v>71</v>
      </c>
      <c r="N1830" t="s">
        <v>75</v>
      </c>
      <c r="O1830">
        <v>1</v>
      </c>
      <c r="S1830">
        <v>1</v>
      </c>
      <c r="T1830">
        <v>67</v>
      </c>
    </row>
    <row r="1831" spans="1:20" x14ac:dyDescent="0.25">
      <c r="A1831" t="s">
        <v>173</v>
      </c>
      <c r="B1831" s="4" t="s">
        <v>9</v>
      </c>
      <c r="C1831" s="4" t="s">
        <v>73</v>
      </c>
      <c r="D1831" s="4">
        <v>46139</v>
      </c>
      <c r="E1831" s="5">
        <v>0.27658564814814812</v>
      </c>
      <c r="F1831">
        <v>1</v>
      </c>
      <c r="G1831" t="s">
        <v>83</v>
      </c>
      <c r="H1831">
        <v>68.583333333333329</v>
      </c>
      <c r="M1831" t="s">
        <v>74</v>
      </c>
      <c r="N1831" t="s">
        <v>75</v>
      </c>
    </row>
    <row r="1832" spans="1:20" x14ac:dyDescent="0.25">
      <c r="A1832" t="s">
        <v>173</v>
      </c>
      <c r="B1832" s="4" t="s">
        <v>9</v>
      </c>
      <c r="C1832" s="4" t="s">
        <v>73</v>
      </c>
      <c r="D1832" s="4">
        <v>46139</v>
      </c>
      <c r="E1832" s="5">
        <v>0.27730324074074075</v>
      </c>
      <c r="F1832">
        <v>1</v>
      </c>
      <c r="G1832" t="s">
        <v>83</v>
      </c>
      <c r="H1832">
        <v>67</v>
      </c>
      <c r="M1832" t="s">
        <v>76</v>
      </c>
      <c r="N1832" t="s">
        <v>75</v>
      </c>
    </row>
    <row r="1833" spans="1:20" x14ac:dyDescent="0.25">
      <c r="A1833" t="s">
        <v>177</v>
      </c>
      <c r="B1833" s="4" t="s">
        <v>9</v>
      </c>
      <c r="C1833" s="4" t="s">
        <v>70</v>
      </c>
      <c r="D1833" s="4">
        <v>46139</v>
      </c>
      <c r="E1833" s="5">
        <v>0.27810185185185182</v>
      </c>
      <c r="F1833">
        <v>1</v>
      </c>
      <c r="G1833" t="s">
        <v>83</v>
      </c>
      <c r="H1833">
        <v>4</v>
      </c>
      <c r="L1833" t="s">
        <v>178</v>
      </c>
      <c r="M1833" t="s">
        <v>71</v>
      </c>
      <c r="N1833" t="s">
        <v>75</v>
      </c>
      <c r="O1833">
        <v>1</v>
      </c>
      <c r="R1833">
        <v>1</v>
      </c>
      <c r="S1833">
        <v>1</v>
      </c>
      <c r="T1833">
        <v>26.333333333333332</v>
      </c>
    </row>
    <row r="1834" spans="1:20" x14ac:dyDescent="0.25">
      <c r="A1834" t="s">
        <v>178</v>
      </c>
      <c r="B1834" s="4" t="s">
        <v>9</v>
      </c>
      <c r="C1834" s="4" t="s">
        <v>73</v>
      </c>
      <c r="D1834" s="4">
        <v>46139</v>
      </c>
      <c r="E1834" s="5">
        <v>0.27811342592592592</v>
      </c>
      <c r="F1834">
        <v>1</v>
      </c>
      <c r="G1834" t="s">
        <v>83</v>
      </c>
      <c r="H1834">
        <v>26.416666666666668</v>
      </c>
      <c r="L1834" t="s">
        <v>179</v>
      </c>
      <c r="M1834" t="s">
        <v>84</v>
      </c>
      <c r="N1834" t="s">
        <v>75</v>
      </c>
    </row>
    <row r="1835" spans="1:20" x14ac:dyDescent="0.25">
      <c r="A1835" t="s">
        <v>178</v>
      </c>
      <c r="B1835" s="4" t="s">
        <v>9</v>
      </c>
      <c r="C1835" s="4" t="s">
        <v>73</v>
      </c>
      <c r="D1835" s="4">
        <v>46139</v>
      </c>
      <c r="E1835" s="5">
        <v>0.27891203703703704</v>
      </c>
      <c r="F1835">
        <v>1</v>
      </c>
      <c r="G1835" t="s">
        <v>83</v>
      </c>
      <c r="H1835">
        <v>26.333333333333332</v>
      </c>
      <c r="L1835" t="s">
        <v>179</v>
      </c>
      <c r="M1835" t="s">
        <v>76</v>
      </c>
      <c r="N1835" t="s">
        <v>75</v>
      </c>
    </row>
    <row r="1836" spans="1:20" x14ac:dyDescent="0.25">
      <c r="A1836" t="s">
        <v>186</v>
      </c>
      <c r="B1836" s="4" t="s">
        <v>9</v>
      </c>
      <c r="C1836" s="4" t="s">
        <v>70</v>
      </c>
      <c r="D1836" s="4">
        <v>46139</v>
      </c>
      <c r="E1836" s="5">
        <v>0.28119212962962958</v>
      </c>
      <c r="F1836">
        <v>1</v>
      </c>
      <c r="G1836" t="s">
        <v>83</v>
      </c>
      <c r="H1836">
        <v>7</v>
      </c>
      <c r="L1836" t="s">
        <v>187</v>
      </c>
      <c r="M1836" t="s">
        <v>71</v>
      </c>
      <c r="N1836" t="s">
        <v>75</v>
      </c>
      <c r="O1836">
        <v>1</v>
      </c>
      <c r="S1836">
        <v>1</v>
      </c>
      <c r="T1836">
        <v>89</v>
      </c>
    </row>
    <row r="1837" spans="1:20" x14ac:dyDescent="0.25">
      <c r="A1837" t="s">
        <v>187</v>
      </c>
      <c r="B1837" s="4" t="s">
        <v>9</v>
      </c>
      <c r="C1837" s="4" t="s">
        <v>73</v>
      </c>
      <c r="D1837" s="4">
        <v>46139</v>
      </c>
      <c r="E1837" s="5">
        <v>0.28119212962962958</v>
      </c>
      <c r="F1837">
        <v>1</v>
      </c>
      <c r="G1837" t="s">
        <v>83</v>
      </c>
      <c r="H1837">
        <v>89.083333333333329</v>
      </c>
      <c r="M1837" t="s">
        <v>74</v>
      </c>
      <c r="N1837" t="s">
        <v>75</v>
      </c>
    </row>
    <row r="1838" spans="1:20" x14ac:dyDescent="0.25">
      <c r="A1838" t="s">
        <v>187</v>
      </c>
      <c r="B1838" s="4" t="s">
        <v>9</v>
      </c>
      <c r="C1838" s="4" t="s">
        <v>73</v>
      </c>
      <c r="D1838" s="4">
        <v>46139</v>
      </c>
      <c r="E1838" s="5">
        <v>0.28119212962962958</v>
      </c>
      <c r="F1838">
        <v>1</v>
      </c>
      <c r="G1838" t="s">
        <v>83</v>
      </c>
      <c r="H1838">
        <v>89</v>
      </c>
      <c r="M1838" t="s">
        <v>74</v>
      </c>
      <c r="N1838" t="s">
        <v>75</v>
      </c>
    </row>
    <row r="1839" spans="1:20" x14ac:dyDescent="0.25">
      <c r="A1839" t="s">
        <v>187</v>
      </c>
      <c r="B1839" s="4" t="s">
        <v>9</v>
      </c>
      <c r="C1839" s="4" t="s">
        <v>73</v>
      </c>
      <c r="D1839" s="4">
        <v>46139</v>
      </c>
      <c r="E1839" s="5">
        <v>0.28189814814814812</v>
      </c>
      <c r="F1839">
        <v>1</v>
      </c>
      <c r="G1839" t="s">
        <v>83</v>
      </c>
      <c r="H1839">
        <v>89</v>
      </c>
      <c r="M1839" t="s">
        <v>76</v>
      </c>
      <c r="N1839" t="s">
        <v>75</v>
      </c>
    </row>
    <row r="1840" spans="1:20" x14ac:dyDescent="0.25">
      <c r="A1840" t="s">
        <v>194</v>
      </c>
      <c r="B1840" s="4" t="s">
        <v>9</v>
      </c>
      <c r="C1840" s="4" t="s">
        <v>70</v>
      </c>
      <c r="D1840" s="4">
        <v>46139</v>
      </c>
      <c r="E1840" s="5">
        <v>0.28268518518518521</v>
      </c>
      <c r="F1840">
        <v>1</v>
      </c>
      <c r="G1840" t="s">
        <v>83</v>
      </c>
      <c r="H1840">
        <v>4</v>
      </c>
      <c r="L1840" t="s">
        <v>195</v>
      </c>
      <c r="M1840" t="s">
        <v>71</v>
      </c>
      <c r="N1840" t="s">
        <v>75</v>
      </c>
      <c r="O1840">
        <v>1</v>
      </c>
      <c r="R1840">
        <v>1</v>
      </c>
      <c r="S1840">
        <v>1</v>
      </c>
      <c r="T1840">
        <v>13.166666666666666</v>
      </c>
    </row>
    <row r="1841" spans="1:20" x14ac:dyDescent="0.25">
      <c r="A1841" t="s">
        <v>195</v>
      </c>
      <c r="B1841" s="4" t="s">
        <v>9</v>
      </c>
      <c r="C1841" s="4" t="s">
        <v>73</v>
      </c>
      <c r="D1841" s="4">
        <v>46139</v>
      </c>
      <c r="E1841" s="5">
        <v>0.28268518518518521</v>
      </c>
      <c r="F1841">
        <v>1</v>
      </c>
      <c r="G1841" t="s">
        <v>83</v>
      </c>
      <c r="H1841">
        <v>13.333333333333332</v>
      </c>
      <c r="M1841" t="s">
        <v>74</v>
      </c>
      <c r="N1841" t="s">
        <v>75</v>
      </c>
    </row>
    <row r="1842" spans="1:20" x14ac:dyDescent="0.25">
      <c r="A1842" t="s">
        <v>195</v>
      </c>
      <c r="B1842" s="4" t="s">
        <v>9</v>
      </c>
      <c r="C1842" s="4" t="s">
        <v>73</v>
      </c>
      <c r="D1842" s="4">
        <v>46139</v>
      </c>
      <c r="E1842" s="5">
        <v>0.28268518518518521</v>
      </c>
      <c r="F1842">
        <v>1</v>
      </c>
      <c r="G1842" t="s">
        <v>83</v>
      </c>
      <c r="H1842">
        <v>13.25</v>
      </c>
      <c r="M1842" t="s">
        <v>74</v>
      </c>
      <c r="N1842" t="s">
        <v>75</v>
      </c>
    </row>
    <row r="1843" spans="1:20" x14ac:dyDescent="0.25">
      <c r="A1843" t="s">
        <v>195</v>
      </c>
      <c r="B1843" s="4" t="s">
        <v>9</v>
      </c>
      <c r="C1843" s="4" t="s">
        <v>73</v>
      </c>
      <c r="D1843" s="4">
        <v>46139</v>
      </c>
      <c r="E1843" s="5">
        <v>0.28322916666666664</v>
      </c>
      <c r="F1843">
        <v>1</v>
      </c>
      <c r="G1843" t="s">
        <v>83</v>
      </c>
      <c r="H1843">
        <v>13.166666666666666</v>
      </c>
      <c r="M1843" t="s">
        <v>76</v>
      </c>
      <c r="N1843" t="s">
        <v>75</v>
      </c>
    </row>
    <row r="1844" spans="1:20" x14ac:dyDescent="0.25">
      <c r="A1844" t="s">
        <v>199</v>
      </c>
      <c r="B1844" s="4" t="s">
        <v>9</v>
      </c>
      <c r="C1844" s="4" t="s">
        <v>70</v>
      </c>
      <c r="D1844" s="4">
        <v>46139</v>
      </c>
      <c r="E1844" s="5">
        <v>0.28402777777777777</v>
      </c>
      <c r="F1844">
        <v>1</v>
      </c>
      <c r="G1844" t="s">
        <v>83</v>
      </c>
      <c r="H1844">
        <v>4</v>
      </c>
      <c r="L1844" t="s">
        <v>200</v>
      </c>
      <c r="M1844" t="s">
        <v>71</v>
      </c>
      <c r="N1844" t="s">
        <v>75</v>
      </c>
      <c r="O1844">
        <v>1</v>
      </c>
      <c r="S1844">
        <v>1</v>
      </c>
      <c r="T1844">
        <v>30.083333333333332</v>
      </c>
    </row>
    <row r="1845" spans="1:20" x14ac:dyDescent="0.25">
      <c r="A1845" t="s">
        <v>200</v>
      </c>
      <c r="B1845" s="4" t="s">
        <v>9</v>
      </c>
      <c r="C1845" s="4" t="s">
        <v>73</v>
      </c>
      <c r="D1845" s="4">
        <v>46139</v>
      </c>
      <c r="E1845" s="5">
        <v>0.28402777777777777</v>
      </c>
      <c r="F1845">
        <v>1</v>
      </c>
      <c r="G1845" t="s">
        <v>83</v>
      </c>
      <c r="H1845">
        <v>31.583333333333332</v>
      </c>
      <c r="M1845" t="s">
        <v>74</v>
      </c>
      <c r="N1845" t="s">
        <v>75</v>
      </c>
    </row>
    <row r="1846" spans="1:20" x14ac:dyDescent="0.25">
      <c r="A1846" t="s">
        <v>200</v>
      </c>
      <c r="B1846" s="4" t="s">
        <v>9</v>
      </c>
      <c r="C1846" s="4" t="s">
        <v>73</v>
      </c>
      <c r="D1846" s="4">
        <v>46139</v>
      </c>
      <c r="E1846" s="5">
        <v>0.28464120370370366</v>
      </c>
      <c r="F1846">
        <v>1</v>
      </c>
      <c r="G1846" t="s">
        <v>83</v>
      </c>
      <c r="H1846">
        <v>30.083333333333332</v>
      </c>
      <c r="M1846" t="s">
        <v>76</v>
      </c>
      <c r="N1846" t="s">
        <v>75</v>
      </c>
    </row>
    <row r="1847" spans="1:20" x14ac:dyDescent="0.25">
      <c r="A1847" t="s">
        <v>203</v>
      </c>
      <c r="B1847" s="4" t="s">
        <v>9</v>
      </c>
      <c r="C1847" s="4" t="s">
        <v>70</v>
      </c>
      <c r="D1847" s="4">
        <v>46139</v>
      </c>
      <c r="E1847" s="5">
        <v>0.28539351851851852</v>
      </c>
      <c r="F1847">
        <v>1</v>
      </c>
      <c r="G1847" t="s">
        <v>83</v>
      </c>
      <c r="H1847">
        <v>0.5</v>
      </c>
      <c r="L1847" t="s">
        <v>204</v>
      </c>
      <c r="M1847" t="s">
        <v>71</v>
      </c>
      <c r="N1847" t="s">
        <v>77</v>
      </c>
      <c r="O1847">
        <v>1</v>
      </c>
    </row>
    <row r="1848" spans="1:20" x14ac:dyDescent="0.25">
      <c r="A1848" t="s">
        <v>204</v>
      </c>
      <c r="B1848" s="4" t="s">
        <v>9</v>
      </c>
      <c r="C1848" s="4" t="s">
        <v>73</v>
      </c>
      <c r="D1848" s="4">
        <v>46139</v>
      </c>
      <c r="E1848" s="5">
        <v>0.28539351851851852</v>
      </c>
      <c r="F1848">
        <v>1</v>
      </c>
      <c r="G1848" t="s">
        <v>83</v>
      </c>
      <c r="H1848">
        <v>41.333333333333336</v>
      </c>
      <c r="M1848" t="s">
        <v>84</v>
      </c>
      <c r="N1848" t="s">
        <v>77</v>
      </c>
    </row>
    <row r="1849" spans="1:20" x14ac:dyDescent="0.25">
      <c r="A1849" t="s">
        <v>206</v>
      </c>
      <c r="B1849" s="4" t="s">
        <v>9</v>
      </c>
      <c r="C1849" s="4" t="s">
        <v>70</v>
      </c>
      <c r="D1849" s="4">
        <v>46139</v>
      </c>
      <c r="E1849" s="5">
        <v>0.28548611111111105</v>
      </c>
      <c r="F1849">
        <v>1</v>
      </c>
      <c r="G1849" t="s">
        <v>83</v>
      </c>
      <c r="H1849">
        <v>0.5</v>
      </c>
      <c r="L1849" t="s">
        <v>204</v>
      </c>
      <c r="M1849" t="s">
        <v>71</v>
      </c>
      <c r="N1849" t="s">
        <v>77</v>
      </c>
      <c r="P1849">
        <v>1</v>
      </c>
      <c r="S1849">
        <v>1</v>
      </c>
      <c r="T1849">
        <v>40.416666666666664</v>
      </c>
    </row>
    <row r="1850" spans="1:20" x14ac:dyDescent="0.25">
      <c r="A1850" t="s">
        <v>204</v>
      </c>
      <c r="B1850" s="4" t="s">
        <v>9</v>
      </c>
      <c r="C1850" s="4" t="s">
        <v>73</v>
      </c>
      <c r="D1850" s="4">
        <v>46139</v>
      </c>
      <c r="E1850" s="5">
        <v>0.28548611111111105</v>
      </c>
      <c r="F1850">
        <v>1</v>
      </c>
      <c r="G1850" t="s">
        <v>83</v>
      </c>
      <c r="H1850">
        <v>40.833333333333329</v>
      </c>
      <c r="M1850" t="s">
        <v>84</v>
      </c>
      <c r="N1850" t="s">
        <v>77</v>
      </c>
    </row>
    <row r="1851" spans="1:20" x14ac:dyDescent="0.25">
      <c r="A1851" t="s">
        <v>204</v>
      </c>
      <c r="B1851" s="4" t="s">
        <v>9</v>
      </c>
      <c r="C1851" s="4" t="s">
        <v>73</v>
      </c>
      <c r="D1851" s="4">
        <v>46139</v>
      </c>
      <c r="E1851" s="5">
        <v>0.2913310185185185</v>
      </c>
      <c r="F1851">
        <v>1</v>
      </c>
      <c r="G1851" t="s">
        <v>83</v>
      </c>
      <c r="H1851">
        <v>40.416666666666664</v>
      </c>
      <c r="M1851" t="s">
        <v>76</v>
      </c>
      <c r="N1851" t="s">
        <v>77</v>
      </c>
    </row>
    <row r="1852" spans="1:20" x14ac:dyDescent="0.25">
      <c r="A1852" t="s">
        <v>222</v>
      </c>
      <c r="B1852" s="4" t="s">
        <v>9</v>
      </c>
      <c r="C1852" s="4" t="s">
        <v>70</v>
      </c>
      <c r="D1852" s="4">
        <v>46139</v>
      </c>
      <c r="E1852" s="5">
        <v>0.29204861111111108</v>
      </c>
      <c r="F1852">
        <v>1</v>
      </c>
      <c r="G1852" t="s">
        <v>83</v>
      </c>
      <c r="H1852">
        <v>5</v>
      </c>
      <c r="L1852" t="s">
        <v>223</v>
      </c>
      <c r="M1852" t="s">
        <v>71</v>
      </c>
      <c r="N1852" t="s">
        <v>75</v>
      </c>
      <c r="O1852">
        <v>1</v>
      </c>
      <c r="S1852">
        <v>1</v>
      </c>
      <c r="T1852">
        <v>67.833333333333329</v>
      </c>
    </row>
    <row r="1853" spans="1:20" x14ac:dyDescent="0.25">
      <c r="A1853" t="s">
        <v>223</v>
      </c>
      <c r="B1853" s="4" t="s">
        <v>9</v>
      </c>
      <c r="C1853" s="4" t="s">
        <v>73</v>
      </c>
      <c r="D1853" s="4">
        <v>46139</v>
      </c>
      <c r="E1853" s="5">
        <v>0.29204861111111108</v>
      </c>
      <c r="F1853">
        <v>1</v>
      </c>
      <c r="G1853" t="s">
        <v>83</v>
      </c>
      <c r="H1853">
        <v>67.916666666666671</v>
      </c>
      <c r="M1853" t="s">
        <v>74</v>
      </c>
      <c r="N1853" t="s">
        <v>75</v>
      </c>
    </row>
    <row r="1854" spans="1:20" x14ac:dyDescent="0.25">
      <c r="A1854" t="s">
        <v>223</v>
      </c>
      <c r="B1854" s="4" t="s">
        <v>9</v>
      </c>
      <c r="C1854" s="4" t="s">
        <v>73</v>
      </c>
      <c r="D1854" s="4">
        <v>46139</v>
      </c>
      <c r="E1854" s="5">
        <v>0.29204861111111108</v>
      </c>
      <c r="F1854">
        <v>1</v>
      </c>
      <c r="G1854" t="s">
        <v>83</v>
      </c>
      <c r="H1854">
        <v>67.833333333333329</v>
      </c>
      <c r="M1854" t="s">
        <v>74</v>
      </c>
      <c r="N1854" t="s">
        <v>75</v>
      </c>
    </row>
    <row r="1855" spans="1:20" x14ac:dyDescent="0.25">
      <c r="A1855" t="s">
        <v>223</v>
      </c>
      <c r="B1855" s="4" t="s">
        <v>9</v>
      </c>
      <c r="C1855" s="4" t="s">
        <v>73</v>
      </c>
      <c r="D1855" s="4">
        <v>46139</v>
      </c>
      <c r="E1855" s="5">
        <v>0.29230324074074071</v>
      </c>
      <c r="F1855">
        <v>1</v>
      </c>
      <c r="G1855" t="s">
        <v>83</v>
      </c>
      <c r="H1855">
        <v>67.833333333333329</v>
      </c>
      <c r="M1855" t="s">
        <v>76</v>
      </c>
      <c r="N1855" t="s">
        <v>75</v>
      </c>
    </row>
    <row r="1856" spans="1:20" x14ac:dyDescent="0.25">
      <c r="A1856" t="s">
        <v>226</v>
      </c>
      <c r="B1856" s="4" t="s">
        <v>9</v>
      </c>
      <c r="C1856" s="4" t="s">
        <v>70</v>
      </c>
      <c r="D1856" s="4">
        <v>46139</v>
      </c>
      <c r="E1856" s="5">
        <v>0.29296296296296298</v>
      </c>
      <c r="F1856">
        <v>1</v>
      </c>
      <c r="G1856" t="s">
        <v>83</v>
      </c>
      <c r="H1856">
        <v>4</v>
      </c>
      <c r="L1856" t="s">
        <v>227</v>
      </c>
      <c r="M1856" t="s">
        <v>71</v>
      </c>
      <c r="N1856" t="s">
        <v>75</v>
      </c>
      <c r="O1856">
        <v>1</v>
      </c>
    </row>
    <row r="1857" spans="1:21" x14ac:dyDescent="0.25">
      <c r="A1857" t="s">
        <v>227</v>
      </c>
      <c r="B1857" s="4" t="s">
        <v>9</v>
      </c>
      <c r="C1857" s="4" t="s">
        <v>73</v>
      </c>
      <c r="D1857" s="4">
        <v>46139</v>
      </c>
      <c r="E1857" s="5">
        <v>0.29296296296296298</v>
      </c>
      <c r="F1857">
        <v>1</v>
      </c>
      <c r="G1857" t="s">
        <v>83</v>
      </c>
      <c r="H1857">
        <v>95.75</v>
      </c>
      <c r="M1857" t="s">
        <v>84</v>
      </c>
      <c r="N1857" t="s">
        <v>75</v>
      </c>
    </row>
    <row r="1858" spans="1:21" x14ac:dyDescent="0.25">
      <c r="A1858" t="s">
        <v>230</v>
      </c>
      <c r="B1858" s="4" t="s">
        <v>9</v>
      </c>
      <c r="C1858" s="4" t="s">
        <v>70</v>
      </c>
      <c r="D1858" s="4">
        <v>46139</v>
      </c>
      <c r="E1858" s="5">
        <v>0.29374999999999996</v>
      </c>
      <c r="F1858">
        <v>1</v>
      </c>
      <c r="G1858" t="s">
        <v>83</v>
      </c>
      <c r="H1858">
        <v>93</v>
      </c>
      <c r="L1858" t="s">
        <v>227</v>
      </c>
      <c r="M1858" t="s">
        <v>71</v>
      </c>
      <c r="N1858" t="s">
        <v>75</v>
      </c>
      <c r="P1858">
        <v>1</v>
      </c>
      <c r="Q1858">
        <v>1</v>
      </c>
      <c r="S1858">
        <v>1</v>
      </c>
      <c r="U1858">
        <v>2.75</v>
      </c>
    </row>
    <row r="1859" spans="1:21" x14ac:dyDescent="0.25">
      <c r="A1859" t="s">
        <v>227</v>
      </c>
      <c r="B1859" s="4" t="s">
        <v>9</v>
      </c>
      <c r="C1859" s="4" t="s">
        <v>73</v>
      </c>
      <c r="D1859" s="4">
        <v>46139</v>
      </c>
      <c r="E1859" s="5">
        <v>0.29374999999999996</v>
      </c>
      <c r="F1859">
        <v>1</v>
      </c>
      <c r="G1859" t="s">
        <v>83</v>
      </c>
      <c r="H1859">
        <v>2.75</v>
      </c>
      <c r="M1859" t="s">
        <v>84</v>
      </c>
      <c r="N1859" t="s">
        <v>75</v>
      </c>
    </row>
    <row r="1860" spans="1:21" x14ac:dyDescent="0.25">
      <c r="A1860" t="s">
        <v>227</v>
      </c>
      <c r="B1860" s="4" t="s">
        <v>9</v>
      </c>
      <c r="C1860" s="4" t="s">
        <v>73</v>
      </c>
      <c r="D1860" s="4">
        <v>46139</v>
      </c>
      <c r="E1860" s="5">
        <v>0.29374999999999996</v>
      </c>
      <c r="F1860">
        <v>1</v>
      </c>
      <c r="G1860" t="s">
        <v>83</v>
      </c>
      <c r="H1860">
        <v>0</v>
      </c>
      <c r="M1860" t="s">
        <v>84</v>
      </c>
      <c r="N1860" t="s">
        <v>75</v>
      </c>
    </row>
    <row r="1861" spans="1:21" x14ac:dyDescent="0.25">
      <c r="A1861" t="s">
        <v>235</v>
      </c>
      <c r="B1861" s="4" t="s">
        <v>9</v>
      </c>
      <c r="C1861" s="4" t="s">
        <v>73</v>
      </c>
      <c r="D1861" s="4">
        <v>46139</v>
      </c>
      <c r="E1861" s="5">
        <v>0.2958101851851852</v>
      </c>
      <c r="F1861">
        <v>1</v>
      </c>
      <c r="G1861" t="s">
        <v>83</v>
      </c>
      <c r="H1861">
        <v>274.16666666666669</v>
      </c>
      <c r="M1861" t="s">
        <v>84</v>
      </c>
      <c r="N1861" t="s">
        <v>75</v>
      </c>
    </row>
    <row r="1862" spans="1:21" x14ac:dyDescent="0.25">
      <c r="A1862" t="s">
        <v>236</v>
      </c>
      <c r="B1862" s="4" t="s">
        <v>9</v>
      </c>
      <c r="C1862" s="4" t="s">
        <v>70</v>
      </c>
      <c r="D1862" s="4">
        <v>46139</v>
      </c>
      <c r="E1862" s="5">
        <v>0.29603009259259261</v>
      </c>
      <c r="F1862">
        <v>1</v>
      </c>
      <c r="G1862" t="s">
        <v>83</v>
      </c>
      <c r="H1862">
        <v>9</v>
      </c>
      <c r="L1862" t="s">
        <v>235</v>
      </c>
      <c r="M1862" t="s">
        <v>71</v>
      </c>
      <c r="N1862" t="s">
        <v>75</v>
      </c>
      <c r="O1862">
        <v>1</v>
      </c>
      <c r="S1862">
        <v>1</v>
      </c>
      <c r="T1862">
        <v>265.08333333333331</v>
      </c>
    </row>
    <row r="1863" spans="1:21" x14ac:dyDescent="0.25">
      <c r="A1863" t="s">
        <v>235</v>
      </c>
      <c r="B1863" s="4" t="s">
        <v>9</v>
      </c>
      <c r="C1863" s="4" t="s">
        <v>73</v>
      </c>
      <c r="D1863" s="4">
        <v>46139</v>
      </c>
      <c r="E1863" s="5">
        <v>0.29603009259259261</v>
      </c>
      <c r="F1863">
        <v>1</v>
      </c>
      <c r="G1863" t="s">
        <v>83</v>
      </c>
      <c r="H1863">
        <v>265.16666666666669</v>
      </c>
      <c r="M1863" t="s">
        <v>84</v>
      </c>
      <c r="N1863" t="s">
        <v>75</v>
      </c>
    </row>
    <row r="1864" spans="1:21" x14ac:dyDescent="0.25">
      <c r="A1864" t="s">
        <v>235</v>
      </c>
      <c r="B1864" s="4" t="s">
        <v>9</v>
      </c>
      <c r="C1864" s="4" t="s">
        <v>73</v>
      </c>
      <c r="D1864" s="4">
        <v>46139</v>
      </c>
      <c r="E1864" s="5">
        <v>0.29603009259259261</v>
      </c>
      <c r="F1864">
        <v>1</v>
      </c>
      <c r="G1864" t="s">
        <v>83</v>
      </c>
      <c r="H1864">
        <v>265.08333333333331</v>
      </c>
      <c r="M1864" t="s">
        <v>84</v>
      </c>
      <c r="N1864" t="s">
        <v>75</v>
      </c>
    </row>
    <row r="1865" spans="1:21" x14ac:dyDescent="0.25">
      <c r="A1865" t="s">
        <v>235</v>
      </c>
      <c r="B1865" s="4" t="s">
        <v>9</v>
      </c>
      <c r="C1865" s="4" t="s">
        <v>73</v>
      </c>
      <c r="D1865" s="4">
        <v>46139</v>
      </c>
      <c r="E1865" s="5">
        <v>0.29729166666666668</v>
      </c>
      <c r="F1865">
        <v>1</v>
      </c>
      <c r="G1865" t="s">
        <v>83</v>
      </c>
      <c r="H1865">
        <v>265.08333333333331</v>
      </c>
      <c r="M1865" t="s">
        <v>76</v>
      </c>
      <c r="N1865" t="s">
        <v>75</v>
      </c>
    </row>
    <row r="1866" spans="1:21" x14ac:dyDescent="0.25">
      <c r="A1866" t="s">
        <v>243</v>
      </c>
      <c r="B1866" s="4" t="s">
        <v>9</v>
      </c>
      <c r="C1866" s="4" t="s">
        <v>70</v>
      </c>
      <c r="D1866" s="4">
        <v>46139</v>
      </c>
      <c r="E1866" s="5">
        <v>0.29896990740740736</v>
      </c>
      <c r="F1866">
        <v>1</v>
      </c>
      <c r="G1866" t="s">
        <v>83</v>
      </c>
      <c r="H1866">
        <v>11.25</v>
      </c>
      <c r="L1866" t="s">
        <v>244</v>
      </c>
      <c r="M1866" t="s">
        <v>71</v>
      </c>
      <c r="N1866" t="s">
        <v>72</v>
      </c>
      <c r="O1866">
        <v>1</v>
      </c>
      <c r="R1866">
        <v>1</v>
      </c>
      <c r="S1866">
        <v>1</v>
      </c>
      <c r="T1866">
        <v>11.25</v>
      </c>
    </row>
    <row r="1867" spans="1:21" x14ac:dyDescent="0.25">
      <c r="A1867" t="s">
        <v>244</v>
      </c>
      <c r="B1867" s="4" t="s">
        <v>9</v>
      </c>
      <c r="C1867" s="4" t="s">
        <v>73</v>
      </c>
      <c r="D1867" s="4">
        <v>46139</v>
      </c>
      <c r="E1867" s="5">
        <v>0.29896990740740736</v>
      </c>
      <c r="F1867">
        <v>1</v>
      </c>
      <c r="G1867" t="s">
        <v>83</v>
      </c>
      <c r="H1867">
        <v>11.666666666666666</v>
      </c>
      <c r="M1867" t="s">
        <v>79</v>
      </c>
      <c r="N1867" t="s">
        <v>72</v>
      </c>
    </row>
    <row r="1868" spans="1:21" x14ac:dyDescent="0.25">
      <c r="A1868" t="s">
        <v>244</v>
      </c>
      <c r="B1868" s="4" t="s">
        <v>9</v>
      </c>
      <c r="C1868" s="4" t="s">
        <v>73</v>
      </c>
      <c r="D1868" s="4">
        <v>46139</v>
      </c>
      <c r="E1868" s="5">
        <v>0.29896990740740736</v>
      </c>
      <c r="F1868">
        <v>1</v>
      </c>
      <c r="G1868" t="s">
        <v>83</v>
      </c>
      <c r="H1868">
        <v>11.583333333333332</v>
      </c>
      <c r="M1868" t="s">
        <v>79</v>
      </c>
      <c r="N1868" t="s">
        <v>72</v>
      </c>
    </row>
    <row r="1869" spans="1:21" x14ac:dyDescent="0.25">
      <c r="A1869" t="s">
        <v>244</v>
      </c>
      <c r="B1869" s="4" t="s">
        <v>9</v>
      </c>
      <c r="C1869" s="4" t="s">
        <v>73</v>
      </c>
      <c r="D1869" s="4">
        <v>46139</v>
      </c>
      <c r="E1869" s="5">
        <v>0.29943287037037036</v>
      </c>
      <c r="F1869">
        <v>1</v>
      </c>
      <c r="G1869" t="s">
        <v>83</v>
      </c>
      <c r="H1869">
        <v>11.25</v>
      </c>
      <c r="M1869" t="s">
        <v>76</v>
      </c>
      <c r="N1869" t="s">
        <v>72</v>
      </c>
    </row>
    <row r="1870" spans="1:21" x14ac:dyDescent="0.25">
      <c r="A1870" t="s">
        <v>248</v>
      </c>
      <c r="B1870" s="4" t="s">
        <v>9</v>
      </c>
      <c r="C1870" s="4" t="s">
        <v>70</v>
      </c>
      <c r="D1870" s="4">
        <v>46139</v>
      </c>
      <c r="E1870" s="5">
        <v>0.30034722222222221</v>
      </c>
      <c r="F1870">
        <v>1</v>
      </c>
      <c r="G1870" t="s">
        <v>83</v>
      </c>
      <c r="H1870">
        <v>0.5</v>
      </c>
      <c r="L1870" t="s">
        <v>249</v>
      </c>
      <c r="M1870" t="s">
        <v>71</v>
      </c>
      <c r="N1870" t="s">
        <v>72</v>
      </c>
      <c r="O1870">
        <v>1</v>
      </c>
      <c r="S1870">
        <v>1</v>
      </c>
      <c r="T1870">
        <v>231.16666666666666</v>
      </c>
    </row>
    <row r="1871" spans="1:21" x14ac:dyDescent="0.25">
      <c r="A1871" t="s">
        <v>249</v>
      </c>
      <c r="B1871" s="4" t="s">
        <v>9</v>
      </c>
      <c r="C1871" s="4" t="s">
        <v>73</v>
      </c>
      <c r="D1871" s="4">
        <v>46139</v>
      </c>
      <c r="E1871" s="5">
        <v>0.30034722222222221</v>
      </c>
      <c r="F1871">
        <v>1</v>
      </c>
      <c r="G1871" t="s">
        <v>83</v>
      </c>
      <c r="H1871">
        <v>231.41666666666669</v>
      </c>
      <c r="M1871" t="s">
        <v>84</v>
      </c>
      <c r="N1871" t="s">
        <v>72</v>
      </c>
    </row>
    <row r="1872" spans="1:21" x14ac:dyDescent="0.25">
      <c r="A1872" t="s">
        <v>249</v>
      </c>
      <c r="B1872" s="4" t="s">
        <v>9</v>
      </c>
      <c r="C1872" s="4" t="s">
        <v>73</v>
      </c>
      <c r="D1872" s="4">
        <v>46139</v>
      </c>
      <c r="E1872" s="5">
        <v>0.30034722222222221</v>
      </c>
      <c r="F1872">
        <v>1</v>
      </c>
      <c r="G1872" t="s">
        <v>83</v>
      </c>
      <c r="H1872">
        <v>231.33333333333331</v>
      </c>
      <c r="M1872" t="s">
        <v>84</v>
      </c>
      <c r="N1872" t="s">
        <v>72</v>
      </c>
    </row>
    <row r="1873" spans="1:20" x14ac:dyDescent="0.25">
      <c r="A1873" t="s">
        <v>249</v>
      </c>
      <c r="B1873" s="4" t="s">
        <v>9</v>
      </c>
      <c r="C1873" s="4" t="s">
        <v>73</v>
      </c>
      <c r="D1873" s="4">
        <v>46139</v>
      </c>
      <c r="E1873" s="5">
        <v>0.30064814814814816</v>
      </c>
      <c r="F1873">
        <v>1</v>
      </c>
      <c r="G1873" t="s">
        <v>83</v>
      </c>
      <c r="H1873">
        <v>230.83333333333331</v>
      </c>
      <c r="M1873" t="s">
        <v>84</v>
      </c>
      <c r="N1873" t="s">
        <v>72</v>
      </c>
    </row>
    <row r="1874" spans="1:20" x14ac:dyDescent="0.25">
      <c r="A1874" t="s">
        <v>249</v>
      </c>
      <c r="B1874" s="4" t="s">
        <v>9</v>
      </c>
      <c r="C1874" s="4" t="s">
        <v>73</v>
      </c>
      <c r="D1874" s="4">
        <v>46139</v>
      </c>
      <c r="E1874" s="5">
        <v>0.30193287037037037</v>
      </c>
      <c r="F1874">
        <v>1</v>
      </c>
      <c r="G1874" t="s">
        <v>83</v>
      </c>
      <c r="H1874">
        <v>231.16666666666666</v>
      </c>
      <c r="M1874" t="s">
        <v>76</v>
      </c>
      <c r="N1874" t="s">
        <v>72</v>
      </c>
    </row>
    <row r="1875" spans="1:20" x14ac:dyDescent="0.25">
      <c r="A1875" t="s">
        <v>257</v>
      </c>
      <c r="B1875" s="4" t="s">
        <v>9</v>
      </c>
      <c r="C1875" s="4" t="s">
        <v>70</v>
      </c>
      <c r="D1875" s="4">
        <v>46139</v>
      </c>
      <c r="E1875" s="5">
        <v>0.30292824074074071</v>
      </c>
      <c r="F1875">
        <v>1</v>
      </c>
      <c r="G1875" t="s">
        <v>83</v>
      </c>
      <c r="H1875">
        <v>40.5</v>
      </c>
      <c r="L1875" t="s">
        <v>258</v>
      </c>
      <c r="M1875" t="s">
        <v>71</v>
      </c>
      <c r="N1875" t="s">
        <v>75</v>
      </c>
      <c r="O1875">
        <v>1</v>
      </c>
      <c r="S1875">
        <v>1</v>
      </c>
      <c r="T1875">
        <v>182.33333333333334</v>
      </c>
    </row>
    <row r="1876" spans="1:20" x14ac:dyDescent="0.25">
      <c r="A1876" t="s">
        <v>258</v>
      </c>
      <c r="B1876" s="4" t="s">
        <v>9</v>
      </c>
      <c r="C1876" s="4" t="s">
        <v>73</v>
      </c>
      <c r="D1876" s="4">
        <v>46139</v>
      </c>
      <c r="E1876" s="5">
        <v>0.30292824074074071</v>
      </c>
      <c r="F1876">
        <v>1</v>
      </c>
      <c r="G1876" t="s">
        <v>83</v>
      </c>
      <c r="H1876">
        <v>182.41666666666666</v>
      </c>
      <c r="M1876" t="s">
        <v>74</v>
      </c>
      <c r="N1876" t="s">
        <v>75</v>
      </c>
    </row>
    <row r="1877" spans="1:20" x14ac:dyDescent="0.25">
      <c r="A1877" t="s">
        <v>258</v>
      </c>
      <c r="B1877" s="4" t="s">
        <v>9</v>
      </c>
      <c r="C1877" s="4" t="s">
        <v>73</v>
      </c>
      <c r="D1877" s="4">
        <v>46139</v>
      </c>
      <c r="E1877" s="5">
        <v>0.30292824074074071</v>
      </c>
      <c r="F1877">
        <v>1</v>
      </c>
      <c r="G1877" t="s">
        <v>83</v>
      </c>
      <c r="H1877">
        <v>182.33333333333334</v>
      </c>
      <c r="M1877" t="s">
        <v>74</v>
      </c>
      <c r="N1877" t="s">
        <v>75</v>
      </c>
    </row>
    <row r="1878" spans="1:20" x14ac:dyDescent="0.25">
      <c r="A1878" t="s">
        <v>258</v>
      </c>
      <c r="B1878" s="4" t="s">
        <v>9</v>
      </c>
      <c r="C1878" s="4" t="s">
        <v>73</v>
      </c>
      <c r="D1878" s="4">
        <v>46139</v>
      </c>
      <c r="E1878" s="5">
        <v>0.30314814814814811</v>
      </c>
      <c r="F1878">
        <v>1</v>
      </c>
      <c r="G1878" t="s">
        <v>83</v>
      </c>
      <c r="H1878">
        <v>182.33333333333334</v>
      </c>
      <c r="M1878" t="s">
        <v>76</v>
      </c>
      <c r="N1878" t="s">
        <v>75</v>
      </c>
    </row>
    <row r="1879" spans="1:20" x14ac:dyDescent="0.25">
      <c r="A1879" t="s">
        <v>156</v>
      </c>
      <c r="B1879" s="4" t="s">
        <v>9</v>
      </c>
      <c r="C1879" s="4" t="s">
        <v>73</v>
      </c>
      <c r="D1879" s="4">
        <v>46139</v>
      </c>
      <c r="E1879" s="5">
        <v>0.30434027777777778</v>
      </c>
      <c r="F1879">
        <v>1</v>
      </c>
      <c r="G1879" t="s">
        <v>83</v>
      </c>
      <c r="H1879">
        <v>33</v>
      </c>
      <c r="M1879" t="s">
        <v>76</v>
      </c>
      <c r="N1879" t="s">
        <v>75</v>
      </c>
    </row>
    <row r="1880" spans="1:20" x14ac:dyDescent="0.25">
      <c r="A1880" t="s">
        <v>263</v>
      </c>
      <c r="B1880" s="4" t="s">
        <v>9</v>
      </c>
      <c r="C1880" s="4" t="s">
        <v>70</v>
      </c>
      <c r="D1880" s="4">
        <v>46139</v>
      </c>
      <c r="E1880" s="5">
        <v>0.30527777777777776</v>
      </c>
      <c r="F1880">
        <v>1</v>
      </c>
      <c r="G1880" t="s">
        <v>83</v>
      </c>
      <c r="H1880">
        <v>5</v>
      </c>
      <c r="L1880" t="s">
        <v>264</v>
      </c>
      <c r="M1880" t="s">
        <v>71</v>
      </c>
      <c r="N1880" t="s">
        <v>72</v>
      </c>
      <c r="O1880">
        <v>1</v>
      </c>
      <c r="S1880">
        <v>1</v>
      </c>
      <c r="T1880">
        <v>57.666666666666664</v>
      </c>
    </row>
    <row r="1881" spans="1:20" x14ac:dyDescent="0.25">
      <c r="A1881" t="s">
        <v>264</v>
      </c>
      <c r="B1881" s="4" t="s">
        <v>9</v>
      </c>
      <c r="C1881" s="4" t="s">
        <v>73</v>
      </c>
      <c r="D1881" s="4">
        <v>46139</v>
      </c>
      <c r="E1881" s="5">
        <v>0.30527777777777776</v>
      </c>
      <c r="F1881">
        <v>1</v>
      </c>
      <c r="G1881" t="s">
        <v>83</v>
      </c>
      <c r="H1881">
        <v>57.75</v>
      </c>
      <c r="M1881" t="s">
        <v>84</v>
      </c>
      <c r="N1881" t="s">
        <v>72</v>
      </c>
    </row>
    <row r="1882" spans="1:20" x14ac:dyDescent="0.25">
      <c r="A1882" t="s">
        <v>264</v>
      </c>
      <c r="B1882" s="4" t="s">
        <v>9</v>
      </c>
      <c r="C1882" s="4" t="s">
        <v>73</v>
      </c>
      <c r="D1882" s="4">
        <v>46139</v>
      </c>
      <c r="E1882" s="5">
        <v>0.30527777777777776</v>
      </c>
      <c r="F1882">
        <v>1</v>
      </c>
      <c r="G1882" t="s">
        <v>83</v>
      </c>
      <c r="H1882">
        <v>57.666666666666664</v>
      </c>
      <c r="M1882" t="s">
        <v>84</v>
      </c>
      <c r="N1882" t="s">
        <v>72</v>
      </c>
    </row>
    <row r="1883" spans="1:20" x14ac:dyDescent="0.25">
      <c r="A1883" t="s">
        <v>264</v>
      </c>
      <c r="B1883" s="4" t="s">
        <v>9</v>
      </c>
      <c r="C1883" s="4" t="s">
        <v>73</v>
      </c>
      <c r="D1883" s="4">
        <v>46139</v>
      </c>
      <c r="E1883" s="5">
        <v>0.30622685185185183</v>
      </c>
      <c r="F1883">
        <v>1</v>
      </c>
      <c r="G1883" t="s">
        <v>83</v>
      </c>
      <c r="H1883">
        <v>57.666666666666664</v>
      </c>
      <c r="M1883" t="s">
        <v>76</v>
      </c>
      <c r="N1883" t="s">
        <v>72</v>
      </c>
    </row>
    <row r="1884" spans="1:20" x14ac:dyDescent="0.25">
      <c r="A1884" t="s">
        <v>269</v>
      </c>
      <c r="B1884" s="4" t="s">
        <v>9</v>
      </c>
      <c r="C1884" s="4" t="s">
        <v>70</v>
      </c>
      <c r="D1884" s="4">
        <v>46139</v>
      </c>
      <c r="E1884" s="5">
        <v>0.30765046296296295</v>
      </c>
      <c r="F1884">
        <v>1</v>
      </c>
      <c r="G1884" t="s">
        <v>83</v>
      </c>
      <c r="H1884">
        <v>155</v>
      </c>
      <c r="L1884" t="s">
        <v>270</v>
      </c>
      <c r="M1884" t="s">
        <v>71</v>
      </c>
      <c r="N1884" t="s">
        <v>78</v>
      </c>
      <c r="O1884">
        <v>1</v>
      </c>
    </row>
    <row r="1885" spans="1:20" x14ac:dyDescent="0.25">
      <c r="A1885" t="s">
        <v>270</v>
      </c>
      <c r="B1885" s="4" t="s">
        <v>9</v>
      </c>
      <c r="C1885" s="4" t="s">
        <v>73</v>
      </c>
      <c r="D1885" s="4">
        <v>46139</v>
      </c>
      <c r="E1885" s="5">
        <v>0.30765046296296295</v>
      </c>
      <c r="F1885">
        <v>1</v>
      </c>
      <c r="G1885" t="s">
        <v>83</v>
      </c>
      <c r="H1885">
        <v>189.25</v>
      </c>
      <c r="M1885" t="s">
        <v>74</v>
      </c>
      <c r="N1885" t="s">
        <v>78</v>
      </c>
    </row>
    <row r="1886" spans="1:20" x14ac:dyDescent="0.25">
      <c r="A1886" t="s">
        <v>270</v>
      </c>
      <c r="B1886" s="4" t="s">
        <v>9</v>
      </c>
      <c r="C1886" s="4" t="s">
        <v>73</v>
      </c>
      <c r="D1886" s="4">
        <v>46139</v>
      </c>
      <c r="E1886" s="5">
        <v>0.30765046296296295</v>
      </c>
      <c r="F1886">
        <v>1</v>
      </c>
      <c r="G1886" t="s">
        <v>83</v>
      </c>
      <c r="H1886">
        <v>189.16666666666666</v>
      </c>
      <c r="M1886" t="s">
        <v>74</v>
      </c>
      <c r="N1886" t="s">
        <v>78</v>
      </c>
    </row>
    <row r="1887" spans="1:20" x14ac:dyDescent="0.25">
      <c r="A1887" t="s">
        <v>273</v>
      </c>
      <c r="B1887" s="4" t="s">
        <v>9</v>
      </c>
      <c r="C1887" s="4" t="s">
        <v>70</v>
      </c>
      <c r="D1887" s="4">
        <v>46139</v>
      </c>
      <c r="E1887" s="5">
        <v>0.30837962962962961</v>
      </c>
      <c r="F1887">
        <v>1</v>
      </c>
      <c r="G1887" t="s">
        <v>83</v>
      </c>
      <c r="H1887">
        <v>100</v>
      </c>
      <c r="L1887" t="s">
        <v>270</v>
      </c>
      <c r="M1887" t="s">
        <v>71</v>
      </c>
      <c r="N1887" t="s">
        <v>78</v>
      </c>
      <c r="P1887">
        <v>1</v>
      </c>
      <c r="S1887">
        <v>1</v>
      </c>
      <c r="T1887">
        <v>89.083333333333329</v>
      </c>
    </row>
    <row r="1888" spans="1:20" x14ac:dyDescent="0.25">
      <c r="A1888" t="s">
        <v>270</v>
      </c>
      <c r="B1888" s="4" t="s">
        <v>9</v>
      </c>
      <c r="C1888" s="4" t="s">
        <v>73</v>
      </c>
      <c r="D1888" s="4">
        <v>46139</v>
      </c>
      <c r="E1888" s="5">
        <v>0.30837962962962961</v>
      </c>
      <c r="F1888">
        <v>1</v>
      </c>
      <c r="G1888" t="s">
        <v>83</v>
      </c>
      <c r="H1888">
        <v>89.166666666666657</v>
      </c>
      <c r="M1888" t="s">
        <v>74</v>
      </c>
      <c r="N1888" t="s">
        <v>78</v>
      </c>
    </row>
    <row r="1889" spans="1:20" x14ac:dyDescent="0.25">
      <c r="A1889" t="s">
        <v>270</v>
      </c>
      <c r="B1889" s="4" t="s">
        <v>9</v>
      </c>
      <c r="C1889" s="4" t="s">
        <v>73</v>
      </c>
      <c r="D1889" s="4">
        <v>46139</v>
      </c>
      <c r="E1889" s="5">
        <v>0.30837962962962961</v>
      </c>
      <c r="F1889">
        <v>1</v>
      </c>
      <c r="G1889" t="s">
        <v>83</v>
      </c>
      <c r="H1889">
        <v>89.083333333333329</v>
      </c>
      <c r="M1889" t="s">
        <v>74</v>
      </c>
      <c r="N1889" t="s">
        <v>78</v>
      </c>
    </row>
    <row r="1890" spans="1:20" x14ac:dyDescent="0.25">
      <c r="A1890" t="s">
        <v>270</v>
      </c>
      <c r="B1890" s="4" t="s">
        <v>9</v>
      </c>
      <c r="C1890" s="4" t="s">
        <v>73</v>
      </c>
      <c r="D1890" s="4">
        <v>46139</v>
      </c>
      <c r="E1890" s="5">
        <v>0.30978009259259254</v>
      </c>
      <c r="F1890">
        <v>1</v>
      </c>
      <c r="G1890" t="s">
        <v>83</v>
      </c>
      <c r="H1890">
        <v>89.083333333333329</v>
      </c>
      <c r="M1890" t="s">
        <v>76</v>
      </c>
      <c r="N1890" t="s">
        <v>78</v>
      </c>
    </row>
    <row r="1891" spans="1:20" x14ac:dyDescent="0.25">
      <c r="A1891" t="s">
        <v>282</v>
      </c>
      <c r="B1891" s="4" t="s">
        <v>9</v>
      </c>
      <c r="C1891" s="4" t="s">
        <v>70</v>
      </c>
      <c r="D1891" s="4">
        <v>46139</v>
      </c>
      <c r="E1891" s="5">
        <v>0.31156250000000002</v>
      </c>
      <c r="F1891">
        <v>1</v>
      </c>
      <c r="G1891" t="s">
        <v>83</v>
      </c>
      <c r="H1891">
        <v>9.5</v>
      </c>
      <c r="L1891" t="s">
        <v>283</v>
      </c>
      <c r="M1891" t="s">
        <v>71</v>
      </c>
      <c r="N1891" t="s">
        <v>80</v>
      </c>
      <c r="O1891">
        <v>1</v>
      </c>
      <c r="R1891">
        <v>1</v>
      </c>
      <c r="S1891">
        <v>1</v>
      </c>
      <c r="T1891">
        <v>11.583333333333332</v>
      </c>
    </row>
    <row r="1892" spans="1:20" x14ac:dyDescent="0.25">
      <c r="A1892" t="s">
        <v>283</v>
      </c>
      <c r="B1892" s="4" t="s">
        <v>9</v>
      </c>
      <c r="C1892" s="4" t="s">
        <v>73</v>
      </c>
      <c r="D1892" s="4">
        <v>46139</v>
      </c>
      <c r="E1892" s="5">
        <v>0.31156250000000002</v>
      </c>
      <c r="F1892">
        <v>1</v>
      </c>
      <c r="G1892" t="s">
        <v>83</v>
      </c>
      <c r="H1892">
        <v>13.666666666666666</v>
      </c>
      <c r="M1892" t="s">
        <v>84</v>
      </c>
      <c r="N1892" t="s">
        <v>80</v>
      </c>
    </row>
    <row r="1893" spans="1:20" x14ac:dyDescent="0.25">
      <c r="A1893" t="s">
        <v>283</v>
      </c>
      <c r="B1893" s="4" t="s">
        <v>9</v>
      </c>
      <c r="C1893" s="4" t="s">
        <v>73</v>
      </c>
      <c r="D1893" s="4">
        <v>46139</v>
      </c>
      <c r="E1893" s="5">
        <v>0.31156250000000002</v>
      </c>
      <c r="F1893">
        <v>1</v>
      </c>
      <c r="G1893" t="s">
        <v>83</v>
      </c>
      <c r="H1893">
        <v>13.583333333333332</v>
      </c>
      <c r="M1893" t="s">
        <v>84</v>
      </c>
      <c r="N1893" t="s">
        <v>80</v>
      </c>
    </row>
    <row r="1894" spans="1:20" x14ac:dyDescent="0.25">
      <c r="A1894" t="s">
        <v>283</v>
      </c>
      <c r="B1894" s="4" t="s">
        <v>9</v>
      </c>
      <c r="C1894" s="4" t="s">
        <v>73</v>
      </c>
      <c r="D1894" s="4">
        <v>46139</v>
      </c>
      <c r="E1894" s="5">
        <v>0.31200231481481483</v>
      </c>
      <c r="F1894">
        <v>1</v>
      </c>
      <c r="G1894" t="s">
        <v>83</v>
      </c>
      <c r="H1894">
        <v>11.583333333333332</v>
      </c>
      <c r="M1894" t="s">
        <v>76</v>
      </c>
      <c r="N1894" t="s">
        <v>80</v>
      </c>
    </row>
    <row r="1895" spans="1:20" x14ac:dyDescent="0.25">
      <c r="A1895" t="s">
        <v>286</v>
      </c>
      <c r="B1895" s="4" t="s">
        <v>9</v>
      </c>
      <c r="C1895" s="4" t="s">
        <v>70</v>
      </c>
      <c r="D1895" s="4">
        <v>46139</v>
      </c>
      <c r="E1895" s="5">
        <v>0.31268518518518518</v>
      </c>
      <c r="F1895">
        <v>1</v>
      </c>
      <c r="G1895" t="s">
        <v>83</v>
      </c>
      <c r="H1895">
        <v>8.75</v>
      </c>
      <c r="L1895" t="s">
        <v>287</v>
      </c>
      <c r="M1895" t="s">
        <v>71</v>
      </c>
      <c r="N1895" t="s">
        <v>80</v>
      </c>
      <c r="O1895">
        <v>1</v>
      </c>
      <c r="R1895">
        <v>1</v>
      </c>
      <c r="S1895">
        <v>1</v>
      </c>
      <c r="T1895">
        <v>27.583333333333332</v>
      </c>
    </row>
    <row r="1896" spans="1:20" x14ac:dyDescent="0.25">
      <c r="A1896" t="s">
        <v>287</v>
      </c>
      <c r="B1896" s="4" t="s">
        <v>9</v>
      </c>
      <c r="C1896" s="4" t="s">
        <v>73</v>
      </c>
      <c r="D1896" s="4">
        <v>46139</v>
      </c>
      <c r="E1896" s="5">
        <v>0.31268518518518518</v>
      </c>
      <c r="F1896">
        <v>1</v>
      </c>
      <c r="G1896" t="s">
        <v>83</v>
      </c>
      <c r="H1896">
        <v>27.916666666666664</v>
      </c>
      <c r="M1896" t="s">
        <v>84</v>
      </c>
      <c r="N1896" t="s">
        <v>80</v>
      </c>
    </row>
    <row r="1897" spans="1:20" x14ac:dyDescent="0.25">
      <c r="A1897" t="s">
        <v>287</v>
      </c>
      <c r="B1897" s="4" t="s">
        <v>9</v>
      </c>
      <c r="C1897" s="4" t="s">
        <v>73</v>
      </c>
      <c r="D1897" s="4">
        <v>46139</v>
      </c>
      <c r="E1897" s="5">
        <v>0.31268518518518518</v>
      </c>
      <c r="F1897">
        <v>1</v>
      </c>
      <c r="G1897" t="s">
        <v>83</v>
      </c>
      <c r="H1897">
        <v>27.833333333333336</v>
      </c>
      <c r="M1897" t="s">
        <v>84</v>
      </c>
      <c r="N1897" t="s">
        <v>80</v>
      </c>
    </row>
    <row r="1898" spans="1:20" x14ac:dyDescent="0.25">
      <c r="A1898" t="s">
        <v>287</v>
      </c>
      <c r="B1898" s="4" t="s">
        <v>9</v>
      </c>
      <c r="C1898" s="4" t="s">
        <v>73</v>
      </c>
      <c r="D1898" s="4">
        <v>46139</v>
      </c>
      <c r="E1898" s="5">
        <v>0.31324074074074071</v>
      </c>
      <c r="F1898">
        <v>1</v>
      </c>
      <c r="G1898" t="s">
        <v>83</v>
      </c>
      <c r="H1898">
        <v>27.583333333333332</v>
      </c>
      <c r="M1898" t="s">
        <v>76</v>
      </c>
      <c r="N1898" t="s">
        <v>80</v>
      </c>
    </row>
    <row r="1899" spans="1:20" x14ac:dyDescent="0.25">
      <c r="A1899" t="s">
        <v>294</v>
      </c>
      <c r="B1899" s="4" t="s">
        <v>9</v>
      </c>
      <c r="C1899" s="4" t="s">
        <v>70</v>
      </c>
      <c r="D1899" s="4">
        <v>46139</v>
      </c>
      <c r="E1899" s="5">
        <v>0.31408564814814816</v>
      </c>
      <c r="F1899">
        <v>1</v>
      </c>
      <c r="G1899" t="s">
        <v>83</v>
      </c>
      <c r="H1899">
        <v>8</v>
      </c>
      <c r="L1899" t="s">
        <v>295</v>
      </c>
      <c r="M1899" t="s">
        <v>71</v>
      </c>
      <c r="N1899" t="s">
        <v>75</v>
      </c>
      <c r="O1899">
        <v>1</v>
      </c>
      <c r="R1899">
        <v>1</v>
      </c>
      <c r="S1899">
        <v>1</v>
      </c>
      <c r="T1899">
        <v>11.083333333333334</v>
      </c>
    </row>
    <row r="1900" spans="1:20" x14ac:dyDescent="0.25">
      <c r="A1900" t="s">
        <v>295</v>
      </c>
      <c r="B1900" s="4" t="s">
        <v>9</v>
      </c>
      <c r="C1900" s="4" t="s">
        <v>73</v>
      </c>
      <c r="D1900" s="4">
        <v>46139</v>
      </c>
      <c r="E1900" s="5">
        <v>0.31408564814814816</v>
      </c>
      <c r="F1900">
        <v>1</v>
      </c>
      <c r="G1900" t="s">
        <v>83</v>
      </c>
      <c r="H1900">
        <v>11.583333333333332</v>
      </c>
      <c r="M1900" t="s">
        <v>74</v>
      </c>
      <c r="N1900" t="s">
        <v>75</v>
      </c>
    </row>
    <row r="1901" spans="1:20" x14ac:dyDescent="0.25">
      <c r="A1901" t="s">
        <v>295</v>
      </c>
      <c r="B1901" s="4" t="s">
        <v>9</v>
      </c>
      <c r="C1901" s="4" t="s">
        <v>73</v>
      </c>
      <c r="D1901" s="4">
        <v>46139</v>
      </c>
      <c r="E1901" s="5">
        <v>0.31408564814814816</v>
      </c>
      <c r="F1901">
        <v>1</v>
      </c>
      <c r="G1901" t="s">
        <v>83</v>
      </c>
      <c r="H1901">
        <v>11.5</v>
      </c>
      <c r="M1901" t="s">
        <v>74</v>
      </c>
      <c r="N1901" t="s">
        <v>75</v>
      </c>
    </row>
    <row r="1902" spans="1:20" x14ac:dyDescent="0.25">
      <c r="A1902" t="s">
        <v>295</v>
      </c>
      <c r="B1902" s="4" t="s">
        <v>9</v>
      </c>
      <c r="C1902" s="4" t="s">
        <v>73</v>
      </c>
      <c r="D1902" s="4">
        <v>46139</v>
      </c>
      <c r="E1902" s="5">
        <v>0.31439814814814809</v>
      </c>
      <c r="F1902">
        <v>1</v>
      </c>
      <c r="G1902" t="s">
        <v>83</v>
      </c>
      <c r="H1902">
        <v>11.083333333333334</v>
      </c>
      <c r="M1902" t="s">
        <v>76</v>
      </c>
      <c r="N1902" t="s">
        <v>75</v>
      </c>
    </row>
    <row r="1903" spans="1:20" x14ac:dyDescent="0.25">
      <c r="A1903" t="s">
        <v>230</v>
      </c>
      <c r="B1903" s="4" t="s">
        <v>9</v>
      </c>
      <c r="C1903" s="4" t="s">
        <v>73</v>
      </c>
      <c r="D1903" s="4">
        <v>46139</v>
      </c>
      <c r="E1903" s="5">
        <v>0.3156018518518518</v>
      </c>
      <c r="F1903">
        <v>1</v>
      </c>
      <c r="G1903" t="s">
        <v>83</v>
      </c>
      <c r="H1903">
        <v>2.1666666666666665</v>
      </c>
      <c r="L1903" t="s">
        <v>227</v>
      </c>
      <c r="M1903" t="s">
        <v>71</v>
      </c>
      <c r="N1903" t="s">
        <v>75</v>
      </c>
    </row>
    <row r="1904" spans="1:20" x14ac:dyDescent="0.25">
      <c r="A1904" t="s">
        <v>230</v>
      </c>
      <c r="B1904" s="4" t="s">
        <v>9</v>
      </c>
      <c r="C1904" s="4" t="s">
        <v>73</v>
      </c>
      <c r="D1904" s="4">
        <v>46139</v>
      </c>
      <c r="E1904" s="5">
        <v>0.3156018518518518</v>
      </c>
      <c r="F1904">
        <v>1</v>
      </c>
      <c r="G1904" t="s">
        <v>83</v>
      </c>
      <c r="H1904">
        <v>0</v>
      </c>
      <c r="L1904" t="s">
        <v>227</v>
      </c>
      <c r="M1904" t="s">
        <v>71</v>
      </c>
      <c r="N1904" t="s">
        <v>75</v>
      </c>
    </row>
    <row r="1905" spans="1:20" x14ac:dyDescent="0.25">
      <c r="A1905" t="s">
        <v>230</v>
      </c>
      <c r="B1905" s="4" t="s">
        <v>9</v>
      </c>
      <c r="C1905" s="4" t="s">
        <v>73</v>
      </c>
      <c r="D1905" s="4">
        <v>46139</v>
      </c>
      <c r="E1905" s="5">
        <v>0.31587962962962962</v>
      </c>
      <c r="F1905">
        <v>1</v>
      </c>
      <c r="G1905" t="s">
        <v>83</v>
      </c>
      <c r="H1905">
        <v>0</v>
      </c>
      <c r="L1905" t="s">
        <v>227</v>
      </c>
      <c r="M1905" t="s">
        <v>71</v>
      </c>
      <c r="N1905" t="s">
        <v>75</v>
      </c>
    </row>
    <row r="1906" spans="1:20" x14ac:dyDescent="0.25">
      <c r="A1906" t="s">
        <v>230</v>
      </c>
      <c r="B1906" s="4" t="s">
        <v>9</v>
      </c>
      <c r="C1906" s="4" t="s">
        <v>73</v>
      </c>
      <c r="D1906" s="4">
        <v>46139</v>
      </c>
      <c r="E1906" s="5">
        <v>0.31631944444444443</v>
      </c>
      <c r="F1906">
        <v>1</v>
      </c>
      <c r="G1906" t="s">
        <v>83</v>
      </c>
      <c r="H1906">
        <v>92.166666666666671</v>
      </c>
      <c r="L1906" t="s">
        <v>227</v>
      </c>
      <c r="M1906" t="s">
        <v>71</v>
      </c>
      <c r="N1906" t="s">
        <v>75</v>
      </c>
    </row>
    <row r="1907" spans="1:20" x14ac:dyDescent="0.25">
      <c r="A1907" t="s">
        <v>303</v>
      </c>
      <c r="B1907" s="4" t="s">
        <v>9</v>
      </c>
      <c r="C1907" s="4" t="s">
        <v>70</v>
      </c>
      <c r="D1907" s="4">
        <v>46139</v>
      </c>
      <c r="E1907" s="5">
        <v>0.3175</v>
      </c>
      <c r="F1907">
        <v>1</v>
      </c>
      <c r="G1907" t="s">
        <v>83</v>
      </c>
      <c r="H1907">
        <v>1</v>
      </c>
      <c r="L1907" t="s">
        <v>304</v>
      </c>
      <c r="M1907" t="s">
        <v>71</v>
      </c>
      <c r="N1907" t="s">
        <v>80</v>
      </c>
      <c r="O1907">
        <v>1</v>
      </c>
      <c r="R1907">
        <v>1</v>
      </c>
      <c r="S1907">
        <v>1</v>
      </c>
      <c r="T1907">
        <v>5.583333333333333</v>
      </c>
    </row>
    <row r="1908" spans="1:20" x14ac:dyDescent="0.25">
      <c r="A1908" t="s">
        <v>304</v>
      </c>
      <c r="B1908" s="4" t="s">
        <v>9</v>
      </c>
      <c r="C1908" s="4" t="s">
        <v>73</v>
      </c>
      <c r="D1908" s="4">
        <v>46139</v>
      </c>
      <c r="E1908" s="5">
        <v>0.3175</v>
      </c>
      <c r="F1908">
        <v>1</v>
      </c>
      <c r="G1908" t="s">
        <v>83</v>
      </c>
      <c r="H1908">
        <v>5.6666666666666661</v>
      </c>
      <c r="M1908" t="s">
        <v>84</v>
      </c>
      <c r="N1908" t="s">
        <v>80</v>
      </c>
    </row>
    <row r="1909" spans="1:20" x14ac:dyDescent="0.25">
      <c r="A1909" t="s">
        <v>304</v>
      </c>
      <c r="B1909" s="4" t="s">
        <v>9</v>
      </c>
      <c r="C1909" s="4" t="s">
        <v>73</v>
      </c>
      <c r="D1909" s="4">
        <v>46139</v>
      </c>
      <c r="E1909" s="5">
        <v>0.31793981481481481</v>
      </c>
      <c r="F1909">
        <v>1</v>
      </c>
      <c r="G1909" t="s">
        <v>83</v>
      </c>
      <c r="H1909">
        <v>5.583333333333333</v>
      </c>
      <c r="M1909" t="s">
        <v>76</v>
      </c>
      <c r="N1909" t="s">
        <v>80</v>
      </c>
    </row>
    <row r="1910" spans="1:20" x14ac:dyDescent="0.25">
      <c r="A1910" t="s">
        <v>312</v>
      </c>
      <c r="B1910" s="4" t="s">
        <v>9</v>
      </c>
      <c r="C1910" s="4" t="s">
        <v>70</v>
      </c>
      <c r="D1910" s="4">
        <v>46139</v>
      </c>
      <c r="E1910" s="5">
        <v>0.32079861111111108</v>
      </c>
      <c r="F1910">
        <v>1</v>
      </c>
      <c r="G1910" t="s">
        <v>83</v>
      </c>
      <c r="H1910">
        <v>1</v>
      </c>
      <c r="L1910" t="s">
        <v>313</v>
      </c>
      <c r="M1910" t="s">
        <v>71</v>
      </c>
      <c r="N1910" t="s">
        <v>75</v>
      </c>
      <c r="O1910">
        <v>1</v>
      </c>
      <c r="S1910">
        <v>1</v>
      </c>
      <c r="T1910">
        <v>32.166666666666664</v>
      </c>
    </row>
    <row r="1911" spans="1:20" x14ac:dyDescent="0.25">
      <c r="A1911" t="s">
        <v>313</v>
      </c>
      <c r="B1911" s="4" t="s">
        <v>9</v>
      </c>
      <c r="C1911" s="4" t="s">
        <v>73</v>
      </c>
      <c r="D1911" s="4">
        <v>46139</v>
      </c>
      <c r="E1911" s="5">
        <v>0.32079861111111108</v>
      </c>
      <c r="F1911">
        <v>1</v>
      </c>
      <c r="G1911" t="s">
        <v>83</v>
      </c>
      <c r="H1911">
        <v>32.333333333333329</v>
      </c>
      <c r="M1911" t="s">
        <v>84</v>
      </c>
      <c r="N1911" t="s">
        <v>75</v>
      </c>
    </row>
    <row r="1912" spans="1:20" x14ac:dyDescent="0.25">
      <c r="A1912" t="s">
        <v>313</v>
      </c>
      <c r="B1912" s="4" t="s">
        <v>9</v>
      </c>
      <c r="C1912" s="4" t="s">
        <v>73</v>
      </c>
      <c r="D1912" s="4">
        <v>46139</v>
      </c>
      <c r="E1912" s="5">
        <v>0.32079861111111108</v>
      </c>
      <c r="F1912">
        <v>1</v>
      </c>
      <c r="G1912" t="s">
        <v>83</v>
      </c>
      <c r="H1912">
        <v>32.25</v>
      </c>
      <c r="M1912" t="s">
        <v>84</v>
      </c>
      <c r="N1912" t="s">
        <v>75</v>
      </c>
    </row>
    <row r="1913" spans="1:20" x14ac:dyDescent="0.25">
      <c r="A1913" t="s">
        <v>313</v>
      </c>
      <c r="B1913" s="4" t="s">
        <v>9</v>
      </c>
      <c r="C1913" s="4" t="s">
        <v>73</v>
      </c>
      <c r="D1913" s="4">
        <v>46139</v>
      </c>
      <c r="E1913" s="5">
        <v>0.32111111111111112</v>
      </c>
      <c r="F1913">
        <v>1</v>
      </c>
      <c r="G1913" t="s">
        <v>83</v>
      </c>
      <c r="H1913">
        <v>32.166666666666664</v>
      </c>
      <c r="M1913" t="s">
        <v>76</v>
      </c>
      <c r="N1913" t="s">
        <v>75</v>
      </c>
    </row>
    <row r="1914" spans="1:20" x14ac:dyDescent="0.25">
      <c r="A1914" t="s">
        <v>318</v>
      </c>
      <c r="B1914" s="4" t="s">
        <v>9</v>
      </c>
      <c r="C1914" s="4" t="s">
        <v>70</v>
      </c>
      <c r="D1914" s="4">
        <v>46139</v>
      </c>
      <c r="E1914" s="5">
        <v>0.32189814814814816</v>
      </c>
      <c r="F1914">
        <v>1</v>
      </c>
      <c r="G1914" t="s">
        <v>83</v>
      </c>
      <c r="H1914">
        <v>1</v>
      </c>
      <c r="L1914" t="s">
        <v>319</v>
      </c>
      <c r="M1914" t="s">
        <v>71</v>
      </c>
      <c r="N1914" t="s">
        <v>75</v>
      </c>
      <c r="O1914">
        <v>1</v>
      </c>
      <c r="S1914">
        <v>1</v>
      </c>
      <c r="T1914">
        <v>67.416666666666657</v>
      </c>
    </row>
    <row r="1915" spans="1:20" x14ac:dyDescent="0.25">
      <c r="A1915" t="s">
        <v>319</v>
      </c>
      <c r="B1915" s="4" t="s">
        <v>9</v>
      </c>
      <c r="C1915" s="4" t="s">
        <v>73</v>
      </c>
      <c r="D1915" s="4">
        <v>46139</v>
      </c>
      <c r="E1915" s="5">
        <v>0.32189814814814816</v>
      </c>
      <c r="F1915">
        <v>1</v>
      </c>
      <c r="G1915" t="s">
        <v>83</v>
      </c>
      <c r="H1915">
        <v>67.833333333333329</v>
      </c>
      <c r="M1915" t="s">
        <v>84</v>
      </c>
      <c r="N1915" t="s">
        <v>75</v>
      </c>
    </row>
    <row r="1916" spans="1:20" x14ac:dyDescent="0.25">
      <c r="A1916" t="s">
        <v>319</v>
      </c>
      <c r="B1916" s="4" t="s">
        <v>9</v>
      </c>
      <c r="C1916" s="4" t="s">
        <v>73</v>
      </c>
      <c r="D1916" s="4">
        <v>46139</v>
      </c>
      <c r="E1916" s="5">
        <v>0.32189814814814816</v>
      </c>
      <c r="F1916">
        <v>1</v>
      </c>
      <c r="G1916" t="s">
        <v>83</v>
      </c>
      <c r="H1916">
        <v>67.75</v>
      </c>
      <c r="M1916" t="s">
        <v>84</v>
      </c>
      <c r="N1916" t="s">
        <v>75</v>
      </c>
    </row>
    <row r="1917" spans="1:20" x14ac:dyDescent="0.25">
      <c r="A1917" t="s">
        <v>319</v>
      </c>
      <c r="B1917" s="4" t="s">
        <v>9</v>
      </c>
      <c r="C1917" s="4" t="s">
        <v>73</v>
      </c>
      <c r="D1917" s="4">
        <v>46139</v>
      </c>
      <c r="E1917" s="5">
        <v>0.32251157407407405</v>
      </c>
      <c r="F1917">
        <v>1</v>
      </c>
      <c r="G1917" t="s">
        <v>83</v>
      </c>
      <c r="H1917">
        <v>67.416666666666657</v>
      </c>
      <c r="M1917" t="s">
        <v>76</v>
      </c>
      <c r="N1917" t="s">
        <v>75</v>
      </c>
    </row>
    <row r="1918" spans="1:20" x14ac:dyDescent="0.25">
      <c r="A1918" t="s">
        <v>327</v>
      </c>
      <c r="B1918" s="4" t="s">
        <v>9</v>
      </c>
      <c r="C1918" s="4" t="s">
        <v>70</v>
      </c>
      <c r="D1918" s="4">
        <v>46139</v>
      </c>
      <c r="E1918" s="5">
        <v>0.3238657407407407</v>
      </c>
      <c r="F1918">
        <v>1</v>
      </c>
      <c r="G1918" t="s">
        <v>83</v>
      </c>
      <c r="H1918">
        <v>37</v>
      </c>
      <c r="L1918" t="s">
        <v>328</v>
      </c>
      <c r="M1918" t="s">
        <v>71</v>
      </c>
      <c r="N1918" t="s">
        <v>75</v>
      </c>
      <c r="O1918">
        <v>1</v>
      </c>
      <c r="S1918">
        <v>1</v>
      </c>
      <c r="T1918">
        <v>265.66666666666663</v>
      </c>
    </row>
    <row r="1919" spans="1:20" x14ac:dyDescent="0.25">
      <c r="A1919" t="s">
        <v>328</v>
      </c>
      <c r="B1919" s="4" t="s">
        <v>9</v>
      </c>
      <c r="C1919" s="4" t="s">
        <v>73</v>
      </c>
      <c r="D1919" s="4">
        <v>46139</v>
      </c>
      <c r="E1919" s="5">
        <v>0.3238657407407407</v>
      </c>
      <c r="F1919">
        <v>1</v>
      </c>
      <c r="G1919" t="s">
        <v>83</v>
      </c>
      <c r="H1919">
        <v>265.75</v>
      </c>
      <c r="M1919" t="s">
        <v>74</v>
      </c>
      <c r="N1919" t="s">
        <v>75</v>
      </c>
    </row>
    <row r="1920" spans="1:20" x14ac:dyDescent="0.25">
      <c r="A1920" t="s">
        <v>328</v>
      </c>
      <c r="B1920" s="4" t="s">
        <v>9</v>
      </c>
      <c r="C1920" s="4" t="s">
        <v>73</v>
      </c>
      <c r="D1920" s="4">
        <v>46139</v>
      </c>
      <c r="E1920" s="5">
        <v>0.3238657407407407</v>
      </c>
      <c r="F1920">
        <v>1</v>
      </c>
      <c r="G1920" t="s">
        <v>83</v>
      </c>
      <c r="H1920">
        <v>265.66666666666663</v>
      </c>
      <c r="M1920" t="s">
        <v>74</v>
      </c>
      <c r="N1920" t="s">
        <v>75</v>
      </c>
    </row>
    <row r="1921" spans="1:21" x14ac:dyDescent="0.25">
      <c r="A1921" t="s">
        <v>328</v>
      </c>
      <c r="B1921" s="4" t="s">
        <v>9</v>
      </c>
      <c r="C1921" s="4" t="s">
        <v>73</v>
      </c>
      <c r="D1921" s="4">
        <v>46139</v>
      </c>
      <c r="E1921" s="5">
        <v>0.32402777777777775</v>
      </c>
      <c r="F1921">
        <v>1</v>
      </c>
      <c r="G1921" t="s">
        <v>83</v>
      </c>
      <c r="H1921">
        <v>265.66666666666663</v>
      </c>
      <c r="M1921" t="s">
        <v>76</v>
      </c>
      <c r="N1921" t="s">
        <v>75</v>
      </c>
    </row>
    <row r="1922" spans="1:21" x14ac:dyDescent="0.25">
      <c r="A1922" t="s">
        <v>336</v>
      </c>
      <c r="B1922" s="4" t="s">
        <v>9</v>
      </c>
      <c r="C1922" s="4" t="s">
        <v>70</v>
      </c>
      <c r="D1922" s="4">
        <v>46139</v>
      </c>
      <c r="E1922" s="5">
        <v>0.32570601851851849</v>
      </c>
      <c r="F1922">
        <v>1</v>
      </c>
      <c r="G1922" t="s">
        <v>83</v>
      </c>
      <c r="H1922">
        <v>5</v>
      </c>
      <c r="L1922" t="s">
        <v>337</v>
      </c>
      <c r="M1922" t="s">
        <v>71</v>
      </c>
      <c r="N1922" t="s">
        <v>72</v>
      </c>
      <c r="O1922">
        <v>1</v>
      </c>
      <c r="Q1922">
        <v>1</v>
      </c>
      <c r="S1922">
        <v>1</v>
      </c>
      <c r="U1922">
        <v>0.25</v>
      </c>
    </row>
    <row r="1923" spans="1:21" x14ac:dyDescent="0.25">
      <c r="A1923" t="s">
        <v>337</v>
      </c>
      <c r="B1923" s="4" t="s">
        <v>9</v>
      </c>
      <c r="C1923" s="4" t="s">
        <v>73</v>
      </c>
      <c r="D1923" s="4">
        <v>46139</v>
      </c>
      <c r="E1923" s="5">
        <v>0.32570601851851849</v>
      </c>
      <c r="F1923">
        <v>1</v>
      </c>
      <c r="G1923" t="s">
        <v>83</v>
      </c>
      <c r="H1923">
        <v>2.75</v>
      </c>
      <c r="M1923" t="s">
        <v>338</v>
      </c>
      <c r="N1923" t="s">
        <v>72</v>
      </c>
    </row>
    <row r="1924" spans="1:21" x14ac:dyDescent="0.25">
      <c r="A1924" t="s">
        <v>337</v>
      </c>
      <c r="B1924" s="4" t="s">
        <v>9</v>
      </c>
      <c r="C1924" s="4" t="s">
        <v>73</v>
      </c>
      <c r="D1924" s="4">
        <v>46139</v>
      </c>
      <c r="E1924" s="5">
        <v>0.32570601851851849</v>
      </c>
      <c r="F1924">
        <v>1</v>
      </c>
      <c r="G1924" t="s">
        <v>83</v>
      </c>
      <c r="H1924">
        <v>0.25</v>
      </c>
      <c r="M1924" t="s">
        <v>338</v>
      </c>
      <c r="N1924" t="s">
        <v>72</v>
      </c>
    </row>
    <row r="1925" spans="1:21" x14ac:dyDescent="0.25">
      <c r="A1925" t="s">
        <v>337</v>
      </c>
      <c r="B1925" s="4" t="s">
        <v>9</v>
      </c>
      <c r="C1925" s="4" t="s">
        <v>73</v>
      </c>
      <c r="D1925" s="4">
        <v>46139</v>
      </c>
      <c r="E1925" s="5">
        <v>0.32570601851851849</v>
      </c>
      <c r="F1925">
        <v>1</v>
      </c>
      <c r="G1925" t="s">
        <v>83</v>
      </c>
      <c r="H1925">
        <v>0</v>
      </c>
      <c r="M1925" t="s">
        <v>338</v>
      </c>
      <c r="N1925" t="s">
        <v>72</v>
      </c>
    </row>
    <row r="1926" spans="1:21" x14ac:dyDescent="0.25">
      <c r="A1926" t="s">
        <v>341</v>
      </c>
      <c r="B1926" s="4" t="s">
        <v>9</v>
      </c>
      <c r="C1926" s="4" t="s">
        <v>70</v>
      </c>
      <c r="D1926" s="4">
        <v>46139</v>
      </c>
      <c r="E1926" s="5">
        <v>0.3266087962962963</v>
      </c>
      <c r="F1926">
        <v>1</v>
      </c>
      <c r="G1926" t="s">
        <v>83</v>
      </c>
      <c r="H1926">
        <v>4</v>
      </c>
      <c r="L1926" t="s">
        <v>342</v>
      </c>
      <c r="M1926" t="s">
        <v>71</v>
      </c>
      <c r="N1926" t="s">
        <v>75</v>
      </c>
      <c r="O1926">
        <v>1</v>
      </c>
      <c r="R1926">
        <v>1</v>
      </c>
      <c r="S1926">
        <v>1</v>
      </c>
      <c r="T1926">
        <v>13.083333333333332</v>
      </c>
    </row>
    <row r="1927" spans="1:21" x14ac:dyDescent="0.25">
      <c r="A1927" t="s">
        <v>342</v>
      </c>
      <c r="B1927" s="4" t="s">
        <v>9</v>
      </c>
      <c r="C1927" s="4" t="s">
        <v>73</v>
      </c>
      <c r="D1927" s="4">
        <v>46139</v>
      </c>
      <c r="E1927" s="5">
        <v>0.3266087962962963</v>
      </c>
      <c r="F1927">
        <v>1</v>
      </c>
      <c r="G1927" t="s">
        <v>83</v>
      </c>
      <c r="H1927">
        <v>13.083333333333332</v>
      </c>
      <c r="M1927" t="s">
        <v>74</v>
      </c>
      <c r="N1927" t="s">
        <v>75</v>
      </c>
    </row>
    <row r="1928" spans="1:21" x14ac:dyDescent="0.25">
      <c r="A1928" t="s">
        <v>342</v>
      </c>
      <c r="B1928" s="4" t="s">
        <v>9</v>
      </c>
      <c r="C1928" s="4" t="s">
        <v>73</v>
      </c>
      <c r="D1928" s="4">
        <v>46139</v>
      </c>
      <c r="E1928" s="5">
        <v>0.3266087962962963</v>
      </c>
      <c r="F1928">
        <v>1</v>
      </c>
      <c r="G1928" t="s">
        <v>83</v>
      </c>
      <c r="H1928">
        <v>13</v>
      </c>
      <c r="M1928" t="s">
        <v>74</v>
      </c>
      <c r="N1928" t="s">
        <v>75</v>
      </c>
    </row>
    <row r="1929" spans="1:21" x14ac:dyDescent="0.25">
      <c r="A1929" t="s">
        <v>342</v>
      </c>
      <c r="B1929" s="4" t="s">
        <v>9</v>
      </c>
      <c r="C1929" s="4" t="s">
        <v>73</v>
      </c>
      <c r="D1929" s="4">
        <v>46139</v>
      </c>
      <c r="E1929" s="5">
        <v>0.32747685185185188</v>
      </c>
      <c r="F1929">
        <v>1</v>
      </c>
      <c r="G1929" t="s">
        <v>83</v>
      </c>
      <c r="H1929">
        <v>13.083333333333332</v>
      </c>
      <c r="M1929" t="s">
        <v>76</v>
      </c>
      <c r="N1929" t="s">
        <v>75</v>
      </c>
    </row>
    <row r="1930" spans="1:21" x14ac:dyDescent="0.25">
      <c r="A1930" t="s">
        <v>350</v>
      </c>
      <c r="B1930" s="4" t="s">
        <v>9</v>
      </c>
      <c r="C1930" s="4" t="s">
        <v>70</v>
      </c>
      <c r="D1930" s="4">
        <v>46139</v>
      </c>
      <c r="E1930" s="5">
        <v>0.32837962962962963</v>
      </c>
      <c r="F1930">
        <v>1</v>
      </c>
      <c r="G1930" t="s">
        <v>83</v>
      </c>
      <c r="H1930">
        <v>2</v>
      </c>
      <c r="L1930" t="s">
        <v>351</v>
      </c>
      <c r="M1930" t="s">
        <v>71</v>
      </c>
      <c r="N1930" t="s">
        <v>75</v>
      </c>
      <c r="O1930">
        <v>1</v>
      </c>
      <c r="R1930">
        <v>1</v>
      </c>
      <c r="S1930">
        <v>1</v>
      </c>
      <c r="T1930">
        <v>10.75</v>
      </c>
    </row>
    <row r="1931" spans="1:21" x14ac:dyDescent="0.25">
      <c r="A1931" t="s">
        <v>351</v>
      </c>
      <c r="B1931" s="4" t="s">
        <v>9</v>
      </c>
      <c r="C1931" s="4" t="s">
        <v>73</v>
      </c>
      <c r="D1931" s="4">
        <v>46139</v>
      </c>
      <c r="E1931" s="5">
        <v>0.32837962962962963</v>
      </c>
      <c r="F1931">
        <v>1</v>
      </c>
      <c r="G1931" t="s">
        <v>83</v>
      </c>
      <c r="H1931">
        <v>10.833333333333332</v>
      </c>
      <c r="M1931" t="s">
        <v>84</v>
      </c>
      <c r="N1931" t="s">
        <v>75</v>
      </c>
    </row>
    <row r="1932" spans="1:21" x14ac:dyDescent="0.25">
      <c r="A1932" t="s">
        <v>351</v>
      </c>
      <c r="B1932" s="4" t="s">
        <v>9</v>
      </c>
      <c r="C1932" s="4" t="s">
        <v>73</v>
      </c>
      <c r="D1932" s="4">
        <v>46139</v>
      </c>
      <c r="E1932" s="5">
        <v>0.32837962962962963</v>
      </c>
      <c r="F1932">
        <v>1</v>
      </c>
      <c r="G1932" t="s">
        <v>83</v>
      </c>
      <c r="H1932">
        <v>10.75</v>
      </c>
      <c r="M1932" t="s">
        <v>84</v>
      </c>
      <c r="N1932" t="s">
        <v>75</v>
      </c>
    </row>
    <row r="1933" spans="1:21" x14ac:dyDescent="0.25">
      <c r="A1933" t="s">
        <v>351</v>
      </c>
      <c r="B1933" s="4" t="s">
        <v>9</v>
      </c>
      <c r="C1933" s="4" t="s">
        <v>73</v>
      </c>
      <c r="D1933" s="4">
        <v>46139</v>
      </c>
      <c r="E1933" s="5">
        <v>0.32866898148148144</v>
      </c>
      <c r="F1933">
        <v>1</v>
      </c>
      <c r="G1933" t="s">
        <v>83</v>
      </c>
      <c r="H1933">
        <v>10.75</v>
      </c>
      <c r="M1933" t="s">
        <v>76</v>
      </c>
      <c r="N1933" t="s">
        <v>75</v>
      </c>
    </row>
    <row r="1934" spans="1:21" x14ac:dyDescent="0.25">
      <c r="A1934" t="s">
        <v>359</v>
      </c>
      <c r="B1934" s="4" t="s">
        <v>9</v>
      </c>
      <c r="C1934" s="4" t="s">
        <v>70</v>
      </c>
      <c r="D1934" s="4">
        <v>46139</v>
      </c>
      <c r="E1934" s="5">
        <v>0.34317129629629628</v>
      </c>
      <c r="F1934">
        <v>1</v>
      </c>
      <c r="G1934" t="s">
        <v>83</v>
      </c>
      <c r="H1934">
        <v>97.5</v>
      </c>
      <c r="L1934" t="s">
        <v>360</v>
      </c>
      <c r="M1934" t="s">
        <v>71</v>
      </c>
      <c r="N1934" t="s">
        <v>78</v>
      </c>
      <c r="O1934">
        <v>1</v>
      </c>
      <c r="R1934">
        <v>1</v>
      </c>
      <c r="S1934">
        <v>1</v>
      </c>
      <c r="T1934">
        <v>12.333333333333332</v>
      </c>
    </row>
    <row r="1935" spans="1:21" x14ac:dyDescent="0.25">
      <c r="A1935" t="s">
        <v>360</v>
      </c>
      <c r="B1935" s="4" t="s">
        <v>9</v>
      </c>
      <c r="C1935" s="4" t="s">
        <v>73</v>
      </c>
      <c r="D1935" s="4">
        <v>46139</v>
      </c>
      <c r="E1935" s="5">
        <v>0.34317129629629628</v>
      </c>
      <c r="F1935">
        <v>1</v>
      </c>
      <c r="G1935" t="s">
        <v>83</v>
      </c>
      <c r="H1935">
        <v>13.916666666666668</v>
      </c>
      <c r="M1935" t="s">
        <v>74</v>
      </c>
      <c r="N1935" t="s">
        <v>78</v>
      </c>
    </row>
    <row r="1936" spans="1:21" x14ac:dyDescent="0.25">
      <c r="A1936" t="s">
        <v>360</v>
      </c>
      <c r="B1936" s="4" t="s">
        <v>9</v>
      </c>
      <c r="C1936" s="4" t="s">
        <v>73</v>
      </c>
      <c r="D1936" s="4">
        <v>46139</v>
      </c>
      <c r="E1936" s="5">
        <v>0.34317129629629628</v>
      </c>
      <c r="F1936">
        <v>1</v>
      </c>
      <c r="G1936" t="s">
        <v>83</v>
      </c>
      <c r="H1936">
        <v>13.833333333333332</v>
      </c>
      <c r="M1936" t="s">
        <v>74</v>
      </c>
      <c r="N1936" t="s">
        <v>78</v>
      </c>
    </row>
    <row r="1937" spans="1:20" x14ac:dyDescent="0.25">
      <c r="A1937" t="s">
        <v>360</v>
      </c>
      <c r="B1937" s="4" t="s">
        <v>9</v>
      </c>
      <c r="C1937" s="4" t="s">
        <v>73</v>
      </c>
      <c r="D1937" s="4">
        <v>46139</v>
      </c>
      <c r="E1937" s="5">
        <v>0.34377314814814813</v>
      </c>
      <c r="F1937">
        <v>1</v>
      </c>
      <c r="G1937" t="s">
        <v>83</v>
      </c>
      <c r="H1937">
        <v>12.333333333333332</v>
      </c>
      <c r="M1937" t="s">
        <v>76</v>
      </c>
      <c r="N1937" t="s">
        <v>78</v>
      </c>
    </row>
    <row r="1938" spans="1:20" x14ac:dyDescent="0.25">
      <c r="A1938" t="s">
        <v>365</v>
      </c>
      <c r="B1938" s="4" t="s">
        <v>9</v>
      </c>
      <c r="C1938" s="4" t="s">
        <v>70</v>
      </c>
      <c r="D1938" s="4">
        <v>46139</v>
      </c>
      <c r="E1938" s="5">
        <v>0.3448032407407407</v>
      </c>
      <c r="F1938">
        <v>1</v>
      </c>
      <c r="G1938" t="s">
        <v>83</v>
      </c>
      <c r="H1938">
        <v>53.5</v>
      </c>
      <c r="L1938" t="s">
        <v>366</v>
      </c>
      <c r="M1938" t="s">
        <v>71</v>
      </c>
      <c r="N1938" t="s">
        <v>75</v>
      </c>
      <c r="O1938">
        <v>1</v>
      </c>
      <c r="S1938">
        <v>1</v>
      </c>
      <c r="T1938">
        <v>76.416666666666671</v>
      </c>
    </row>
    <row r="1939" spans="1:20" x14ac:dyDescent="0.25">
      <c r="A1939" t="s">
        <v>366</v>
      </c>
      <c r="B1939" s="4" t="s">
        <v>9</v>
      </c>
      <c r="C1939" s="4" t="s">
        <v>73</v>
      </c>
      <c r="D1939" s="4">
        <v>46139</v>
      </c>
      <c r="E1939" s="5">
        <v>0.3448032407407407</v>
      </c>
      <c r="F1939">
        <v>1</v>
      </c>
      <c r="G1939" t="s">
        <v>83</v>
      </c>
      <c r="H1939">
        <v>76.5</v>
      </c>
      <c r="M1939" t="s">
        <v>74</v>
      </c>
      <c r="N1939" t="s">
        <v>75</v>
      </c>
    </row>
    <row r="1940" spans="1:20" x14ac:dyDescent="0.25">
      <c r="A1940" t="s">
        <v>366</v>
      </c>
      <c r="B1940" s="4" t="s">
        <v>9</v>
      </c>
      <c r="C1940" s="4" t="s">
        <v>73</v>
      </c>
      <c r="D1940" s="4">
        <v>46139</v>
      </c>
      <c r="E1940" s="5">
        <v>0.3448032407407407</v>
      </c>
      <c r="F1940">
        <v>1</v>
      </c>
      <c r="G1940" t="s">
        <v>83</v>
      </c>
      <c r="H1940">
        <v>76.416666666666671</v>
      </c>
      <c r="M1940" t="s">
        <v>74</v>
      </c>
      <c r="N1940" t="s">
        <v>75</v>
      </c>
    </row>
    <row r="1941" spans="1:20" x14ac:dyDescent="0.25">
      <c r="A1941" t="s">
        <v>366</v>
      </c>
      <c r="B1941" s="4" t="s">
        <v>9</v>
      </c>
      <c r="C1941" s="4" t="s">
        <v>73</v>
      </c>
      <c r="D1941" s="4">
        <v>46139</v>
      </c>
      <c r="E1941" s="5">
        <v>0.34497685185185184</v>
      </c>
      <c r="F1941">
        <v>1</v>
      </c>
      <c r="G1941" t="s">
        <v>83</v>
      </c>
      <c r="H1941">
        <v>76.416666666666671</v>
      </c>
      <c r="M1941" t="s">
        <v>76</v>
      </c>
      <c r="N1941" t="s">
        <v>75</v>
      </c>
    </row>
    <row r="1942" spans="1:20" x14ac:dyDescent="0.25">
      <c r="A1942" t="s">
        <v>370</v>
      </c>
      <c r="B1942" s="4" t="s">
        <v>9</v>
      </c>
      <c r="C1942" s="4" t="s">
        <v>70</v>
      </c>
      <c r="D1942" s="4">
        <v>46139</v>
      </c>
      <c r="E1942" s="5">
        <v>0.34575231481481478</v>
      </c>
      <c r="F1942">
        <v>1</v>
      </c>
      <c r="G1942" t="s">
        <v>83</v>
      </c>
      <c r="H1942">
        <v>1</v>
      </c>
      <c r="L1942" t="s">
        <v>371</v>
      </c>
      <c r="M1942" t="s">
        <v>71</v>
      </c>
      <c r="N1942" t="s">
        <v>78</v>
      </c>
      <c r="O1942">
        <v>1</v>
      </c>
      <c r="S1942">
        <v>1</v>
      </c>
      <c r="T1942">
        <v>45.833333333333329</v>
      </c>
    </row>
    <row r="1943" spans="1:20" x14ac:dyDescent="0.25">
      <c r="A1943" t="s">
        <v>371</v>
      </c>
      <c r="B1943" s="4" t="s">
        <v>9</v>
      </c>
      <c r="C1943" s="4" t="s">
        <v>73</v>
      </c>
      <c r="D1943" s="4">
        <v>46139</v>
      </c>
      <c r="E1943" s="5">
        <v>0.34575231481481478</v>
      </c>
      <c r="F1943">
        <v>1</v>
      </c>
      <c r="G1943" t="s">
        <v>83</v>
      </c>
      <c r="H1943">
        <v>46.166666666666664</v>
      </c>
      <c r="M1943" t="s">
        <v>84</v>
      </c>
      <c r="N1943" t="s">
        <v>78</v>
      </c>
    </row>
    <row r="1944" spans="1:20" x14ac:dyDescent="0.25">
      <c r="A1944" t="s">
        <v>371</v>
      </c>
      <c r="B1944" s="4" t="s">
        <v>9</v>
      </c>
      <c r="C1944" s="4" t="s">
        <v>73</v>
      </c>
      <c r="D1944" s="4">
        <v>46139</v>
      </c>
      <c r="E1944" s="5">
        <v>0.34575231481481478</v>
      </c>
      <c r="F1944">
        <v>1</v>
      </c>
      <c r="G1944" t="s">
        <v>83</v>
      </c>
      <c r="H1944">
        <v>46.083333333333336</v>
      </c>
      <c r="M1944" t="s">
        <v>84</v>
      </c>
      <c r="N1944" t="s">
        <v>78</v>
      </c>
    </row>
    <row r="1945" spans="1:20" x14ac:dyDescent="0.25">
      <c r="A1945" t="s">
        <v>371</v>
      </c>
      <c r="B1945" s="4" t="s">
        <v>9</v>
      </c>
      <c r="C1945" s="4" t="s">
        <v>73</v>
      </c>
      <c r="D1945" s="4">
        <v>46139</v>
      </c>
      <c r="E1945" s="5">
        <v>0.3463194444444444</v>
      </c>
      <c r="F1945">
        <v>1</v>
      </c>
      <c r="G1945" t="s">
        <v>83</v>
      </c>
      <c r="H1945">
        <v>45.833333333333329</v>
      </c>
      <c r="M1945" t="s">
        <v>76</v>
      </c>
      <c r="N1945" t="s">
        <v>78</v>
      </c>
    </row>
    <row r="1946" spans="1:20" x14ac:dyDescent="0.25">
      <c r="A1946" t="s">
        <v>376</v>
      </c>
      <c r="B1946" s="4" t="s">
        <v>9</v>
      </c>
      <c r="C1946" s="4" t="s">
        <v>70</v>
      </c>
      <c r="D1946" s="4">
        <v>46139</v>
      </c>
      <c r="E1946" s="5">
        <v>0.34809027777777773</v>
      </c>
      <c r="F1946">
        <v>1</v>
      </c>
      <c r="G1946" t="s">
        <v>83</v>
      </c>
      <c r="H1946">
        <v>33.75</v>
      </c>
      <c r="L1946" t="s">
        <v>377</v>
      </c>
      <c r="M1946" t="s">
        <v>71</v>
      </c>
      <c r="N1946" t="s">
        <v>75</v>
      </c>
      <c r="O1946">
        <v>1</v>
      </c>
    </row>
    <row r="1947" spans="1:20" x14ac:dyDescent="0.25">
      <c r="A1947" t="s">
        <v>377</v>
      </c>
      <c r="B1947" s="4" t="s">
        <v>9</v>
      </c>
      <c r="C1947" s="4" t="s">
        <v>73</v>
      </c>
      <c r="D1947" s="4">
        <v>46139</v>
      </c>
      <c r="E1947" s="5">
        <v>0.34809027777777773</v>
      </c>
      <c r="F1947">
        <v>1</v>
      </c>
      <c r="G1947" t="s">
        <v>83</v>
      </c>
      <c r="H1947">
        <v>56.916666666666671</v>
      </c>
      <c r="M1947" t="s">
        <v>74</v>
      </c>
      <c r="N1947" t="s">
        <v>75</v>
      </c>
    </row>
    <row r="1948" spans="1:20" x14ac:dyDescent="0.25">
      <c r="A1948" t="s">
        <v>377</v>
      </c>
      <c r="B1948" s="4" t="s">
        <v>9</v>
      </c>
      <c r="C1948" s="4" t="s">
        <v>73</v>
      </c>
      <c r="D1948" s="4">
        <v>46139</v>
      </c>
      <c r="E1948" s="5">
        <v>0.34809027777777773</v>
      </c>
      <c r="F1948">
        <v>1</v>
      </c>
      <c r="G1948" t="s">
        <v>83</v>
      </c>
      <c r="H1948">
        <v>56.833333333333329</v>
      </c>
      <c r="M1948" t="s">
        <v>74</v>
      </c>
      <c r="N1948" t="s">
        <v>75</v>
      </c>
    </row>
    <row r="1949" spans="1:20" x14ac:dyDescent="0.25">
      <c r="A1949" t="s">
        <v>382</v>
      </c>
      <c r="B1949" s="4" t="s">
        <v>9</v>
      </c>
      <c r="C1949" s="4" t="s">
        <v>70</v>
      </c>
      <c r="D1949" s="4">
        <v>46139</v>
      </c>
      <c r="E1949" s="5">
        <v>0.34864583333333332</v>
      </c>
      <c r="F1949">
        <v>1</v>
      </c>
      <c r="G1949" t="s">
        <v>83</v>
      </c>
      <c r="H1949">
        <v>32.083333333333336</v>
      </c>
      <c r="L1949" t="s">
        <v>377</v>
      </c>
      <c r="M1949" t="s">
        <v>71</v>
      </c>
      <c r="N1949" t="s">
        <v>75</v>
      </c>
      <c r="P1949">
        <v>1</v>
      </c>
      <c r="R1949">
        <v>1</v>
      </c>
      <c r="S1949">
        <v>1</v>
      </c>
      <c r="T1949">
        <v>23.5</v>
      </c>
    </row>
    <row r="1950" spans="1:20" x14ac:dyDescent="0.25">
      <c r="A1950" t="s">
        <v>377</v>
      </c>
      <c r="B1950" s="4" t="s">
        <v>9</v>
      </c>
      <c r="C1950" s="4" t="s">
        <v>73</v>
      </c>
      <c r="D1950" s="4">
        <v>46139</v>
      </c>
      <c r="E1950" s="5">
        <v>0.34864583333333332</v>
      </c>
      <c r="F1950">
        <v>1</v>
      </c>
      <c r="G1950" t="s">
        <v>83</v>
      </c>
      <c r="H1950">
        <v>24.75</v>
      </c>
      <c r="M1950" t="s">
        <v>74</v>
      </c>
      <c r="N1950" t="s">
        <v>75</v>
      </c>
    </row>
    <row r="1951" spans="1:20" x14ac:dyDescent="0.25">
      <c r="A1951" t="s">
        <v>377</v>
      </c>
      <c r="B1951" s="4" t="s">
        <v>9</v>
      </c>
      <c r="C1951" s="4" t="s">
        <v>73</v>
      </c>
      <c r="D1951" s="4">
        <v>46139</v>
      </c>
      <c r="E1951" s="5">
        <v>0.34864583333333332</v>
      </c>
      <c r="F1951">
        <v>1</v>
      </c>
      <c r="G1951" t="s">
        <v>83</v>
      </c>
      <c r="H1951">
        <v>24.666666666666664</v>
      </c>
      <c r="M1951" t="s">
        <v>74</v>
      </c>
      <c r="N1951" t="s">
        <v>75</v>
      </c>
    </row>
    <row r="1952" spans="1:20" x14ac:dyDescent="0.25">
      <c r="A1952" t="s">
        <v>377</v>
      </c>
      <c r="B1952" s="4" t="s">
        <v>9</v>
      </c>
      <c r="C1952" s="4" t="s">
        <v>73</v>
      </c>
      <c r="D1952" s="4">
        <v>46139</v>
      </c>
      <c r="E1952" s="5">
        <v>0.34953703703703703</v>
      </c>
      <c r="F1952">
        <v>1</v>
      </c>
      <c r="G1952" t="s">
        <v>83</v>
      </c>
      <c r="H1952">
        <v>23.5</v>
      </c>
      <c r="M1952" t="s">
        <v>76</v>
      </c>
      <c r="N1952" t="s">
        <v>75</v>
      </c>
    </row>
    <row r="1953" spans="1:21" x14ac:dyDescent="0.25">
      <c r="A1953" t="s">
        <v>390</v>
      </c>
      <c r="B1953" s="4" t="s">
        <v>9</v>
      </c>
      <c r="C1953" s="4" t="s">
        <v>70</v>
      </c>
      <c r="D1953" s="4">
        <v>46139</v>
      </c>
      <c r="E1953" s="5">
        <v>0.35129629629629627</v>
      </c>
      <c r="F1953">
        <v>1</v>
      </c>
      <c r="G1953" t="s">
        <v>83</v>
      </c>
      <c r="H1953">
        <v>1</v>
      </c>
      <c r="L1953" t="s">
        <v>391</v>
      </c>
      <c r="M1953" t="s">
        <v>71</v>
      </c>
      <c r="N1953" t="s">
        <v>80</v>
      </c>
      <c r="O1953">
        <v>1</v>
      </c>
      <c r="R1953">
        <v>1</v>
      </c>
      <c r="S1953">
        <v>1</v>
      </c>
      <c r="T1953">
        <v>5.166666666666667</v>
      </c>
    </row>
    <row r="1954" spans="1:21" x14ac:dyDescent="0.25">
      <c r="A1954" t="s">
        <v>391</v>
      </c>
      <c r="B1954" s="4" t="s">
        <v>9</v>
      </c>
      <c r="C1954" s="4" t="s">
        <v>73</v>
      </c>
      <c r="D1954" s="4">
        <v>46139</v>
      </c>
      <c r="E1954" s="5">
        <v>0.35129629629629627</v>
      </c>
      <c r="F1954">
        <v>1</v>
      </c>
      <c r="G1954" t="s">
        <v>83</v>
      </c>
      <c r="H1954">
        <v>5.916666666666667</v>
      </c>
      <c r="M1954" t="s">
        <v>84</v>
      </c>
      <c r="N1954" t="s">
        <v>80</v>
      </c>
    </row>
    <row r="1955" spans="1:21" x14ac:dyDescent="0.25">
      <c r="A1955" t="s">
        <v>391</v>
      </c>
      <c r="B1955" s="4" t="s">
        <v>9</v>
      </c>
      <c r="C1955" s="4" t="s">
        <v>73</v>
      </c>
      <c r="D1955" s="4">
        <v>46139</v>
      </c>
      <c r="E1955" s="5">
        <v>0.35162037037037036</v>
      </c>
      <c r="F1955">
        <v>1</v>
      </c>
      <c r="G1955" t="s">
        <v>83</v>
      </c>
      <c r="H1955">
        <v>5.166666666666667</v>
      </c>
      <c r="M1955" t="s">
        <v>76</v>
      </c>
      <c r="N1955" t="s">
        <v>80</v>
      </c>
    </row>
    <row r="1956" spans="1:21" x14ac:dyDescent="0.25">
      <c r="A1956" t="s">
        <v>396</v>
      </c>
      <c r="B1956" s="4" t="s">
        <v>9</v>
      </c>
      <c r="C1956" s="4" t="s">
        <v>70</v>
      </c>
      <c r="D1956" s="4">
        <v>46139</v>
      </c>
      <c r="E1956" s="5">
        <v>0.35296296296296292</v>
      </c>
      <c r="F1956">
        <v>1</v>
      </c>
      <c r="G1956" t="s">
        <v>83</v>
      </c>
      <c r="H1956">
        <v>128.83333333333334</v>
      </c>
      <c r="L1956" t="s">
        <v>397</v>
      </c>
      <c r="M1956" t="s">
        <v>71</v>
      </c>
      <c r="N1956" t="s">
        <v>75</v>
      </c>
      <c r="O1956">
        <v>1</v>
      </c>
    </row>
    <row r="1957" spans="1:21" x14ac:dyDescent="0.25">
      <c r="A1957" t="s">
        <v>397</v>
      </c>
      <c r="B1957" s="4" t="s">
        <v>9</v>
      </c>
      <c r="C1957" s="4" t="s">
        <v>73</v>
      </c>
      <c r="D1957" s="4">
        <v>46139</v>
      </c>
      <c r="E1957" s="5">
        <v>0.35296296296296292</v>
      </c>
      <c r="F1957">
        <v>1</v>
      </c>
      <c r="G1957" t="s">
        <v>83</v>
      </c>
      <c r="H1957">
        <v>151.16666666666666</v>
      </c>
      <c r="M1957" t="s">
        <v>74</v>
      </c>
      <c r="N1957" t="s">
        <v>75</v>
      </c>
    </row>
    <row r="1958" spans="1:21" x14ac:dyDescent="0.25">
      <c r="A1958" t="s">
        <v>400</v>
      </c>
      <c r="B1958" s="4" t="s">
        <v>9</v>
      </c>
      <c r="C1958" s="4" t="s">
        <v>70</v>
      </c>
      <c r="D1958" s="4">
        <v>46139</v>
      </c>
      <c r="E1958" s="5">
        <v>0.35368055555555555</v>
      </c>
      <c r="F1958">
        <v>1</v>
      </c>
      <c r="G1958" t="s">
        <v>83</v>
      </c>
      <c r="H1958">
        <v>73.5</v>
      </c>
      <c r="L1958" t="s">
        <v>397</v>
      </c>
      <c r="M1958" t="s">
        <v>71</v>
      </c>
      <c r="N1958" t="s">
        <v>75</v>
      </c>
      <c r="P1958">
        <v>1</v>
      </c>
    </row>
    <row r="1959" spans="1:21" x14ac:dyDescent="0.25">
      <c r="A1959" t="s">
        <v>397</v>
      </c>
      <c r="B1959" s="4" t="s">
        <v>9</v>
      </c>
      <c r="C1959" s="4" t="s">
        <v>73</v>
      </c>
      <c r="D1959" s="4">
        <v>46139</v>
      </c>
      <c r="E1959" s="5">
        <v>0.35368055555555555</v>
      </c>
      <c r="F1959">
        <v>1</v>
      </c>
      <c r="G1959" t="s">
        <v>83</v>
      </c>
      <c r="H1959">
        <v>77.666666666666671</v>
      </c>
      <c r="M1959" t="s">
        <v>74</v>
      </c>
      <c r="N1959" t="s">
        <v>75</v>
      </c>
    </row>
    <row r="1960" spans="1:21" x14ac:dyDescent="0.25">
      <c r="A1960" t="s">
        <v>403</v>
      </c>
      <c r="B1960" s="4" t="s">
        <v>9</v>
      </c>
      <c r="C1960" s="4" t="s">
        <v>70</v>
      </c>
      <c r="D1960" s="4">
        <v>46139</v>
      </c>
      <c r="E1960" s="5">
        <v>0.35425925925925927</v>
      </c>
      <c r="F1960">
        <v>1</v>
      </c>
      <c r="G1960" t="s">
        <v>83</v>
      </c>
      <c r="H1960">
        <v>74.5</v>
      </c>
      <c r="L1960" t="s">
        <v>397</v>
      </c>
      <c r="M1960" t="s">
        <v>71</v>
      </c>
      <c r="N1960" t="s">
        <v>75</v>
      </c>
      <c r="P1960">
        <v>1</v>
      </c>
      <c r="Q1960">
        <v>1</v>
      </c>
      <c r="S1960">
        <v>1</v>
      </c>
      <c r="U1960">
        <v>1.9166666666666665</v>
      </c>
    </row>
    <row r="1961" spans="1:21" x14ac:dyDescent="0.25">
      <c r="A1961" t="s">
        <v>397</v>
      </c>
      <c r="B1961" s="4" t="s">
        <v>9</v>
      </c>
      <c r="C1961" s="4" t="s">
        <v>73</v>
      </c>
      <c r="D1961" s="4">
        <v>46139</v>
      </c>
      <c r="E1961" s="5">
        <v>0.35425925925925927</v>
      </c>
      <c r="F1961">
        <v>1</v>
      </c>
      <c r="G1961" t="s">
        <v>83</v>
      </c>
      <c r="H1961">
        <v>3.1666666666666661</v>
      </c>
      <c r="M1961" t="s">
        <v>74</v>
      </c>
      <c r="N1961" t="s">
        <v>75</v>
      </c>
    </row>
    <row r="1962" spans="1:21" x14ac:dyDescent="0.25">
      <c r="A1962" t="s">
        <v>397</v>
      </c>
      <c r="B1962" s="4" t="s">
        <v>9</v>
      </c>
      <c r="C1962" s="4" t="s">
        <v>73</v>
      </c>
      <c r="D1962" s="4">
        <v>46139</v>
      </c>
      <c r="E1962" s="5">
        <v>0.35425925925925927</v>
      </c>
      <c r="F1962">
        <v>1</v>
      </c>
      <c r="G1962" t="s">
        <v>83</v>
      </c>
      <c r="H1962">
        <v>1.9166666666666665</v>
      </c>
      <c r="M1962" t="s">
        <v>74</v>
      </c>
      <c r="N1962" t="s">
        <v>75</v>
      </c>
    </row>
    <row r="1963" spans="1:21" x14ac:dyDescent="0.25">
      <c r="A1963" t="s">
        <v>397</v>
      </c>
      <c r="B1963" s="4" t="s">
        <v>9</v>
      </c>
      <c r="C1963" s="4" t="s">
        <v>73</v>
      </c>
      <c r="D1963" s="4">
        <v>46139</v>
      </c>
      <c r="E1963" s="5">
        <v>0.35425925925925927</v>
      </c>
      <c r="F1963">
        <v>1</v>
      </c>
      <c r="G1963" t="s">
        <v>83</v>
      </c>
      <c r="H1963">
        <v>0</v>
      </c>
      <c r="M1963" t="s">
        <v>74</v>
      </c>
      <c r="N1963" t="s">
        <v>75</v>
      </c>
    </row>
    <row r="1964" spans="1:21" x14ac:dyDescent="0.25">
      <c r="A1964" t="s">
        <v>406</v>
      </c>
      <c r="B1964" s="4" t="s">
        <v>9</v>
      </c>
      <c r="C1964" s="4" t="s">
        <v>70</v>
      </c>
      <c r="D1964" s="4">
        <v>46139</v>
      </c>
      <c r="E1964" s="5">
        <v>0.3554282407407407</v>
      </c>
      <c r="F1964">
        <v>1</v>
      </c>
      <c r="G1964" t="s">
        <v>83</v>
      </c>
      <c r="H1964">
        <v>64.5</v>
      </c>
      <c r="L1964" t="s">
        <v>407</v>
      </c>
      <c r="M1964" t="s">
        <v>71</v>
      </c>
      <c r="N1964" t="s">
        <v>75</v>
      </c>
      <c r="O1964">
        <v>1</v>
      </c>
      <c r="S1964">
        <v>1</v>
      </c>
      <c r="T1964">
        <v>241.16666666666666</v>
      </c>
    </row>
    <row r="1965" spans="1:21" x14ac:dyDescent="0.25">
      <c r="A1965" t="s">
        <v>407</v>
      </c>
      <c r="B1965" s="4" t="s">
        <v>9</v>
      </c>
      <c r="C1965" s="4" t="s">
        <v>73</v>
      </c>
      <c r="D1965" s="4">
        <v>46139</v>
      </c>
      <c r="E1965" s="5">
        <v>0.3554282407407407</v>
      </c>
      <c r="F1965">
        <v>1</v>
      </c>
      <c r="G1965" t="s">
        <v>83</v>
      </c>
      <c r="H1965">
        <v>241.25</v>
      </c>
      <c r="M1965" t="s">
        <v>79</v>
      </c>
      <c r="N1965" t="s">
        <v>75</v>
      </c>
    </row>
    <row r="1966" spans="1:21" x14ac:dyDescent="0.25">
      <c r="A1966" t="s">
        <v>407</v>
      </c>
      <c r="B1966" s="4" t="s">
        <v>9</v>
      </c>
      <c r="C1966" s="4" t="s">
        <v>73</v>
      </c>
      <c r="D1966" s="4">
        <v>46139</v>
      </c>
      <c r="E1966" s="5">
        <v>0.3554282407407407</v>
      </c>
      <c r="F1966">
        <v>1</v>
      </c>
      <c r="G1966" t="s">
        <v>83</v>
      </c>
      <c r="H1966">
        <v>241.16666666666666</v>
      </c>
      <c r="M1966" t="s">
        <v>79</v>
      </c>
      <c r="N1966" t="s">
        <v>75</v>
      </c>
    </row>
    <row r="1967" spans="1:21" x14ac:dyDescent="0.25">
      <c r="A1967" t="s">
        <v>407</v>
      </c>
      <c r="B1967" s="4" t="s">
        <v>9</v>
      </c>
      <c r="C1967" s="4" t="s">
        <v>73</v>
      </c>
      <c r="D1967" s="4">
        <v>46139</v>
      </c>
      <c r="E1967" s="5">
        <v>0.3555787037037037</v>
      </c>
      <c r="F1967">
        <v>1</v>
      </c>
      <c r="G1967" t="s">
        <v>83</v>
      </c>
      <c r="H1967">
        <v>241.16666666666666</v>
      </c>
      <c r="M1967" t="s">
        <v>76</v>
      </c>
      <c r="N1967" t="s">
        <v>75</v>
      </c>
    </row>
    <row r="1968" spans="1:21" x14ac:dyDescent="0.25">
      <c r="A1968" t="s">
        <v>414</v>
      </c>
      <c r="B1968" s="4" t="s">
        <v>9</v>
      </c>
      <c r="C1968" s="4" t="s">
        <v>70</v>
      </c>
      <c r="D1968" s="4">
        <v>46139</v>
      </c>
      <c r="E1968" s="5">
        <v>0.35722222222222222</v>
      </c>
      <c r="F1968">
        <v>1</v>
      </c>
      <c r="G1968" t="s">
        <v>83</v>
      </c>
      <c r="H1968">
        <v>1.6666666666666665</v>
      </c>
      <c r="L1968" t="s">
        <v>415</v>
      </c>
      <c r="M1968" t="s">
        <v>71</v>
      </c>
      <c r="N1968" t="s">
        <v>72</v>
      </c>
      <c r="O1968">
        <v>1</v>
      </c>
      <c r="S1968">
        <v>1</v>
      </c>
      <c r="T1968">
        <v>83.416666666666657</v>
      </c>
    </row>
    <row r="1969" spans="1:20" x14ac:dyDescent="0.25">
      <c r="A1969" t="s">
        <v>415</v>
      </c>
      <c r="B1969" s="4" t="s">
        <v>9</v>
      </c>
      <c r="C1969" s="4" t="s">
        <v>73</v>
      </c>
      <c r="D1969" s="4">
        <v>46139</v>
      </c>
      <c r="E1969" s="5">
        <v>0.35722222222222222</v>
      </c>
      <c r="F1969">
        <v>1</v>
      </c>
      <c r="G1969" t="s">
        <v>83</v>
      </c>
      <c r="H1969">
        <v>83.5</v>
      </c>
      <c r="L1969" t="s">
        <v>416</v>
      </c>
      <c r="M1969" t="s">
        <v>84</v>
      </c>
      <c r="N1969" t="s">
        <v>72</v>
      </c>
    </row>
    <row r="1970" spans="1:20" x14ac:dyDescent="0.25">
      <c r="A1970" t="s">
        <v>415</v>
      </c>
      <c r="B1970" s="4" t="s">
        <v>9</v>
      </c>
      <c r="C1970" s="4" t="s">
        <v>73</v>
      </c>
      <c r="D1970" s="4">
        <v>46139</v>
      </c>
      <c r="E1970" s="5">
        <v>0.35722222222222222</v>
      </c>
      <c r="F1970">
        <v>1</v>
      </c>
      <c r="G1970" t="s">
        <v>83</v>
      </c>
      <c r="H1970">
        <v>83.416666666666657</v>
      </c>
      <c r="L1970" t="s">
        <v>416</v>
      </c>
      <c r="M1970" t="s">
        <v>84</v>
      </c>
      <c r="N1970" t="s">
        <v>72</v>
      </c>
    </row>
    <row r="1971" spans="1:20" x14ac:dyDescent="0.25">
      <c r="A1971" t="s">
        <v>415</v>
      </c>
      <c r="B1971" s="4" t="s">
        <v>9</v>
      </c>
      <c r="C1971" s="4" t="s">
        <v>73</v>
      </c>
      <c r="D1971" s="4">
        <v>46139</v>
      </c>
      <c r="E1971" s="5">
        <v>0.35737268518518517</v>
      </c>
      <c r="F1971">
        <v>1</v>
      </c>
      <c r="G1971" t="s">
        <v>83</v>
      </c>
      <c r="H1971">
        <v>83.416666666666657</v>
      </c>
      <c r="L1971" t="s">
        <v>416</v>
      </c>
      <c r="M1971" t="s">
        <v>76</v>
      </c>
      <c r="N1971" t="s">
        <v>72</v>
      </c>
    </row>
    <row r="1972" spans="1:20" x14ac:dyDescent="0.25">
      <c r="A1972" t="s">
        <v>423</v>
      </c>
      <c r="B1972" s="4" t="s">
        <v>9</v>
      </c>
      <c r="C1972" s="4" t="s">
        <v>70</v>
      </c>
      <c r="D1972" s="4">
        <v>46139</v>
      </c>
      <c r="E1972" s="5">
        <v>0.35895833333333332</v>
      </c>
      <c r="F1972">
        <v>1</v>
      </c>
      <c r="G1972" t="s">
        <v>83</v>
      </c>
      <c r="H1972">
        <v>150</v>
      </c>
      <c r="L1972" t="s">
        <v>424</v>
      </c>
      <c r="M1972" t="s">
        <v>71</v>
      </c>
      <c r="N1972" t="s">
        <v>72</v>
      </c>
      <c r="O1972">
        <v>1</v>
      </c>
    </row>
    <row r="1973" spans="1:20" x14ac:dyDescent="0.25">
      <c r="A1973" t="s">
        <v>424</v>
      </c>
      <c r="B1973" s="4" t="s">
        <v>9</v>
      </c>
      <c r="C1973" s="4" t="s">
        <v>73</v>
      </c>
      <c r="D1973" s="4">
        <v>46139</v>
      </c>
      <c r="E1973" s="5">
        <v>0.35895833333333332</v>
      </c>
      <c r="F1973">
        <v>1</v>
      </c>
      <c r="G1973" t="s">
        <v>83</v>
      </c>
      <c r="H1973">
        <v>41.25</v>
      </c>
      <c r="M1973" t="s">
        <v>74</v>
      </c>
      <c r="N1973" t="s">
        <v>72</v>
      </c>
    </row>
    <row r="1974" spans="1:20" x14ac:dyDescent="0.25">
      <c r="A1974" t="s">
        <v>424</v>
      </c>
      <c r="B1974" s="4" t="s">
        <v>9</v>
      </c>
      <c r="C1974" s="4" t="s">
        <v>73</v>
      </c>
      <c r="D1974" s="4">
        <v>46139</v>
      </c>
      <c r="E1974" s="5">
        <v>0.35895833333333332</v>
      </c>
      <c r="F1974">
        <v>1</v>
      </c>
      <c r="G1974" t="s">
        <v>83</v>
      </c>
      <c r="H1974">
        <v>41.166666666666664</v>
      </c>
      <c r="L1974" s="21"/>
      <c r="M1974" t="s">
        <v>74</v>
      </c>
      <c r="N1974" t="s">
        <v>72</v>
      </c>
    </row>
    <row r="1975" spans="1:20" x14ac:dyDescent="0.25">
      <c r="A1975" t="s">
        <v>427</v>
      </c>
      <c r="B1975" s="4" t="s">
        <v>9</v>
      </c>
      <c r="C1975" s="4" t="s">
        <v>70</v>
      </c>
      <c r="D1975" s="4">
        <v>46139</v>
      </c>
      <c r="E1975" s="5">
        <v>0.35940972222222223</v>
      </c>
      <c r="F1975">
        <v>1</v>
      </c>
      <c r="G1975" t="s">
        <v>83</v>
      </c>
      <c r="H1975">
        <v>14</v>
      </c>
      <c r="L1975" t="s">
        <v>424</v>
      </c>
      <c r="M1975" t="s">
        <v>71</v>
      </c>
      <c r="N1975" t="s">
        <v>72</v>
      </c>
      <c r="P1975">
        <v>1</v>
      </c>
      <c r="R1975">
        <v>1</v>
      </c>
      <c r="S1975">
        <v>1</v>
      </c>
      <c r="T1975">
        <v>25.5</v>
      </c>
    </row>
    <row r="1976" spans="1:20" x14ac:dyDescent="0.25">
      <c r="A1976" t="s">
        <v>424</v>
      </c>
      <c r="B1976" s="4" t="s">
        <v>9</v>
      </c>
      <c r="C1976" s="4" t="s">
        <v>73</v>
      </c>
      <c r="D1976" s="4">
        <v>46139</v>
      </c>
      <c r="E1976" s="5">
        <v>0.35940972222222223</v>
      </c>
      <c r="F1976">
        <v>1</v>
      </c>
      <c r="G1976" t="s">
        <v>83</v>
      </c>
      <c r="H1976">
        <v>27.166666666666664</v>
      </c>
      <c r="M1976" t="s">
        <v>74</v>
      </c>
      <c r="N1976" t="s">
        <v>72</v>
      </c>
    </row>
    <row r="1977" spans="1:20" x14ac:dyDescent="0.25">
      <c r="A1977" t="s">
        <v>424</v>
      </c>
      <c r="B1977" s="4" t="s">
        <v>9</v>
      </c>
      <c r="C1977" s="4" t="s">
        <v>73</v>
      </c>
      <c r="D1977" s="4">
        <v>46139</v>
      </c>
      <c r="E1977" s="5">
        <v>0.35940972222222223</v>
      </c>
      <c r="F1977">
        <v>1</v>
      </c>
      <c r="G1977" t="s">
        <v>83</v>
      </c>
      <c r="H1977">
        <v>27.083333333333332</v>
      </c>
      <c r="M1977" t="s">
        <v>74</v>
      </c>
      <c r="N1977" t="s">
        <v>72</v>
      </c>
    </row>
    <row r="1978" spans="1:20" x14ac:dyDescent="0.25">
      <c r="A1978" t="s">
        <v>424</v>
      </c>
      <c r="B1978" s="4" t="s">
        <v>9</v>
      </c>
      <c r="C1978" s="4" t="s">
        <v>73</v>
      </c>
      <c r="D1978" s="4">
        <v>46139</v>
      </c>
      <c r="E1978" s="5">
        <v>0.36049768518518516</v>
      </c>
      <c r="F1978">
        <v>1</v>
      </c>
      <c r="G1978" t="s">
        <v>83</v>
      </c>
      <c r="H1978">
        <v>25.5</v>
      </c>
      <c r="M1978" t="s">
        <v>76</v>
      </c>
      <c r="N1978" t="s">
        <v>72</v>
      </c>
    </row>
    <row r="1979" spans="1:20" x14ac:dyDescent="0.25">
      <c r="A1979" t="s">
        <v>434</v>
      </c>
      <c r="B1979" s="4" t="s">
        <v>9</v>
      </c>
      <c r="C1979" s="4" t="s">
        <v>70</v>
      </c>
      <c r="D1979" s="4">
        <v>46139</v>
      </c>
      <c r="E1979" s="5">
        <v>0.36204861111111108</v>
      </c>
      <c r="F1979">
        <v>1</v>
      </c>
      <c r="G1979" t="s">
        <v>83</v>
      </c>
      <c r="H1979">
        <v>52.5</v>
      </c>
      <c r="L1979" t="s">
        <v>435</v>
      </c>
      <c r="M1979" t="s">
        <v>71</v>
      </c>
      <c r="N1979" t="s">
        <v>78</v>
      </c>
      <c r="O1979">
        <v>1</v>
      </c>
    </row>
    <row r="1980" spans="1:20" x14ac:dyDescent="0.25">
      <c r="A1980" t="s">
        <v>435</v>
      </c>
      <c r="B1980" s="4" t="s">
        <v>9</v>
      </c>
      <c r="C1980" s="4" t="s">
        <v>73</v>
      </c>
      <c r="D1980" s="4">
        <v>46139</v>
      </c>
      <c r="E1980" s="5">
        <v>0.36204861111111108</v>
      </c>
      <c r="F1980">
        <v>1</v>
      </c>
      <c r="G1980" t="s">
        <v>83</v>
      </c>
      <c r="H1980">
        <v>75.75</v>
      </c>
      <c r="M1980" t="s">
        <v>79</v>
      </c>
      <c r="N1980" t="s">
        <v>78</v>
      </c>
    </row>
    <row r="1981" spans="1:20" x14ac:dyDescent="0.25">
      <c r="A1981" t="s">
        <v>435</v>
      </c>
      <c r="B1981" s="4" t="s">
        <v>9</v>
      </c>
      <c r="C1981" s="4" t="s">
        <v>73</v>
      </c>
      <c r="D1981" s="4">
        <v>46139</v>
      </c>
      <c r="E1981" s="5">
        <v>0.36204861111111108</v>
      </c>
      <c r="F1981">
        <v>1</v>
      </c>
      <c r="G1981" t="s">
        <v>83</v>
      </c>
      <c r="H1981">
        <v>75.666666666666657</v>
      </c>
      <c r="M1981" t="s">
        <v>79</v>
      </c>
      <c r="N1981" t="s">
        <v>78</v>
      </c>
    </row>
    <row r="1982" spans="1:20" x14ac:dyDescent="0.25">
      <c r="A1982" t="s">
        <v>439</v>
      </c>
      <c r="B1982" s="4" t="s">
        <v>9</v>
      </c>
      <c r="C1982" s="4" t="s">
        <v>70</v>
      </c>
      <c r="D1982" s="4">
        <v>46139</v>
      </c>
      <c r="E1982" s="5">
        <v>0.36260416666666667</v>
      </c>
      <c r="F1982">
        <v>1</v>
      </c>
      <c r="G1982" t="s">
        <v>83</v>
      </c>
      <c r="H1982">
        <v>30</v>
      </c>
      <c r="L1982" t="s">
        <v>435</v>
      </c>
      <c r="M1982" t="s">
        <v>71</v>
      </c>
      <c r="N1982" t="s">
        <v>78</v>
      </c>
      <c r="P1982">
        <v>1</v>
      </c>
      <c r="S1982">
        <v>1</v>
      </c>
      <c r="T1982">
        <v>44.583333333333329</v>
      </c>
    </row>
    <row r="1983" spans="1:20" x14ac:dyDescent="0.25">
      <c r="A1983" t="s">
        <v>435</v>
      </c>
      <c r="B1983" s="4" t="s">
        <v>9</v>
      </c>
      <c r="C1983" s="4" t="s">
        <v>73</v>
      </c>
      <c r="D1983" s="4">
        <v>46139</v>
      </c>
      <c r="E1983" s="5">
        <v>0.36260416666666667</v>
      </c>
      <c r="F1983">
        <v>1</v>
      </c>
      <c r="G1983" t="s">
        <v>83</v>
      </c>
      <c r="H1983">
        <v>45.666666666666664</v>
      </c>
      <c r="M1983" t="s">
        <v>79</v>
      </c>
      <c r="N1983" t="s">
        <v>78</v>
      </c>
    </row>
    <row r="1984" spans="1:20" x14ac:dyDescent="0.25">
      <c r="A1984" t="s">
        <v>435</v>
      </c>
      <c r="B1984" s="4" t="s">
        <v>9</v>
      </c>
      <c r="C1984" s="4" t="s">
        <v>73</v>
      </c>
      <c r="D1984" s="4">
        <v>46139</v>
      </c>
      <c r="E1984" s="5">
        <v>0.36260416666666667</v>
      </c>
      <c r="F1984">
        <v>1</v>
      </c>
      <c r="G1984" t="s">
        <v>83</v>
      </c>
      <c r="H1984">
        <v>45.583333333333336</v>
      </c>
      <c r="M1984" t="s">
        <v>79</v>
      </c>
      <c r="N1984" t="s">
        <v>78</v>
      </c>
    </row>
    <row r="1985" spans="1:20" x14ac:dyDescent="0.25">
      <c r="A1985" t="s">
        <v>435</v>
      </c>
      <c r="B1985" s="4" t="s">
        <v>9</v>
      </c>
      <c r="C1985" s="4" t="s">
        <v>73</v>
      </c>
      <c r="D1985" s="4">
        <v>46139</v>
      </c>
      <c r="E1985" s="5">
        <v>0.36300925925925925</v>
      </c>
      <c r="F1985">
        <v>1</v>
      </c>
      <c r="G1985" t="s">
        <v>83</v>
      </c>
      <c r="H1985">
        <v>44.583333333333329</v>
      </c>
      <c r="M1985" t="s">
        <v>76</v>
      </c>
      <c r="N1985" t="s">
        <v>78</v>
      </c>
    </row>
    <row r="1986" spans="1:20" x14ac:dyDescent="0.25">
      <c r="A1986" t="s">
        <v>443</v>
      </c>
      <c r="B1986" s="4" t="s">
        <v>9</v>
      </c>
      <c r="C1986" s="4" t="s">
        <v>70</v>
      </c>
      <c r="D1986" s="4">
        <v>46139</v>
      </c>
      <c r="E1986" s="5">
        <v>0.36375000000000002</v>
      </c>
      <c r="F1986">
        <v>1</v>
      </c>
      <c r="G1986" t="s">
        <v>83</v>
      </c>
      <c r="H1986">
        <v>1</v>
      </c>
      <c r="L1986" t="s">
        <v>444</v>
      </c>
      <c r="M1986" t="s">
        <v>71</v>
      </c>
      <c r="N1986" t="s">
        <v>75</v>
      </c>
      <c r="O1986">
        <v>1</v>
      </c>
      <c r="S1986">
        <v>1</v>
      </c>
      <c r="T1986">
        <v>53</v>
      </c>
    </row>
    <row r="1987" spans="1:20" x14ac:dyDescent="0.25">
      <c r="A1987" t="s">
        <v>444</v>
      </c>
      <c r="B1987" s="4" t="s">
        <v>9</v>
      </c>
      <c r="C1987" s="4" t="s">
        <v>73</v>
      </c>
      <c r="D1987" s="4">
        <v>46139</v>
      </c>
      <c r="E1987" s="5">
        <v>0.36375000000000002</v>
      </c>
      <c r="F1987">
        <v>1</v>
      </c>
      <c r="G1987" t="s">
        <v>83</v>
      </c>
      <c r="H1987">
        <v>54.25</v>
      </c>
      <c r="M1987" t="s">
        <v>84</v>
      </c>
      <c r="N1987" t="s">
        <v>75</v>
      </c>
    </row>
    <row r="1988" spans="1:20" x14ac:dyDescent="0.25">
      <c r="A1988" t="s">
        <v>444</v>
      </c>
      <c r="B1988" s="4" t="s">
        <v>9</v>
      </c>
      <c r="C1988" s="4" t="s">
        <v>73</v>
      </c>
      <c r="D1988" s="4">
        <v>46139</v>
      </c>
      <c r="E1988" s="5">
        <v>0.36406249999999996</v>
      </c>
      <c r="F1988">
        <v>1</v>
      </c>
      <c r="G1988" t="s">
        <v>83</v>
      </c>
      <c r="H1988">
        <v>53</v>
      </c>
      <c r="M1988" t="s">
        <v>76</v>
      </c>
      <c r="N1988" t="s">
        <v>75</v>
      </c>
    </row>
    <row r="1989" spans="1:20" x14ac:dyDescent="0.25">
      <c r="A1989" t="s">
        <v>447</v>
      </c>
      <c r="B1989" s="4" t="s">
        <v>9</v>
      </c>
      <c r="C1989" s="4" t="s">
        <v>73</v>
      </c>
      <c r="D1989" s="4">
        <v>46139</v>
      </c>
      <c r="E1989" s="5">
        <v>0.36494212962962957</v>
      </c>
      <c r="F1989">
        <v>1</v>
      </c>
      <c r="G1989" t="s">
        <v>83</v>
      </c>
      <c r="H1989">
        <v>191.75</v>
      </c>
      <c r="M1989" t="s">
        <v>74</v>
      </c>
      <c r="N1989" t="s">
        <v>75</v>
      </c>
    </row>
    <row r="1990" spans="1:20" x14ac:dyDescent="0.25">
      <c r="A1990" t="s">
        <v>450</v>
      </c>
      <c r="B1990" s="4" t="s">
        <v>9</v>
      </c>
      <c r="C1990" s="4" t="s">
        <v>70</v>
      </c>
      <c r="D1990" s="4">
        <v>46139</v>
      </c>
      <c r="E1990" s="5">
        <v>0.36553240740740739</v>
      </c>
      <c r="F1990">
        <v>1</v>
      </c>
      <c r="G1990" t="s">
        <v>83</v>
      </c>
      <c r="H1990">
        <v>54.25</v>
      </c>
      <c r="L1990" t="s">
        <v>447</v>
      </c>
      <c r="M1990" t="s">
        <v>71</v>
      </c>
      <c r="N1990" t="s">
        <v>75</v>
      </c>
      <c r="O1990">
        <v>1</v>
      </c>
      <c r="S1990">
        <v>1</v>
      </c>
      <c r="T1990">
        <v>137.41666666666666</v>
      </c>
    </row>
    <row r="1991" spans="1:20" x14ac:dyDescent="0.25">
      <c r="A1991" t="s">
        <v>447</v>
      </c>
      <c r="B1991" s="4" t="s">
        <v>9</v>
      </c>
      <c r="C1991" s="4" t="s">
        <v>73</v>
      </c>
      <c r="D1991" s="4">
        <v>46139</v>
      </c>
      <c r="E1991" s="5">
        <v>0.36553240740740739</v>
      </c>
      <c r="F1991">
        <v>1</v>
      </c>
      <c r="G1991" t="s">
        <v>83</v>
      </c>
      <c r="H1991">
        <v>137.5</v>
      </c>
      <c r="M1991" t="s">
        <v>74</v>
      </c>
      <c r="N1991" t="s">
        <v>75</v>
      </c>
    </row>
    <row r="1992" spans="1:20" x14ac:dyDescent="0.25">
      <c r="A1992" t="s">
        <v>447</v>
      </c>
      <c r="B1992" s="4" t="s">
        <v>9</v>
      </c>
      <c r="C1992" s="4" t="s">
        <v>73</v>
      </c>
      <c r="D1992" s="4">
        <v>46139</v>
      </c>
      <c r="E1992" s="5">
        <v>0.36553240740740739</v>
      </c>
      <c r="F1992">
        <v>1</v>
      </c>
      <c r="G1992" t="s">
        <v>83</v>
      </c>
      <c r="H1992">
        <v>137.41666666666666</v>
      </c>
      <c r="M1992" t="s">
        <v>74</v>
      </c>
      <c r="N1992" t="s">
        <v>75</v>
      </c>
    </row>
    <row r="1993" spans="1:20" x14ac:dyDescent="0.25">
      <c r="A1993" t="s">
        <v>447</v>
      </c>
      <c r="B1993" s="4" t="s">
        <v>9</v>
      </c>
      <c r="C1993" s="4" t="s">
        <v>73</v>
      </c>
      <c r="D1993" s="4">
        <v>46139</v>
      </c>
      <c r="E1993" s="5">
        <v>0.36571759259259257</v>
      </c>
      <c r="F1993">
        <v>1</v>
      </c>
      <c r="G1993" t="s">
        <v>83</v>
      </c>
      <c r="H1993">
        <v>137.41666666666666</v>
      </c>
      <c r="M1993" t="s">
        <v>76</v>
      </c>
      <c r="N1993" t="s">
        <v>75</v>
      </c>
    </row>
    <row r="1994" spans="1:20" x14ac:dyDescent="0.25">
      <c r="A1994" t="s">
        <v>456</v>
      </c>
      <c r="B1994" s="4" t="s">
        <v>9</v>
      </c>
      <c r="C1994" s="4" t="s">
        <v>70</v>
      </c>
      <c r="D1994" s="4">
        <v>46139</v>
      </c>
      <c r="E1994" s="5">
        <v>0.36690972222222218</v>
      </c>
      <c r="F1994">
        <v>1</v>
      </c>
      <c r="G1994" t="s">
        <v>83</v>
      </c>
      <c r="H1994">
        <v>1</v>
      </c>
      <c r="L1994" t="s">
        <v>457</v>
      </c>
      <c r="M1994" t="s">
        <v>71</v>
      </c>
      <c r="N1994" t="s">
        <v>75</v>
      </c>
      <c r="O1994">
        <v>1</v>
      </c>
      <c r="R1994">
        <v>1</v>
      </c>
      <c r="S1994">
        <v>1</v>
      </c>
      <c r="T1994">
        <v>9.8333333333333321</v>
      </c>
    </row>
    <row r="1995" spans="1:20" x14ac:dyDescent="0.25">
      <c r="A1995" t="s">
        <v>457</v>
      </c>
      <c r="B1995" s="4" t="s">
        <v>9</v>
      </c>
      <c r="C1995" s="4" t="s">
        <v>73</v>
      </c>
      <c r="D1995" s="4">
        <v>46139</v>
      </c>
      <c r="E1995" s="5">
        <v>0.36690972222222218</v>
      </c>
      <c r="F1995">
        <v>1</v>
      </c>
      <c r="G1995" t="s">
        <v>83</v>
      </c>
      <c r="H1995">
        <v>10.166666666666666</v>
      </c>
      <c r="M1995" t="s">
        <v>84</v>
      </c>
      <c r="N1995" t="s">
        <v>75</v>
      </c>
    </row>
    <row r="1996" spans="1:20" x14ac:dyDescent="0.25">
      <c r="A1996" t="s">
        <v>457</v>
      </c>
      <c r="B1996" s="4" t="s">
        <v>9</v>
      </c>
      <c r="C1996" s="4" t="s">
        <v>73</v>
      </c>
      <c r="D1996" s="4">
        <v>46139</v>
      </c>
      <c r="E1996" s="5">
        <v>0.36690972222222218</v>
      </c>
      <c r="F1996">
        <v>1</v>
      </c>
      <c r="G1996" t="s">
        <v>83</v>
      </c>
      <c r="H1996">
        <v>10.083333333333332</v>
      </c>
      <c r="M1996" t="s">
        <v>84</v>
      </c>
      <c r="N1996" t="s">
        <v>75</v>
      </c>
    </row>
    <row r="1997" spans="1:20" x14ac:dyDescent="0.25">
      <c r="A1997" t="s">
        <v>457</v>
      </c>
      <c r="B1997" s="4" t="s">
        <v>9</v>
      </c>
      <c r="C1997" s="4" t="s">
        <v>73</v>
      </c>
      <c r="D1997" s="4">
        <v>46139</v>
      </c>
      <c r="E1997" s="5">
        <v>0.36707175925925922</v>
      </c>
      <c r="F1997">
        <v>1</v>
      </c>
      <c r="G1997" t="s">
        <v>83</v>
      </c>
      <c r="H1997">
        <v>9.8333333333333321</v>
      </c>
      <c r="M1997" t="s">
        <v>76</v>
      </c>
      <c r="N1997" t="s">
        <v>75</v>
      </c>
    </row>
    <row r="1998" spans="1:20" x14ac:dyDescent="0.25">
      <c r="A1998" t="s">
        <v>462</v>
      </c>
      <c r="B1998" s="4" t="s">
        <v>9</v>
      </c>
      <c r="C1998" s="4" t="s">
        <v>70</v>
      </c>
      <c r="D1998" s="4">
        <v>46139</v>
      </c>
      <c r="E1998" s="5">
        <v>0.36807870370370366</v>
      </c>
      <c r="F1998">
        <v>1</v>
      </c>
      <c r="G1998" t="s">
        <v>83</v>
      </c>
      <c r="H1998">
        <v>37.75</v>
      </c>
      <c r="L1998" t="s">
        <v>463</v>
      </c>
      <c r="M1998" t="s">
        <v>71</v>
      </c>
      <c r="N1998" t="s">
        <v>72</v>
      </c>
      <c r="O1998">
        <v>1</v>
      </c>
      <c r="S1998">
        <v>1</v>
      </c>
      <c r="T1998">
        <v>179.58333333333331</v>
      </c>
    </row>
    <row r="1999" spans="1:20" x14ac:dyDescent="0.25">
      <c r="A1999" t="s">
        <v>463</v>
      </c>
      <c r="B1999" s="4" t="s">
        <v>9</v>
      </c>
      <c r="C1999" s="4" t="s">
        <v>73</v>
      </c>
      <c r="D1999" s="4">
        <v>46139</v>
      </c>
      <c r="E1999" s="5">
        <v>0.36807870370370366</v>
      </c>
      <c r="F1999">
        <v>1</v>
      </c>
      <c r="G1999" t="s">
        <v>83</v>
      </c>
      <c r="H1999">
        <v>179.66666666666666</v>
      </c>
      <c r="M1999" t="s">
        <v>74</v>
      </c>
      <c r="N1999" t="s">
        <v>72</v>
      </c>
    </row>
    <row r="2000" spans="1:20" x14ac:dyDescent="0.25">
      <c r="A2000" t="s">
        <v>463</v>
      </c>
      <c r="B2000" s="4" t="s">
        <v>9</v>
      </c>
      <c r="C2000" s="4" t="s">
        <v>73</v>
      </c>
      <c r="D2000" s="4">
        <v>46139</v>
      </c>
      <c r="E2000" s="5">
        <v>0.36807870370370366</v>
      </c>
      <c r="F2000">
        <v>1</v>
      </c>
      <c r="G2000" t="s">
        <v>83</v>
      </c>
      <c r="H2000">
        <v>179.58333333333331</v>
      </c>
      <c r="M2000" t="s">
        <v>74</v>
      </c>
      <c r="N2000" t="s">
        <v>72</v>
      </c>
    </row>
    <row r="2001" spans="1:20" x14ac:dyDescent="0.25">
      <c r="A2001" t="s">
        <v>463</v>
      </c>
      <c r="B2001" s="4" t="s">
        <v>9</v>
      </c>
      <c r="C2001" s="4" t="s">
        <v>73</v>
      </c>
      <c r="D2001" s="4">
        <v>46139</v>
      </c>
      <c r="E2001" s="5">
        <v>0.36826388888888889</v>
      </c>
      <c r="F2001">
        <v>1</v>
      </c>
      <c r="G2001" t="s">
        <v>83</v>
      </c>
      <c r="H2001">
        <v>179.58333333333331</v>
      </c>
      <c r="M2001" t="s">
        <v>76</v>
      </c>
      <c r="N2001" t="s">
        <v>72</v>
      </c>
    </row>
    <row r="2002" spans="1:20" x14ac:dyDescent="0.25">
      <c r="A2002" t="s">
        <v>470</v>
      </c>
      <c r="B2002" s="4" t="s">
        <v>9</v>
      </c>
      <c r="C2002" s="4" t="s">
        <v>70</v>
      </c>
      <c r="D2002" s="4">
        <v>46139</v>
      </c>
      <c r="E2002" s="5">
        <v>0.37157407407407406</v>
      </c>
      <c r="F2002">
        <v>1</v>
      </c>
      <c r="G2002" t="s">
        <v>83</v>
      </c>
      <c r="H2002">
        <v>150</v>
      </c>
      <c r="L2002" t="s">
        <v>471</v>
      </c>
      <c r="M2002" t="s">
        <v>71</v>
      </c>
      <c r="N2002" t="s">
        <v>75</v>
      </c>
      <c r="O2002">
        <v>1</v>
      </c>
      <c r="S2002">
        <v>1</v>
      </c>
      <c r="T2002">
        <v>145.66666666666666</v>
      </c>
    </row>
    <row r="2003" spans="1:20" x14ac:dyDescent="0.25">
      <c r="A2003" t="s">
        <v>471</v>
      </c>
      <c r="B2003" s="4" t="s">
        <v>9</v>
      </c>
      <c r="C2003" s="4" t="s">
        <v>73</v>
      </c>
      <c r="D2003" s="4">
        <v>46139</v>
      </c>
      <c r="E2003" s="5">
        <v>0.37157407407407406</v>
      </c>
      <c r="F2003">
        <v>1</v>
      </c>
      <c r="G2003" t="s">
        <v>83</v>
      </c>
      <c r="H2003">
        <v>147.33333333333331</v>
      </c>
      <c r="M2003" t="s">
        <v>79</v>
      </c>
      <c r="N2003" t="s">
        <v>75</v>
      </c>
    </row>
    <row r="2004" spans="1:20" x14ac:dyDescent="0.25">
      <c r="A2004" t="s">
        <v>471</v>
      </c>
      <c r="B2004" s="4" t="s">
        <v>9</v>
      </c>
      <c r="C2004" s="4" t="s">
        <v>73</v>
      </c>
      <c r="D2004" s="4">
        <v>46139</v>
      </c>
      <c r="E2004" s="5">
        <v>0.3724189814814815</v>
      </c>
      <c r="F2004">
        <v>1</v>
      </c>
      <c r="G2004" t="s">
        <v>83</v>
      </c>
      <c r="H2004">
        <v>145.66666666666666</v>
      </c>
      <c r="M2004" t="s">
        <v>76</v>
      </c>
      <c r="N2004" t="s">
        <v>75</v>
      </c>
    </row>
    <row r="2005" spans="1:20" x14ac:dyDescent="0.25">
      <c r="A2005" t="s">
        <v>485</v>
      </c>
      <c r="B2005" s="4" t="s">
        <v>9</v>
      </c>
      <c r="C2005" s="4" t="s">
        <v>70</v>
      </c>
      <c r="D2005" s="4">
        <v>46139</v>
      </c>
      <c r="E2005" s="5">
        <v>0.37516203703703704</v>
      </c>
      <c r="F2005">
        <v>1</v>
      </c>
      <c r="G2005" t="s">
        <v>83</v>
      </c>
      <c r="H2005">
        <v>22</v>
      </c>
      <c r="L2005" t="s">
        <v>486</v>
      </c>
      <c r="M2005" t="s">
        <v>71</v>
      </c>
      <c r="N2005" t="s">
        <v>72</v>
      </c>
      <c r="O2005">
        <v>1</v>
      </c>
      <c r="R2005">
        <v>1</v>
      </c>
      <c r="S2005">
        <v>1</v>
      </c>
      <c r="T2005">
        <v>26.416666666666668</v>
      </c>
    </row>
    <row r="2006" spans="1:20" x14ac:dyDescent="0.25">
      <c r="A2006" t="s">
        <v>486</v>
      </c>
      <c r="B2006" s="4" t="s">
        <v>9</v>
      </c>
      <c r="C2006" s="4" t="s">
        <v>73</v>
      </c>
      <c r="D2006" s="4">
        <v>46139</v>
      </c>
      <c r="E2006" s="5">
        <v>0.37516203703703704</v>
      </c>
      <c r="F2006">
        <v>1</v>
      </c>
      <c r="G2006" t="s">
        <v>83</v>
      </c>
      <c r="H2006">
        <v>26.916666666666668</v>
      </c>
      <c r="M2006" t="s">
        <v>74</v>
      </c>
      <c r="N2006" t="s">
        <v>72</v>
      </c>
    </row>
    <row r="2007" spans="1:20" x14ac:dyDescent="0.25">
      <c r="A2007" t="s">
        <v>486</v>
      </c>
      <c r="B2007" s="4" t="s">
        <v>9</v>
      </c>
      <c r="C2007" s="4" t="s">
        <v>73</v>
      </c>
      <c r="D2007" s="4">
        <v>46139</v>
      </c>
      <c r="E2007" s="5">
        <v>0.37516203703703704</v>
      </c>
      <c r="F2007">
        <v>1</v>
      </c>
      <c r="G2007" t="s">
        <v>83</v>
      </c>
      <c r="H2007">
        <v>26.833333333333332</v>
      </c>
      <c r="M2007" t="s">
        <v>74</v>
      </c>
      <c r="N2007" t="s">
        <v>72</v>
      </c>
    </row>
    <row r="2008" spans="1:20" x14ac:dyDescent="0.25">
      <c r="A2008" t="s">
        <v>486</v>
      </c>
      <c r="B2008" s="4" t="s">
        <v>9</v>
      </c>
      <c r="C2008" s="4" t="s">
        <v>73</v>
      </c>
      <c r="D2008" s="4">
        <v>46139</v>
      </c>
      <c r="E2008" s="5">
        <v>0.37564814814814812</v>
      </c>
      <c r="F2008">
        <v>1</v>
      </c>
      <c r="G2008" t="s">
        <v>83</v>
      </c>
      <c r="H2008">
        <v>26.416666666666668</v>
      </c>
      <c r="M2008" t="s">
        <v>76</v>
      </c>
      <c r="N2008" t="s">
        <v>72</v>
      </c>
    </row>
    <row r="2009" spans="1:20" x14ac:dyDescent="0.25">
      <c r="A2009" t="s">
        <v>492</v>
      </c>
      <c r="B2009" s="4" t="s">
        <v>9</v>
      </c>
      <c r="C2009" s="4" t="s">
        <v>70</v>
      </c>
      <c r="D2009" s="4">
        <v>46139</v>
      </c>
      <c r="E2009" s="5">
        <v>0.37815972222222222</v>
      </c>
      <c r="F2009">
        <v>1</v>
      </c>
      <c r="G2009" t="s">
        <v>83</v>
      </c>
      <c r="H2009">
        <v>18</v>
      </c>
      <c r="L2009" t="s">
        <v>493</v>
      </c>
      <c r="M2009" t="s">
        <v>71</v>
      </c>
      <c r="N2009" t="s">
        <v>75</v>
      </c>
      <c r="O2009">
        <v>1</v>
      </c>
      <c r="S2009">
        <v>1</v>
      </c>
      <c r="T2009">
        <v>207.83333333333334</v>
      </c>
    </row>
    <row r="2010" spans="1:20" x14ac:dyDescent="0.25">
      <c r="A2010" t="s">
        <v>493</v>
      </c>
      <c r="B2010" s="4" t="s">
        <v>9</v>
      </c>
      <c r="C2010" s="4" t="s">
        <v>73</v>
      </c>
      <c r="D2010" s="4">
        <v>46139</v>
      </c>
      <c r="E2010" s="5">
        <v>0.37815972222222222</v>
      </c>
      <c r="F2010">
        <v>1</v>
      </c>
      <c r="G2010" t="s">
        <v>83</v>
      </c>
      <c r="H2010">
        <v>207.91666666666666</v>
      </c>
      <c r="M2010" t="s">
        <v>74</v>
      </c>
      <c r="N2010" t="s">
        <v>75</v>
      </c>
    </row>
    <row r="2011" spans="1:20" x14ac:dyDescent="0.25">
      <c r="A2011" t="s">
        <v>493</v>
      </c>
      <c r="B2011" s="4" t="s">
        <v>9</v>
      </c>
      <c r="C2011" s="4" t="s">
        <v>73</v>
      </c>
      <c r="D2011" s="4">
        <v>46139</v>
      </c>
      <c r="E2011" s="5">
        <v>0.37815972222222222</v>
      </c>
      <c r="F2011">
        <v>1</v>
      </c>
      <c r="G2011" t="s">
        <v>83</v>
      </c>
      <c r="H2011">
        <v>207.83333333333334</v>
      </c>
      <c r="M2011" t="s">
        <v>74</v>
      </c>
      <c r="N2011" t="s">
        <v>75</v>
      </c>
    </row>
    <row r="2012" spans="1:20" x14ac:dyDescent="0.25">
      <c r="A2012" t="s">
        <v>493</v>
      </c>
      <c r="B2012" s="4" t="s">
        <v>9</v>
      </c>
      <c r="C2012" s="4" t="s">
        <v>73</v>
      </c>
      <c r="D2012" s="4">
        <v>46139</v>
      </c>
      <c r="E2012" s="5">
        <v>0.38018518518518518</v>
      </c>
      <c r="F2012">
        <v>1</v>
      </c>
      <c r="G2012" t="s">
        <v>83</v>
      </c>
      <c r="H2012">
        <v>207.83333333333334</v>
      </c>
      <c r="M2012" t="s">
        <v>76</v>
      </c>
      <c r="N2012" t="s">
        <v>75</v>
      </c>
    </row>
    <row r="2013" spans="1:20" x14ac:dyDescent="0.25">
      <c r="A2013" t="s">
        <v>504</v>
      </c>
      <c r="B2013" s="4" t="s">
        <v>9</v>
      </c>
      <c r="C2013" s="4" t="s">
        <v>70</v>
      </c>
      <c r="D2013" s="4">
        <v>46139</v>
      </c>
      <c r="E2013" s="5">
        <v>0.38248842592592591</v>
      </c>
      <c r="F2013">
        <v>1</v>
      </c>
      <c r="G2013" t="s">
        <v>83</v>
      </c>
      <c r="H2013">
        <v>1</v>
      </c>
      <c r="L2013" t="s">
        <v>505</v>
      </c>
      <c r="M2013" t="s">
        <v>71</v>
      </c>
      <c r="N2013" t="s">
        <v>75</v>
      </c>
      <c r="O2013">
        <v>1</v>
      </c>
      <c r="R2013">
        <v>1</v>
      </c>
      <c r="S2013">
        <v>1</v>
      </c>
      <c r="T2013">
        <v>14.166666666666664</v>
      </c>
    </row>
    <row r="2014" spans="1:20" x14ac:dyDescent="0.25">
      <c r="A2014" t="s">
        <v>505</v>
      </c>
      <c r="B2014" s="4" t="s">
        <v>9</v>
      </c>
      <c r="C2014" s="4" t="s">
        <v>73</v>
      </c>
      <c r="D2014" s="4">
        <v>46139</v>
      </c>
      <c r="E2014" s="5">
        <v>0.38248842592592591</v>
      </c>
      <c r="F2014">
        <v>1</v>
      </c>
      <c r="G2014" t="s">
        <v>83</v>
      </c>
      <c r="H2014">
        <v>14.5</v>
      </c>
      <c r="M2014" t="s">
        <v>84</v>
      </c>
      <c r="N2014" t="s">
        <v>75</v>
      </c>
    </row>
    <row r="2015" spans="1:20" x14ac:dyDescent="0.25">
      <c r="A2015" t="s">
        <v>505</v>
      </c>
      <c r="B2015" s="4" t="s">
        <v>9</v>
      </c>
      <c r="C2015" s="4" t="s">
        <v>73</v>
      </c>
      <c r="D2015" s="4">
        <v>46139</v>
      </c>
      <c r="E2015" s="5">
        <v>0.38248842592592591</v>
      </c>
      <c r="F2015">
        <v>1</v>
      </c>
      <c r="G2015" t="s">
        <v>83</v>
      </c>
      <c r="H2015">
        <v>14.416666666666666</v>
      </c>
      <c r="M2015" t="s">
        <v>84</v>
      </c>
      <c r="N2015" t="s">
        <v>75</v>
      </c>
    </row>
    <row r="2016" spans="1:20" x14ac:dyDescent="0.25">
      <c r="A2016" t="s">
        <v>505</v>
      </c>
      <c r="B2016" s="4" t="s">
        <v>9</v>
      </c>
      <c r="C2016" s="4" t="s">
        <v>73</v>
      </c>
      <c r="D2016" s="4">
        <v>46139</v>
      </c>
      <c r="E2016" s="5">
        <v>0.38348379629629625</v>
      </c>
      <c r="F2016">
        <v>1</v>
      </c>
      <c r="G2016" t="s">
        <v>83</v>
      </c>
      <c r="H2016">
        <v>14.166666666666664</v>
      </c>
      <c r="M2016" t="s">
        <v>76</v>
      </c>
      <c r="N2016" t="s">
        <v>75</v>
      </c>
    </row>
    <row r="2017" spans="1:20" x14ac:dyDescent="0.25">
      <c r="A2017" t="s">
        <v>510</v>
      </c>
      <c r="B2017" s="4" t="s">
        <v>9</v>
      </c>
      <c r="C2017" s="4" t="s">
        <v>70</v>
      </c>
      <c r="D2017" s="4">
        <v>46139</v>
      </c>
      <c r="E2017" s="5">
        <v>0.3847800925925926</v>
      </c>
      <c r="F2017">
        <v>1</v>
      </c>
      <c r="G2017" t="s">
        <v>83</v>
      </c>
      <c r="H2017">
        <v>1</v>
      </c>
      <c r="L2017" t="s">
        <v>511</v>
      </c>
      <c r="M2017" t="s">
        <v>71</v>
      </c>
      <c r="N2017" t="s">
        <v>75</v>
      </c>
      <c r="O2017">
        <v>1</v>
      </c>
      <c r="S2017">
        <v>1</v>
      </c>
      <c r="T2017">
        <v>52.75</v>
      </c>
    </row>
    <row r="2018" spans="1:20" x14ac:dyDescent="0.25">
      <c r="A2018" t="s">
        <v>511</v>
      </c>
      <c r="B2018" s="4" t="s">
        <v>9</v>
      </c>
      <c r="C2018" s="4" t="s">
        <v>73</v>
      </c>
      <c r="D2018" s="4">
        <v>46139</v>
      </c>
      <c r="E2018" s="5">
        <v>0.38479166666666664</v>
      </c>
      <c r="F2018">
        <v>1</v>
      </c>
      <c r="G2018" t="s">
        <v>83</v>
      </c>
      <c r="H2018">
        <v>52.166666666666671</v>
      </c>
      <c r="M2018" t="s">
        <v>84</v>
      </c>
      <c r="N2018" t="s">
        <v>75</v>
      </c>
    </row>
    <row r="2019" spans="1:20" x14ac:dyDescent="0.25">
      <c r="A2019" t="s">
        <v>511</v>
      </c>
      <c r="B2019" s="4" t="s">
        <v>9</v>
      </c>
      <c r="C2019" s="4" t="s">
        <v>73</v>
      </c>
      <c r="D2019" s="4">
        <v>46139</v>
      </c>
      <c r="E2019" s="5">
        <v>0.3853935185185185</v>
      </c>
      <c r="F2019">
        <v>1</v>
      </c>
      <c r="G2019" t="s">
        <v>83</v>
      </c>
      <c r="H2019">
        <v>52.75</v>
      </c>
      <c r="M2019" t="s">
        <v>76</v>
      </c>
      <c r="N2019" t="s">
        <v>75</v>
      </c>
    </row>
    <row r="2020" spans="1:20" x14ac:dyDescent="0.25">
      <c r="A2020" t="s">
        <v>518</v>
      </c>
      <c r="B2020" s="4" t="s">
        <v>9</v>
      </c>
      <c r="C2020" s="4" t="s">
        <v>70</v>
      </c>
      <c r="D2020" s="4">
        <v>46139</v>
      </c>
      <c r="E2020" s="5">
        <v>0.38656249999999998</v>
      </c>
      <c r="F2020">
        <v>1</v>
      </c>
      <c r="G2020" t="s">
        <v>83</v>
      </c>
      <c r="H2020">
        <v>1</v>
      </c>
      <c r="L2020" t="s">
        <v>519</v>
      </c>
      <c r="M2020" t="s">
        <v>71</v>
      </c>
      <c r="N2020" t="s">
        <v>75</v>
      </c>
      <c r="O2020">
        <v>1</v>
      </c>
      <c r="R2020">
        <v>1</v>
      </c>
      <c r="S2020">
        <v>1</v>
      </c>
      <c r="T2020">
        <v>10.416666666666666</v>
      </c>
    </row>
    <row r="2021" spans="1:20" x14ac:dyDescent="0.25">
      <c r="A2021" t="s">
        <v>519</v>
      </c>
      <c r="B2021" s="4" t="s">
        <v>9</v>
      </c>
      <c r="C2021" s="4" t="s">
        <v>73</v>
      </c>
      <c r="D2021" s="4">
        <v>46139</v>
      </c>
      <c r="E2021" s="5">
        <v>0.38656249999999998</v>
      </c>
      <c r="F2021">
        <v>1</v>
      </c>
      <c r="G2021" t="s">
        <v>83</v>
      </c>
      <c r="H2021">
        <v>10.75</v>
      </c>
      <c r="M2021" t="s">
        <v>79</v>
      </c>
      <c r="N2021" t="s">
        <v>75</v>
      </c>
    </row>
    <row r="2022" spans="1:20" x14ac:dyDescent="0.25">
      <c r="A2022" t="s">
        <v>519</v>
      </c>
      <c r="B2022" s="4" t="s">
        <v>9</v>
      </c>
      <c r="C2022" s="4" t="s">
        <v>73</v>
      </c>
      <c r="D2022" s="4">
        <v>46139</v>
      </c>
      <c r="E2022" s="5">
        <v>0.38656249999999998</v>
      </c>
      <c r="F2022">
        <v>1</v>
      </c>
      <c r="G2022" t="s">
        <v>83</v>
      </c>
      <c r="H2022">
        <v>10.666666666666666</v>
      </c>
      <c r="M2022" t="s">
        <v>79</v>
      </c>
      <c r="N2022" t="s">
        <v>75</v>
      </c>
    </row>
    <row r="2023" spans="1:20" x14ac:dyDescent="0.25">
      <c r="A2023" t="s">
        <v>519</v>
      </c>
      <c r="B2023" s="4" t="s">
        <v>9</v>
      </c>
      <c r="C2023" s="4" t="s">
        <v>73</v>
      </c>
      <c r="D2023" s="4">
        <v>46139</v>
      </c>
      <c r="E2023" s="5">
        <v>0.38677083333333329</v>
      </c>
      <c r="F2023">
        <v>1</v>
      </c>
      <c r="G2023" t="s">
        <v>83</v>
      </c>
      <c r="H2023">
        <v>10.416666666666666</v>
      </c>
      <c r="M2023" t="s">
        <v>76</v>
      </c>
      <c r="N2023" t="s">
        <v>75</v>
      </c>
    </row>
    <row r="2024" spans="1:20" x14ac:dyDescent="0.25">
      <c r="A2024" t="s">
        <v>523</v>
      </c>
      <c r="B2024" s="4" t="s">
        <v>9</v>
      </c>
      <c r="C2024" s="4" t="s">
        <v>70</v>
      </c>
      <c r="D2024" s="4">
        <v>46139</v>
      </c>
      <c r="E2024" s="5">
        <v>0.38747685185185188</v>
      </c>
      <c r="F2024">
        <v>1</v>
      </c>
      <c r="G2024" t="s">
        <v>83</v>
      </c>
      <c r="H2024">
        <v>1</v>
      </c>
      <c r="L2024" t="s">
        <v>524</v>
      </c>
      <c r="M2024" t="s">
        <v>71</v>
      </c>
      <c r="N2024" t="s">
        <v>75</v>
      </c>
      <c r="O2024">
        <v>1</v>
      </c>
      <c r="S2024">
        <v>1</v>
      </c>
      <c r="T2024">
        <v>32.916666666666664</v>
      </c>
    </row>
    <row r="2025" spans="1:20" x14ac:dyDescent="0.25">
      <c r="A2025" t="s">
        <v>524</v>
      </c>
      <c r="B2025" s="4" t="s">
        <v>9</v>
      </c>
      <c r="C2025" s="4" t="s">
        <v>73</v>
      </c>
      <c r="D2025" s="4">
        <v>46139</v>
      </c>
      <c r="E2025" s="5">
        <v>0.38747685185185188</v>
      </c>
      <c r="F2025">
        <v>1</v>
      </c>
      <c r="G2025" t="s">
        <v>83</v>
      </c>
      <c r="H2025">
        <v>33</v>
      </c>
      <c r="M2025" t="s">
        <v>84</v>
      </c>
      <c r="N2025" t="s">
        <v>75</v>
      </c>
    </row>
    <row r="2026" spans="1:20" x14ac:dyDescent="0.25">
      <c r="A2026" t="s">
        <v>524</v>
      </c>
      <c r="B2026" s="4" t="s">
        <v>9</v>
      </c>
      <c r="C2026" s="4" t="s">
        <v>73</v>
      </c>
      <c r="D2026" s="4">
        <v>46139</v>
      </c>
      <c r="E2026" s="5">
        <v>0.38747685185185188</v>
      </c>
      <c r="F2026">
        <v>1</v>
      </c>
      <c r="G2026" t="s">
        <v>83</v>
      </c>
      <c r="H2026">
        <v>32.916666666666664</v>
      </c>
      <c r="M2026" t="s">
        <v>84</v>
      </c>
      <c r="N2026" t="s">
        <v>75</v>
      </c>
    </row>
    <row r="2027" spans="1:20" x14ac:dyDescent="0.25">
      <c r="A2027" t="s">
        <v>524</v>
      </c>
      <c r="B2027" s="4" t="s">
        <v>9</v>
      </c>
      <c r="C2027" s="4" t="s">
        <v>73</v>
      </c>
      <c r="D2027" s="4">
        <v>46139</v>
      </c>
      <c r="E2027" s="5">
        <v>0.38777777777777772</v>
      </c>
      <c r="F2027">
        <v>1</v>
      </c>
      <c r="G2027" t="s">
        <v>83</v>
      </c>
      <c r="H2027">
        <v>32.916666666666664</v>
      </c>
      <c r="M2027" t="s">
        <v>76</v>
      </c>
      <c r="N2027" t="s">
        <v>75</v>
      </c>
    </row>
    <row r="2028" spans="1:20" x14ac:dyDescent="0.25">
      <c r="A2028" t="s">
        <v>527</v>
      </c>
      <c r="B2028" s="4" t="s">
        <v>9</v>
      </c>
      <c r="C2028" s="4" t="s">
        <v>70</v>
      </c>
      <c r="D2028" s="4">
        <v>46139</v>
      </c>
      <c r="E2028" s="5">
        <v>0.38850694444444439</v>
      </c>
      <c r="F2028">
        <v>1</v>
      </c>
      <c r="G2028" t="s">
        <v>83</v>
      </c>
      <c r="H2028">
        <v>1.6666666666666665</v>
      </c>
      <c r="L2028" t="s">
        <v>528</v>
      </c>
      <c r="M2028" t="s">
        <v>71</v>
      </c>
      <c r="N2028" t="s">
        <v>75</v>
      </c>
      <c r="O2028">
        <v>1</v>
      </c>
      <c r="S2028">
        <v>1</v>
      </c>
      <c r="T2028">
        <v>34.75</v>
      </c>
    </row>
    <row r="2029" spans="1:20" x14ac:dyDescent="0.25">
      <c r="A2029" t="s">
        <v>528</v>
      </c>
      <c r="B2029" s="4" t="s">
        <v>9</v>
      </c>
      <c r="C2029" s="4" t="s">
        <v>73</v>
      </c>
      <c r="D2029" s="4">
        <v>46139</v>
      </c>
      <c r="E2029" s="5">
        <v>0.38850694444444439</v>
      </c>
      <c r="F2029">
        <v>1</v>
      </c>
      <c r="G2029" t="s">
        <v>83</v>
      </c>
      <c r="H2029">
        <v>38</v>
      </c>
      <c r="M2029" t="s">
        <v>74</v>
      </c>
      <c r="N2029" t="s">
        <v>75</v>
      </c>
    </row>
    <row r="2030" spans="1:20" x14ac:dyDescent="0.25">
      <c r="A2030" t="s">
        <v>528</v>
      </c>
      <c r="B2030" s="4" t="s">
        <v>9</v>
      </c>
      <c r="C2030" s="4" t="s">
        <v>73</v>
      </c>
      <c r="D2030" s="4">
        <v>46139</v>
      </c>
      <c r="E2030" s="5">
        <v>0.38869212962962962</v>
      </c>
      <c r="F2030">
        <v>1</v>
      </c>
      <c r="G2030" t="s">
        <v>83</v>
      </c>
      <c r="H2030">
        <v>34.833333333333329</v>
      </c>
      <c r="M2030" t="s">
        <v>74</v>
      </c>
      <c r="N2030" t="s">
        <v>75</v>
      </c>
    </row>
    <row r="2031" spans="1:20" x14ac:dyDescent="0.25">
      <c r="A2031" t="s">
        <v>528</v>
      </c>
      <c r="B2031" s="4" t="s">
        <v>9</v>
      </c>
      <c r="C2031" s="4" t="s">
        <v>73</v>
      </c>
      <c r="D2031" s="4">
        <v>46139</v>
      </c>
      <c r="E2031" s="5">
        <v>0.38936342592592588</v>
      </c>
      <c r="F2031">
        <v>1</v>
      </c>
      <c r="G2031" t="s">
        <v>83</v>
      </c>
      <c r="H2031">
        <v>34.75</v>
      </c>
      <c r="M2031" t="s">
        <v>76</v>
      </c>
      <c r="N2031" t="s">
        <v>75</v>
      </c>
    </row>
    <row r="2032" spans="1:20" x14ac:dyDescent="0.25">
      <c r="A2032" t="s">
        <v>536</v>
      </c>
      <c r="B2032" s="4" t="s">
        <v>9</v>
      </c>
      <c r="C2032" s="4" t="s">
        <v>70</v>
      </c>
      <c r="D2032" s="4">
        <v>46139</v>
      </c>
      <c r="E2032" s="5">
        <v>0.39018518518518513</v>
      </c>
      <c r="F2032">
        <v>1</v>
      </c>
      <c r="G2032" t="s">
        <v>83</v>
      </c>
      <c r="H2032">
        <v>1</v>
      </c>
      <c r="L2032" t="s">
        <v>537</v>
      </c>
      <c r="M2032" t="s">
        <v>71</v>
      </c>
      <c r="N2032" t="s">
        <v>75</v>
      </c>
      <c r="O2032">
        <v>1</v>
      </c>
      <c r="S2032">
        <v>1</v>
      </c>
      <c r="T2032">
        <v>97.416666666666657</v>
      </c>
    </row>
    <row r="2033" spans="1:21" x14ac:dyDescent="0.25">
      <c r="A2033" t="s">
        <v>537</v>
      </c>
      <c r="B2033" s="4" t="s">
        <v>9</v>
      </c>
      <c r="C2033" s="4" t="s">
        <v>73</v>
      </c>
      <c r="D2033" s="4">
        <v>46139</v>
      </c>
      <c r="E2033" s="5">
        <v>0.39018518518518513</v>
      </c>
      <c r="F2033">
        <v>1</v>
      </c>
      <c r="G2033" t="s">
        <v>83</v>
      </c>
      <c r="H2033">
        <v>97.5</v>
      </c>
      <c r="M2033" t="s">
        <v>79</v>
      </c>
      <c r="N2033" t="s">
        <v>75</v>
      </c>
    </row>
    <row r="2034" spans="1:21" x14ac:dyDescent="0.25">
      <c r="A2034" t="s">
        <v>537</v>
      </c>
      <c r="B2034" s="4" t="s">
        <v>9</v>
      </c>
      <c r="C2034" s="4" t="s">
        <v>73</v>
      </c>
      <c r="D2034" s="4">
        <v>46139</v>
      </c>
      <c r="E2034" s="5">
        <v>0.39018518518518513</v>
      </c>
      <c r="F2034">
        <v>1</v>
      </c>
      <c r="G2034" t="s">
        <v>83</v>
      </c>
      <c r="H2034">
        <v>97.416666666666657</v>
      </c>
      <c r="M2034" t="s">
        <v>79</v>
      </c>
      <c r="N2034" t="s">
        <v>75</v>
      </c>
    </row>
    <row r="2035" spans="1:21" x14ac:dyDescent="0.25">
      <c r="A2035" t="s">
        <v>537</v>
      </c>
      <c r="B2035" s="4" t="s">
        <v>9</v>
      </c>
      <c r="C2035" s="4" t="s">
        <v>73</v>
      </c>
      <c r="D2035" s="4">
        <v>46139</v>
      </c>
      <c r="E2035" s="5">
        <v>0.39028935185185182</v>
      </c>
      <c r="F2035">
        <v>1</v>
      </c>
      <c r="G2035" t="s">
        <v>83</v>
      </c>
      <c r="H2035">
        <v>97.416666666666657</v>
      </c>
      <c r="M2035" t="s">
        <v>76</v>
      </c>
      <c r="N2035" t="s">
        <v>75</v>
      </c>
    </row>
    <row r="2036" spans="1:21" x14ac:dyDescent="0.25">
      <c r="A2036" t="s">
        <v>540</v>
      </c>
      <c r="B2036" s="4" t="s">
        <v>9</v>
      </c>
      <c r="C2036" s="4" t="s">
        <v>70</v>
      </c>
      <c r="D2036" s="4">
        <v>46139</v>
      </c>
      <c r="E2036" s="5">
        <v>0.39098379629629632</v>
      </c>
      <c r="F2036">
        <v>1</v>
      </c>
      <c r="G2036" t="s">
        <v>83</v>
      </c>
      <c r="H2036">
        <v>5.5</v>
      </c>
      <c r="L2036" t="s">
        <v>541</v>
      </c>
      <c r="M2036" t="s">
        <v>71</v>
      </c>
      <c r="N2036" t="s">
        <v>77</v>
      </c>
      <c r="O2036">
        <v>1</v>
      </c>
      <c r="Q2036">
        <v>1</v>
      </c>
      <c r="S2036">
        <v>1</v>
      </c>
      <c r="U2036">
        <v>8.3333333333333329E-2</v>
      </c>
    </row>
    <row r="2037" spans="1:21" x14ac:dyDescent="0.25">
      <c r="A2037" t="s">
        <v>541</v>
      </c>
      <c r="B2037" s="4" t="s">
        <v>9</v>
      </c>
      <c r="C2037" s="4" t="s">
        <v>73</v>
      </c>
      <c r="D2037" s="4">
        <v>46139</v>
      </c>
      <c r="E2037" s="5">
        <v>0.39098379629629632</v>
      </c>
      <c r="F2037">
        <v>1</v>
      </c>
      <c r="G2037" t="s">
        <v>83</v>
      </c>
      <c r="H2037">
        <v>5</v>
      </c>
      <c r="M2037" t="s">
        <v>84</v>
      </c>
      <c r="N2037" t="s">
        <v>77</v>
      </c>
    </row>
    <row r="2038" spans="1:21" x14ac:dyDescent="0.25">
      <c r="A2038" t="s">
        <v>541</v>
      </c>
      <c r="B2038" s="4" t="s">
        <v>9</v>
      </c>
      <c r="C2038" s="4" t="s">
        <v>73</v>
      </c>
      <c r="D2038" s="4">
        <v>46139</v>
      </c>
      <c r="E2038" s="5">
        <v>0.39120370370370366</v>
      </c>
      <c r="F2038">
        <v>1</v>
      </c>
      <c r="G2038" t="s">
        <v>83</v>
      </c>
      <c r="H2038">
        <v>8.3333333333333329E-2</v>
      </c>
      <c r="M2038" t="s">
        <v>84</v>
      </c>
      <c r="N2038" t="s">
        <v>77</v>
      </c>
    </row>
    <row r="2039" spans="1:21" x14ac:dyDescent="0.25">
      <c r="A2039" t="s">
        <v>541</v>
      </c>
      <c r="B2039" s="4" t="s">
        <v>9</v>
      </c>
      <c r="C2039" s="4" t="s">
        <v>73</v>
      </c>
      <c r="D2039" s="4">
        <v>46139</v>
      </c>
      <c r="E2039" s="5">
        <v>0.39120370370370366</v>
      </c>
      <c r="F2039">
        <v>1</v>
      </c>
      <c r="G2039" t="s">
        <v>83</v>
      </c>
      <c r="H2039">
        <v>0</v>
      </c>
      <c r="M2039" t="s">
        <v>84</v>
      </c>
      <c r="N2039" t="s">
        <v>77</v>
      </c>
    </row>
    <row r="2040" spans="1:21" x14ac:dyDescent="0.25">
      <c r="A2040" t="s">
        <v>545</v>
      </c>
      <c r="B2040" s="4" t="s">
        <v>9</v>
      </c>
      <c r="C2040" s="4" t="s">
        <v>70</v>
      </c>
      <c r="D2040" s="4">
        <v>46139</v>
      </c>
      <c r="E2040" s="5">
        <v>0.39238425925925918</v>
      </c>
      <c r="F2040">
        <v>1</v>
      </c>
      <c r="G2040" t="s">
        <v>83</v>
      </c>
      <c r="H2040">
        <v>1</v>
      </c>
      <c r="L2040" t="s">
        <v>546</v>
      </c>
      <c r="M2040" t="s">
        <v>71</v>
      </c>
      <c r="N2040" t="s">
        <v>75</v>
      </c>
      <c r="O2040">
        <v>1</v>
      </c>
      <c r="R2040">
        <v>1</v>
      </c>
      <c r="S2040">
        <v>1</v>
      </c>
      <c r="T2040">
        <v>9.25</v>
      </c>
    </row>
    <row r="2041" spans="1:21" x14ac:dyDescent="0.25">
      <c r="A2041" t="s">
        <v>546</v>
      </c>
      <c r="B2041" s="4" t="s">
        <v>9</v>
      </c>
      <c r="C2041" s="4" t="s">
        <v>73</v>
      </c>
      <c r="D2041" s="4">
        <v>46139</v>
      </c>
      <c r="E2041" s="5">
        <v>0.39238425925925918</v>
      </c>
      <c r="F2041">
        <v>1</v>
      </c>
      <c r="G2041" t="s">
        <v>83</v>
      </c>
      <c r="H2041">
        <v>9.5833333333333339</v>
      </c>
      <c r="M2041" t="s">
        <v>84</v>
      </c>
      <c r="N2041" t="s">
        <v>75</v>
      </c>
    </row>
    <row r="2042" spans="1:21" x14ac:dyDescent="0.25">
      <c r="A2042" t="s">
        <v>546</v>
      </c>
      <c r="B2042" s="4" t="s">
        <v>9</v>
      </c>
      <c r="C2042" s="4" t="s">
        <v>73</v>
      </c>
      <c r="D2042" s="4">
        <v>46139</v>
      </c>
      <c r="E2042" s="5">
        <v>0.39238425925925918</v>
      </c>
      <c r="F2042">
        <v>1</v>
      </c>
      <c r="G2042" t="s">
        <v>83</v>
      </c>
      <c r="H2042">
        <v>9.5</v>
      </c>
      <c r="M2042" t="s">
        <v>84</v>
      </c>
      <c r="N2042" t="s">
        <v>75</v>
      </c>
    </row>
    <row r="2043" spans="1:21" x14ac:dyDescent="0.25">
      <c r="A2043" t="s">
        <v>546</v>
      </c>
      <c r="B2043" s="4" t="s">
        <v>9</v>
      </c>
      <c r="C2043" s="4" t="s">
        <v>73</v>
      </c>
      <c r="D2043" s="4">
        <v>46139</v>
      </c>
      <c r="E2043" s="5">
        <v>0.39270833333333327</v>
      </c>
      <c r="F2043">
        <v>1</v>
      </c>
      <c r="G2043" t="s">
        <v>83</v>
      </c>
      <c r="H2043">
        <v>9.25</v>
      </c>
      <c r="M2043" t="s">
        <v>76</v>
      </c>
      <c r="N2043" t="s">
        <v>75</v>
      </c>
    </row>
    <row r="2044" spans="1:21" x14ac:dyDescent="0.25">
      <c r="A2044" t="s">
        <v>549</v>
      </c>
      <c r="B2044" s="4" t="s">
        <v>9</v>
      </c>
      <c r="C2044" s="4" t="s">
        <v>70</v>
      </c>
      <c r="D2044" s="4">
        <v>46139</v>
      </c>
      <c r="E2044" s="5">
        <v>0.39353009259259253</v>
      </c>
      <c r="F2044">
        <v>1</v>
      </c>
      <c r="G2044" t="s">
        <v>83</v>
      </c>
      <c r="H2044">
        <v>1</v>
      </c>
      <c r="L2044" t="s">
        <v>550</v>
      </c>
      <c r="M2044" t="s">
        <v>71</v>
      </c>
      <c r="N2044" t="s">
        <v>75</v>
      </c>
      <c r="O2044">
        <v>1</v>
      </c>
      <c r="S2044">
        <v>1</v>
      </c>
      <c r="T2044">
        <v>64.916666666666657</v>
      </c>
    </row>
    <row r="2045" spans="1:21" x14ac:dyDescent="0.25">
      <c r="A2045" t="s">
        <v>550</v>
      </c>
      <c r="B2045" s="4" t="s">
        <v>9</v>
      </c>
      <c r="C2045" s="4" t="s">
        <v>73</v>
      </c>
      <c r="D2045" s="4">
        <v>46139</v>
      </c>
      <c r="E2045" s="5">
        <v>0.39353009259259253</v>
      </c>
      <c r="F2045">
        <v>1</v>
      </c>
      <c r="G2045" t="s">
        <v>83</v>
      </c>
      <c r="H2045">
        <v>65.333333333333329</v>
      </c>
      <c r="M2045" t="s">
        <v>84</v>
      </c>
      <c r="N2045" t="s">
        <v>75</v>
      </c>
    </row>
    <row r="2046" spans="1:21" x14ac:dyDescent="0.25">
      <c r="A2046" t="s">
        <v>550</v>
      </c>
      <c r="B2046" s="4" t="s">
        <v>9</v>
      </c>
      <c r="C2046" s="4" t="s">
        <v>73</v>
      </c>
      <c r="D2046" s="4">
        <v>46139</v>
      </c>
      <c r="E2046" s="5">
        <v>0.39353009259259253</v>
      </c>
      <c r="F2046">
        <v>1</v>
      </c>
      <c r="G2046" t="s">
        <v>83</v>
      </c>
      <c r="H2046">
        <v>65.25</v>
      </c>
      <c r="M2046" t="s">
        <v>84</v>
      </c>
      <c r="N2046" t="s">
        <v>75</v>
      </c>
    </row>
    <row r="2047" spans="1:21" x14ac:dyDescent="0.25">
      <c r="A2047" t="s">
        <v>550</v>
      </c>
      <c r="B2047" s="4" t="s">
        <v>9</v>
      </c>
      <c r="C2047" s="4" t="s">
        <v>73</v>
      </c>
      <c r="D2047" s="4">
        <v>46139</v>
      </c>
      <c r="E2047" s="5">
        <v>0.39385416666666662</v>
      </c>
      <c r="F2047">
        <v>1</v>
      </c>
      <c r="G2047" t="s">
        <v>83</v>
      </c>
      <c r="H2047">
        <v>64.916666666666657</v>
      </c>
      <c r="M2047" t="s">
        <v>76</v>
      </c>
      <c r="N2047" t="s">
        <v>75</v>
      </c>
    </row>
    <row r="2048" spans="1:21" x14ac:dyDescent="0.25">
      <c r="A2048" t="s">
        <v>556</v>
      </c>
      <c r="B2048" s="4" t="s">
        <v>9</v>
      </c>
      <c r="C2048" s="4" t="s">
        <v>70</v>
      </c>
      <c r="D2048" s="4">
        <v>46139</v>
      </c>
      <c r="E2048" s="5">
        <v>0.39462962962962955</v>
      </c>
      <c r="F2048">
        <v>1</v>
      </c>
      <c r="G2048" t="s">
        <v>83</v>
      </c>
      <c r="H2048">
        <v>1</v>
      </c>
      <c r="L2048" t="s">
        <v>557</v>
      </c>
      <c r="M2048" t="s">
        <v>71</v>
      </c>
      <c r="N2048" t="s">
        <v>75</v>
      </c>
      <c r="O2048">
        <v>1</v>
      </c>
      <c r="S2048">
        <v>1</v>
      </c>
      <c r="T2048">
        <v>95.25</v>
      </c>
    </row>
    <row r="2049" spans="1:20" x14ac:dyDescent="0.25">
      <c r="A2049" t="s">
        <v>557</v>
      </c>
      <c r="B2049" s="4" t="s">
        <v>9</v>
      </c>
      <c r="C2049" s="4" t="s">
        <v>73</v>
      </c>
      <c r="D2049" s="4">
        <v>46139</v>
      </c>
      <c r="E2049" s="5">
        <v>0.39462962962962955</v>
      </c>
      <c r="F2049">
        <v>1</v>
      </c>
      <c r="G2049" t="s">
        <v>83</v>
      </c>
      <c r="H2049">
        <v>95.25</v>
      </c>
      <c r="M2049" t="s">
        <v>84</v>
      </c>
      <c r="N2049" t="s">
        <v>75</v>
      </c>
    </row>
    <row r="2050" spans="1:20" x14ac:dyDescent="0.25">
      <c r="A2050" t="s">
        <v>557</v>
      </c>
      <c r="B2050" s="4" t="s">
        <v>9</v>
      </c>
      <c r="C2050" s="4" t="s">
        <v>73</v>
      </c>
      <c r="D2050" s="4">
        <v>46139</v>
      </c>
      <c r="E2050" s="5">
        <v>0.39499999999999996</v>
      </c>
      <c r="F2050">
        <v>1</v>
      </c>
      <c r="G2050" t="s">
        <v>83</v>
      </c>
      <c r="H2050">
        <v>95.25</v>
      </c>
      <c r="M2050" t="s">
        <v>76</v>
      </c>
      <c r="N2050" t="s">
        <v>75</v>
      </c>
    </row>
    <row r="2051" spans="1:20" x14ac:dyDescent="0.25">
      <c r="A2051" t="s">
        <v>561</v>
      </c>
      <c r="B2051" s="4" t="s">
        <v>9</v>
      </c>
      <c r="C2051" s="4" t="s">
        <v>70</v>
      </c>
      <c r="D2051" s="4">
        <v>46139</v>
      </c>
      <c r="E2051" s="5">
        <v>0.39600694444444445</v>
      </c>
      <c r="F2051">
        <v>1</v>
      </c>
      <c r="G2051" t="s">
        <v>83</v>
      </c>
      <c r="H2051">
        <v>1</v>
      </c>
      <c r="L2051" t="s">
        <v>562</v>
      </c>
      <c r="M2051" t="s">
        <v>71</v>
      </c>
      <c r="N2051" t="s">
        <v>75</v>
      </c>
      <c r="O2051">
        <v>1</v>
      </c>
      <c r="S2051">
        <v>1</v>
      </c>
      <c r="T2051">
        <v>34.916666666666664</v>
      </c>
    </row>
    <row r="2052" spans="1:20" x14ac:dyDescent="0.25">
      <c r="A2052" t="s">
        <v>562</v>
      </c>
      <c r="B2052" s="4" t="s">
        <v>9</v>
      </c>
      <c r="C2052" s="4" t="s">
        <v>73</v>
      </c>
      <c r="D2052" s="4">
        <v>46139</v>
      </c>
      <c r="E2052" s="5">
        <v>0.39600694444444445</v>
      </c>
      <c r="F2052">
        <v>1</v>
      </c>
      <c r="G2052" t="s">
        <v>83</v>
      </c>
      <c r="H2052">
        <v>35.083333333333329</v>
      </c>
      <c r="M2052" t="s">
        <v>84</v>
      </c>
      <c r="N2052" t="s">
        <v>75</v>
      </c>
    </row>
    <row r="2053" spans="1:20" x14ac:dyDescent="0.25">
      <c r="A2053" t="s">
        <v>562</v>
      </c>
      <c r="B2053" s="4" t="s">
        <v>9</v>
      </c>
      <c r="C2053" s="4" t="s">
        <v>73</v>
      </c>
      <c r="D2053" s="4">
        <v>46139</v>
      </c>
      <c r="E2053" s="5">
        <v>0.39600694444444445</v>
      </c>
      <c r="F2053">
        <v>1</v>
      </c>
      <c r="G2053" t="s">
        <v>83</v>
      </c>
      <c r="H2053">
        <v>35</v>
      </c>
      <c r="M2053" t="s">
        <v>84</v>
      </c>
      <c r="N2053" t="s">
        <v>75</v>
      </c>
    </row>
    <row r="2054" spans="1:20" x14ac:dyDescent="0.25">
      <c r="A2054" t="s">
        <v>562</v>
      </c>
      <c r="B2054" s="4" t="s">
        <v>9</v>
      </c>
      <c r="C2054" s="4" t="s">
        <v>73</v>
      </c>
      <c r="D2054" s="4">
        <v>46139</v>
      </c>
      <c r="E2054" s="5">
        <v>0.39634259259259258</v>
      </c>
      <c r="F2054">
        <v>1</v>
      </c>
      <c r="G2054" t="s">
        <v>83</v>
      </c>
      <c r="H2054">
        <v>34.916666666666664</v>
      </c>
      <c r="M2054" t="s">
        <v>76</v>
      </c>
      <c r="N2054" t="s">
        <v>75</v>
      </c>
    </row>
    <row r="2055" spans="1:20" x14ac:dyDescent="0.25">
      <c r="A2055" t="s">
        <v>566</v>
      </c>
      <c r="B2055" s="4" t="s">
        <v>9</v>
      </c>
      <c r="C2055" s="4" t="s">
        <v>70</v>
      </c>
      <c r="D2055" s="4">
        <v>46139</v>
      </c>
      <c r="E2055" s="5">
        <v>0.39695601851851853</v>
      </c>
      <c r="F2055">
        <v>1</v>
      </c>
      <c r="G2055" t="s">
        <v>83</v>
      </c>
      <c r="H2055">
        <v>5</v>
      </c>
      <c r="L2055" t="s">
        <v>567</v>
      </c>
      <c r="M2055" t="s">
        <v>71</v>
      </c>
      <c r="N2055" t="s">
        <v>75</v>
      </c>
      <c r="O2055">
        <v>1</v>
      </c>
      <c r="S2055">
        <v>1</v>
      </c>
      <c r="T2055">
        <v>86.166666666666671</v>
      </c>
    </row>
    <row r="2056" spans="1:20" x14ac:dyDescent="0.25">
      <c r="A2056" t="s">
        <v>567</v>
      </c>
      <c r="B2056" s="4" t="s">
        <v>9</v>
      </c>
      <c r="C2056" s="4" t="s">
        <v>73</v>
      </c>
      <c r="D2056" s="4">
        <v>46139</v>
      </c>
      <c r="E2056" s="5">
        <v>0.39695601851851853</v>
      </c>
      <c r="F2056">
        <v>1</v>
      </c>
      <c r="G2056" t="s">
        <v>83</v>
      </c>
      <c r="H2056">
        <v>86.333333333333329</v>
      </c>
      <c r="M2056" t="s">
        <v>74</v>
      </c>
      <c r="N2056" t="s">
        <v>75</v>
      </c>
    </row>
    <row r="2057" spans="1:20" x14ac:dyDescent="0.25">
      <c r="A2057" t="s">
        <v>567</v>
      </c>
      <c r="B2057" s="4" t="s">
        <v>9</v>
      </c>
      <c r="C2057" s="4" t="s">
        <v>73</v>
      </c>
      <c r="D2057" s="4">
        <v>46139</v>
      </c>
      <c r="E2057" s="5">
        <v>0.39793981481481477</v>
      </c>
      <c r="F2057">
        <v>1</v>
      </c>
      <c r="G2057" t="s">
        <v>83</v>
      </c>
      <c r="H2057">
        <v>86.166666666666671</v>
      </c>
      <c r="M2057" t="s">
        <v>76</v>
      </c>
      <c r="N2057" t="s">
        <v>75</v>
      </c>
    </row>
    <row r="2058" spans="1:20" x14ac:dyDescent="0.25">
      <c r="A2058" t="s">
        <v>574</v>
      </c>
      <c r="B2058" s="4" t="s">
        <v>9</v>
      </c>
      <c r="C2058" s="4" t="s">
        <v>70</v>
      </c>
      <c r="D2058" s="4">
        <v>46139</v>
      </c>
      <c r="E2058" s="5">
        <v>0.39892361111111108</v>
      </c>
      <c r="F2058">
        <v>1</v>
      </c>
      <c r="G2058" t="s">
        <v>83</v>
      </c>
      <c r="H2058">
        <v>24.833333333333336</v>
      </c>
      <c r="L2058" t="s">
        <v>575</v>
      </c>
      <c r="M2058" t="s">
        <v>71</v>
      </c>
      <c r="N2058" t="s">
        <v>75</v>
      </c>
      <c r="O2058">
        <v>1</v>
      </c>
      <c r="S2058">
        <v>1</v>
      </c>
      <c r="T2058">
        <v>200.66666666666666</v>
      </c>
    </row>
    <row r="2059" spans="1:20" x14ac:dyDescent="0.25">
      <c r="A2059" t="s">
        <v>575</v>
      </c>
      <c r="B2059" s="4" t="s">
        <v>9</v>
      </c>
      <c r="C2059" s="4" t="s">
        <v>73</v>
      </c>
      <c r="D2059" s="4">
        <v>46139</v>
      </c>
      <c r="E2059" s="5">
        <v>0.39892361111111108</v>
      </c>
      <c r="F2059">
        <v>1</v>
      </c>
      <c r="G2059" t="s">
        <v>83</v>
      </c>
      <c r="H2059">
        <v>202.91666666666666</v>
      </c>
      <c r="M2059" t="s">
        <v>74</v>
      </c>
      <c r="N2059" t="s">
        <v>75</v>
      </c>
    </row>
    <row r="2060" spans="1:20" x14ac:dyDescent="0.25">
      <c r="A2060" t="s">
        <v>575</v>
      </c>
      <c r="B2060" s="4" t="s">
        <v>9</v>
      </c>
      <c r="C2060" s="4" t="s">
        <v>73</v>
      </c>
      <c r="D2060" s="4">
        <v>46139</v>
      </c>
      <c r="E2060" s="5">
        <v>0.39892361111111108</v>
      </c>
      <c r="F2060">
        <v>1</v>
      </c>
      <c r="G2060" t="s">
        <v>83</v>
      </c>
      <c r="H2060">
        <v>202.83333333333334</v>
      </c>
      <c r="M2060" t="s">
        <v>74</v>
      </c>
      <c r="N2060" t="s">
        <v>75</v>
      </c>
    </row>
    <row r="2061" spans="1:20" x14ac:dyDescent="0.25">
      <c r="A2061" t="s">
        <v>575</v>
      </c>
      <c r="B2061" s="4" t="s">
        <v>9</v>
      </c>
      <c r="C2061" s="4" t="s">
        <v>73</v>
      </c>
      <c r="D2061" s="4">
        <v>46139</v>
      </c>
      <c r="E2061" s="5">
        <v>0.40006944444444442</v>
      </c>
      <c r="F2061">
        <v>1</v>
      </c>
      <c r="G2061" t="s">
        <v>83</v>
      </c>
      <c r="H2061">
        <v>200.66666666666666</v>
      </c>
      <c r="M2061" t="s">
        <v>76</v>
      </c>
      <c r="N2061" t="s">
        <v>75</v>
      </c>
    </row>
    <row r="2062" spans="1:20" x14ac:dyDescent="0.25">
      <c r="A2062" t="s">
        <v>584</v>
      </c>
      <c r="B2062" s="4" t="s">
        <v>9</v>
      </c>
      <c r="C2062" s="4" t="s">
        <v>70</v>
      </c>
      <c r="D2062" s="4">
        <v>46139</v>
      </c>
      <c r="E2062" s="5">
        <v>0.40276620370370364</v>
      </c>
      <c r="F2062">
        <v>1</v>
      </c>
      <c r="G2062" t="s">
        <v>83</v>
      </c>
      <c r="H2062">
        <v>113.25</v>
      </c>
      <c r="L2062" t="s">
        <v>585</v>
      </c>
      <c r="M2062" t="s">
        <v>71</v>
      </c>
      <c r="N2062" t="s">
        <v>72</v>
      </c>
      <c r="O2062">
        <v>1</v>
      </c>
      <c r="S2062">
        <v>1</v>
      </c>
      <c r="T2062">
        <v>36.416666666666664</v>
      </c>
    </row>
    <row r="2063" spans="1:20" x14ac:dyDescent="0.25">
      <c r="A2063" t="s">
        <v>585</v>
      </c>
      <c r="B2063" s="4" t="s">
        <v>9</v>
      </c>
      <c r="C2063" s="4" t="s">
        <v>73</v>
      </c>
      <c r="D2063" s="4">
        <v>46139</v>
      </c>
      <c r="E2063" s="5">
        <v>0.40276620370370364</v>
      </c>
      <c r="F2063">
        <v>1</v>
      </c>
      <c r="G2063" t="s">
        <v>83</v>
      </c>
      <c r="H2063">
        <v>36.75</v>
      </c>
      <c r="L2063" t="s">
        <v>586</v>
      </c>
      <c r="M2063" t="s">
        <v>74</v>
      </c>
      <c r="N2063" t="s">
        <v>72</v>
      </c>
    </row>
    <row r="2064" spans="1:20" x14ac:dyDescent="0.25">
      <c r="A2064" t="s">
        <v>585</v>
      </c>
      <c r="B2064" s="4" t="s">
        <v>9</v>
      </c>
      <c r="C2064" s="4" t="s">
        <v>73</v>
      </c>
      <c r="D2064" s="4">
        <v>46139</v>
      </c>
      <c r="E2064" s="5">
        <v>0.40276620370370364</v>
      </c>
      <c r="F2064">
        <v>1</v>
      </c>
      <c r="G2064" t="s">
        <v>83</v>
      </c>
      <c r="H2064">
        <v>36.666666666666664</v>
      </c>
      <c r="L2064" t="s">
        <v>586</v>
      </c>
      <c r="M2064" t="s">
        <v>74</v>
      </c>
      <c r="N2064" t="s">
        <v>72</v>
      </c>
    </row>
    <row r="2065" spans="1:20" x14ac:dyDescent="0.25">
      <c r="A2065" t="s">
        <v>585</v>
      </c>
      <c r="B2065" s="4" t="s">
        <v>9</v>
      </c>
      <c r="C2065" s="4" t="s">
        <v>73</v>
      </c>
      <c r="D2065" s="4">
        <v>46139</v>
      </c>
      <c r="E2065" s="5">
        <v>0.40326388888888887</v>
      </c>
      <c r="F2065">
        <v>1</v>
      </c>
      <c r="G2065" t="s">
        <v>83</v>
      </c>
      <c r="H2065">
        <v>36.416666666666664</v>
      </c>
      <c r="L2065" t="s">
        <v>586</v>
      </c>
      <c r="M2065" t="s">
        <v>76</v>
      </c>
      <c r="N2065" t="s">
        <v>72</v>
      </c>
    </row>
    <row r="2066" spans="1:20" x14ac:dyDescent="0.25">
      <c r="A2066" t="s">
        <v>589</v>
      </c>
      <c r="B2066" s="4" t="s">
        <v>9</v>
      </c>
      <c r="C2066" s="4" t="s">
        <v>70</v>
      </c>
      <c r="D2066" s="4">
        <v>46139</v>
      </c>
      <c r="E2066" s="5">
        <v>0.40423611111111107</v>
      </c>
      <c r="F2066">
        <v>1</v>
      </c>
      <c r="G2066" t="s">
        <v>83</v>
      </c>
      <c r="H2066">
        <v>30</v>
      </c>
      <c r="L2066" t="s">
        <v>590</v>
      </c>
      <c r="M2066" t="s">
        <v>71</v>
      </c>
      <c r="N2066" t="s">
        <v>77</v>
      </c>
      <c r="O2066">
        <v>1</v>
      </c>
    </row>
    <row r="2067" spans="1:20" x14ac:dyDescent="0.25">
      <c r="A2067" t="s">
        <v>590</v>
      </c>
      <c r="B2067" s="4" t="s">
        <v>9</v>
      </c>
      <c r="C2067" s="4" t="s">
        <v>73</v>
      </c>
      <c r="D2067" s="4">
        <v>46139</v>
      </c>
      <c r="E2067" s="5">
        <v>0.40423611111111107</v>
      </c>
      <c r="F2067">
        <v>1</v>
      </c>
      <c r="G2067" t="s">
        <v>83</v>
      </c>
      <c r="H2067">
        <v>191.66666666666666</v>
      </c>
      <c r="M2067" t="s">
        <v>74</v>
      </c>
      <c r="N2067" t="s">
        <v>77</v>
      </c>
    </row>
    <row r="2068" spans="1:20" x14ac:dyDescent="0.25">
      <c r="A2068" t="s">
        <v>590</v>
      </c>
      <c r="B2068" s="4" t="s">
        <v>9</v>
      </c>
      <c r="C2068" s="4" t="s">
        <v>73</v>
      </c>
      <c r="D2068" s="4">
        <v>46139</v>
      </c>
      <c r="E2068" s="5">
        <v>0.40423611111111107</v>
      </c>
      <c r="F2068">
        <v>1</v>
      </c>
      <c r="G2068" t="s">
        <v>83</v>
      </c>
      <c r="H2068">
        <v>191.58333333333331</v>
      </c>
      <c r="M2068" t="s">
        <v>74</v>
      </c>
      <c r="N2068" t="s">
        <v>77</v>
      </c>
    </row>
    <row r="2069" spans="1:20" x14ac:dyDescent="0.25">
      <c r="A2069" t="s">
        <v>593</v>
      </c>
      <c r="B2069" s="4" t="s">
        <v>9</v>
      </c>
      <c r="C2069" s="4" t="s">
        <v>70</v>
      </c>
      <c r="D2069" s="4">
        <v>46139</v>
      </c>
      <c r="E2069" s="5">
        <v>0.40486111111111106</v>
      </c>
      <c r="F2069">
        <v>1</v>
      </c>
      <c r="G2069" t="s">
        <v>83</v>
      </c>
      <c r="H2069">
        <v>26</v>
      </c>
      <c r="L2069" t="s">
        <v>590</v>
      </c>
      <c r="M2069" t="s">
        <v>71</v>
      </c>
      <c r="N2069" t="s">
        <v>77</v>
      </c>
      <c r="P2069">
        <v>1</v>
      </c>
      <c r="S2069">
        <v>1</v>
      </c>
      <c r="T2069">
        <v>163.91666666666666</v>
      </c>
    </row>
    <row r="2070" spans="1:20" x14ac:dyDescent="0.25">
      <c r="A2070" t="s">
        <v>590</v>
      </c>
      <c r="B2070" s="4" t="s">
        <v>9</v>
      </c>
      <c r="C2070" s="4" t="s">
        <v>73</v>
      </c>
      <c r="D2070" s="4">
        <v>46139</v>
      </c>
      <c r="E2070" s="5">
        <v>0.40486111111111106</v>
      </c>
      <c r="F2070">
        <v>1</v>
      </c>
      <c r="G2070" t="s">
        <v>83</v>
      </c>
      <c r="H2070">
        <v>165.58333333333331</v>
      </c>
      <c r="M2070" t="s">
        <v>74</v>
      </c>
      <c r="N2070" t="s">
        <v>77</v>
      </c>
    </row>
    <row r="2071" spans="1:20" x14ac:dyDescent="0.25">
      <c r="A2071" t="s">
        <v>590</v>
      </c>
      <c r="B2071" s="4" t="s">
        <v>9</v>
      </c>
      <c r="C2071" s="4" t="s">
        <v>73</v>
      </c>
      <c r="D2071" s="4">
        <v>46139</v>
      </c>
      <c r="E2071" s="5">
        <v>0.40486111111111106</v>
      </c>
      <c r="F2071">
        <v>1</v>
      </c>
      <c r="G2071" t="s">
        <v>83</v>
      </c>
      <c r="H2071">
        <v>165.5</v>
      </c>
      <c r="M2071" t="s">
        <v>74</v>
      </c>
      <c r="N2071" t="s">
        <v>77</v>
      </c>
    </row>
    <row r="2072" spans="1:20" x14ac:dyDescent="0.25">
      <c r="A2072" t="s">
        <v>590</v>
      </c>
      <c r="B2072" s="4" t="s">
        <v>9</v>
      </c>
      <c r="C2072" s="4" t="s">
        <v>73</v>
      </c>
      <c r="D2072" s="4">
        <v>46139</v>
      </c>
      <c r="E2072" s="5">
        <v>0.40574074074074074</v>
      </c>
      <c r="F2072">
        <v>1</v>
      </c>
      <c r="G2072" t="s">
        <v>83</v>
      </c>
      <c r="H2072">
        <v>163.91666666666666</v>
      </c>
      <c r="M2072" t="s">
        <v>76</v>
      </c>
      <c r="N2072" t="s">
        <v>77</v>
      </c>
    </row>
    <row r="2073" spans="1:20" x14ac:dyDescent="0.25">
      <c r="A2073" t="s">
        <v>600</v>
      </c>
      <c r="B2073" s="4" t="s">
        <v>9</v>
      </c>
      <c r="C2073" s="4" t="s">
        <v>73</v>
      </c>
      <c r="D2073" s="4">
        <v>46139</v>
      </c>
      <c r="E2073" s="5">
        <v>0.40734953703703702</v>
      </c>
      <c r="F2073">
        <v>1</v>
      </c>
      <c r="G2073" t="s">
        <v>83</v>
      </c>
      <c r="H2073">
        <v>143.25</v>
      </c>
      <c r="M2073" t="s">
        <v>76</v>
      </c>
      <c r="N2073" t="s">
        <v>72</v>
      </c>
    </row>
    <row r="2074" spans="1:20" x14ac:dyDescent="0.25">
      <c r="A2074" t="s">
        <v>611</v>
      </c>
      <c r="B2074" s="4" t="s">
        <v>9</v>
      </c>
      <c r="C2074" s="4" t="s">
        <v>70</v>
      </c>
      <c r="D2074" s="4">
        <v>46139</v>
      </c>
      <c r="E2074" s="5">
        <v>0.41171296296296295</v>
      </c>
      <c r="F2074">
        <v>1</v>
      </c>
      <c r="G2074" t="s">
        <v>83</v>
      </c>
      <c r="H2074">
        <v>44.5</v>
      </c>
      <c r="L2074" t="s">
        <v>612</v>
      </c>
      <c r="M2074" t="s">
        <v>71</v>
      </c>
      <c r="N2074" t="s">
        <v>75</v>
      </c>
      <c r="O2074">
        <v>1</v>
      </c>
      <c r="S2074">
        <v>1</v>
      </c>
      <c r="T2074">
        <v>135.58333333333331</v>
      </c>
    </row>
    <row r="2075" spans="1:20" x14ac:dyDescent="0.25">
      <c r="A2075" t="s">
        <v>612</v>
      </c>
      <c r="B2075" s="4" t="s">
        <v>9</v>
      </c>
      <c r="C2075" s="4" t="s">
        <v>73</v>
      </c>
      <c r="D2075" s="4">
        <v>46139</v>
      </c>
      <c r="E2075" s="5">
        <v>0.41171296296296295</v>
      </c>
      <c r="F2075">
        <v>1</v>
      </c>
      <c r="G2075" t="s">
        <v>83</v>
      </c>
      <c r="H2075">
        <v>135.66666666666666</v>
      </c>
      <c r="M2075" t="s">
        <v>79</v>
      </c>
      <c r="N2075" t="s">
        <v>75</v>
      </c>
    </row>
    <row r="2076" spans="1:20" x14ac:dyDescent="0.25">
      <c r="A2076" t="s">
        <v>612</v>
      </c>
      <c r="B2076" s="4" t="s">
        <v>9</v>
      </c>
      <c r="C2076" s="4" t="s">
        <v>73</v>
      </c>
      <c r="D2076" s="4">
        <v>46139</v>
      </c>
      <c r="E2076" s="5">
        <v>0.41171296296296295</v>
      </c>
      <c r="F2076">
        <v>1</v>
      </c>
      <c r="G2076" t="s">
        <v>83</v>
      </c>
      <c r="H2076">
        <v>135.58333333333331</v>
      </c>
      <c r="M2076" t="s">
        <v>79</v>
      </c>
      <c r="N2076" t="s">
        <v>75</v>
      </c>
    </row>
    <row r="2077" spans="1:20" x14ac:dyDescent="0.25">
      <c r="A2077" t="s">
        <v>612</v>
      </c>
      <c r="B2077" s="4" t="s">
        <v>9</v>
      </c>
      <c r="C2077" s="4" t="s">
        <v>73</v>
      </c>
      <c r="D2077" s="4">
        <v>46139</v>
      </c>
      <c r="E2077" s="5">
        <v>0.43571759259259263</v>
      </c>
      <c r="F2077">
        <v>1</v>
      </c>
      <c r="G2077" t="s">
        <v>83</v>
      </c>
      <c r="H2077">
        <v>135.58333333333331</v>
      </c>
      <c r="M2077" t="s">
        <v>76</v>
      </c>
      <c r="N2077" t="s">
        <v>75</v>
      </c>
    </row>
    <row r="2078" spans="1:20" x14ac:dyDescent="0.25">
      <c r="A2078" t="s">
        <v>627</v>
      </c>
      <c r="B2078" s="4" t="s">
        <v>9</v>
      </c>
      <c r="C2078" s="4" t="s">
        <v>70</v>
      </c>
      <c r="D2078" s="4">
        <v>46139</v>
      </c>
      <c r="E2078" s="5">
        <v>0.43635416666666665</v>
      </c>
      <c r="F2078">
        <v>1</v>
      </c>
      <c r="G2078" t="s">
        <v>83</v>
      </c>
      <c r="H2078">
        <v>14.25</v>
      </c>
      <c r="L2078" t="s">
        <v>628</v>
      </c>
      <c r="M2078" t="s">
        <v>71</v>
      </c>
      <c r="N2078" t="s">
        <v>77</v>
      </c>
      <c r="O2078">
        <v>1</v>
      </c>
      <c r="R2078">
        <v>1</v>
      </c>
      <c r="S2078">
        <v>1</v>
      </c>
      <c r="T2078">
        <v>12.583333333333334</v>
      </c>
    </row>
    <row r="2079" spans="1:20" x14ac:dyDescent="0.25">
      <c r="A2079" t="s">
        <v>628</v>
      </c>
      <c r="B2079" s="4" t="s">
        <v>9</v>
      </c>
      <c r="C2079" s="4" t="s">
        <v>73</v>
      </c>
      <c r="D2079" s="4">
        <v>46139</v>
      </c>
      <c r="E2079" s="5">
        <v>0.43635416666666665</v>
      </c>
      <c r="F2079">
        <v>1</v>
      </c>
      <c r="G2079" t="s">
        <v>83</v>
      </c>
      <c r="H2079">
        <v>12.833333333333334</v>
      </c>
      <c r="M2079" t="s">
        <v>74</v>
      </c>
      <c r="N2079" t="s">
        <v>77</v>
      </c>
    </row>
    <row r="2080" spans="1:20" x14ac:dyDescent="0.25">
      <c r="A2080" t="s">
        <v>628</v>
      </c>
      <c r="B2080" s="4" t="s">
        <v>9</v>
      </c>
      <c r="C2080" s="4" t="s">
        <v>73</v>
      </c>
      <c r="D2080" s="4">
        <v>46139</v>
      </c>
      <c r="E2080" s="5">
        <v>0.43635416666666665</v>
      </c>
      <c r="F2080">
        <v>1</v>
      </c>
      <c r="G2080" t="s">
        <v>83</v>
      </c>
      <c r="H2080">
        <v>12.75</v>
      </c>
      <c r="M2080" t="s">
        <v>74</v>
      </c>
      <c r="N2080" t="s">
        <v>77</v>
      </c>
    </row>
    <row r="2081" spans="1:20" x14ac:dyDescent="0.25">
      <c r="A2081" t="s">
        <v>628</v>
      </c>
      <c r="B2081" s="4" t="s">
        <v>9</v>
      </c>
      <c r="C2081" s="4" t="s">
        <v>73</v>
      </c>
      <c r="D2081" s="4">
        <v>46139</v>
      </c>
      <c r="E2081" s="5">
        <v>0.43666666666666665</v>
      </c>
      <c r="F2081">
        <v>1</v>
      </c>
      <c r="G2081" t="s">
        <v>83</v>
      </c>
      <c r="H2081">
        <v>12.583333333333334</v>
      </c>
      <c r="M2081" t="s">
        <v>76</v>
      </c>
      <c r="N2081" t="s">
        <v>77</v>
      </c>
    </row>
    <row r="2082" spans="1:20" x14ac:dyDescent="0.25">
      <c r="A2082" t="s">
        <v>633</v>
      </c>
      <c r="B2082" s="4" t="s">
        <v>9</v>
      </c>
      <c r="C2082" s="4" t="s">
        <v>70</v>
      </c>
      <c r="D2082" s="4">
        <v>46139</v>
      </c>
      <c r="E2082" s="5">
        <v>0.43726851851851845</v>
      </c>
      <c r="F2082">
        <v>1</v>
      </c>
      <c r="G2082" t="s">
        <v>83</v>
      </c>
      <c r="H2082">
        <v>1.6666666666666665</v>
      </c>
      <c r="L2082" t="s">
        <v>634</v>
      </c>
      <c r="M2082" t="s">
        <v>71</v>
      </c>
      <c r="N2082" t="s">
        <v>72</v>
      </c>
      <c r="O2082">
        <v>1</v>
      </c>
    </row>
    <row r="2083" spans="1:20" x14ac:dyDescent="0.25">
      <c r="A2083" t="s">
        <v>634</v>
      </c>
      <c r="B2083" s="4" t="s">
        <v>9</v>
      </c>
      <c r="C2083" s="4" t="s">
        <v>73</v>
      </c>
      <c r="D2083" s="4">
        <v>46139</v>
      </c>
      <c r="E2083" s="5">
        <v>0.43726851851851845</v>
      </c>
      <c r="F2083">
        <v>1</v>
      </c>
      <c r="G2083" t="s">
        <v>83</v>
      </c>
      <c r="H2083">
        <v>66.166666666666657</v>
      </c>
      <c r="L2083" t="s">
        <v>635</v>
      </c>
      <c r="M2083" t="s">
        <v>84</v>
      </c>
      <c r="N2083" t="s">
        <v>72</v>
      </c>
    </row>
    <row r="2084" spans="1:20" x14ac:dyDescent="0.25">
      <c r="A2084" t="s">
        <v>634</v>
      </c>
      <c r="B2084" s="4" t="s">
        <v>9</v>
      </c>
      <c r="C2084" s="4" t="s">
        <v>73</v>
      </c>
      <c r="D2084" s="4">
        <v>46139</v>
      </c>
      <c r="E2084" s="5">
        <v>0.43726851851851845</v>
      </c>
      <c r="F2084">
        <v>1</v>
      </c>
      <c r="G2084" t="s">
        <v>83</v>
      </c>
      <c r="H2084">
        <v>66.083333333333329</v>
      </c>
      <c r="L2084" t="s">
        <v>635</v>
      </c>
      <c r="M2084" t="s">
        <v>84</v>
      </c>
      <c r="N2084" t="s">
        <v>72</v>
      </c>
    </row>
    <row r="2085" spans="1:20" x14ac:dyDescent="0.25">
      <c r="A2085" t="s">
        <v>636</v>
      </c>
      <c r="B2085" s="4" t="s">
        <v>9</v>
      </c>
      <c r="C2085" s="4" t="s">
        <v>70</v>
      </c>
      <c r="D2085" s="4">
        <v>46139</v>
      </c>
      <c r="E2085" s="5">
        <v>0.43738425925925922</v>
      </c>
      <c r="F2085">
        <v>1</v>
      </c>
      <c r="G2085" t="s">
        <v>83</v>
      </c>
      <c r="H2085">
        <v>1.6666666666666665</v>
      </c>
      <c r="L2085" t="s">
        <v>634</v>
      </c>
      <c r="M2085" t="s">
        <v>71</v>
      </c>
      <c r="N2085" t="s">
        <v>72</v>
      </c>
      <c r="P2085">
        <v>1</v>
      </c>
      <c r="S2085">
        <v>1</v>
      </c>
      <c r="T2085">
        <v>64.333333333333329</v>
      </c>
    </row>
    <row r="2086" spans="1:20" x14ac:dyDescent="0.25">
      <c r="A2086" t="s">
        <v>634</v>
      </c>
      <c r="B2086" s="4" t="s">
        <v>9</v>
      </c>
      <c r="C2086" s="4" t="s">
        <v>73</v>
      </c>
      <c r="D2086" s="4">
        <v>46139</v>
      </c>
      <c r="E2086" s="5">
        <v>0.43738425925925922</v>
      </c>
      <c r="F2086">
        <v>1</v>
      </c>
      <c r="G2086" t="s">
        <v>83</v>
      </c>
      <c r="H2086">
        <v>64.416666666666671</v>
      </c>
      <c r="L2086" t="s">
        <v>635</v>
      </c>
      <c r="M2086" t="s">
        <v>84</v>
      </c>
      <c r="N2086" t="s">
        <v>72</v>
      </c>
    </row>
    <row r="2087" spans="1:20" x14ac:dyDescent="0.25">
      <c r="A2087" t="s">
        <v>634</v>
      </c>
      <c r="B2087" s="4" t="s">
        <v>9</v>
      </c>
      <c r="C2087" s="4" t="s">
        <v>73</v>
      </c>
      <c r="D2087" s="4">
        <v>46139</v>
      </c>
      <c r="E2087" s="5">
        <v>0.43738425925925922</v>
      </c>
      <c r="F2087">
        <v>1</v>
      </c>
      <c r="G2087" t="s">
        <v>83</v>
      </c>
      <c r="H2087">
        <v>64.333333333333329</v>
      </c>
      <c r="L2087" t="s">
        <v>635</v>
      </c>
      <c r="M2087" t="s">
        <v>84</v>
      </c>
      <c r="N2087" t="s">
        <v>72</v>
      </c>
    </row>
    <row r="2088" spans="1:20" x14ac:dyDescent="0.25">
      <c r="A2088" t="s">
        <v>634</v>
      </c>
      <c r="B2088" s="4" t="s">
        <v>9</v>
      </c>
      <c r="C2088" s="4" t="s">
        <v>73</v>
      </c>
      <c r="D2088" s="4">
        <v>46139</v>
      </c>
      <c r="E2088" s="5">
        <v>0.43751157407407404</v>
      </c>
      <c r="F2088">
        <v>1</v>
      </c>
      <c r="G2088" t="s">
        <v>83</v>
      </c>
      <c r="H2088">
        <v>64.333333333333329</v>
      </c>
      <c r="L2088" t="s">
        <v>635</v>
      </c>
      <c r="M2088" t="s">
        <v>76</v>
      </c>
      <c r="N2088" t="s">
        <v>72</v>
      </c>
    </row>
    <row r="2089" spans="1:20" x14ac:dyDescent="0.25">
      <c r="A2089" t="s">
        <v>639</v>
      </c>
      <c r="B2089" s="4" t="s">
        <v>9</v>
      </c>
      <c r="C2089" s="4" t="s">
        <v>70</v>
      </c>
      <c r="D2089" s="4">
        <v>46139</v>
      </c>
      <c r="E2089" s="5">
        <v>0.43828703703703703</v>
      </c>
      <c r="F2089">
        <v>1</v>
      </c>
      <c r="G2089" t="s">
        <v>83</v>
      </c>
      <c r="H2089">
        <v>85</v>
      </c>
      <c r="L2089" t="s">
        <v>640</v>
      </c>
      <c r="M2089" t="s">
        <v>71</v>
      </c>
      <c r="N2089" t="s">
        <v>75</v>
      </c>
      <c r="O2089">
        <v>1</v>
      </c>
      <c r="R2089">
        <v>1</v>
      </c>
      <c r="S2089">
        <v>1</v>
      </c>
      <c r="T2089">
        <v>15.666666666666664</v>
      </c>
    </row>
    <row r="2090" spans="1:20" x14ac:dyDescent="0.25">
      <c r="A2090" t="s">
        <v>640</v>
      </c>
      <c r="B2090" s="4" t="s">
        <v>9</v>
      </c>
      <c r="C2090" s="4" t="s">
        <v>73</v>
      </c>
      <c r="D2090" s="4">
        <v>46139</v>
      </c>
      <c r="E2090" s="5">
        <v>0.43828703703703703</v>
      </c>
      <c r="F2090">
        <v>1</v>
      </c>
      <c r="G2090" t="s">
        <v>83</v>
      </c>
      <c r="H2090">
        <v>17</v>
      </c>
      <c r="M2090" t="s">
        <v>74</v>
      </c>
      <c r="N2090" t="s">
        <v>75</v>
      </c>
    </row>
    <row r="2091" spans="1:20" x14ac:dyDescent="0.25">
      <c r="A2091" t="s">
        <v>640</v>
      </c>
      <c r="B2091" s="4" t="s">
        <v>9</v>
      </c>
      <c r="C2091" s="4" t="s">
        <v>73</v>
      </c>
      <c r="D2091" s="4">
        <v>46139</v>
      </c>
      <c r="E2091" s="5">
        <v>0.43828703703703703</v>
      </c>
      <c r="F2091">
        <v>1</v>
      </c>
      <c r="G2091" t="s">
        <v>83</v>
      </c>
      <c r="H2091">
        <v>16.916666666666664</v>
      </c>
      <c r="M2091" t="s">
        <v>74</v>
      </c>
      <c r="N2091" t="s">
        <v>75</v>
      </c>
    </row>
    <row r="2092" spans="1:20" x14ac:dyDescent="0.25">
      <c r="A2092" t="s">
        <v>640</v>
      </c>
      <c r="B2092" s="4" t="s">
        <v>9</v>
      </c>
      <c r="C2092" s="4" t="s">
        <v>73</v>
      </c>
      <c r="D2092" s="4">
        <v>46139</v>
      </c>
      <c r="E2092" s="5">
        <v>0.43857638888888889</v>
      </c>
      <c r="F2092">
        <v>1</v>
      </c>
      <c r="G2092" t="s">
        <v>83</v>
      </c>
      <c r="H2092">
        <v>15.666666666666664</v>
      </c>
      <c r="M2092" t="s">
        <v>76</v>
      </c>
      <c r="N2092" t="s">
        <v>75</v>
      </c>
    </row>
    <row r="2093" spans="1:20" x14ac:dyDescent="0.25">
      <c r="A2093" t="s">
        <v>643</v>
      </c>
      <c r="B2093" s="4" t="s">
        <v>9</v>
      </c>
      <c r="C2093" s="4" t="s">
        <v>70</v>
      </c>
      <c r="D2093" s="4">
        <v>46139</v>
      </c>
      <c r="E2093" s="5">
        <v>0.43952546296296291</v>
      </c>
      <c r="F2093">
        <v>1</v>
      </c>
      <c r="G2093" t="s">
        <v>83</v>
      </c>
      <c r="H2093">
        <v>52</v>
      </c>
      <c r="L2093" t="s">
        <v>644</v>
      </c>
      <c r="M2093" t="s">
        <v>71</v>
      </c>
      <c r="N2093" t="s">
        <v>72</v>
      </c>
      <c r="O2093">
        <v>1</v>
      </c>
      <c r="S2093">
        <v>1</v>
      </c>
      <c r="T2093">
        <v>147.91666666666666</v>
      </c>
    </row>
    <row r="2094" spans="1:20" x14ac:dyDescent="0.25">
      <c r="A2094" t="s">
        <v>644</v>
      </c>
      <c r="B2094" s="4" t="s">
        <v>9</v>
      </c>
      <c r="C2094" s="4" t="s">
        <v>73</v>
      </c>
      <c r="D2094" s="4">
        <v>46139</v>
      </c>
      <c r="E2094" s="5">
        <v>0.43952546296296291</v>
      </c>
      <c r="F2094">
        <v>1</v>
      </c>
      <c r="G2094" t="s">
        <v>83</v>
      </c>
      <c r="H2094">
        <v>148</v>
      </c>
      <c r="M2094" t="s">
        <v>79</v>
      </c>
      <c r="N2094" t="s">
        <v>72</v>
      </c>
    </row>
    <row r="2095" spans="1:20" x14ac:dyDescent="0.25">
      <c r="A2095" t="s">
        <v>644</v>
      </c>
      <c r="B2095" s="4" t="s">
        <v>9</v>
      </c>
      <c r="C2095" s="4" t="s">
        <v>73</v>
      </c>
      <c r="D2095" s="4">
        <v>46139</v>
      </c>
      <c r="E2095" s="5">
        <v>0.43952546296296291</v>
      </c>
      <c r="F2095">
        <v>1</v>
      </c>
      <c r="G2095" t="s">
        <v>83</v>
      </c>
      <c r="H2095">
        <v>147.91666666666666</v>
      </c>
      <c r="M2095" t="s">
        <v>79</v>
      </c>
      <c r="N2095" t="s">
        <v>72</v>
      </c>
    </row>
    <row r="2096" spans="1:20" x14ac:dyDescent="0.25">
      <c r="A2096" t="s">
        <v>644</v>
      </c>
      <c r="B2096" s="4" t="s">
        <v>9</v>
      </c>
      <c r="C2096" s="4" t="s">
        <v>73</v>
      </c>
      <c r="D2096" s="4">
        <v>46139</v>
      </c>
      <c r="E2096" s="5">
        <v>0.43962962962962959</v>
      </c>
      <c r="F2096">
        <v>1</v>
      </c>
      <c r="G2096" t="s">
        <v>83</v>
      </c>
      <c r="H2096">
        <v>147.91666666666666</v>
      </c>
      <c r="M2096" t="s">
        <v>76</v>
      </c>
      <c r="N2096" t="s">
        <v>72</v>
      </c>
    </row>
    <row r="2097" spans="1:20" x14ac:dyDescent="0.25">
      <c r="A2097" t="s">
        <v>649</v>
      </c>
      <c r="B2097" s="4" t="s">
        <v>9</v>
      </c>
      <c r="C2097" s="4" t="s">
        <v>70</v>
      </c>
      <c r="D2097" s="4">
        <v>46139</v>
      </c>
      <c r="E2097" s="5">
        <v>0.44071759259259258</v>
      </c>
      <c r="F2097">
        <v>1</v>
      </c>
      <c r="G2097" t="s">
        <v>83</v>
      </c>
      <c r="H2097">
        <v>105</v>
      </c>
      <c r="L2097" t="s">
        <v>650</v>
      </c>
      <c r="M2097" t="s">
        <v>71</v>
      </c>
      <c r="N2097" t="s">
        <v>75</v>
      </c>
      <c r="O2097">
        <v>1</v>
      </c>
      <c r="S2097">
        <v>1</v>
      </c>
      <c r="T2097">
        <v>157.33333333333331</v>
      </c>
    </row>
    <row r="2098" spans="1:20" x14ac:dyDescent="0.25">
      <c r="A2098" t="s">
        <v>650</v>
      </c>
      <c r="B2098" s="4" t="s">
        <v>9</v>
      </c>
      <c r="C2098" s="4" t="s">
        <v>73</v>
      </c>
      <c r="D2098" s="4">
        <v>46139</v>
      </c>
      <c r="E2098" s="5">
        <v>0.44071759259259258</v>
      </c>
      <c r="F2098">
        <v>1</v>
      </c>
      <c r="G2098" t="s">
        <v>83</v>
      </c>
      <c r="H2098">
        <v>157.41666666666666</v>
      </c>
      <c r="M2098" t="s">
        <v>74</v>
      </c>
      <c r="N2098" t="s">
        <v>75</v>
      </c>
    </row>
    <row r="2099" spans="1:20" x14ac:dyDescent="0.25">
      <c r="A2099" t="s">
        <v>650</v>
      </c>
      <c r="B2099" s="4" t="s">
        <v>9</v>
      </c>
      <c r="C2099" s="4" t="s">
        <v>73</v>
      </c>
      <c r="D2099" s="4">
        <v>46139</v>
      </c>
      <c r="E2099" s="5">
        <v>0.44071759259259258</v>
      </c>
      <c r="F2099">
        <v>1</v>
      </c>
      <c r="G2099" t="s">
        <v>83</v>
      </c>
      <c r="H2099">
        <v>157.33333333333331</v>
      </c>
      <c r="M2099" t="s">
        <v>74</v>
      </c>
      <c r="N2099" t="s">
        <v>75</v>
      </c>
    </row>
    <row r="2100" spans="1:20" x14ac:dyDescent="0.25">
      <c r="A2100" t="s">
        <v>650</v>
      </c>
      <c r="B2100" s="4" t="s">
        <v>9</v>
      </c>
      <c r="C2100" s="4" t="s">
        <v>73</v>
      </c>
      <c r="D2100" s="4">
        <v>46139</v>
      </c>
      <c r="E2100" s="5">
        <v>0.44091435185185185</v>
      </c>
      <c r="F2100">
        <v>1</v>
      </c>
      <c r="G2100" t="s">
        <v>83</v>
      </c>
      <c r="H2100">
        <v>157.33333333333331</v>
      </c>
      <c r="M2100" t="s">
        <v>76</v>
      </c>
      <c r="N2100" t="s">
        <v>75</v>
      </c>
    </row>
    <row r="2101" spans="1:20" x14ac:dyDescent="0.25">
      <c r="A2101" t="s">
        <v>653</v>
      </c>
      <c r="B2101" s="4" t="s">
        <v>9</v>
      </c>
      <c r="C2101" s="4" t="s">
        <v>73</v>
      </c>
      <c r="D2101" s="4">
        <v>46139</v>
      </c>
      <c r="E2101" s="5">
        <v>0.44189814814814815</v>
      </c>
      <c r="F2101">
        <v>1</v>
      </c>
      <c r="G2101" t="s">
        <v>83</v>
      </c>
      <c r="H2101">
        <v>295.25</v>
      </c>
      <c r="M2101" t="s">
        <v>76</v>
      </c>
      <c r="N2101" t="s">
        <v>75</v>
      </c>
    </row>
    <row r="2102" spans="1:20" x14ac:dyDescent="0.25">
      <c r="A2102" t="s">
        <v>653</v>
      </c>
      <c r="B2102" s="4" t="s">
        <v>9</v>
      </c>
      <c r="C2102" s="4" t="s">
        <v>73</v>
      </c>
      <c r="D2102" s="4">
        <v>46139</v>
      </c>
      <c r="E2102" s="5">
        <v>0.44398148148148148</v>
      </c>
      <c r="F2102">
        <v>1</v>
      </c>
      <c r="G2102" t="s">
        <v>83</v>
      </c>
      <c r="H2102">
        <v>288.66666666666663</v>
      </c>
      <c r="M2102" t="s">
        <v>76</v>
      </c>
      <c r="N2102" t="s">
        <v>75</v>
      </c>
    </row>
    <row r="2103" spans="1:20" x14ac:dyDescent="0.25">
      <c r="A2103" t="s">
        <v>662</v>
      </c>
      <c r="B2103" s="4" t="s">
        <v>9</v>
      </c>
      <c r="C2103" s="4" t="s">
        <v>70</v>
      </c>
      <c r="D2103" s="4">
        <v>46139</v>
      </c>
      <c r="E2103" s="5">
        <v>0.44499999999999995</v>
      </c>
      <c r="F2103">
        <v>1</v>
      </c>
      <c r="G2103" t="s">
        <v>83</v>
      </c>
      <c r="H2103">
        <v>26</v>
      </c>
      <c r="L2103" t="s">
        <v>653</v>
      </c>
      <c r="M2103" t="s">
        <v>71</v>
      </c>
      <c r="N2103" t="s">
        <v>75</v>
      </c>
      <c r="O2103">
        <v>1</v>
      </c>
      <c r="S2103">
        <v>1</v>
      </c>
      <c r="T2103">
        <v>262.58333333333331</v>
      </c>
    </row>
    <row r="2104" spans="1:20" x14ac:dyDescent="0.25">
      <c r="A2104" t="s">
        <v>653</v>
      </c>
      <c r="B2104" s="4" t="s">
        <v>9</v>
      </c>
      <c r="C2104" s="4" t="s">
        <v>73</v>
      </c>
      <c r="D2104" s="4">
        <v>46139</v>
      </c>
      <c r="E2104" s="5">
        <v>0.44499999999999995</v>
      </c>
      <c r="F2104">
        <v>1</v>
      </c>
      <c r="G2104" t="s">
        <v>83</v>
      </c>
      <c r="H2104">
        <v>262.66666666666669</v>
      </c>
      <c r="M2104" t="s">
        <v>76</v>
      </c>
      <c r="N2104" t="s">
        <v>75</v>
      </c>
    </row>
    <row r="2105" spans="1:20" x14ac:dyDescent="0.25">
      <c r="A2105" t="s">
        <v>653</v>
      </c>
      <c r="B2105" s="4" t="s">
        <v>9</v>
      </c>
      <c r="C2105" s="4" t="s">
        <v>73</v>
      </c>
      <c r="D2105" s="4">
        <v>46139</v>
      </c>
      <c r="E2105" s="5">
        <v>0.44499999999999995</v>
      </c>
      <c r="F2105">
        <v>1</v>
      </c>
      <c r="G2105" t="s">
        <v>83</v>
      </c>
      <c r="H2105">
        <v>262.58333333333331</v>
      </c>
      <c r="M2105" t="s">
        <v>76</v>
      </c>
      <c r="N2105" t="s">
        <v>75</v>
      </c>
    </row>
    <row r="2106" spans="1:20" x14ac:dyDescent="0.25">
      <c r="A2106" t="s">
        <v>653</v>
      </c>
      <c r="B2106" s="4" t="s">
        <v>9</v>
      </c>
      <c r="C2106" s="4" t="s">
        <v>73</v>
      </c>
      <c r="D2106" s="4">
        <v>46139</v>
      </c>
      <c r="E2106" s="5">
        <v>0.44517361111111109</v>
      </c>
      <c r="F2106">
        <v>1</v>
      </c>
      <c r="G2106" t="s">
        <v>83</v>
      </c>
      <c r="H2106">
        <v>262.58333333333331</v>
      </c>
      <c r="M2106" t="s">
        <v>76</v>
      </c>
      <c r="N2106" t="s">
        <v>75</v>
      </c>
    </row>
    <row r="2107" spans="1:20" x14ac:dyDescent="0.25">
      <c r="A2107" t="s">
        <v>669</v>
      </c>
      <c r="B2107" s="4" t="s">
        <v>9</v>
      </c>
      <c r="C2107" s="4" t="s">
        <v>70</v>
      </c>
      <c r="D2107" s="4">
        <v>46139</v>
      </c>
      <c r="E2107" s="5">
        <v>0.44767361111111109</v>
      </c>
      <c r="F2107">
        <v>1</v>
      </c>
      <c r="G2107" t="s">
        <v>83</v>
      </c>
      <c r="H2107">
        <v>28</v>
      </c>
      <c r="L2107" t="s">
        <v>670</v>
      </c>
      <c r="M2107" t="s">
        <v>71</v>
      </c>
      <c r="N2107" t="s">
        <v>75</v>
      </c>
      <c r="O2107">
        <v>1</v>
      </c>
      <c r="S2107">
        <v>1</v>
      </c>
      <c r="T2107">
        <v>172</v>
      </c>
    </row>
    <row r="2108" spans="1:20" x14ac:dyDescent="0.25">
      <c r="A2108" t="s">
        <v>670</v>
      </c>
      <c r="B2108" s="4" t="s">
        <v>9</v>
      </c>
      <c r="C2108" s="4" t="s">
        <v>73</v>
      </c>
      <c r="D2108" s="4">
        <v>46139</v>
      </c>
      <c r="E2108" s="5">
        <v>0.44767361111111109</v>
      </c>
      <c r="F2108">
        <v>1</v>
      </c>
      <c r="G2108" t="s">
        <v>83</v>
      </c>
      <c r="H2108">
        <v>172</v>
      </c>
      <c r="M2108" t="s">
        <v>74</v>
      </c>
      <c r="N2108" t="s">
        <v>75</v>
      </c>
    </row>
    <row r="2109" spans="1:20" x14ac:dyDescent="0.25">
      <c r="A2109" t="s">
        <v>670</v>
      </c>
      <c r="B2109" s="4" t="s">
        <v>9</v>
      </c>
      <c r="C2109" s="4" t="s">
        <v>73</v>
      </c>
      <c r="D2109" s="4">
        <v>46139</v>
      </c>
      <c r="E2109" s="5">
        <v>0.44840277777777771</v>
      </c>
      <c r="F2109">
        <v>1</v>
      </c>
      <c r="G2109" t="s">
        <v>83</v>
      </c>
      <c r="H2109">
        <v>172</v>
      </c>
      <c r="M2109" t="s">
        <v>76</v>
      </c>
      <c r="N2109" t="s">
        <v>75</v>
      </c>
    </row>
    <row r="2110" spans="1:20" x14ac:dyDescent="0.25">
      <c r="A2110" t="s">
        <v>676</v>
      </c>
      <c r="B2110" s="4" t="s">
        <v>9</v>
      </c>
      <c r="C2110" s="4" t="s">
        <v>70</v>
      </c>
      <c r="D2110" s="4">
        <v>46139</v>
      </c>
      <c r="E2110" s="5">
        <v>0.44914351851851847</v>
      </c>
      <c r="F2110">
        <v>1</v>
      </c>
      <c r="G2110" t="s">
        <v>83</v>
      </c>
      <c r="H2110">
        <v>2</v>
      </c>
      <c r="L2110" t="s">
        <v>677</v>
      </c>
      <c r="M2110" t="s">
        <v>71</v>
      </c>
      <c r="N2110" t="s">
        <v>75</v>
      </c>
      <c r="O2110">
        <v>1</v>
      </c>
    </row>
    <row r="2111" spans="1:20" x14ac:dyDescent="0.25">
      <c r="A2111" t="s">
        <v>677</v>
      </c>
      <c r="B2111" s="4" t="s">
        <v>9</v>
      </c>
      <c r="C2111" s="4" t="s">
        <v>73</v>
      </c>
      <c r="D2111" s="4">
        <v>46139</v>
      </c>
      <c r="E2111" s="5">
        <v>0.44914351851851847</v>
      </c>
      <c r="F2111">
        <v>1</v>
      </c>
      <c r="G2111" t="s">
        <v>83</v>
      </c>
      <c r="H2111">
        <v>42.5</v>
      </c>
      <c r="M2111" t="s">
        <v>84</v>
      </c>
      <c r="N2111" t="s">
        <v>75</v>
      </c>
    </row>
    <row r="2112" spans="1:20" x14ac:dyDescent="0.25">
      <c r="A2112" t="s">
        <v>677</v>
      </c>
      <c r="B2112" s="4" t="s">
        <v>9</v>
      </c>
      <c r="C2112" s="4" t="s">
        <v>73</v>
      </c>
      <c r="D2112" s="4">
        <v>46139</v>
      </c>
      <c r="E2112" s="5">
        <v>0.44914351851851847</v>
      </c>
      <c r="F2112">
        <v>1</v>
      </c>
      <c r="G2112" t="s">
        <v>83</v>
      </c>
      <c r="H2112">
        <v>42.416666666666664</v>
      </c>
      <c r="M2112" t="s">
        <v>84</v>
      </c>
      <c r="N2112" t="s">
        <v>75</v>
      </c>
    </row>
    <row r="2113" spans="1:20" x14ac:dyDescent="0.25">
      <c r="A2113" t="s">
        <v>678</v>
      </c>
      <c r="B2113" s="4" t="s">
        <v>9</v>
      </c>
      <c r="C2113" s="4" t="s">
        <v>70</v>
      </c>
      <c r="D2113" s="4">
        <v>46139</v>
      </c>
      <c r="E2113" s="5">
        <v>0.44925925925925925</v>
      </c>
      <c r="F2113">
        <v>1</v>
      </c>
      <c r="G2113" t="s">
        <v>83</v>
      </c>
      <c r="H2113">
        <v>2</v>
      </c>
      <c r="L2113" t="s">
        <v>677</v>
      </c>
      <c r="M2113" t="s">
        <v>71</v>
      </c>
      <c r="N2113" t="s">
        <v>75</v>
      </c>
      <c r="P2113">
        <v>1</v>
      </c>
      <c r="S2113">
        <v>1</v>
      </c>
      <c r="T2113">
        <v>40.416666666666664</v>
      </c>
    </row>
    <row r="2114" spans="1:20" x14ac:dyDescent="0.25">
      <c r="A2114" t="s">
        <v>677</v>
      </c>
      <c r="B2114" s="4" t="s">
        <v>9</v>
      </c>
      <c r="C2114" s="4" t="s">
        <v>73</v>
      </c>
      <c r="D2114" s="4">
        <v>46139</v>
      </c>
      <c r="E2114" s="5">
        <v>0.44925925925925925</v>
      </c>
      <c r="F2114">
        <v>1</v>
      </c>
      <c r="G2114" t="s">
        <v>83</v>
      </c>
      <c r="H2114">
        <v>40.416666666666664</v>
      </c>
      <c r="M2114" t="s">
        <v>84</v>
      </c>
      <c r="N2114" t="s">
        <v>75</v>
      </c>
    </row>
    <row r="2115" spans="1:20" x14ac:dyDescent="0.25">
      <c r="A2115" t="s">
        <v>677</v>
      </c>
      <c r="B2115" s="4" t="s">
        <v>9</v>
      </c>
      <c r="C2115" s="4" t="s">
        <v>73</v>
      </c>
      <c r="D2115" s="4">
        <v>46139</v>
      </c>
      <c r="E2115" s="5">
        <v>0.44925925925925925</v>
      </c>
      <c r="F2115">
        <v>1</v>
      </c>
      <c r="G2115" t="s">
        <v>83</v>
      </c>
      <c r="H2115">
        <v>40.333333333333329</v>
      </c>
      <c r="M2115" t="s">
        <v>84</v>
      </c>
      <c r="N2115" t="s">
        <v>75</v>
      </c>
    </row>
    <row r="2116" spans="1:20" x14ac:dyDescent="0.25">
      <c r="A2116" t="s">
        <v>677</v>
      </c>
      <c r="B2116" s="4" t="s">
        <v>9</v>
      </c>
      <c r="C2116" s="4" t="s">
        <v>73</v>
      </c>
      <c r="D2116" s="4">
        <v>46139</v>
      </c>
      <c r="E2116" s="5">
        <v>0.4509143518518518</v>
      </c>
      <c r="F2116">
        <v>1</v>
      </c>
      <c r="G2116" t="s">
        <v>83</v>
      </c>
      <c r="H2116">
        <v>40.416666666666664</v>
      </c>
      <c r="M2116" t="s">
        <v>76</v>
      </c>
      <c r="N2116" t="s">
        <v>75</v>
      </c>
    </row>
    <row r="2117" spans="1:20" x14ac:dyDescent="0.25">
      <c r="A2117" t="s">
        <v>693</v>
      </c>
      <c r="B2117" s="4" t="s">
        <v>9</v>
      </c>
      <c r="C2117" s="4" t="s">
        <v>70</v>
      </c>
      <c r="D2117" s="4">
        <v>46139</v>
      </c>
      <c r="E2117" s="5">
        <v>0.45380787037037035</v>
      </c>
      <c r="F2117">
        <v>1</v>
      </c>
      <c r="G2117" t="s">
        <v>83</v>
      </c>
      <c r="H2117">
        <v>1</v>
      </c>
      <c r="L2117" t="s">
        <v>694</v>
      </c>
      <c r="M2117" t="s">
        <v>71</v>
      </c>
      <c r="N2117" t="s">
        <v>75</v>
      </c>
      <c r="O2117">
        <v>1</v>
      </c>
      <c r="S2117">
        <v>1</v>
      </c>
      <c r="T2117">
        <v>102.16666666666666</v>
      </c>
    </row>
    <row r="2118" spans="1:20" x14ac:dyDescent="0.25">
      <c r="A2118" t="s">
        <v>694</v>
      </c>
      <c r="B2118" s="4" t="s">
        <v>9</v>
      </c>
      <c r="C2118" s="4" t="s">
        <v>73</v>
      </c>
      <c r="D2118" s="4">
        <v>46139</v>
      </c>
      <c r="E2118" s="5">
        <v>0.45380787037037035</v>
      </c>
      <c r="F2118">
        <v>1</v>
      </c>
      <c r="G2118" t="s">
        <v>83</v>
      </c>
      <c r="H2118">
        <v>102.25</v>
      </c>
      <c r="M2118" t="s">
        <v>74</v>
      </c>
      <c r="N2118" t="s">
        <v>75</v>
      </c>
    </row>
    <row r="2119" spans="1:20" x14ac:dyDescent="0.25">
      <c r="A2119" t="s">
        <v>694</v>
      </c>
      <c r="B2119" s="4" t="s">
        <v>9</v>
      </c>
      <c r="C2119" s="4" t="s">
        <v>73</v>
      </c>
      <c r="D2119" s="4">
        <v>46139</v>
      </c>
      <c r="E2119" s="5">
        <v>0.45380787037037035</v>
      </c>
      <c r="F2119">
        <v>1</v>
      </c>
      <c r="G2119" t="s">
        <v>83</v>
      </c>
      <c r="H2119">
        <v>102.16666666666666</v>
      </c>
      <c r="L2119" s="21"/>
      <c r="M2119" t="s">
        <v>74</v>
      </c>
      <c r="N2119" t="s">
        <v>75</v>
      </c>
    </row>
    <row r="2120" spans="1:20" x14ac:dyDescent="0.25">
      <c r="A2120" t="s">
        <v>694</v>
      </c>
      <c r="B2120" s="4" t="s">
        <v>9</v>
      </c>
      <c r="C2120" s="4" t="s">
        <v>73</v>
      </c>
      <c r="D2120" s="4">
        <v>46139</v>
      </c>
      <c r="E2120" s="5">
        <v>0.45415509259259262</v>
      </c>
      <c r="F2120">
        <v>1</v>
      </c>
      <c r="G2120" t="s">
        <v>83</v>
      </c>
      <c r="H2120">
        <v>102.16666666666666</v>
      </c>
      <c r="M2120" t="s">
        <v>76</v>
      </c>
      <c r="N2120" t="s">
        <v>75</v>
      </c>
    </row>
    <row r="2121" spans="1:20" x14ac:dyDescent="0.25">
      <c r="A2121" t="s">
        <v>699</v>
      </c>
      <c r="B2121" s="4" t="s">
        <v>9</v>
      </c>
      <c r="C2121" s="4" t="s">
        <v>70</v>
      </c>
      <c r="D2121" s="4">
        <v>46139</v>
      </c>
      <c r="E2121" s="5">
        <v>0.4548611111111111</v>
      </c>
      <c r="F2121">
        <v>1</v>
      </c>
      <c r="G2121" t="s">
        <v>83</v>
      </c>
      <c r="H2121">
        <v>55.25</v>
      </c>
      <c r="L2121" t="s">
        <v>700</v>
      </c>
      <c r="M2121" t="s">
        <v>71</v>
      </c>
      <c r="N2121" t="s">
        <v>78</v>
      </c>
      <c r="O2121">
        <v>1</v>
      </c>
      <c r="S2121">
        <v>1</v>
      </c>
      <c r="T2121">
        <v>116.58333333333333</v>
      </c>
    </row>
    <row r="2122" spans="1:20" x14ac:dyDescent="0.25">
      <c r="A2122" t="s">
        <v>700</v>
      </c>
      <c r="B2122" s="4" t="s">
        <v>9</v>
      </c>
      <c r="C2122" s="4" t="s">
        <v>73</v>
      </c>
      <c r="D2122" s="4">
        <v>46139</v>
      </c>
      <c r="E2122" s="5">
        <v>0.4548611111111111</v>
      </c>
      <c r="F2122">
        <v>1</v>
      </c>
      <c r="G2122" t="s">
        <v>83</v>
      </c>
      <c r="H2122">
        <v>119.83333333333333</v>
      </c>
      <c r="M2122" t="s">
        <v>74</v>
      </c>
      <c r="N2122" t="s">
        <v>78</v>
      </c>
    </row>
    <row r="2123" spans="1:20" x14ac:dyDescent="0.25">
      <c r="A2123" t="s">
        <v>700</v>
      </c>
      <c r="B2123" s="4" t="s">
        <v>9</v>
      </c>
      <c r="C2123" s="4" t="s">
        <v>73</v>
      </c>
      <c r="D2123" s="4">
        <v>46139</v>
      </c>
      <c r="E2123" s="5">
        <v>0.4548611111111111</v>
      </c>
      <c r="F2123">
        <v>1</v>
      </c>
      <c r="G2123" t="s">
        <v>83</v>
      </c>
      <c r="H2123">
        <v>119.75</v>
      </c>
      <c r="M2123" t="s">
        <v>74</v>
      </c>
      <c r="N2123" t="s">
        <v>78</v>
      </c>
    </row>
    <row r="2124" spans="1:20" x14ac:dyDescent="0.25">
      <c r="A2124" t="s">
        <v>700</v>
      </c>
      <c r="B2124" s="4" t="s">
        <v>9</v>
      </c>
      <c r="C2124" s="4" t="s">
        <v>73</v>
      </c>
      <c r="D2124" s="4">
        <v>46139</v>
      </c>
      <c r="E2124" s="5">
        <v>0.4558564814814815</v>
      </c>
      <c r="F2124">
        <v>1</v>
      </c>
      <c r="G2124" t="s">
        <v>83</v>
      </c>
      <c r="H2124">
        <v>116.58333333333333</v>
      </c>
      <c r="M2124" t="s">
        <v>76</v>
      </c>
      <c r="N2124" t="s">
        <v>78</v>
      </c>
    </row>
    <row r="2125" spans="1:20" x14ac:dyDescent="0.25">
      <c r="A2125" t="s">
        <v>706</v>
      </c>
      <c r="B2125" s="4" t="s">
        <v>9</v>
      </c>
      <c r="C2125" s="4" t="s">
        <v>70</v>
      </c>
      <c r="D2125" s="4">
        <v>46139</v>
      </c>
      <c r="E2125" s="5">
        <v>0.45657407407407408</v>
      </c>
      <c r="F2125">
        <v>1</v>
      </c>
      <c r="G2125" t="s">
        <v>83</v>
      </c>
      <c r="H2125">
        <v>1.6666666666666665</v>
      </c>
      <c r="L2125" t="s">
        <v>707</v>
      </c>
      <c r="M2125" t="s">
        <v>71</v>
      </c>
      <c r="N2125" t="s">
        <v>72</v>
      </c>
      <c r="O2125">
        <v>1</v>
      </c>
    </row>
    <row r="2126" spans="1:20" x14ac:dyDescent="0.25">
      <c r="A2126" t="s">
        <v>707</v>
      </c>
      <c r="B2126" s="4" t="s">
        <v>9</v>
      </c>
      <c r="C2126" s="4" t="s">
        <v>73</v>
      </c>
      <c r="D2126" s="4">
        <v>46139</v>
      </c>
      <c r="E2126" s="5">
        <v>0.45657407407407408</v>
      </c>
      <c r="F2126">
        <v>1</v>
      </c>
      <c r="G2126" t="s">
        <v>83</v>
      </c>
      <c r="H2126">
        <v>105</v>
      </c>
      <c r="M2126" t="s">
        <v>84</v>
      </c>
      <c r="N2126" t="s">
        <v>72</v>
      </c>
    </row>
    <row r="2127" spans="1:20" x14ac:dyDescent="0.25">
      <c r="A2127" t="s">
        <v>707</v>
      </c>
      <c r="B2127" s="4" t="s">
        <v>9</v>
      </c>
      <c r="C2127" s="4" t="s">
        <v>73</v>
      </c>
      <c r="D2127" s="4">
        <v>46139</v>
      </c>
      <c r="E2127" s="5">
        <v>0.45657407407407408</v>
      </c>
      <c r="F2127">
        <v>1</v>
      </c>
      <c r="G2127" t="s">
        <v>83</v>
      </c>
      <c r="H2127">
        <v>104.91666666666666</v>
      </c>
      <c r="M2127" t="s">
        <v>84</v>
      </c>
      <c r="N2127" t="s">
        <v>72</v>
      </c>
    </row>
    <row r="2128" spans="1:20" x14ac:dyDescent="0.25">
      <c r="A2128" t="s">
        <v>708</v>
      </c>
      <c r="B2128" s="4" t="s">
        <v>9</v>
      </c>
      <c r="C2128" s="4" t="s">
        <v>70</v>
      </c>
      <c r="D2128" s="4">
        <v>46139</v>
      </c>
      <c r="E2128" s="5">
        <v>0.45670138888888884</v>
      </c>
      <c r="F2128">
        <v>1</v>
      </c>
      <c r="G2128" t="s">
        <v>83</v>
      </c>
      <c r="H2128">
        <v>1.6666666666666665</v>
      </c>
      <c r="L2128" t="s">
        <v>707</v>
      </c>
      <c r="M2128" t="s">
        <v>71</v>
      </c>
      <c r="N2128" t="s">
        <v>72</v>
      </c>
      <c r="P2128">
        <v>1</v>
      </c>
      <c r="S2128">
        <v>1</v>
      </c>
      <c r="T2128">
        <v>101.5</v>
      </c>
    </row>
    <row r="2129" spans="1:20" x14ac:dyDescent="0.25">
      <c r="A2129" t="s">
        <v>707</v>
      </c>
      <c r="B2129" s="4" t="s">
        <v>9</v>
      </c>
      <c r="C2129" s="4" t="s">
        <v>73</v>
      </c>
      <c r="D2129" s="4">
        <v>46139</v>
      </c>
      <c r="E2129" s="5">
        <v>0.45670138888888884</v>
      </c>
      <c r="F2129">
        <v>1</v>
      </c>
      <c r="G2129" t="s">
        <v>83</v>
      </c>
      <c r="H2129">
        <v>103.25</v>
      </c>
      <c r="M2129" t="s">
        <v>84</v>
      </c>
      <c r="N2129" t="s">
        <v>72</v>
      </c>
    </row>
    <row r="2130" spans="1:20" x14ac:dyDescent="0.25">
      <c r="A2130" t="s">
        <v>707</v>
      </c>
      <c r="B2130" s="4" t="s">
        <v>9</v>
      </c>
      <c r="C2130" s="4" t="s">
        <v>73</v>
      </c>
      <c r="D2130" s="4">
        <v>46139</v>
      </c>
      <c r="E2130" s="5">
        <v>0.45670138888888884</v>
      </c>
      <c r="F2130">
        <v>1</v>
      </c>
      <c r="G2130" t="s">
        <v>83</v>
      </c>
      <c r="H2130">
        <v>103.16666666666667</v>
      </c>
      <c r="M2130" t="s">
        <v>84</v>
      </c>
      <c r="N2130" t="s">
        <v>72</v>
      </c>
    </row>
    <row r="2131" spans="1:20" x14ac:dyDescent="0.25">
      <c r="A2131" t="s">
        <v>707</v>
      </c>
      <c r="B2131" s="4" t="s">
        <v>9</v>
      </c>
      <c r="C2131" s="4" t="s">
        <v>73</v>
      </c>
      <c r="D2131" s="4">
        <v>46139</v>
      </c>
      <c r="E2131" s="5">
        <v>0.45751157407407406</v>
      </c>
      <c r="F2131">
        <v>1</v>
      </c>
      <c r="G2131" t="s">
        <v>83</v>
      </c>
      <c r="H2131">
        <v>101.5</v>
      </c>
      <c r="M2131" t="s">
        <v>76</v>
      </c>
      <c r="N2131" t="s">
        <v>72</v>
      </c>
    </row>
    <row r="2132" spans="1:20" x14ac:dyDescent="0.25">
      <c r="A2132" t="s">
        <v>714</v>
      </c>
      <c r="B2132" s="4" t="s">
        <v>9</v>
      </c>
      <c r="C2132" s="4" t="s">
        <v>73</v>
      </c>
      <c r="D2132" s="4">
        <v>46139</v>
      </c>
      <c r="E2132" s="5">
        <v>0.45930555555555558</v>
      </c>
      <c r="F2132">
        <v>1</v>
      </c>
      <c r="G2132" t="s">
        <v>83</v>
      </c>
      <c r="H2132">
        <v>190.66666666666666</v>
      </c>
      <c r="M2132" t="s">
        <v>76</v>
      </c>
      <c r="N2132" t="s">
        <v>75</v>
      </c>
    </row>
    <row r="2133" spans="1:20" x14ac:dyDescent="0.25">
      <c r="A2133" t="s">
        <v>717</v>
      </c>
      <c r="B2133" s="4" t="s">
        <v>9</v>
      </c>
      <c r="C2133" s="4" t="s">
        <v>73</v>
      </c>
      <c r="D2133" s="4">
        <v>46139</v>
      </c>
      <c r="E2133" s="5">
        <v>0.4602546296296296</v>
      </c>
      <c r="F2133">
        <v>1</v>
      </c>
      <c r="G2133" t="s">
        <v>83</v>
      </c>
      <c r="H2133">
        <v>109.33333333333333</v>
      </c>
      <c r="M2133" t="s">
        <v>79</v>
      </c>
      <c r="N2133" t="s">
        <v>72</v>
      </c>
    </row>
    <row r="2134" spans="1:20" x14ac:dyDescent="0.25">
      <c r="A2134" t="s">
        <v>717</v>
      </c>
      <c r="B2134" s="4" t="s">
        <v>9</v>
      </c>
      <c r="C2134" s="4" t="s">
        <v>73</v>
      </c>
      <c r="D2134" s="4">
        <v>46139</v>
      </c>
      <c r="E2134" s="5">
        <v>0.46075231481481477</v>
      </c>
      <c r="F2134">
        <v>1</v>
      </c>
      <c r="G2134" t="s">
        <v>83</v>
      </c>
      <c r="H2134">
        <v>107.5</v>
      </c>
      <c r="M2134" t="s">
        <v>76</v>
      </c>
      <c r="N2134" t="s">
        <v>72</v>
      </c>
    </row>
    <row r="2135" spans="1:20" x14ac:dyDescent="0.25">
      <c r="A2135" t="s">
        <v>722</v>
      </c>
      <c r="B2135" s="4" t="s">
        <v>9</v>
      </c>
      <c r="C2135" s="4" t="s">
        <v>70</v>
      </c>
      <c r="D2135" s="4">
        <v>46139</v>
      </c>
      <c r="E2135" s="5">
        <v>0.46128472222222222</v>
      </c>
      <c r="F2135">
        <v>1</v>
      </c>
      <c r="G2135" t="s">
        <v>83</v>
      </c>
      <c r="H2135">
        <v>1</v>
      </c>
      <c r="L2135" t="s">
        <v>723</v>
      </c>
      <c r="M2135" t="s">
        <v>71</v>
      </c>
      <c r="N2135" t="s">
        <v>75</v>
      </c>
      <c r="O2135">
        <v>1</v>
      </c>
      <c r="S2135">
        <v>1</v>
      </c>
      <c r="T2135">
        <v>94.25</v>
      </c>
    </row>
    <row r="2136" spans="1:20" x14ac:dyDescent="0.25">
      <c r="A2136" t="s">
        <v>723</v>
      </c>
      <c r="B2136" s="4" t="s">
        <v>9</v>
      </c>
      <c r="C2136" s="4" t="s">
        <v>73</v>
      </c>
      <c r="D2136" s="4">
        <v>46139</v>
      </c>
      <c r="E2136" s="5">
        <v>0.46128472222222222</v>
      </c>
      <c r="F2136">
        <v>1</v>
      </c>
      <c r="G2136" t="s">
        <v>83</v>
      </c>
      <c r="H2136">
        <v>94.333333333333329</v>
      </c>
      <c r="M2136" t="s">
        <v>74</v>
      </c>
      <c r="N2136" t="s">
        <v>75</v>
      </c>
    </row>
    <row r="2137" spans="1:20" x14ac:dyDescent="0.25">
      <c r="A2137" t="s">
        <v>723</v>
      </c>
      <c r="B2137" s="4" t="s">
        <v>9</v>
      </c>
      <c r="C2137" s="4" t="s">
        <v>73</v>
      </c>
      <c r="D2137" s="4">
        <v>46139</v>
      </c>
      <c r="E2137" s="5">
        <v>0.46128472222222222</v>
      </c>
      <c r="F2137">
        <v>1</v>
      </c>
      <c r="G2137" t="s">
        <v>83</v>
      </c>
      <c r="H2137">
        <v>94.25</v>
      </c>
      <c r="M2137" t="s">
        <v>74</v>
      </c>
      <c r="N2137" t="s">
        <v>75</v>
      </c>
    </row>
    <row r="2138" spans="1:20" x14ac:dyDescent="0.25">
      <c r="A2138" t="s">
        <v>723</v>
      </c>
      <c r="B2138" s="4" t="s">
        <v>9</v>
      </c>
      <c r="C2138" s="4" t="s">
        <v>73</v>
      </c>
      <c r="D2138" s="4">
        <v>46139</v>
      </c>
      <c r="E2138" s="5">
        <v>0.46195601851851847</v>
      </c>
      <c r="F2138">
        <v>1</v>
      </c>
      <c r="G2138" t="s">
        <v>83</v>
      </c>
      <c r="H2138">
        <v>94.25</v>
      </c>
      <c r="M2138" t="s">
        <v>76</v>
      </c>
      <c r="N2138" t="s">
        <v>75</v>
      </c>
    </row>
    <row r="2139" spans="1:20" x14ac:dyDescent="0.25">
      <c r="A2139" t="s">
        <v>725</v>
      </c>
      <c r="B2139" s="4" t="s">
        <v>9</v>
      </c>
      <c r="C2139" s="4" t="s">
        <v>70</v>
      </c>
      <c r="D2139" s="4">
        <v>46139</v>
      </c>
      <c r="E2139" s="5">
        <v>0.46273148148148141</v>
      </c>
      <c r="F2139">
        <v>1</v>
      </c>
      <c r="G2139" t="s">
        <v>83</v>
      </c>
      <c r="H2139">
        <v>12</v>
      </c>
      <c r="L2139" t="s">
        <v>726</v>
      </c>
      <c r="M2139" t="s">
        <v>71</v>
      </c>
      <c r="N2139" t="s">
        <v>75</v>
      </c>
      <c r="O2139">
        <v>1</v>
      </c>
      <c r="S2139">
        <v>1</v>
      </c>
      <c r="T2139">
        <v>212.5</v>
      </c>
    </row>
    <row r="2140" spans="1:20" x14ac:dyDescent="0.25">
      <c r="A2140" t="s">
        <v>726</v>
      </c>
      <c r="B2140" s="4" t="s">
        <v>9</v>
      </c>
      <c r="C2140" s="4" t="s">
        <v>73</v>
      </c>
      <c r="D2140" s="4">
        <v>46139</v>
      </c>
      <c r="E2140" s="5">
        <v>0.46273148148148141</v>
      </c>
      <c r="F2140">
        <v>1</v>
      </c>
      <c r="G2140" t="s">
        <v>83</v>
      </c>
      <c r="H2140">
        <v>212.58333333333334</v>
      </c>
      <c r="M2140" t="s">
        <v>74</v>
      </c>
      <c r="N2140" t="s">
        <v>75</v>
      </c>
    </row>
    <row r="2141" spans="1:20" x14ac:dyDescent="0.25">
      <c r="A2141" t="s">
        <v>726</v>
      </c>
      <c r="B2141" s="4" t="s">
        <v>9</v>
      </c>
      <c r="C2141" s="4" t="s">
        <v>73</v>
      </c>
      <c r="D2141" s="4">
        <v>46139</v>
      </c>
      <c r="E2141" s="5">
        <v>0.46273148148148141</v>
      </c>
      <c r="F2141">
        <v>1</v>
      </c>
      <c r="G2141" t="s">
        <v>83</v>
      </c>
      <c r="H2141">
        <v>212.5</v>
      </c>
      <c r="M2141" t="s">
        <v>74</v>
      </c>
      <c r="N2141" t="s">
        <v>75</v>
      </c>
    </row>
    <row r="2142" spans="1:20" x14ac:dyDescent="0.25">
      <c r="A2142" t="s">
        <v>726</v>
      </c>
      <c r="B2142" s="4" t="s">
        <v>9</v>
      </c>
      <c r="C2142" s="4" t="s">
        <v>73</v>
      </c>
      <c r="D2142" s="4">
        <v>46139</v>
      </c>
      <c r="E2142" s="5">
        <v>0.46282407407407405</v>
      </c>
      <c r="F2142">
        <v>1</v>
      </c>
      <c r="G2142" t="s">
        <v>83</v>
      </c>
      <c r="H2142">
        <v>212.5</v>
      </c>
      <c r="M2142" t="s">
        <v>76</v>
      </c>
      <c r="N2142" t="s">
        <v>75</v>
      </c>
    </row>
    <row r="2143" spans="1:20" x14ac:dyDescent="0.25">
      <c r="A2143" t="s">
        <v>729</v>
      </c>
      <c r="B2143" s="4" t="s">
        <v>9</v>
      </c>
      <c r="C2143" s="4" t="s">
        <v>70</v>
      </c>
      <c r="D2143" s="4">
        <v>46139</v>
      </c>
      <c r="E2143" s="5">
        <v>0.46431712962962957</v>
      </c>
      <c r="F2143">
        <v>1</v>
      </c>
      <c r="G2143" t="s">
        <v>83</v>
      </c>
      <c r="H2143">
        <v>1</v>
      </c>
      <c r="L2143" t="s">
        <v>730</v>
      </c>
      <c r="M2143" t="s">
        <v>71</v>
      </c>
      <c r="N2143" t="s">
        <v>75</v>
      </c>
      <c r="O2143">
        <v>1</v>
      </c>
      <c r="S2143">
        <v>1</v>
      </c>
      <c r="T2143">
        <v>65.916666666666657</v>
      </c>
    </row>
    <row r="2144" spans="1:20" x14ac:dyDescent="0.25">
      <c r="A2144" t="s">
        <v>730</v>
      </c>
      <c r="B2144" s="4" t="s">
        <v>9</v>
      </c>
      <c r="C2144" s="4" t="s">
        <v>73</v>
      </c>
      <c r="D2144" s="4">
        <v>46139</v>
      </c>
      <c r="E2144" s="5">
        <v>0.46431712962962957</v>
      </c>
      <c r="F2144">
        <v>1</v>
      </c>
      <c r="G2144" t="s">
        <v>83</v>
      </c>
      <c r="H2144">
        <v>66</v>
      </c>
      <c r="L2144" t="s">
        <v>731</v>
      </c>
      <c r="M2144" t="s">
        <v>84</v>
      </c>
      <c r="N2144" t="s">
        <v>75</v>
      </c>
    </row>
    <row r="2145" spans="1:20" x14ac:dyDescent="0.25">
      <c r="A2145" t="s">
        <v>730</v>
      </c>
      <c r="B2145" s="4" t="s">
        <v>9</v>
      </c>
      <c r="C2145" s="4" t="s">
        <v>73</v>
      </c>
      <c r="D2145" s="4">
        <v>46139</v>
      </c>
      <c r="E2145" s="5">
        <v>0.46431712962962957</v>
      </c>
      <c r="F2145">
        <v>1</v>
      </c>
      <c r="G2145" t="s">
        <v>83</v>
      </c>
      <c r="H2145">
        <v>65.916666666666657</v>
      </c>
      <c r="L2145" t="s">
        <v>731</v>
      </c>
      <c r="M2145" t="s">
        <v>84</v>
      </c>
      <c r="N2145" t="s">
        <v>75</v>
      </c>
    </row>
    <row r="2146" spans="1:20" x14ac:dyDescent="0.25">
      <c r="A2146" t="s">
        <v>730</v>
      </c>
      <c r="B2146" s="4" t="s">
        <v>9</v>
      </c>
      <c r="C2146" s="4" t="s">
        <v>73</v>
      </c>
      <c r="D2146" s="4">
        <v>46139</v>
      </c>
      <c r="E2146" s="5">
        <v>0.46516203703703701</v>
      </c>
      <c r="F2146">
        <v>1</v>
      </c>
      <c r="G2146" t="s">
        <v>83</v>
      </c>
      <c r="H2146">
        <v>65.916666666666657</v>
      </c>
      <c r="L2146" t="s">
        <v>731</v>
      </c>
      <c r="M2146" t="s">
        <v>76</v>
      </c>
      <c r="N2146" t="s">
        <v>75</v>
      </c>
    </row>
    <row r="2147" spans="1:20" x14ac:dyDescent="0.25">
      <c r="A2147" t="s">
        <v>735</v>
      </c>
      <c r="B2147" s="4" t="s">
        <v>9</v>
      </c>
      <c r="C2147" s="4" t="s">
        <v>70</v>
      </c>
      <c r="D2147" s="4">
        <v>46139</v>
      </c>
      <c r="E2147" s="5">
        <v>0.46542824074074074</v>
      </c>
      <c r="F2147">
        <v>1</v>
      </c>
      <c r="G2147" t="s">
        <v>83</v>
      </c>
      <c r="H2147">
        <v>1</v>
      </c>
      <c r="L2147" t="s">
        <v>736</v>
      </c>
      <c r="M2147" t="s">
        <v>71</v>
      </c>
      <c r="N2147" t="s">
        <v>75</v>
      </c>
      <c r="O2147">
        <v>1</v>
      </c>
      <c r="S2147">
        <v>1</v>
      </c>
      <c r="T2147">
        <v>37.583333333333336</v>
      </c>
    </row>
    <row r="2148" spans="1:20" x14ac:dyDescent="0.25">
      <c r="A2148" t="s">
        <v>736</v>
      </c>
      <c r="B2148" s="4" t="s">
        <v>9</v>
      </c>
      <c r="C2148" s="4" t="s">
        <v>73</v>
      </c>
      <c r="D2148" s="4">
        <v>46139</v>
      </c>
      <c r="E2148" s="5">
        <v>0.46542824074074074</v>
      </c>
      <c r="F2148">
        <v>1</v>
      </c>
      <c r="G2148" t="s">
        <v>83</v>
      </c>
      <c r="H2148">
        <v>37.583333333333336</v>
      </c>
      <c r="M2148" t="s">
        <v>84</v>
      </c>
      <c r="N2148" t="s">
        <v>75</v>
      </c>
    </row>
    <row r="2149" spans="1:20" x14ac:dyDescent="0.25">
      <c r="A2149" t="s">
        <v>736</v>
      </c>
      <c r="B2149" s="4" t="s">
        <v>9</v>
      </c>
      <c r="C2149" s="4" t="s">
        <v>73</v>
      </c>
      <c r="D2149" s="4">
        <v>46139</v>
      </c>
      <c r="E2149" s="5">
        <v>0.46542824074074074</v>
      </c>
      <c r="F2149">
        <v>1</v>
      </c>
      <c r="G2149" t="s">
        <v>83</v>
      </c>
      <c r="H2149">
        <v>37.5</v>
      </c>
      <c r="M2149" t="s">
        <v>84</v>
      </c>
      <c r="N2149" t="s">
        <v>75</v>
      </c>
    </row>
    <row r="2150" spans="1:20" x14ac:dyDescent="0.25">
      <c r="A2150" t="s">
        <v>736</v>
      </c>
      <c r="B2150" s="4" t="s">
        <v>9</v>
      </c>
      <c r="C2150" s="4" t="s">
        <v>73</v>
      </c>
      <c r="D2150" s="4">
        <v>46139</v>
      </c>
      <c r="E2150" s="5">
        <v>0.46589120370370368</v>
      </c>
      <c r="F2150">
        <v>1</v>
      </c>
      <c r="G2150" t="s">
        <v>83</v>
      </c>
      <c r="H2150">
        <v>37.583333333333336</v>
      </c>
      <c r="M2150" t="s">
        <v>76</v>
      </c>
      <c r="N2150" t="s">
        <v>75</v>
      </c>
    </row>
    <row r="2151" spans="1:20" x14ac:dyDescent="0.25">
      <c r="A2151" t="s">
        <v>746</v>
      </c>
      <c r="B2151" s="4" t="s">
        <v>9</v>
      </c>
      <c r="C2151" s="4" t="s">
        <v>70</v>
      </c>
      <c r="D2151" s="4">
        <v>46139</v>
      </c>
      <c r="E2151" s="5">
        <v>0.4675231481481481</v>
      </c>
      <c r="F2151">
        <v>1</v>
      </c>
      <c r="G2151" t="s">
        <v>83</v>
      </c>
      <c r="H2151">
        <v>1</v>
      </c>
      <c r="L2151" t="s">
        <v>747</v>
      </c>
      <c r="M2151" t="s">
        <v>71</v>
      </c>
      <c r="N2151" t="s">
        <v>75</v>
      </c>
      <c r="O2151">
        <v>1</v>
      </c>
      <c r="R2151">
        <v>1</v>
      </c>
      <c r="S2151">
        <v>1</v>
      </c>
      <c r="T2151">
        <v>24.25</v>
      </c>
    </row>
    <row r="2152" spans="1:20" x14ac:dyDescent="0.25">
      <c r="A2152" t="s">
        <v>747</v>
      </c>
      <c r="B2152" s="4" t="s">
        <v>9</v>
      </c>
      <c r="C2152" s="4" t="s">
        <v>73</v>
      </c>
      <c r="D2152" s="4">
        <v>46139</v>
      </c>
      <c r="E2152" s="5">
        <v>0.4675231481481481</v>
      </c>
      <c r="F2152">
        <v>1</v>
      </c>
      <c r="G2152" t="s">
        <v>83</v>
      </c>
      <c r="H2152">
        <v>25.166666666666668</v>
      </c>
      <c r="M2152" t="s">
        <v>84</v>
      </c>
      <c r="N2152" t="s">
        <v>75</v>
      </c>
    </row>
    <row r="2153" spans="1:20" x14ac:dyDescent="0.25">
      <c r="A2153" t="s">
        <v>747</v>
      </c>
      <c r="B2153" s="4" t="s">
        <v>9</v>
      </c>
      <c r="C2153" s="4" t="s">
        <v>73</v>
      </c>
      <c r="D2153" s="4">
        <v>46139</v>
      </c>
      <c r="E2153" s="5">
        <v>0.4675231481481481</v>
      </c>
      <c r="F2153">
        <v>1</v>
      </c>
      <c r="G2153" t="s">
        <v>83</v>
      </c>
      <c r="H2153">
        <v>25.083333333333332</v>
      </c>
      <c r="M2153" t="s">
        <v>84</v>
      </c>
      <c r="N2153" t="s">
        <v>75</v>
      </c>
    </row>
    <row r="2154" spans="1:20" x14ac:dyDescent="0.25">
      <c r="A2154" t="s">
        <v>747</v>
      </c>
      <c r="B2154" s="4" t="s">
        <v>9</v>
      </c>
      <c r="C2154" s="4" t="s">
        <v>73</v>
      </c>
      <c r="D2154" s="4">
        <v>46139</v>
      </c>
      <c r="E2154" s="5">
        <v>0.46803240740740737</v>
      </c>
      <c r="F2154">
        <v>1</v>
      </c>
      <c r="G2154" t="s">
        <v>83</v>
      </c>
      <c r="H2154">
        <v>24.25</v>
      </c>
      <c r="M2154" t="s">
        <v>76</v>
      </c>
      <c r="N2154" t="s">
        <v>75</v>
      </c>
    </row>
    <row r="2155" spans="1:20" x14ac:dyDescent="0.25">
      <c r="A2155" t="s">
        <v>753</v>
      </c>
      <c r="B2155" s="4" t="s">
        <v>9</v>
      </c>
      <c r="C2155" s="4" t="s">
        <v>70</v>
      </c>
      <c r="D2155" s="4">
        <v>46139</v>
      </c>
      <c r="E2155" s="5">
        <v>0.46936342592592595</v>
      </c>
      <c r="F2155">
        <v>1</v>
      </c>
      <c r="G2155" t="s">
        <v>83</v>
      </c>
      <c r="H2155">
        <v>40.5</v>
      </c>
      <c r="L2155" t="s">
        <v>754</v>
      </c>
      <c r="M2155" t="s">
        <v>71</v>
      </c>
      <c r="N2155" t="s">
        <v>72</v>
      </c>
      <c r="O2155">
        <v>1</v>
      </c>
      <c r="S2155">
        <v>1</v>
      </c>
      <c r="T2155">
        <v>95.25</v>
      </c>
    </row>
    <row r="2156" spans="1:20" x14ac:dyDescent="0.25">
      <c r="A2156" t="s">
        <v>754</v>
      </c>
      <c r="B2156" s="4" t="s">
        <v>9</v>
      </c>
      <c r="C2156" s="4" t="s">
        <v>73</v>
      </c>
      <c r="D2156" s="4">
        <v>46139</v>
      </c>
      <c r="E2156" s="5">
        <v>0.46936342592592595</v>
      </c>
      <c r="F2156">
        <v>1</v>
      </c>
      <c r="G2156" t="s">
        <v>83</v>
      </c>
      <c r="H2156">
        <v>95.333333333333329</v>
      </c>
      <c r="M2156" t="s">
        <v>74</v>
      </c>
      <c r="N2156" t="s">
        <v>72</v>
      </c>
    </row>
    <row r="2157" spans="1:20" x14ac:dyDescent="0.25">
      <c r="A2157" t="s">
        <v>754</v>
      </c>
      <c r="B2157" s="4" t="s">
        <v>9</v>
      </c>
      <c r="C2157" s="4" t="s">
        <v>73</v>
      </c>
      <c r="D2157" s="4">
        <v>46139</v>
      </c>
      <c r="E2157" s="5">
        <v>0.46936342592592595</v>
      </c>
      <c r="F2157">
        <v>1</v>
      </c>
      <c r="G2157" t="s">
        <v>83</v>
      </c>
      <c r="H2157">
        <v>95.25</v>
      </c>
      <c r="M2157" t="s">
        <v>74</v>
      </c>
      <c r="N2157" t="s">
        <v>72</v>
      </c>
    </row>
    <row r="2158" spans="1:20" x14ac:dyDescent="0.25">
      <c r="A2158" t="s">
        <v>754</v>
      </c>
      <c r="B2158" s="4" t="s">
        <v>9</v>
      </c>
      <c r="C2158" s="4" t="s">
        <v>73</v>
      </c>
      <c r="D2158" s="4">
        <v>46139</v>
      </c>
      <c r="E2158" s="5">
        <v>0.46953703703703703</v>
      </c>
      <c r="F2158">
        <v>1</v>
      </c>
      <c r="G2158" t="s">
        <v>83</v>
      </c>
      <c r="H2158">
        <v>95.25</v>
      </c>
      <c r="M2158" t="s">
        <v>76</v>
      </c>
      <c r="N2158" t="s">
        <v>72</v>
      </c>
    </row>
    <row r="2159" spans="1:20" x14ac:dyDescent="0.25">
      <c r="A2159" t="s">
        <v>758</v>
      </c>
      <c r="B2159" s="4" t="s">
        <v>9</v>
      </c>
      <c r="C2159" s="4" t="s">
        <v>70</v>
      </c>
      <c r="D2159" s="4">
        <v>46139</v>
      </c>
      <c r="E2159" s="5">
        <v>0.47043981481481478</v>
      </c>
      <c r="F2159">
        <v>1</v>
      </c>
      <c r="G2159" t="s">
        <v>83</v>
      </c>
      <c r="H2159">
        <v>1</v>
      </c>
      <c r="L2159" t="s">
        <v>759</v>
      </c>
      <c r="M2159" t="s">
        <v>71</v>
      </c>
      <c r="N2159" t="s">
        <v>75</v>
      </c>
      <c r="O2159">
        <v>1</v>
      </c>
      <c r="R2159">
        <v>1</v>
      </c>
      <c r="S2159">
        <v>1</v>
      </c>
      <c r="T2159">
        <v>9.4166666666666661</v>
      </c>
    </row>
    <row r="2160" spans="1:20" x14ac:dyDescent="0.25">
      <c r="A2160" t="s">
        <v>759</v>
      </c>
      <c r="B2160" s="4" t="s">
        <v>9</v>
      </c>
      <c r="C2160" s="4" t="s">
        <v>73</v>
      </c>
      <c r="D2160" s="4">
        <v>46139</v>
      </c>
      <c r="E2160" s="5">
        <v>0.47043981481481478</v>
      </c>
      <c r="F2160">
        <v>1</v>
      </c>
      <c r="G2160" t="s">
        <v>83</v>
      </c>
      <c r="H2160">
        <v>10.083333333333332</v>
      </c>
      <c r="M2160" t="s">
        <v>84</v>
      </c>
      <c r="N2160" t="s">
        <v>75</v>
      </c>
    </row>
    <row r="2161" spans="1:21" x14ac:dyDescent="0.25">
      <c r="A2161" t="s">
        <v>759</v>
      </c>
      <c r="B2161" s="4" t="s">
        <v>9</v>
      </c>
      <c r="C2161" s="4" t="s">
        <v>73</v>
      </c>
      <c r="D2161" s="4">
        <v>46139</v>
      </c>
      <c r="E2161" s="5">
        <v>0.47043981481481478</v>
      </c>
      <c r="F2161">
        <v>1</v>
      </c>
      <c r="G2161" t="s">
        <v>83</v>
      </c>
      <c r="H2161">
        <v>10</v>
      </c>
      <c r="M2161" t="s">
        <v>84</v>
      </c>
      <c r="N2161" t="s">
        <v>75</v>
      </c>
    </row>
    <row r="2162" spans="1:21" x14ac:dyDescent="0.25">
      <c r="A2162" t="s">
        <v>759</v>
      </c>
      <c r="B2162" s="4" t="s">
        <v>9</v>
      </c>
      <c r="C2162" s="4" t="s">
        <v>73</v>
      </c>
      <c r="D2162" s="4">
        <v>46139</v>
      </c>
      <c r="E2162" s="5">
        <v>0.47201388888888884</v>
      </c>
      <c r="F2162">
        <v>1</v>
      </c>
      <c r="G2162" t="s">
        <v>83</v>
      </c>
      <c r="H2162">
        <v>9.4166666666666661</v>
      </c>
      <c r="M2162" t="s">
        <v>76</v>
      </c>
      <c r="N2162" t="s">
        <v>75</v>
      </c>
    </row>
    <row r="2163" spans="1:21" x14ac:dyDescent="0.25">
      <c r="A2163" t="s">
        <v>768</v>
      </c>
      <c r="B2163" s="4" t="s">
        <v>9</v>
      </c>
      <c r="C2163" s="4" t="s">
        <v>70</v>
      </c>
      <c r="D2163" s="4">
        <v>46139</v>
      </c>
      <c r="E2163" s="5">
        <v>0.47320601851851851</v>
      </c>
      <c r="F2163">
        <v>1</v>
      </c>
      <c r="G2163" t="s">
        <v>83</v>
      </c>
      <c r="H2163">
        <v>8.25</v>
      </c>
      <c r="L2163" t="s">
        <v>769</v>
      </c>
      <c r="M2163" t="s">
        <v>71</v>
      </c>
      <c r="N2163" t="s">
        <v>77</v>
      </c>
      <c r="O2163">
        <v>1</v>
      </c>
      <c r="S2163">
        <v>1</v>
      </c>
      <c r="T2163">
        <v>32.583333333333329</v>
      </c>
    </row>
    <row r="2164" spans="1:21" x14ac:dyDescent="0.25">
      <c r="A2164" t="s">
        <v>769</v>
      </c>
      <c r="B2164" s="4" t="s">
        <v>9</v>
      </c>
      <c r="C2164" s="4" t="s">
        <v>73</v>
      </c>
      <c r="D2164" s="4">
        <v>46139</v>
      </c>
      <c r="E2164" s="5">
        <v>0.47320601851851851</v>
      </c>
      <c r="F2164">
        <v>1</v>
      </c>
      <c r="G2164" t="s">
        <v>83</v>
      </c>
      <c r="H2164">
        <v>32.5</v>
      </c>
      <c r="M2164" t="s">
        <v>74</v>
      </c>
      <c r="N2164" t="s">
        <v>77</v>
      </c>
    </row>
    <row r="2165" spans="1:21" x14ac:dyDescent="0.25">
      <c r="A2165" t="s">
        <v>769</v>
      </c>
      <c r="B2165" s="4" t="s">
        <v>9</v>
      </c>
      <c r="C2165" s="4" t="s">
        <v>73</v>
      </c>
      <c r="D2165" s="4">
        <v>46139</v>
      </c>
      <c r="E2165" s="5">
        <v>0.47320601851851851</v>
      </c>
      <c r="F2165">
        <v>1</v>
      </c>
      <c r="G2165" t="s">
        <v>83</v>
      </c>
      <c r="H2165">
        <v>32.416666666666664</v>
      </c>
      <c r="M2165" t="s">
        <v>74</v>
      </c>
      <c r="N2165" t="s">
        <v>77</v>
      </c>
    </row>
    <row r="2166" spans="1:21" x14ac:dyDescent="0.25">
      <c r="A2166" t="s">
        <v>769</v>
      </c>
      <c r="B2166" s="4" t="s">
        <v>9</v>
      </c>
      <c r="C2166" s="4" t="s">
        <v>73</v>
      </c>
      <c r="D2166" s="4">
        <v>46139</v>
      </c>
      <c r="E2166" s="5">
        <v>0.47444444444444445</v>
      </c>
      <c r="F2166">
        <v>1</v>
      </c>
      <c r="G2166" t="s">
        <v>83</v>
      </c>
      <c r="H2166">
        <v>32.583333333333329</v>
      </c>
      <c r="M2166" t="s">
        <v>76</v>
      </c>
      <c r="N2166" t="s">
        <v>77</v>
      </c>
    </row>
    <row r="2167" spans="1:21" x14ac:dyDescent="0.25">
      <c r="A2167" t="s">
        <v>775</v>
      </c>
      <c r="B2167" s="4" t="s">
        <v>9</v>
      </c>
      <c r="C2167" s="4" t="s">
        <v>70</v>
      </c>
      <c r="D2167" s="4">
        <v>46139</v>
      </c>
      <c r="E2167" s="5">
        <v>0.47555555555555556</v>
      </c>
      <c r="F2167">
        <v>1</v>
      </c>
      <c r="G2167" t="s">
        <v>83</v>
      </c>
      <c r="H2167">
        <v>8.5</v>
      </c>
      <c r="L2167" t="s">
        <v>776</v>
      </c>
      <c r="M2167" t="s">
        <v>71</v>
      </c>
      <c r="N2167" t="s">
        <v>72</v>
      </c>
      <c r="O2167">
        <v>1</v>
      </c>
      <c r="Q2167">
        <v>1</v>
      </c>
      <c r="S2167">
        <v>1</v>
      </c>
      <c r="U2167">
        <v>0.5</v>
      </c>
    </row>
    <row r="2168" spans="1:21" x14ac:dyDescent="0.25">
      <c r="A2168" t="s">
        <v>776</v>
      </c>
      <c r="B2168" s="4" t="s">
        <v>9</v>
      </c>
      <c r="C2168" s="4" t="s">
        <v>73</v>
      </c>
      <c r="D2168" s="4">
        <v>46139</v>
      </c>
      <c r="E2168" s="5">
        <v>0.47555555555555556</v>
      </c>
      <c r="F2168">
        <v>1</v>
      </c>
      <c r="G2168" t="s">
        <v>83</v>
      </c>
      <c r="H2168">
        <v>3.5833333333333335</v>
      </c>
      <c r="M2168" t="s">
        <v>74</v>
      </c>
      <c r="N2168" t="s">
        <v>72</v>
      </c>
    </row>
    <row r="2169" spans="1:21" x14ac:dyDescent="0.25">
      <c r="A2169" t="s">
        <v>776</v>
      </c>
      <c r="B2169" s="4" t="s">
        <v>9</v>
      </c>
      <c r="C2169" s="4" t="s">
        <v>73</v>
      </c>
      <c r="D2169" s="4">
        <v>46139</v>
      </c>
      <c r="E2169" s="5">
        <v>0.47555555555555556</v>
      </c>
      <c r="F2169">
        <v>1</v>
      </c>
      <c r="G2169" t="s">
        <v>83</v>
      </c>
      <c r="H2169">
        <v>0.5</v>
      </c>
      <c r="M2169" t="s">
        <v>74</v>
      </c>
      <c r="N2169" t="s">
        <v>72</v>
      </c>
    </row>
    <row r="2170" spans="1:21" x14ac:dyDescent="0.25">
      <c r="A2170" t="s">
        <v>776</v>
      </c>
      <c r="B2170" s="4" t="s">
        <v>9</v>
      </c>
      <c r="C2170" s="4" t="s">
        <v>73</v>
      </c>
      <c r="D2170" s="4">
        <v>46139</v>
      </c>
      <c r="E2170" s="5">
        <v>0.47555555555555556</v>
      </c>
      <c r="F2170">
        <v>1</v>
      </c>
      <c r="G2170" t="s">
        <v>83</v>
      </c>
      <c r="H2170">
        <v>0</v>
      </c>
      <c r="M2170" t="s">
        <v>74</v>
      </c>
      <c r="N2170" t="s">
        <v>72</v>
      </c>
    </row>
    <row r="2171" spans="1:21" x14ac:dyDescent="0.25">
      <c r="A2171" t="s">
        <v>781</v>
      </c>
      <c r="B2171" s="4" t="s">
        <v>9</v>
      </c>
      <c r="C2171" s="4" t="s">
        <v>70</v>
      </c>
      <c r="D2171" s="4">
        <v>46139</v>
      </c>
      <c r="E2171" s="5">
        <v>0.47699074074074072</v>
      </c>
      <c r="F2171">
        <v>1</v>
      </c>
      <c r="G2171" t="s">
        <v>83</v>
      </c>
      <c r="H2171">
        <v>1</v>
      </c>
      <c r="L2171" t="s">
        <v>782</v>
      </c>
      <c r="M2171" t="s">
        <v>71</v>
      </c>
      <c r="N2171" t="s">
        <v>75</v>
      </c>
      <c r="O2171">
        <v>1</v>
      </c>
      <c r="R2171">
        <v>1</v>
      </c>
      <c r="S2171">
        <v>1</v>
      </c>
      <c r="T2171">
        <v>9.0833333333333339</v>
      </c>
    </row>
    <row r="2172" spans="1:21" x14ac:dyDescent="0.25">
      <c r="A2172" t="s">
        <v>782</v>
      </c>
      <c r="B2172" s="4" t="s">
        <v>9</v>
      </c>
      <c r="C2172" s="4" t="s">
        <v>73</v>
      </c>
      <c r="D2172" s="4">
        <v>46139</v>
      </c>
      <c r="E2172" s="5">
        <v>0.47699074074074072</v>
      </c>
      <c r="F2172">
        <v>1</v>
      </c>
      <c r="G2172" t="s">
        <v>83</v>
      </c>
      <c r="H2172">
        <v>9.25</v>
      </c>
      <c r="M2172" t="s">
        <v>84</v>
      </c>
      <c r="N2172" t="s">
        <v>75</v>
      </c>
    </row>
    <row r="2173" spans="1:21" x14ac:dyDescent="0.25">
      <c r="A2173" t="s">
        <v>782</v>
      </c>
      <c r="B2173" s="4" t="s">
        <v>9</v>
      </c>
      <c r="C2173" s="4" t="s">
        <v>73</v>
      </c>
      <c r="D2173" s="4">
        <v>46139</v>
      </c>
      <c r="E2173" s="5">
        <v>0.47699074074074072</v>
      </c>
      <c r="F2173">
        <v>1</v>
      </c>
      <c r="G2173" t="s">
        <v>83</v>
      </c>
      <c r="H2173">
        <v>9.1666666666666661</v>
      </c>
      <c r="M2173" t="s">
        <v>84</v>
      </c>
      <c r="N2173" t="s">
        <v>75</v>
      </c>
    </row>
    <row r="2174" spans="1:21" x14ac:dyDescent="0.25">
      <c r="A2174" t="s">
        <v>782</v>
      </c>
      <c r="B2174" s="4" t="s">
        <v>9</v>
      </c>
      <c r="C2174" s="4" t="s">
        <v>73</v>
      </c>
      <c r="D2174" s="4">
        <v>46139</v>
      </c>
      <c r="E2174" s="5">
        <v>0.47714120370370366</v>
      </c>
      <c r="F2174">
        <v>1</v>
      </c>
      <c r="G2174" t="s">
        <v>83</v>
      </c>
      <c r="H2174">
        <v>9.0833333333333339</v>
      </c>
      <c r="M2174" t="s">
        <v>76</v>
      </c>
      <c r="N2174" t="s">
        <v>75</v>
      </c>
    </row>
    <row r="2175" spans="1:21" x14ac:dyDescent="0.25">
      <c r="A2175" t="s">
        <v>784</v>
      </c>
      <c r="B2175" s="4" t="s">
        <v>9</v>
      </c>
      <c r="C2175" s="4" t="s">
        <v>70</v>
      </c>
      <c r="D2175" s="4">
        <v>46139</v>
      </c>
      <c r="E2175" s="5">
        <v>0.47826388888888882</v>
      </c>
      <c r="F2175">
        <v>1</v>
      </c>
      <c r="G2175" t="s">
        <v>83</v>
      </c>
      <c r="H2175">
        <v>28.25</v>
      </c>
      <c r="L2175" t="s">
        <v>785</v>
      </c>
      <c r="M2175" t="s">
        <v>71</v>
      </c>
      <c r="N2175" t="s">
        <v>75</v>
      </c>
      <c r="O2175">
        <v>1</v>
      </c>
      <c r="S2175">
        <v>1</v>
      </c>
      <c r="T2175">
        <v>268.66666666666663</v>
      </c>
    </row>
    <row r="2176" spans="1:21" x14ac:dyDescent="0.25">
      <c r="A2176" t="s">
        <v>785</v>
      </c>
      <c r="B2176" s="4" t="s">
        <v>9</v>
      </c>
      <c r="C2176" s="4" t="s">
        <v>73</v>
      </c>
      <c r="D2176" s="4">
        <v>46139</v>
      </c>
      <c r="E2176" s="5">
        <v>0.47826388888888882</v>
      </c>
      <c r="F2176">
        <v>1</v>
      </c>
      <c r="G2176" t="s">
        <v>83</v>
      </c>
      <c r="H2176">
        <v>268.75</v>
      </c>
      <c r="M2176" t="s">
        <v>74</v>
      </c>
      <c r="N2176" t="s">
        <v>75</v>
      </c>
    </row>
    <row r="2177" spans="1:20" x14ac:dyDescent="0.25">
      <c r="A2177" t="s">
        <v>785</v>
      </c>
      <c r="B2177" s="4" t="s">
        <v>9</v>
      </c>
      <c r="C2177" s="4" t="s">
        <v>73</v>
      </c>
      <c r="D2177" s="4">
        <v>46139</v>
      </c>
      <c r="E2177" s="5">
        <v>0.47826388888888882</v>
      </c>
      <c r="F2177">
        <v>1</v>
      </c>
      <c r="G2177" t="s">
        <v>83</v>
      </c>
      <c r="H2177">
        <v>268.66666666666663</v>
      </c>
      <c r="M2177" t="s">
        <v>74</v>
      </c>
      <c r="N2177" t="s">
        <v>75</v>
      </c>
    </row>
    <row r="2178" spans="1:20" x14ac:dyDescent="0.25">
      <c r="A2178" t="s">
        <v>785</v>
      </c>
      <c r="B2178" s="4" t="s">
        <v>9</v>
      </c>
      <c r="C2178" s="4" t="s">
        <v>73</v>
      </c>
      <c r="D2178" s="4">
        <v>46139</v>
      </c>
      <c r="E2178" s="5">
        <v>0.47841435185185183</v>
      </c>
      <c r="F2178">
        <v>1</v>
      </c>
      <c r="G2178" t="s">
        <v>83</v>
      </c>
      <c r="H2178">
        <v>268.66666666666663</v>
      </c>
      <c r="M2178" t="s">
        <v>76</v>
      </c>
      <c r="N2178" t="s">
        <v>75</v>
      </c>
    </row>
    <row r="2179" spans="1:20" x14ac:dyDescent="0.25">
      <c r="A2179" t="s">
        <v>791</v>
      </c>
      <c r="B2179" s="4" t="s">
        <v>9</v>
      </c>
      <c r="C2179" s="4" t="s">
        <v>73</v>
      </c>
      <c r="D2179" s="4">
        <v>46139</v>
      </c>
      <c r="E2179" s="5">
        <v>0.47994212962962962</v>
      </c>
      <c r="F2179">
        <v>1</v>
      </c>
      <c r="G2179" t="s">
        <v>83</v>
      </c>
      <c r="H2179">
        <v>64.833333333333329</v>
      </c>
      <c r="M2179" t="s">
        <v>76</v>
      </c>
      <c r="N2179" t="s">
        <v>75</v>
      </c>
    </row>
    <row r="2180" spans="1:20" x14ac:dyDescent="0.25">
      <c r="A2180" t="s">
        <v>796</v>
      </c>
      <c r="B2180" s="4" t="s">
        <v>9</v>
      </c>
      <c r="C2180" s="4" t="s">
        <v>70</v>
      </c>
      <c r="D2180" s="4">
        <v>46139</v>
      </c>
      <c r="E2180" s="5">
        <v>0.48178240740740741</v>
      </c>
      <c r="F2180">
        <v>1</v>
      </c>
      <c r="G2180" t="s">
        <v>83</v>
      </c>
      <c r="H2180">
        <v>78</v>
      </c>
      <c r="L2180" t="s">
        <v>797</v>
      </c>
      <c r="M2180" t="s">
        <v>71</v>
      </c>
      <c r="N2180" t="s">
        <v>75</v>
      </c>
      <c r="O2180">
        <v>1</v>
      </c>
      <c r="R2180">
        <v>1</v>
      </c>
      <c r="S2180">
        <v>1</v>
      </c>
      <c r="T2180">
        <v>23.916666666666664</v>
      </c>
    </row>
    <row r="2181" spans="1:20" x14ac:dyDescent="0.25">
      <c r="A2181" t="s">
        <v>797</v>
      </c>
      <c r="B2181" s="4" t="s">
        <v>9</v>
      </c>
      <c r="C2181" s="4" t="s">
        <v>73</v>
      </c>
      <c r="D2181" s="4">
        <v>46139</v>
      </c>
      <c r="E2181" s="5">
        <v>0.48178240740740741</v>
      </c>
      <c r="F2181">
        <v>1</v>
      </c>
      <c r="G2181" t="s">
        <v>83</v>
      </c>
      <c r="H2181">
        <v>22.75</v>
      </c>
      <c r="L2181" t="s">
        <v>798</v>
      </c>
      <c r="M2181" t="s">
        <v>74</v>
      </c>
      <c r="N2181" t="s">
        <v>75</v>
      </c>
    </row>
    <row r="2182" spans="1:20" x14ac:dyDescent="0.25">
      <c r="A2182" t="s">
        <v>797</v>
      </c>
      <c r="B2182" s="4" t="s">
        <v>9</v>
      </c>
      <c r="C2182" s="4" t="s">
        <v>73</v>
      </c>
      <c r="D2182" s="4">
        <v>46139</v>
      </c>
      <c r="E2182" s="5">
        <v>0.48178240740740741</v>
      </c>
      <c r="F2182">
        <v>1</v>
      </c>
      <c r="G2182" t="s">
        <v>83</v>
      </c>
      <c r="H2182">
        <v>22.666666666666664</v>
      </c>
      <c r="L2182" t="s">
        <v>798</v>
      </c>
      <c r="M2182" t="s">
        <v>74</v>
      </c>
      <c r="N2182" t="s">
        <v>75</v>
      </c>
    </row>
    <row r="2183" spans="1:20" x14ac:dyDescent="0.25">
      <c r="A2183" t="s">
        <v>797</v>
      </c>
      <c r="B2183" s="4" t="s">
        <v>9</v>
      </c>
      <c r="C2183" s="4" t="s">
        <v>73</v>
      </c>
      <c r="D2183" s="4">
        <v>46139</v>
      </c>
      <c r="E2183" s="5">
        <v>0.48216435185185186</v>
      </c>
      <c r="F2183">
        <v>1</v>
      </c>
      <c r="G2183" t="s">
        <v>83</v>
      </c>
      <c r="H2183">
        <v>23.916666666666664</v>
      </c>
      <c r="L2183" t="s">
        <v>798</v>
      </c>
      <c r="M2183" t="s">
        <v>76</v>
      </c>
      <c r="N2183" t="s">
        <v>75</v>
      </c>
    </row>
    <row r="2184" spans="1:20" x14ac:dyDescent="0.25">
      <c r="A2184" t="s">
        <v>801</v>
      </c>
      <c r="B2184" s="4" t="s">
        <v>9</v>
      </c>
      <c r="C2184" s="4" t="s">
        <v>70</v>
      </c>
      <c r="D2184" s="4">
        <v>46139</v>
      </c>
      <c r="E2184" s="5">
        <v>0.48303240740740744</v>
      </c>
      <c r="F2184">
        <v>1</v>
      </c>
      <c r="G2184" t="s">
        <v>83</v>
      </c>
      <c r="H2184">
        <v>1</v>
      </c>
      <c r="L2184" t="s">
        <v>802</v>
      </c>
      <c r="M2184" t="s">
        <v>71</v>
      </c>
      <c r="N2184" t="s">
        <v>75</v>
      </c>
      <c r="O2184">
        <v>1</v>
      </c>
      <c r="R2184">
        <v>1</v>
      </c>
      <c r="S2184">
        <v>1</v>
      </c>
      <c r="T2184">
        <v>9.9166666666666661</v>
      </c>
    </row>
    <row r="2185" spans="1:20" x14ac:dyDescent="0.25">
      <c r="A2185" t="s">
        <v>802</v>
      </c>
      <c r="B2185" s="4" t="s">
        <v>9</v>
      </c>
      <c r="C2185" s="4" t="s">
        <v>73</v>
      </c>
      <c r="D2185" s="4">
        <v>46139</v>
      </c>
      <c r="E2185" s="5">
        <v>0.48303240740740744</v>
      </c>
      <c r="F2185">
        <v>1</v>
      </c>
      <c r="G2185" t="s">
        <v>83</v>
      </c>
      <c r="H2185">
        <v>10.083333333333332</v>
      </c>
      <c r="M2185" t="s">
        <v>84</v>
      </c>
      <c r="N2185" t="s">
        <v>75</v>
      </c>
    </row>
    <row r="2186" spans="1:20" x14ac:dyDescent="0.25">
      <c r="A2186" t="s">
        <v>802</v>
      </c>
      <c r="B2186" s="4" t="s">
        <v>9</v>
      </c>
      <c r="C2186" s="4" t="s">
        <v>73</v>
      </c>
      <c r="D2186" s="4">
        <v>46139</v>
      </c>
      <c r="E2186" s="5">
        <v>0.48303240740740744</v>
      </c>
      <c r="F2186">
        <v>1</v>
      </c>
      <c r="G2186" t="s">
        <v>83</v>
      </c>
      <c r="H2186">
        <v>10</v>
      </c>
      <c r="M2186" t="s">
        <v>84</v>
      </c>
      <c r="N2186" t="s">
        <v>75</v>
      </c>
    </row>
    <row r="2187" spans="1:20" x14ac:dyDescent="0.25">
      <c r="A2187" t="s">
        <v>802</v>
      </c>
      <c r="B2187" s="4" t="s">
        <v>9</v>
      </c>
      <c r="C2187" s="4" t="s">
        <v>73</v>
      </c>
      <c r="D2187" s="4">
        <v>46139</v>
      </c>
      <c r="E2187" s="5">
        <v>0.48320601851851847</v>
      </c>
      <c r="F2187">
        <v>1</v>
      </c>
      <c r="G2187" t="s">
        <v>83</v>
      </c>
      <c r="H2187">
        <v>9.9166666666666661</v>
      </c>
      <c r="L2187" s="21"/>
      <c r="M2187" t="s">
        <v>76</v>
      </c>
      <c r="N2187" t="s">
        <v>75</v>
      </c>
    </row>
    <row r="2188" spans="1:20" x14ac:dyDescent="0.25">
      <c r="A2188" t="s">
        <v>806</v>
      </c>
      <c r="B2188" s="4" t="s">
        <v>9</v>
      </c>
      <c r="C2188" s="4" t="s">
        <v>70</v>
      </c>
      <c r="D2188" s="4">
        <v>46139</v>
      </c>
      <c r="E2188" s="5">
        <v>0.48394675925925923</v>
      </c>
      <c r="F2188">
        <v>1</v>
      </c>
      <c r="G2188" t="s">
        <v>83</v>
      </c>
      <c r="H2188">
        <v>1</v>
      </c>
      <c r="L2188" t="s">
        <v>807</v>
      </c>
      <c r="M2188" t="s">
        <v>71</v>
      </c>
      <c r="N2188" t="s">
        <v>75</v>
      </c>
      <c r="O2188">
        <v>1</v>
      </c>
      <c r="S2188">
        <v>1</v>
      </c>
      <c r="T2188">
        <v>85.75</v>
      </c>
    </row>
    <row r="2189" spans="1:20" x14ac:dyDescent="0.25">
      <c r="A2189" t="s">
        <v>807</v>
      </c>
      <c r="B2189" s="4" t="s">
        <v>9</v>
      </c>
      <c r="C2189" s="4" t="s">
        <v>73</v>
      </c>
      <c r="D2189" s="4">
        <v>46139</v>
      </c>
      <c r="E2189" s="5">
        <v>0.48394675925925923</v>
      </c>
      <c r="F2189">
        <v>1</v>
      </c>
      <c r="G2189" t="s">
        <v>83</v>
      </c>
      <c r="H2189">
        <v>85</v>
      </c>
      <c r="M2189" t="s">
        <v>84</v>
      </c>
      <c r="N2189" t="s">
        <v>75</v>
      </c>
    </row>
    <row r="2190" spans="1:20" x14ac:dyDescent="0.25">
      <c r="A2190" t="s">
        <v>807</v>
      </c>
      <c r="B2190" s="4" t="s">
        <v>9</v>
      </c>
      <c r="C2190" s="4" t="s">
        <v>73</v>
      </c>
      <c r="D2190" s="4">
        <v>46139</v>
      </c>
      <c r="E2190" s="5">
        <v>0.48394675925925923</v>
      </c>
      <c r="F2190">
        <v>1</v>
      </c>
      <c r="G2190" t="s">
        <v>83</v>
      </c>
      <c r="H2190">
        <v>84.916666666666671</v>
      </c>
      <c r="M2190" t="s">
        <v>84</v>
      </c>
      <c r="N2190" t="s">
        <v>75</v>
      </c>
    </row>
    <row r="2191" spans="1:20" x14ac:dyDescent="0.25">
      <c r="A2191" t="s">
        <v>807</v>
      </c>
      <c r="B2191" s="4" t="s">
        <v>9</v>
      </c>
      <c r="C2191" s="4" t="s">
        <v>73</v>
      </c>
      <c r="D2191" s="4">
        <v>46139</v>
      </c>
      <c r="E2191" s="5">
        <v>0.48450231481481476</v>
      </c>
      <c r="F2191">
        <v>1</v>
      </c>
      <c r="G2191" t="s">
        <v>83</v>
      </c>
      <c r="H2191">
        <v>85.75</v>
      </c>
      <c r="M2191" t="s">
        <v>76</v>
      </c>
      <c r="N2191" t="s">
        <v>75</v>
      </c>
    </row>
    <row r="2192" spans="1:20" x14ac:dyDescent="0.25">
      <c r="A2192" t="s">
        <v>813</v>
      </c>
      <c r="B2192" s="4" t="s">
        <v>9</v>
      </c>
      <c r="C2192" s="4" t="s">
        <v>70</v>
      </c>
      <c r="D2192" s="4">
        <v>46139</v>
      </c>
      <c r="E2192" s="5">
        <v>0.48570601851851847</v>
      </c>
      <c r="F2192">
        <v>1</v>
      </c>
      <c r="G2192" t="s">
        <v>83</v>
      </c>
      <c r="H2192">
        <v>150</v>
      </c>
      <c r="L2192" t="s">
        <v>814</v>
      </c>
      <c r="M2192" t="s">
        <v>71</v>
      </c>
      <c r="N2192" t="s">
        <v>72</v>
      </c>
      <c r="O2192">
        <v>1</v>
      </c>
    </row>
    <row r="2193" spans="1:20" x14ac:dyDescent="0.25">
      <c r="A2193" t="s">
        <v>814</v>
      </c>
      <c r="B2193" s="4" t="s">
        <v>9</v>
      </c>
      <c r="C2193" s="4" t="s">
        <v>73</v>
      </c>
      <c r="D2193" s="4">
        <v>46139</v>
      </c>
      <c r="E2193" s="5">
        <v>0.48570601851851847</v>
      </c>
      <c r="F2193">
        <v>1</v>
      </c>
      <c r="G2193" t="s">
        <v>83</v>
      </c>
      <c r="H2193">
        <v>148.58333333333331</v>
      </c>
      <c r="M2193" t="s">
        <v>74</v>
      </c>
      <c r="N2193" t="s">
        <v>72</v>
      </c>
    </row>
    <row r="2194" spans="1:20" x14ac:dyDescent="0.25">
      <c r="A2194" t="s">
        <v>814</v>
      </c>
      <c r="B2194" s="4" t="s">
        <v>9</v>
      </c>
      <c r="C2194" s="4" t="s">
        <v>73</v>
      </c>
      <c r="D2194" s="4">
        <v>46139</v>
      </c>
      <c r="E2194" s="5">
        <v>0.48570601851851847</v>
      </c>
      <c r="F2194">
        <v>1</v>
      </c>
      <c r="G2194" t="s">
        <v>83</v>
      </c>
      <c r="H2194">
        <v>148.5</v>
      </c>
      <c r="M2194" t="s">
        <v>74</v>
      </c>
      <c r="N2194" t="s">
        <v>72</v>
      </c>
    </row>
    <row r="2195" spans="1:20" x14ac:dyDescent="0.25">
      <c r="A2195" t="s">
        <v>815</v>
      </c>
      <c r="B2195" s="4" t="s">
        <v>9</v>
      </c>
      <c r="C2195" s="4" t="s">
        <v>70</v>
      </c>
      <c r="D2195" s="4">
        <v>46139</v>
      </c>
      <c r="E2195" s="5">
        <v>0.48627314814814815</v>
      </c>
      <c r="F2195">
        <v>1</v>
      </c>
      <c r="G2195" t="s">
        <v>83</v>
      </c>
      <c r="H2195">
        <v>14</v>
      </c>
      <c r="L2195" t="s">
        <v>814</v>
      </c>
      <c r="M2195" t="s">
        <v>71</v>
      </c>
      <c r="N2195" t="s">
        <v>72</v>
      </c>
      <c r="P2195">
        <v>1</v>
      </c>
      <c r="S2195">
        <v>1</v>
      </c>
      <c r="T2195">
        <v>132.66666666666666</v>
      </c>
    </row>
    <row r="2196" spans="1:20" x14ac:dyDescent="0.25">
      <c r="A2196" t="s">
        <v>814</v>
      </c>
      <c r="B2196" s="4" t="s">
        <v>9</v>
      </c>
      <c r="C2196" s="4" t="s">
        <v>73</v>
      </c>
      <c r="D2196" s="4">
        <v>46139</v>
      </c>
      <c r="E2196" s="5">
        <v>0.48627314814814815</v>
      </c>
      <c r="F2196">
        <v>1</v>
      </c>
      <c r="G2196" t="s">
        <v>83</v>
      </c>
      <c r="H2196">
        <v>134.5</v>
      </c>
      <c r="M2196" t="s">
        <v>74</v>
      </c>
      <c r="N2196" t="s">
        <v>72</v>
      </c>
    </row>
    <row r="2197" spans="1:20" x14ac:dyDescent="0.25">
      <c r="A2197" t="s">
        <v>814</v>
      </c>
      <c r="B2197" s="4" t="s">
        <v>9</v>
      </c>
      <c r="C2197" s="4" t="s">
        <v>73</v>
      </c>
      <c r="D2197" s="4">
        <v>46139</v>
      </c>
      <c r="E2197" s="5">
        <v>0.48627314814814815</v>
      </c>
      <c r="F2197">
        <v>1</v>
      </c>
      <c r="G2197" t="s">
        <v>83</v>
      </c>
      <c r="H2197">
        <v>134.41666666666666</v>
      </c>
      <c r="M2197" t="s">
        <v>74</v>
      </c>
      <c r="N2197" t="s">
        <v>72</v>
      </c>
    </row>
    <row r="2198" spans="1:20" x14ac:dyDescent="0.25">
      <c r="A2198" t="s">
        <v>814</v>
      </c>
      <c r="B2198" s="4" t="s">
        <v>9</v>
      </c>
      <c r="C2198" s="4" t="s">
        <v>73</v>
      </c>
      <c r="D2198" s="4">
        <v>46139</v>
      </c>
      <c r="E2198" s="5">
        <v>0.48804398148148143</v>
      </c>
      <c r="F2198">
        <v>1</v>
      </c>
      <c r="G2198" t="s">
        <v>83</v>
      </c>
      <c r="H2198">
        <v>132.66666666666666</v>
      </c>
      <c r="M2198" t="s">
        <v>76</v>
      </c>
      <c r="N2198" t="s">
        <v>72</v>
      </c>
    </row>
    <row r="2199" spans="1:20" x14ac:dyDescent="0.25">
      <c r="A2199" t="s">
        <v>732</v>
      </c>
      <c r="B2199" s="4" t="s">
        <v>9</v>
      </c>
      <c r="C2199" s="4" t="s">
        <v>73</v>
      </c>
      <c r="D2199" s="4">
        <v>46139</v>
      </c>
      <c r="E2199" s="5">
        <v>0.48922453703703705</v>
      </c>
      <c r="F2199">
        <v>1</v>
      </c>
      <c r="G2199" t="s">
        <v>83</v>
      </c>
      <c r="H2199">
        <v>125.33333333333331</v>
      </c>
      <c r="M2199" t="s">
        <v>76</v>
      </c>
      <c r="N2199" t="s">
        <v>72</v>
      </c>
    </row>
    <row r="2200" spans="1:20" x14ac:dyDescent="0.25">
      <c r="A2200" t="s">
        <v>826</v>
      </c>
      <c r="B2200" s="4" t="s">
        <v>9</v>
      </c>
      <c r="C2200" s="4" t="s">
        <v>70</v>
      </c>
      <c r="D2200" s="4">
        <v>46139</v>
      </c>
      <c r="E2200" s="5">
        <v>0.48951388888888886</v>
      </c>
      <c r="F2200">
        <v>1</v>
      </c>
      <c r="G2200" t="s">
        <v>83</v>
      </c>
      <c r="H2200">
        <v>5</v>
      </c>
      <c r="L2200" t="s">
        <v>732</v>
      </c>
      <c r="M2200" t="s">
        <v>71</v>
      </c>
      <c r="N2200" t="s">
        <v>72</v>
      </c>
      <c r="O2200">
        <v>1</v>
      </c>
      <c r="S2200">
        <v>1</v>
      </c>
      <c r="T2200">
        <v>120.25</v>
      </c>
    </row>
    <row r="2201" spans="1:20" x14ac:dyDescent="0.25">
      <c r="A2201" t="s">
        <v>732</v>
      </c>
      <c r="B2201" s="4" t="s">
        <v>9</v>
      </c>
      <c r="C2201" s="4" t="s">
        <v>73</v>
      </c>
      <c r="D2201" s="4">
        <v>46139</v>
      </c>
      <c r="E2201" s="5">
        <v>0.48951388888888886</v>
      </c>
      <c r="F2201">
        <v>1</v>
      </c>
      <c r="G2201" t="s">
        <v>83</v>
      </c>
      <c r="H2201">
        <v>120.33333333333333</v>
      </c>
      <c r="M2201" t="s">
        <v>76</v>
      </c>
      <c r="N2201" t="s">
        <v>72</v>
      </c>
    </row>
    <row r="2202" spans="1:20" x14ac:dyDescent="0.25">
      <c r="A2202" t="s">
        <v>732</v>
      </c>
      <c r="B2202" s="4" t="s">
        <v>9</v>
      </c>
      <c r="C2202" s="4" t="s">
        <v>73</v>
      </c>
      <c r="D2202" s="4">
        <v>46139</v>
      </c>
      <c r="E2202" s="5">
        <v>0.48951388888888886</v>
      </c>
      <c r="F2202">
        <v>1</v>
      </c>
      <c r="G2202" t="s">
        <v>83</v>
      </c>
      <c r="H2202">
        <v>120.25</v>
      </c>
      <c r="M2202" t="s">
        <v>76</v>
      </c>
      <c r="N2202" t="s">
        <v>72</v>
      </c>
    </row>
    <row r="2203" spans="1:20" x14ac:dyDescent="0.25">
      <c r="A2203" t="s">
        <v>732</v>
      </c>
      <c r="B2203" s="4" t="s">
        <v>9</v>
      </c>
      <c r="C2203" s="4" t="s">
        <v>73</v>
      </c>
      <c r="D2203" s="4">
        <v>46139</v>
      </c>
      <c r="E2203" s="5">
        <v>0.49071759259259257</v>
      </c>
      <c r="F2203">
        <v>1</v>
      </c>
      <c r="G2203" t="s">
        <v>83</v>
      </c>
      <c r="H2203">
        <v>120.25</v>
      </c>
      <c r="M2203" t="s">
        <v>76</v>
      </c>
      <c r="N2203" t="s">
        <v>72</v>
      </c>
    </row>
    <row r="2204" spans="1:20" x14ac:dyDescent="0.25">
      <c r="A2204" t="s">
        <v>833</v>
      </c>
      <c r="B2204" s="4" t="s">
        <v>9</v>
      </c>
      <c r="C2204" s="4" t="s">
        <v>70</v>
      </c>
      <c r="D2204" s="4">
        <v>46139</v>
      </c>
      <c r="E2204" s="5">
        <v>0.49170138888888887</v>
      </c>
      <c r="F2204">
        <v>1</v>
      </c>
      <c r="G2204" t="s">
        <v>83</v>
      </c>
      <c r="H2204">
        <v>1</v>
      </c>
      <c r="L2204" t="s">
        <v>834</v>
      </c>
      <c r="M2204" t="s">
        <v>71</v>
      </c>
      <c r="N2204" t="s">
        <v>75</v>
      </c>
      <c r="O2204">
        <v>1</v>
      </c>
      <c r="S2204">
        <v>1</v>
      </c>
      <c r="T2204">
        <v>79.416666666666657</v>
      </c>
    </row>
    <row r="2205" spans="1:20" x14ac:dyDescent="0.25">
      <c r="A2205" t="s">
        <v>834</v>
      </c>
      <c r="B2205" s="4" t="s">
        <v>9</v>
      </c>
      <c r="C2205" s="4" t="s">
        <v>73</v>
      </c>
      <c r="D2205" s="4">
        <v>46139</v>
      </c>
      <c r="E2205" s="5">
        <v>0.49170138888888887</v>
      </c>
      <c r="F2205">
        <v>1</v>
      </c>
      <c r="G2205" t="s">
        <v>83</v>
      </c>
      <c r="H2205">
        <v>82.083333333333329</v>
      </c>
      <c r="M2205" t="s">
        <v>84</v>
      </c>
      <c r="N2205" t="s">
        <v>75</v>
      </c>
    </row>
    <row r="2206" spans="1:20" x14ac:dyDescent="0.25">
      <c r="A2206" t="s">
        <v>834</v>
      </c>
      <c r="B2206" s="4" t="s">
        <v>9</v>
      </c>
      <c r="C2206" s="4" t="s">
        <v>73</v>
      </c>
      <c r="D2206" s="4">
        <v>46139</v>
      </c>
      <c r="E2206" s="5">
        <v>0.49170138888888887</v>
      </c>
      <c r="F2206">
        <v>1</v>
      </c>
      <c r="G2206" t="s">
        <v>83</v>
      </c>
      <c r="H2206">
        <v>82</v>
      </c>
      <c r="M2206" t="s">
        <v>84</v>
      </c>
      <c r="N2206" t="s">
        <v>75</v>
      </c>
    </row>
    <row r="2207" spans="1:20" x14ac:dyDescent="0.25">
      <c r="A2207" t="s">
        <v>834</v>
      </c>
      <c r="B2207" s="4" t="s">
        <v>9</v>
      </c>
      <c r="C2207" s="4" t="s">
        <v>73</v>
      </c>
      <c r="D2207" s="4">
        <v>46139</v>
      </c>
      <c r="E2207" s="5">
        <v>0.49236111111111108</v>
      </c>
      <c r="F2207">
        <v>1</v>
      </c>
      <c r="G2207" t="s">
        <v>83</v>
      </c>
      <c r="H2207">
        <v>79.416666666666657</v>
      </c>
      <c r="M2207" t="s">
        <v>76</v>
      </c>
      <c r="N2207" t="s">
        <v>75</v>
      </c>
    </row>
    <row r="2208" spans="1:20" x14ac:dyDescent="0.25">
      <c r="A2208" t="s">
        <v>838</v>
      </c>
      <c r="B2208" s="4" t="s">
        <v>9</v>
      </c>
      <c r="C2208" s="4" t="s">
        <v>70</v>
      </c>
      <c r="D2208" s="4">
        <v>46139</v>
      </c>
      <c r="E2208" s="5">
        <v>0.49333333333333335</v>
      </c>
      <c r="F2208">
        <v>1</v>
      </c>
      <c r="G2208" t="s">
        <v>83</v>
      </c>
      <c r="H2208">
        <v>107</v>
      </c>
      <c r="L2208" t="s">
        <v>839</v>
      </c>
      <c r="M2208" t="s">
        <v>71</v>
      </c>
      <c r="N2208" t="s">
        <v>75</v>
      </c>
      <c r="O2208">
        <v>1</v>
      </c>
      <c r="S2208">
        <v>1</v>
      </c>
      <c r="T2208">
        <v>95.5</v>
      </c>
    </row>
    <row r="2209" spans="1:21" x14ac:dyDescent="0.25">
      <c r="A2209" t="s">
        <v>839</v>
      </c>
      <c r="B2209" s="4" t="s">
        <v>9</v>
      </c>
      <c r="C2209" s="4" t="s">
        <v>73</v>
      </c>
      <c r="D2209" s="4">
        <v>46139</v>
      </c>
      <c r="E2209" s="5">
        <v>0.49333333333333335</v>
      </c>
      <c r="F2209">
        <v>1</v>
      </c>
      <c r="G2209" t="s">
        <v>83</v>
      </c>
      <c r="H2209">
        <v>95.583333333333329</v>
      </c>
      <c r="M2209" t="s">
        <v>74</v>
      </c>
      <c r="N2209" t="s">
        <v>75</v>
      </c>
    </row>
    <row r="2210" spans="1:21" x14ac:dyDescent="0.25">
      <c r="A2210" t="s">
        <v>839</v>
      </c>
      <c r="B2210" s="4" t="s">
        <v>9</v>
      </c>
      <c r="C2210" s="4" t="s">
        <v>73</v>
      </c>
      <c r="D2210" s="4">
        <v>46139</v>
      </c>
      <c r="E2210" s="5">
        <v>0.49333333333333335</v>
      </c>
      <c r="F2210">
        <v>1</v>
      </c>
      <c r="G2210" t="s">
        <v>83</v>
      </c>
      <c r="H2210">
        <v>95.5</v>
      </c>
      <c r="M2210" t="s">
        <v>74</v>
      </c>
      <c r="N2210" t="s">
        <v>75</v>
      </c>
    </row>
    <row r="2211" spans="1:21" x14ac:dyDescent="0.25">
      <c r="A2211" t="s">
        <v>839</v>
      </c>
      <c r="B2211" s="4" t="s">
        <v>9</v>
      </c>
      <c r="C2211" s="4" t="s">
        <v>73</v>
      </c>
      <c r="D2211" s="4">
        <v>46139</v>
      </c>
      <c r="E2211" s="5">
        <v>0.49363425925925919</v>
      </c>
      <c r="F2211">
        <v>1</v>
      </c>
      <c r="G2211" t="s">
        <v>83</v>
      </c>
      <c r="H2211">
        <v>95.5</v>
      </c>
      <c r="M2211" t="s">
        <v>76</v>
      </c>
      <c r="N2211" t="s">
        <v>75</v>
      </c>
    </row>
    <row r="2212" spans="1:21" x14ac:dyDescent="0.25">
      <c r="A2212" t="s">
        <v>843</v>
      </c>
      <c r="B2212" s="4" t="s">
        <v>9</v>
      </c>
      <c r="C2212" s="4" t="s">
        <v>70</v>
      </c>
      <c r="D2212" s="4">
        <v>46139</v>
      </c>
      <c r="E2212" s="5">
        <v>0.49452546296296296</v>
      </c>
      <c r="F2212">
        <v>1</v>
      </c>
      <c r="G2212" t="s">
        <v>83</v>
      </c>
      <c r="H2212">
        <v>4</v>
      </c>
      <c r="L2212" t="s">
        <v>844</v>
      </c>
      <c r="M2212" t="s">
        <v>71</v>
      </c>
      <c r="N2212" t="s">
        <v>75</v>
      </c>
      <c r="O2212">
        <v>1</v>
      </c>
      <c r="R2212">
        <v>1</v>
      </c>
      <c r="S2212">
        <v>1</v>
      </c>
      <c r="T2212">
        <v>14</v>
      </c>
    </row>
    <row r="2213" spans="1:21" x14ac:dyDescent="0.25">
      <c r="A2213" t="s">
        <v>844</v>
      </c>
      <c r="B2213" s="4" t="s">
        <v>9</v>
      </c>
      <c r="C2213" s="4" t="s">
        <v>73</v>
      </c>
      <c r="D2213" s="4">
        <v>46139</v>
      </c>
      <c r="E2213" s="5">
        <v>0.49452546296296296</v>
      </c>
      <c r="F2213">
        <v>1</v>
      </c>
      <c r="G2213" t="s">
        <v>83</v>
      </c>
      <c r="H2213">
        <v>14.25</v>
      </c>
      <c r="M2213" t="s">
        <v>84</v>
      </c>
      <c r="N2213" t="s">
        <v>75</v>
      </c>
    </row>
    <row r="2214" spans="1:21" x14ac:dyDescent="0.25">
      <c r="A2214" t="s">
        <v>844</v>
      </c>
      <c r="B2214" s="4" t="s">
        <v>9</v>
      </c>
      <c r="C2214" s="4" t="s">
        <v>73</v>
      </c>
      <c r="D2214" s="4">
        <v>46139</v>
      </c>
      <c r="E2214" s="5">
        <v>0.49452546296296296</v>
      </c>
      <c r="F2214">
        <v>1</v>
      </c>
      <c r="G2214" t="s">
        <v>83</v>
      </c>
      <c r="H2214">
        <v>14.166666666666664</v>
      </c>
      <c r="M2214" t="s">
        <v>84</v>
      </c>
      <c r="N2214" t="s">
        <v>75</v>
      </c>
    </row>
    <row r="2215" spans="1:21" x14ac:dyDescent="0.25">
      <c r="A2215" t="s">
        <v>844</v>
      </c>
      <c r="B2215" s="4" t="s">
        <v>9</v>
      </c>
      <c r="C2215" s="4" t="s">
        <v>73</v>
      </c>
      <c r="D2215" s="4">
        <v>46139</v>
      </c>
      <c r="E2215" s="5">
        <v>0.49556712962962962</v>
      </c>
      <c r="F2215">
        <v>1</v>
      </c>
      <c r="G2215" t="s">
        <v>83</v>
      </c>
      <c r="H2215">
        <v>14</v>
      </c>
      <c r="M2215" t="s">
        <v>76</v>
      </c>
      <c r="N2215" t="s">
        <v>75</v>
      </c>
    </row>
    <row r="2216" spans="1:21" x14ac:dyDescent="0.25">
      <c r="A2216" t="s">
        <v>851</v>
      </c>
      <c r="B2216" s="4" t="s">
        <v>9</v>
      </c>
      <c r="C2216" s="4" t="s">
        <v>70</v>
      </c>
      <c r="D2216" s="4">
        <v>46139</v>
      </c>
      <c r="E2216" s="5">
        <v>0.5102199074074073</v>
      </c>
      <c r="F2216">
        <v>1</v>
      </c>
      <c r="G2216" t="s">
        <v>83</v>
      </c>
      <c r="H2216">
        <v>182</v>
      </c>
      <c r="L2216" t="s">
        <v>852</v>
      </c>
      <c r="M2216" t="s">
        <v>71</v>
      </c>
      <c r="N2216" t="s">
        <v>72</v>
      </c>
      <c r="O2216">
        <v>1</v>
      </c>
    </row>
    <row r="2217" spans="1:21" x14ac:dyDescent="0.25">
      <c r="A2217" t="s">
        <v>852</v>
      </c>
      <c r="B2217" s="4" t="s">
        <v>9</v>
      </c>
      <c r="C2217" s="4" t="s">
        <v>73</v>
      </c>
      <c r="D2217" s="4">
        <v>46139</v>
      </c>
      <c r="E2217" s="5">
        <v>0.5102199074074073</v>
      </c>
      <c r="F2217">
        <v>1</v>
      </c>
      <c r="G2217" t="s">
        <v>83</v>
      </c>
      <c r="H2217">
        <v>140.58333333333331</v>
      </c>
      <c r="M2217" t="s">
        <v>74</v>
      </c>
      <c r="N2217" t="s">
        <v>72</v>
      </c>
    </row>
    <row r="2218" spans="1:21" x14ac:dyDescent="0.25">
      <c r="A2218" t="s">
        <v>858</v>
      </c>
      <c r="B2218" s="4" t="s">
        <v>9</v>
      </c>
      <c r="C2218" s="4" t="s">
        <v>70</v>
      </c>
      <c r="D2218" s="4">
        <v>46139</v>
      </c>
      <c r="E2218" s="5">
        <v>0.51134259259259252</v>
      </c>
      <c r="F2218">
        <v>1</v>
      </c>
      <c r="G2218" t="s">
        <v>83</v>
      </c>
      <c r="H2218">
        <v>137</v>
      </c>
      <c r="L2218" t="s">
        <v>852</v>
      </c>
      <c r="M2218" t="s">
        <v>71</v>
      </c>
      <c r="N2218" t="s">
        <v>72</v>
      </c>
      <c r="P2218">
        <v>1</v>
      </c>
      <c r="Q2218">
        <v>1</v>
      </c>
      <c r="S2218">
        <v>1</v>
      </c>
      <c r="U2218">
        <v>2.4166666666666665</v>
      </c>
    </row>
    <row r="2219" spans="1:21" x14ac:dyDescent="0.25">
      <c r="A2219" t="s">
        <v>852</v>
      </c>
      <c r="B2219" s="4" t="s">
        <v>9</v>
      </c>
      <c r="C2219" s="4" t="s">
        <v>73</v>
      </c>
      <c r="D2219" s="4">
        <v>46139</v>
      </c>
      <c r="E2219" s="5">
        <v>0.51134259259259252</v>
      </c>
      <c r="F2219">
        <v>1</v>
      </c>
      <c r="G2219" t="s">
        <v>83</v>
      </c>
      <c r="H2219">
        <v>3.5833333333333335</v>
      </c>
      <c r="M2219" t="s">
        <v>74</v>
      </c>
      <c r="N2219" t="s">
        <v>72</v>
      </c>
    </row>
    <row r="2220" spans="1:21" x14ac:dyDescent="0.25">
      <c r="A2220" t="s">
        <v>852</v>
      </c>
      <c r="B2220" s="4" t="s">
        <v>9</v>
      </c>
      <c r="C2220" s="4" t="s">
        <v>73</v>
      </c>
      <c r="D2220" s="4">
        <v>46139</v>
      </c>
      <c r="E2220" s="5">
        <v>0.51134259259259252</v>
      </c>
      <c r="F2220">
        <v>1</v>
      </c>
      <c r="G2220" t="s">
        <v>83</v>
      </c>
      <c r="H2220">
        <v>2.4166666666666665</v>
      </c>
      <c r="M2220" t="s">
        <v>74</v>
      </c>
      <c r="N2220" t="s">
        <v>72</v>
      </c>
    </row>
    <row r="2221" spans="1:21" x14ac:dyDescent="0.25">
      <c r="A2221" t="s">
        <v>852</v>
      </c>
      <c r="B2221" s="4" t="s">
        <v>9</v>
      </c>
      <c r="C2221" s="4" t="s">
        <v>73</v>
      </c>
      <c r="D2221" s="4">
        <v>46139</v>
      </c>
      <c r="E2221" s="5">
        <v>0.51134259259259252</v>
      </c>
      <c r="F2221">
        <v>1</v>
      </c>
      <c r="G2221" t="s">
        <v>83</v>
      </c>
      <c r="H2221">
        <v>0</v>
      </c>
      <c r="M2221" t="s">
        <v>74</v>
      </c>
      <c r="N2221" t="s">
        <v>72</v>
      </c>
    </row>
    <row r="2222" spans="1:21" x14ac:dyDescent="0.25">
      <c r="A2222" t="s">
        <v>863</v>
      </c>
      <c r="B2222" s="4" t="s">
        <v>9</v>
      </c>
      <c r="C2222" s="4" t="s">
        <v>70</v>
      </c>
      <c r="D2222" s="4">
        <v>46139</v>
      </c>
      <c r="E2222" s="5">
        <v>0.51270833333333332</v>
      </c>
      <c r="F2222">
        <v>1</v>
      </c>
      <c r="G2222" t="s">
        <v>83</v>
      </c>
      <c r="H2222">
        <v>19</v>
      </c>
      <c r="L2222" t="s">
        <v>864</v>
      </c>
      <c r="M2222" t="s">
        <v>71</v>
      </c>
      <c r="N2222" t="s">
        <v>77</v>
      </c>
      <c r="O2222">
        <v>1</v>
      </c>
      <c r="S2222">
        <v>1</v>
      </c>
      <c r="T2222">
        <v>188.66666666666666</v>
      </c>
    </row>
    <row r="2223" spans="1:21" x14ac:dyDescent="0.25">
      <c r="A2223" t="s">
        <v>864</v>
      </c>
      <c r="B2223" s="4" t="s">
        <v>9</v>
      </c>
      <c r="C2223" s="4" t="s">
        <v>73</v>
      </c>
      <c r="D2223" s="4">
        <v>46139</v>
      </c>
      <c r="E2223" s="5">
        <v>0.51270833333333332</v>
      </c>
      <c r="F2223">
        <v>1</v>
      </c>
      <c r="G2223" t="s">
        <v>83</v>
      </c>
      <c r="H2223">
        <v>188.75</v>
      </c>
      <c r="M2223" t="s">
        <v>74</v>
      </c>
      <c r="N2223" t="s">
        <v>77</v>
      </c>
    </row>
    <row r="2224" spans="1:21" x14ac:dyDescent="0.25">
      <c r="A2224" t="s">
        <v>864</v>
      </c>
      <c r="B2224" s="4" t="s">
        <v>9</v>
      </c>
      <c r="C2224" s="4" t="s">
        <v>73</v>
      </c>
      <c r="D2224" s="4">
        <v>46139</v>
      </c>
      <c r="E2224" s="5">
        <v>0.51270833333333332</v>
      </c>
      <c r="F2224">
        <v>1</v>
      </c>
      <c r="G2224" t="s">
        <v>83</v>
      </c>
      <c r="H2224">
        <v>188.66666666666666</v>
      </c>
      <c r="M2224" t="s">
        <v>74</v>
      </c>
      <c r="N2224" t="s">
        <v>77</v>
      </c>
    </row>
    <row r="2225" spans="1:20" x14ac:dyDescent="0.25">
      <c r="A2225" t="s">
        <v>864</v>
      </c>
      <c r="B2225" s="4" t="s">
        <v>9</v>
      </c>
      <c r="C2225" s="4" t="s">
        <v>73</v>
      </c>
      <c r="D2225" s="4">
        <v>46139</v>
      </c>
      <c r="E2225" s="5">
        <v>0.51312500000000005</v>
      </c>
      <c r="F2225">
        <v>1</v>
      </c>
      <c r="G2225" t="s">
        <v>83</v>
      </c>
      <c r="H2225">
        <v>188.66666666666666</v>
      </c>
      <c r="M2225" t="s">
        <v>76</v>
      </c>
      <c r="N2225" t="s">
        <v>77</v>
      </c>
    </row>
    <row r="2226" spans="1:20" x14ac:dyDescent="0.25">
      <c r="A2226" t="s">
        <v>870</v>
      </c>
      <c r="B2226" s="4" t="s">
        <v>9</v>
      </c>
      <c r="C2226" s="4" t="s">
        <v>70</v>
      </c>
      <c r="D2226" s="4">
        <v>46139</v>
      </c>
      <c r="E2226" s="5">
        <v>0.51424768518518515</v>
      </c>
      <c r="F2226">
        <v>1</v>
      </c>
      <c r="G2226" t="s">
        <v>83</v>
      </c>
      <c r="H2226">
        <v>150.91666666666666</v>
      </c>
      <c r="L2226" t="s">
        <v>871</v>
      </c>
      <c r="M2226" t="s">
        <v>71</v>
      </c>
      <c r="N2226" t="s">
        <v>75</v>
      </c>
      <c r="O2226">
        <v>1</v>
      </c>
      <c r="S2226">
        <v>1</v>
      </c>
      <c r="T2226">
        <v>144.33333333333331</v>
      </c>
    </row>
    <row r="2227" spans="1:20" x14ac:dyDescent="0.25">
      <c r="A2227" t="s">
        <v>871</v>
      </c>
      <c r="B2227" s="4" t="s">
        <v>9</v>
      </c>
      <c r="C2227" s="4" t="s">
        <v>73</v>
      </c>
      <c r="D2227" s="4">
        <v>46139</v>
      </c>
      <c r="E2227" s="5">
        <v>0.51424768518518515</v>
      </c>
      <c r="F2227">
        <v>1</v>
      </c>
      <c r="G2227" t="s">
        <v>83</v>
      </c>
      <c r="H2227">
        <v>146.41666666666666</v>
      </c>
      <c r="M2227" t="s">
        <v>74</v>
      </c>
      <c r="N2227" t="s">
        <v>75</v>
      </c>
    </row>
    <row r="2228" spans="1:20" x14ac:dyDescent="0.25">
      <c r="A2228" t="s">
        <v>871</v>
      </c>
      <c r="B2228" s="4" t="s">
        <v>9</v>
      </c>
      <c r="C2228" s="4" t="s">
        <v>73</v>
      </c>
      <c r="D2228" s="4">
        <v>46139</v>
      </c>
      <c r="E2228" s="5">
        <v>0.5151041666666667</v>
      </c>
      <c r="F2228">
        <v>1</v>
      </c>
      <c r="G2228" t="s">
        <v>83</v>
      </c>
      <c r="H2228">
        <v>144.33333333333331</v>
      </c>
      <c r="M2228" t="s">
        <v>76</v>
      </c>
      <c r="N2228" t="s">
        <v>75</v>
      </c>
    </row>
    <row r="2229" spans="1:20" x14ac:dyDescent="0.25">
      <c r="A2229" t="s">
        <v>875</v>
      </c>
      <c r="B2229" s="4" t="s">
        <v>9</v>
      </c>
      <c r="C2229" s="4" t="s">
        <v>70</v>
      </c>
      <c r="D2229" s="4">
        <v>46139</v>
      </c>
      <c r="E2229" s="5">
        <v>0.51613425925925926</v>
      </c>
      <c r="F2229">
        <v>1</v>
      </c>
      <c r="G2229" t="s">
        <v>83</v>
      </c>
      <c r="H2229">
        <v>17.25</v>
      </c>
      <c r="L2229" t="s">
        <v>876</v>
      </c>
      <c r="M2229" t="s">
        <v>71</v>
      </c>
      <c r="N2229" t="s">
        <v>72</v>
      </c>
      <c r="O2229">
        <v>1</v>
      </c>
      <c r="S2229">
        <v>1</v>
      </c>
      <c r="T2229">
        <v>111.41666666666667</v>
      </c>
    </row>
    <row r="2230" spans="1:20" x14ac:dyDescent="0.25">
      <c r="A2230" t="s">
        <v>876</v>
      </c>
      <c r="B2230" s="4" t="s">
        <v>9</v>
      </c>
      <c r="C2230" s="4" t="s">
        <v>73</v>
      </c>
      <c r="D2230" s="4">
        <v>46139</v>
      </c>
      <c r="E2230" s="5">
        <v>0.51613425925925926</v>
      </c>
      <c r="F2230">
        <v>1</v>
      </c>
      <c r="G2230" t="s">
        <v>83</v>
      </c>
      <c r="H2230">
        <v>111.5</v>
      </c>
      <c r="M2230" t="s">
        <v>74</v>
      </c>
      <c r="N2230" t="s">
        <v>72</v>
      </c>
    </row>
    <row r="2231" spans="1:20" x14ac:dyDescent="0.25">
      <c r="A2231" t="s">
        <v>876</v>
      </c>
      <c r="B2231" s="4" t="s">
        <v>9</v>
      </c>
      <c r="C2231" s="4" t="s">
        <v>73</v>
      </c>
      <c r="D2231" s="4">
        <v>46139</v>
      </c>
      <c r="E2231" s="5">
        <v>0.51613425925925926</v>
      </c>
      <c r="F2231">
        <v>1</v>
      </c>
      <c r="G2231" t="s">
        <v>83</v>
      </c>
      <c r="H2231">
        <v>111.41666666666667</v>
      </c>
      <c r="M2231" t="s">
        <v>74</v>
      </c>
      <c r="N2231" t="s">
        <v>72</v>
      </c>
    </row>
    <row r="2232" spans="1:20" x14ac:dyDescent="0.25">
      <c r="A2232" t="s">
        <v>876</v>
      </c>
      <c r="B2232" s="4" t="s">
        <v>9</v>
      </c>
      <c r="C2232" s="4" t="s">
        <v>73</v>
      </c>
      <c r="D2232" s="4">
        <v>46139</v>
      </c>
      <c r="E2232" s="5">
        <v>0.51667824074074076</v>
      </c>
      <c r="F2232">
        <v>1</v>
      </c>
      <c r="G2232" t="s">
        <v>83</v>
      </c>
      <c r="H2232">
        <v>111.41666666666667</v>
      </c>
      <c r="M2232" t="s">
        <v>76</v>
      </c>
      <c r="N2232" t="s">
        <v>72</v>
      </c>
    </row>
    <row r="2233" spans="1:20" x14ac:dyDescent="0.25">
      <c r="A2233" t="s">
        <v>878</v>
      </c>
      <c r="B2233" s="4" t="s">
        <v>9</v>
      </c>
      <c r="C2233" s="4" t="s">
        <v>70</v>
      </c>
      <c r="D2233" s="4">
        <v>46139</v>
      </c>
      <c r="E2233" s="5">
        <v>0.51806712962962964</v>
      </c>
      <c r="F2233">
        <v>1</v>
      </c>
      <c r="G2233" t="s">
        <v>83</v>
      </c>
      <c r="H2233">
        <v>107.5</v>
      </c>
      <c r="L2233" t="s">
        <v>879</v>
      </c>
      <c r="M2233" t="s">
        <v>71</v>
      </c>
      <c r="N2233" t="s">
        <v>75</v>
      </c>
      <c r="O2233">
        <v>1</v>
      </c>
    </row>
    <row r="2234" spans="1:20" x14ac:dyDescent="0.25">
      <c r="A2234" t="s">
        <v>879</v>
      </c>
      <c r="B2234" s="4" t="s">
        <v>9</v>
      </c>
      <c r="C2234" s="4" t="s">
        <v>73</v>
      </c>
      <c r="D2234" s="4">
        <v>46139</v>
      </c>
      <c r="E2234" s="5">
        <v>0.51806712962962964</v>
      </c>
      <c r="F2234">
        <v>1</v>
      </c>
      <c r="G2234" t="s">
        <v>83</v>
      </c>
      <c r="H2234">
        <v>118.91666666666667</v>
      </c>
      <c r="M2234" t="s">
        <v>79</v>
      </c>
      <c r="N2234" t="s">
        <v>75</v>
      </c>
    </row>
    <row r="2235" spans="1:20" x14ac:dyDescent="0.25">
      <c r="A2235" t="s">
        <v>879</v>
      </c>
      <c r="B2235" s="4" t="s">
        <v>9</v>
      </c>
      <c r="C2235" s="4" t="s">
        <v>73</v>
      </c>
      <c r="D2235" s="4">
        <v>46139</v>
      </c>
      <c r="E2235" s="5">
        <v>0.51806712962962964</v>
      </c>
      <c r="F2235">
        <v>1</v>
      </c>
      <c r="G2235" t="s">
        <v>83</v>
      </c>
      <c r="H2235">
        <v>118.83333333333334</v>
      </c>
      <c r="M2235" t="s">
        <v>79</v>
      </c>
      <c r="N2235" t="s">
        <v>75</v>
      </c>
    </row>
    <row r="2236" spans="1:20" x14ac:dyDescent="0.25">
      <c r="A2236" t="s">
        <v>880</v>
      </c>
      <c r="B2236" s="4" t="s">
        <v>9</v>
      </c>
      <c r="C2236" s="4" t="s">
        <v>70</v>
      </c>
      <c r="D2236" s="4">
        <v>46139</v>
      </c>
      <c r="E2236" s="5">
        <v>0.51865740740740729</v>
      </c>
      <c r="F2236">
        <v>1</v>
      </c>
      <c r="G2236" t="s">
        <v>83</v>
      </c>
      <c r="H2236">
        <v>36.75</v>
      </c>
      <c r="L2236" t="s">
        <v>879</v>
      </c>
      <c r="M2236" t="s">
        <v>71</v>
      </c>
      <c r="N2236" t="s">
        <v>75</v>
      </c>
      <c r="P2236">
        <v>1</v>
      </c>
      <c r="S2236">
        <v>1</v>
      </c>
      <c r="T2236">
        <v>82</v>
      </c>
    </row>
    <row r="2237" spans="1:20" x14ac:dyDescent="0.25">
      <c r="A2237" t="s">
        <v>879</v>
      </c>
      <c r="B2237" s="4" t="s">
        <v>9</v>
      </c>
      <c r="C2237" s="4" t="s">
        <v>73</v>
      </c>
      <c r="D2237" s="4">
        <v>46139</v>
      </c>
      <c r="E2237" s="5">
        <v>0.51865740740740729</v>
      </c>
      <c r="F2237">
        <v>1</v>
      </c>
      <c r="G2237" t="s">
        <v>83</v>
      </c>
      <c r="H2237">
        <v>82.083333333333329</v>
      </c>
      <c r="M2237" t="s">
        <v>79</v>
      </c>
      <c r="N2237" t="s">
        <v>75</v>
      </c>
    </row>
    <row r="2238" spans="1:20" x14ac:dyDescent="0.25">
      <c r="A2238" t="s">
        <v>879</v>
      </c>
      <c r="B2238" s="4" t="s">
        <v>9</v>
      </c>
      <c r="C2238" s="4" t="s">
        <v>73</v>
      </c>
      <c r="D2238" s="4">
        <v>46139</v>
      </c>
      <c r="E2238" s="5">
        <v>0.51865740740740729</v>
      </c>
      <c r="F2238">
        <v>1</v>
      </c>
      <c r="G2238" t="s">
        <v>83</v>
      </c>
      <c r="H2238">
        <v>82</v>
      </c>
      <c r="M2238" t="s">
        <v>79</v>
      </c>
      <c r="N2238" t="s">
        <v>75</v>
      </c>
    </row>
    <row r="2239" spans="1:20" x14ac:dyDescent="0.25">
      <c r="A2239" t="s">
        <v>879</v>
      </c>
      <c r="B2239" s="4" t="s">
        <v>9</v>
      </c>
      <c r="C2239" s="4" t="s">
        <v>73</v>
      </c>
      <c r="D2239" s="4">
        <v>46139</v>
      </c>
      <c r="E2239" s="5">
        <v>0.51906249999999998</v>
      </c>
      <c r="F2239">
        <v>1</v>
      </c>
      <c r="G2239" t="s">
        <v>83</v>
      </c>
      <c r="H2239">
        <v>82</v>
      </c>
      <c r="M2239" t="s">
        <v>76</v>
      </c>
      <c r="N2239" t="s">
        <v>75</v>
      </c>
    </row>
    <row r="2240" spans="1:20" x14ac:dyDescent="0.25">
      <c r="A2240" t="s">
        <v>881</v>
      </c>
      <c r="B2240" s="4" t="s">
        <v>9</v>
      </c>
      <c r="C2240" s="4" t="s">
        <v>70</v>
      </c>
      <c r="D2240" s="4">
        <v>46139</v>
      </c>
      <c r="E2240" s="5">
        <v>0.52085648148148145</v>
      </c>
      <c r="F2240">
        <v>1</v>
      </c>
      <c r="G2240" t="s">
        <v>83</v>
      </c>
      <c r="H2240">
        <v>4</v>
      </c>
      <c r="L2240" t="s">
        <v>882</v>
      </c>
      <c r="M2240" t="s">
        <v>71</v>
      </c>
      <c r="N2240" t="s">
        <v>75</v>
      </c>
      <c r="O2240">
        <v>1</v>
      </c>
      <c r="S2240">
        <v>1</v>
      </c>
      <c r="T2240">
        <v>66</v>
      </c>
    </row>
    <row r="2241" spans="1:21" x14ac:dyDescent="0.25">
      <c r="A2241" t="s">
        <v>882</v>
      </c>
      <c r="B2241" s="4" t="s">
        <v>9</v>
      </c>
      <c r="C2241" s="4" t="s">
        <v>73</v>
      </c>
      <c r="D2241" s="4">
        <v>46139</v>
      </c>
      <c r="E2241" s="5">
        <v>0.52085648148148145</v>
      </c>
      <c r="F2241">
        <v>1</v>
      </c>
      <c r="G2241" t="s">
        <v>83</v>
      </c>
      <c r="H2241">
        <v>66</v>
      </c>
      <c r="M2241" t="s">
        <v>84</v>
      </c>
      <c r="N2241" t="s">
        <v>75</v>
      </c>
    </row>
    <row r="2242" spans="1:21" x14ac:dyDescent="0.25">
      <c r="A2242" t="s">
        <v>882</v>
      </c>
      <c r="B2242" s="4" t="s">
        <v>9</v>
      </c>
      <c r="C2242" s="4" t="s">
        <v>73</v>
      </c>
      <c r="D2242" s="4">
        <v>46139</v>
      </c>
      <c r="E2242" s="5">
        <v>0.52124999999999999</v>
      </c>
      <c r="F2242">
        <v>1</v>
      </c>
      <c r="G2242" t="s">
        <v>83</v>
      </c>
      <c r="H2242">
        <v>66</v>
      </c>
      <c r="M2242" t="s">
        <v>76</v>
      </c>
      <c r="N2242" t="s">
        <v>75</v>
      </c>
    </row>
    <row r="2243" spans="1:21" x14ac:dyDescent="0.25">
      <c r="A2243" t="s">
        <v>884</v>
      </c>
      <c r="B2243" s="4" t="s">
        <v>9</v>
      </c>
      <c r="C2243" s="4" t="s">
        <v>73</v>
      </c>
      <c r="D2243" s="4">
        <v>46139</v>
      </c>
      <c r="E2243" s="5">
        <v>0.52223379629629629</v>
      </c>
      <c r="F2243">
        <v>1</v>
      </c>
      <c r="G2243" t="s">
        <v>83</v>
      </c>
      <c r="H2243">
        <v>9.25</v>
      </c>
      <c r="M2243" t="s">
        <v>84</v>
      </c>
      <c r="N2243" t="s">
        <v>72</v>
      </c>
    </row>
    <row r="2244" spans="1:21" x14ac:dyDescent="0.25">
      <c r="A2244" t="s">
        <v>885</v>
      </c>
      <c r="B2244" s="4" t="s">
        <v>9</v>
      </c>
      <c r="C2244" s="4" t="s">
        <v>70</v>
      </c>
      <c r="D2244" s="4">
        <v>46139</v>
      </c>
      <c r="E2244" s="5">
        <v>0.52278935185185182</v>
      </c>
      <c r="F2244">
        <v>1</v>
      </c>
      <c r="G2244" t="s">
        <v>83</v>
      </c>
      <c r="H2244">
        <v>4</v>
      </c>
      <c r="L2244" t="s">
        <v>884</v>
      </c>
      <c r="M2244" t="s">
        <v>71</v>
      </c>
      <c r="N2244" t="s">
        <v>72</v>
      </c>
      <c r="O2244">
        <v>1</v>
      </c>
      <c r="R2244">
        <v>1</v>
      </c>
      <c r="S2244">
        <v>1</v>
      </c>
      <c r="U2244">
        <v>0.58333333333333326</v>
      </c>
    </row>
    <row r="2245" spans="1:21" x14ac:dyDescent="0.25">
      <c r="A2245" t="s">
        <v>884</v>
      </c>
      <c r="B2245" s="4" t="s">
        <v>9</v>
      </c>
      <c r="C2245" s="4" t="s">
        <v>73</v>
      </c>
      <c r="D2245" s="4">
        <v>46139</v>
      </c>
      <c r="E2245" s="5">
        <v>0.52278935185185182</v>
      </c>
      <c r="F2245">
        <v>1</v>
      </c>
      <c r="G2245" t="s">
        <v>83</v>
      </c>
      <c r="H2245">
        <v>5.25</v>
      </c>
      <c r="M2245" t="s">
        <v>84</v>
      </c>
      <c r="N2245" t="s">
        <v>72</v>
      </c>
    </row>
    <row r="2246" spans="1:21" x14ac:dyDescent="0.25">
      <c r="A2246" t="s">
        <v>884</v>
      </c>
      <c r="B2246" s="4" t="s">
        <v>9</v>
      </c>
      <c r="C2246" s="4" t="s">
        <v>73</v>
      </c>
      <c r="D2246" s="4">
        <v>46139</v>
      </c>
      <c r="E2246" s="5">
        <v>0.52334490740740736</v>
      </c>
      <c r="F2246">
        <v>1</v>
      </c>
      <c r="G2246" t="s">
        <v>83</v>
      </c>
      <c r="H2246">
        <v>0.58333333333333326</v>
      </c>
      <c r="M2246" t="s">
        <v>84</v>
      </c>
      <c r="N2246" t="s">
        <v>72</v>
      </c>
    </row>
    <row r="2247" spans="1:21" x14ac:dyDescent="0.25">
      <c r="A2247" t="s">
        <v>884</v>
      </c>
      <c r="B2247" s="4" t="s">
        <v>9</v>
      </c>
      <c r="C2247" s="4" t="s">
        <v>73</v>
      </c>
      <c r="D2247" s="4">
        <v>46139</v>
      </c>
      <c r="E2247" s="5">
        <v>0.52334490740740736</v>
      </c>
      <c r="F2247">
        <v>1</v>
      </c>
      <c r="G2247" t="s">
        <v>83</v>
      </c>
      <c r="H2247">
        <v>0</v>
      </c>
      <c r="M2247" t="s">
        <v>84</v>
      </c>
      <c r="N2247" t="s">
        <v>72</v>
      </c>
    </row>
    <row r="2248" spans="1:21" x14ac:dyDescent="0.25">
      <c r="A2248" t="s">
        <v>892</v>
      </c>
      <c r="B2248" s="4" t="s">
        <v>9</v>
      </c>
      <c r="C2248" s="4" t="s">
        <v>70</v>
      </c>
      <c r="D2248" s="4">
        <v>46139</v>
      </c>
      <c r="E2248" s="5">
        <v>0.52462962962962956</v>
      </c>
      <c r="F2248">
        <v>1</v>
      </c>
      <c r="G2248" t="s">
        <v>83</v>
      </c>
      <c r="H2248">
        <v>51.416666666666664</v>
      </c>
      <c r="L2248" t="s">
        <v>893</v>
      </c>
      <c r="M2248" t="s">
        <v>71</v>
      </c>
      <c r="N2248" t="s">
        <v>75</v>
      </c>
      <c r="O2248">
        <v>1</v>
      </c>
      <c r="S2248">
        <v>1</v>
      </c>
      <c r="T2248">
        <v>260</v>
      </c>
    </row>
    <row r="2249" spans="1:21" x14ac:dyDescent="0.25">
      <c r="A2249" t="s">
        <v>893</v>
      </c>
      <c r="B2249" s="4" t="s">
        <v>9</v>
      </c>
      <c r="C2249" s="4" t="s">
        <v>73</v>
      </c>
      <c r="D2249" s="4">
        <v>46139</v>
      </c>
      <c r="E2249" s="5">
        <v>0.52462962962962956</v>
      </c>
      <c r="F2249">
        <v>1</v>
      </c>
      <c r="G2249" t="s">
        <v>83</v>
      </c>
      <c r="H2249">
        <v>260.08333333333331</v>
      </c>
      <c r="M2249" t="s">
        <v>74</v>
      </c>
      <c r="N2249" t="s">
        <v>75</v>
      </c>
    </row>
    <row r="2250" spans="1:21" x14ac:dyDescent="0.25">
      <c r="A2250" t="s">
        <v>893</v>
      </c>
      <c r="B2250" s="4" t="s">
        <v>9</v>
      </c>
      <c r="C2250" s="4" t="s">
        <v>73</v>
      </c>
      <c r="D2250" s="4">
        <v>46139</v>
      </c>
      <c r="E2250" s="5">
        <v>0.52462962962962956</v>
      </c>
      <c r="F2250">
        <v>1</v>
      </c>
      <c r="G2250" t="s">
        <v>83</v>
      </c>
      <c r="H2250">
        <v>260</v>
      </c>
      <c r="M2250" t="s">
        <v>74</v>
      </c>
      <c r="N2250" t="s">
        <v>75</v>
      </c>
    </row>
    <row r="2251" spans="1:21" x14ac:dyDescent="0.25">
      <c r="A2251" t="s">
        <v>893</v>
      </c>
      <c r="B2251" s="4" t="s">
        <v>9</v>
      </c>
      <c r="C2251" s="4" t="s">
        <v>73</v>
      </c>
      <c r="D2251" s="4">
        <v>46139</v>
      </c>
      <c r="E2251" s="5">
        <v>0.5248032407407407</v>
      </c>
      <c r="F2251">
        <v>1</v>
      </c>
      <c r="G2251" t="s">
        <v>83</v>
      </c>
      <c r="H2251">
        <v>260</v>
      </c>
      <c r="M2251" t="s">
        <v>76</v>
      </c>
      <c r="N2251" t="s">
        <v>75</v>
      </c>
    </row>
    <row r="2252" spans="1:21" x14ac:dyDescent="0.25">
      <c r="A2252" t="s">
        <v>894</v>
      </c>
      <c r="B2252" s="4" t="s">
        <v>9</v>
      </c>
      <c r="C2252" s="4" t="s">
        <v>70</v>
      </c>
      <c r="D2252" s="4">
        <v>46139</v>
      </c>
      <c r="E2252" s="5">
        <v>0.52556712962962959</v>
      </c>
      <c r="F2252">
        <v>1</v>
      </c>
      <c r="G2252" t="s">
        <v>83</v>
      </c>
      <c r="H2252">
        <v>5</v>
      </c>
      <c r="L2252" t="s">
        <v>895</v>
      </c>
      <c r="M2252" t="s">
        <v>71</v>
      </c>
      <c r="N2252" t="s">
        <v>77</v>
      </c>
      <c r="O2252">
        <v>1</v>
      </c>
      <c r="S2252">
        <v>1</v>
      </c>
      <c r="T2252">
        <v>68.416666666666657</v>
      </c>
    </row>
    <row r="2253" spans="1:21" x14ac:dyDescent="0.25">
      <c r="A2253" t="s">
        <v>895</v>
      </c>
      <c r="B2253" s="4" t="s">
        <v>9</v>
      </c>
      <c r="C2253" s="4" t="s">
        <v>73</v>
      </c>
      <c r="D2253" s="4">
        <v>46139</v>
      </c>
      <c r="E2253" s="5">
        <v>0.52556712962962959</v>
      </c>
      <c r="F2253">
        <v>1</v>
      </c>
      <c r="G2253" t="s">
        <v>83</v>
      </c>
      <c r="H2253">
        <v>68.5</v>
      </c>
      <c r="M2253" t="s">
        <v>84</v>
      </c>
      <c r="N2253" t="s">
        <v>77</v>
      </c>
    </row>
    <row r="2254" spans="1:21" x14ac:dyDescent="0.25">
      <c r="A2254" t="s">
        <v>895</v>
      </c>
      <c r="B2254" s="4" t="s">
        <v>9</v>
      </c>
      <c r="C2254" s="4" t="s">
        <v>73</v>
      </c>
      <c r="D2254" s="4">
        <v>46139</v>
      </c>
      <c r="E2254" s="5">
        <v>0.52556712962962959</v>
      </c>
      <c r="F2254">
        <v>1</v>
      </c>
      <c r="G2254" t="s">
        <v>83</v>
      </c>
      <c r="H2254">
        <v>68.416666666666657</v>
      </c>
      <c r="M2254" t="s">
        <v>84</v>
      </c>
      <c r="N2254" t="s">
        <v>77</v>
      </c>
    </row>
    <row r="2255" spans="1:21" x14ac:dyDescent="0.25">
      <c r="A2255" t="s">
        <v>895</v>
      </c>
      <c r="B2255" s="4" t="s">
        <v>9</v>
      </c>
      <c r="C2255" s="4" t="s">
        <v>73</v>
      </c>
      <c r="D2255" s="4">
        <v>46139</v>
      </c>
      <c r="E2255" s="5">
        <v>0.52863425925925922</v>
      </c>
      <c r="F2255">
        <v>1</v>
      </c>
      <c r="G2255" t="s">
        <v>83</v>
      </c>
      <c r="H2255">
        <v>68.416666666666657</v>
      </c>
      <c r="L2255" s="21"/>
      <c r="M2255" t="s">
        <v>76</v>
      </c>
      <c r="N2255" t="s">
        <v>77</v>
      </c>
    </row>
    <row r="2256" spans="1:21" x14ac:dyDescent="0.25">
      <c r="A2256" t="s">
        <v>902</v>
      </c>
      <c r="B2256" s="4" t="s">
        <v>9</v>
      </c>
      <c r="C2256" s="4" t="s">
        <v>70</v>
      </c>
      <c r="D2256" s="4">
        <v>46139</v>
      </c>
      <c r="E2256" s="5">
        <v>0.52958333333333329</v>
      </c>
      <c r="F2256">
        <v>1</v>
      </c>
      <c r="G2256" t="s">
        <v>83</v>
      </c>
      <c r="H2256">
        <v>119</v>
      </c>
      <c r="L2256" t="s">
        <v>903</v>
      </c>
      <c r="M2256" t="s">
        <v>71</v>
      </c>
      <c r="N2256" t="s">
        <v>72</v>
      </c>
      <c r="O2256">
        <v>1</v>
      </c>
      <c r="S2256">
        <v>1</v>
      </c>
      <c r="T2256">
        <v>95.666666666666657</v>
      </c>
    </row>
    <row r="2257" spans="1:20" x14ac:dyDescent="0.25">
      <c r="A2257" t="s">
        <v>903</v>
      </c>
      <c r="B2257" s="4" t="s">
        <v>9</v>
      </c>
      <c r="C2257" s="4" t="s">
        <v>73</v>
      </c>
      <c r="D2257" s="4">
        <v>46139</v>
      </c>
      <c r="E2257" s="5">
        <v>0.52958333333333329</v>
      </c>
      <c r="F2257">
        <v>1</v>
      </c>
      <c r="G2257" t="s">
        <v>83</v>
      </c>
      <c r="H2257">
        <v>97.333333333333329</v>
      </c>
      <c r="M2257" t="s">
        <v>74</v>
      </c>
      <c r="N2257" t="s">
        <v>72</v>
      </c>
    </row>
    <row r="2258" spans="1:20" x14ac:dyDescent="0.25">
      <c r="A2258" t="s">
        <v>903</v>
      </c>
      <c r="B2258" s="4" t="s">
        <v>9</v>
      </c>
      <c r="C2258" s="4" t="s">
        <v>73</v>
      </c>
      <c r="D2258" s="4">
        <v>46139</v>
      </c>
      <c r="E2258" s="5">
        <v>0.52958333333333329</v>
      </c>
      <c r="F2258">
        <v>1</v>
      </c>
      <c r="G2258" t="s">
        <v>83</v>
      </c>
      <c r="H2258">
        <v>97.25</v>
      </c>
      <c r="M2258" t="s">
        <v>74</v>
      </c>
      <c r="N2258" t="s">
        <v>72</v>
      </c>
    </row>
    <row r="2259" spans="1:20" x14ac:dyDescent="0.25">
      <c r="A2259" t="s">
        <v>903</v>
      </c>
      <c r="B2259" s="4" t="s">
        <v>9</v>
      </c>
      <c r="C2259" s="4" t="s">
        <v>73</v>
      </c>
      <c r="D2259" s="4">
        <v>46139</v>
      </c>
      <c r="E2259" s="5">
        <v>0.53055555555555556</v>
      </c>
      <c r="F2259">
        <v>1</v>
      </c>
      <c r="G2259" t="s">
        <v>83</v>
      </c>
      <c r="H2259">
        <v>95.666666666666657</v>
      </c>
      <c r="M2259" t="s">
        <v>76</v>
      </c>
      <c r="N2259" t="s">
        <v>72</v>
      </c>
    </row>
    <row r="2260" spans="1:20" x14ac:dyDescent="0.25">
      <c r="A2260" t="s">
        <v>906</v>
      </c>
      <c r="B2260" s="4" t="s">
        <v>9</v>
      </c>
      <c r="C2260" s="4" t="s">
        <v>70</v>
      </c>
      <c r="D2260" s="4">
        <v>46139</v>
      </c>
      <c r="E2260" s="5">
        <v>0.53153935185185175</v>
      </c>
      <c r="F2260">
        <v>1</v>
      </c>
      <c r="G2260" t="s">
        <v>83</v>
      </c>
      <c r="H2260">
        <v>48</v>
      </c>
      <c r="L2260" t="s">
        <v>907</v>
      </c>
      <c r="M2260" t="s">
        <v>71</v>
      </c>
      <c r="N2260" t="s">
        <v>72</v>
      </c>
      <c r="O2260">
        <v>1</v>
      </c>
      <c r="R2260">
        <v>1</v>
      </c>
      <c r="S2260">
        <v>1</v>
      </c>
      <c r="T2260">
        <v>15.416666666666664</v>
      </c>
    </row>
    <row r="2261" spans="1:20" x14ac:dyDescent="0.25">
      <c r="A2261" t="s">
        <v>907</v>
      </c>
      <c r="B2261" s="4" t="s">
        <v>9</v>
      </c>
      <c r="C2261" s="4" t="s">
        <v>73</v>
      </c>
      <c r="D2261" s="4">
        <v>46139</v>
      </c>
      <c r="E2261" s="5">
        <v>0.53153935185185175</v>
      </c>
      <c r="F2261">
        <v>1</v>
      </c>
      <c r="G2261" t="s">
        <v>83</v>
      </c>
      <c r="H2261">
        <v>15.666666666666664</v>
      </c>
      <c r="M2261" t="s">
        <v>79</v>
      </c>
      <c r="N2261" t="s">
        <v>72</v>
      </c>
    </row>
    <row r="2262" spans="1:20" x14ac:dyDescent="0.25">
      <c r="A2262" t="s">
        <v>907</v>
      </c>
      <c r="B2262" s="4" t="s">
        <v>9</v>
      </c>
      <c r="C2262" s="4" t="s">
        <v>73</v>
      </c>
      <c r="D2262" s="4">
        <v>46139</v>
      </c>
      <c r="E2262" s="5">
        <v>0.53153935185185175</v>
      </c>
      <c r="F2262">
        <v>1</v>
      </c>
      <c r="G2262" t="s">
        <v>83</v>
      </c>
      <c r="H2262">
        <v>15.583333333333334</v>
      </c>
      <c r="M2262" t="s">
        <v>79</v>
      </c>
      <c r="N2262" t="s">
        <v>72</v>
      </c>
    </row>
    <row r="2263" spans="1:20" x14ac:dyDescent="0.25">
      <c r="A2263" t="s">
        <v>907</v>
      </c>
      <c r="B2263" s="4" t="s">
        <v>9</v>
      </c>
      <c r="C2263" s="4" t="s">
        <v>73</v>
      </c>
      <c r="D2263" s="4">
        <v>46139</v>
      </c>
      <c r="E2263" s="5">
        <v>0.53190972222222221</v>
      </c>
      <c r="F2263">
        <v>1</v>
      </c>
      <c r="G2263" t="s">
        <v>83</v>
      </c>
      <c r="H2263">
        <v>15.416666666666664</v>
      </c>
      <c r="M2263" t="s">
        <v>76</v>
      </c>
      <c r="N2263" t="s">
        <v>72</v>
      </c>
    </row>
    <row r="2264" spans="1:20" x14ac:dyDescent="0.25">
      <c r="A2264" t="s">
        <v>912</v>
      </c>
      <c r="B2264" s="4" t="s">
        <v>9</v>
      </c>
      <c r="C2264" s="4" t="s">
        <v>70</v>
      </c>
      <c r="D2264" s="4">
        <v>46139</v>
      </c>
      <c r="E2264" s="5">
        <v>0.53303240740740743</v>
      </c>
      <c r="F2264">
        <v>1</v>
      </c>
      <c r="G2264" t="s">
        <v>83</v>
      </c>
      <c r="H2264">
        <v>9.5</v>
      </c>
      <c r="L2264" t="s">
        <v>913</v>
      </c>
      <c r="M2264" t="s">
        <v>71</v>
      </c>
      <c r="N2264" t="s">
        <v>75</v>
      </c>
      <c r="O2264">
        <v>1</v>
      </c>
      <c r="R2264">
        <v>1</v>
      </c>
      <c r="S2264">
        <v>1</v>
      </c>
      <c r="T2264">
        <v>28</v>
      </c>
    </row>
    <row r="2265" spans="1:20" x14ac:dyDescent="0.25">
      <c r="A2265" t="s">
        <v>913</v>
      </c>
      <c r="B2265" s="4" t="s">
        <v>9</v>
      </c>
      <c r="C2265" s="4" t="s">
        <v>73</v>
      </c>
      <c r="D2265" s="4">
        <v>46139</v>
      </c>
      <c r="E2265" s="5">
        <v>0.53303240740740743</v>
      </c>
      <c r="F2265">
        <v>1</v>
      </c>
      <c r="G2265" t="s">
        <v>83</v>
      </c>
      <c r="H2265">
        <v>28.416666666666664</v>
      </c>
      <c r="M2265" t="s">
        <v>74</v>
      </c>
      <c r="N2265" t="s">
        <v>75</v>
      </c>
    </row>
    <row r="2266" spans="1:20" x14ac:dyDescent="0.25">
      <c r="A2266" t="s">
        <v>913</v>
      </c>
      <c r="B2266" s="4" t="s">
        <v>9</v>
      </c>
      <c r="C2266" s="4" t="s">
        <v>73</v>
      </c>
      <c r="D2266" s="4">
        <v>46139</v>
      </c>
      <c r="E2266" s="5">
        <v>0.53303240740740743</v>
      </c>
      <c r="F2266">
        <v>1</v>
      </c>
      <c r="G2266" t="s">
        <v>83</v>
      </c>
      <c r="H2266">
        <v>28.333333333333329</v>
      </c>
      <c r="M2266" t="s">
        <v>74</v>
      </c>
      <c r="N2266" t="s">
        <v>75</v>
      </c>
    </row>
    <row r="2267" spans="1:20" x14ac:dyDescent="0.25">
      <c r="A2267" t="s">
        <v>913</v>
      </c>
      <c r="B2267" s="4" t="s">
        <v>9</v>
      </c>
      <c r="C2267" s="4" t="s">
        <v>73</v>
      </c>
      <c r="D2267" s="4">
        <v>46139</v>
      </c>
      <c r="E2267" s="5">
        <v>0.53339120370370363</v>
      </c>
      <c r="F2267">
        <v>1</v>
      </c>
      <c r="G2267" t="s">
        <v>83</v>
      </c>
      <c r="H2267">
        <v>28</v>
      </c>
      <c r="M2267" t="s">
        <v>76</v>
      </c>
      <c r="N2267" t="s">
        <v>75</v>
      </c>
    </row>
    <row r="2268" spans="1:20" x14ac:dyDescent="0.25">
      <c r="A2268" t="s">
        <v>919</v>
      </c>
      <c r="B2268" s="4" t="s">
        <v>9</v>
      </c>
      <c r="C2268" s="4" t="s">
        <v>73</v>
      </c>
      <c r="D2268" s="4">
        <v>46139</v>
      </c>
      <c r="E2268" s="5">
        <v>0.53535879629629624</v>
      </c>
      <c r="F2268">
        <v>1</v>
      </c>
      <c r="G2268" t="s">
        <v>83</v>
      </c>
      <c r="H2268">
        <v>0.25</v>
      </c>
      <c r="M2268" t="s">
        <v>84</v>
      </c>
      <c r="N2268" t="s">
        <v>72</v>
      </c>
    </row>
    <row r="2269" spans="1:20" x14ac:dyDescent="0.25">
      <c r="A2269" t="s">
        <v>919</v>
      </c>
      <c r="B2269" s="4" t="s">
        <v>9</v>
      </c>
      <c r="C2269" s="4" t="s">
        <v>73</v>
      </c>
      <c r="D2269" s="4">
        <v>46139</v>
      </c>
      <c r="E2269" s="5">
        <v>0.53535879629629624</v>
      </c>
      <c r="F2269">
        <v>1</v>
      </c>
      <c r="G2269" t="s">
        <v>83</v>
      </c>
      <c r="H2269">
        <v>0</v>
      </c>
      <c r="M2269" t="s">
        <v>84</v>
      </c>
      <c r="N2269" t="s">
        <v>72</v>
      </c>
    </row>
    <row r="2270" spans="1:20" x14ac:dyDescent="0.25">
      <c r="A2270" t="s">
        <v>924</v>
      </c>
      <c r="B2270" s="4" t="s">
        <v>9</v>
      </c>
      <c r="C2270" s="4" t="s">
        <v>70</v>
      </c>
      <c r="D2270" s="4">
        <v>46139</v>
      </c>
      <c r="E2270" s="5">
        <v>0.5368518518518518</v>
      </c>
      <c r="F2270">
        <v>1</v>
      </c>
      <c r="G2270" t="s">
        <v>83</v>
      </c>
      <c r="H2270">
        <v>69.583333333333329</v>
      </c>
      <c r="L2270" t="s">
        <v>925</v>
      </c>
      <c r="M2270" t="s">
        <v>71</v>
      </c>
      <c r="N2270" t="s">
        <v>77</v>
      </c>
      <c r="O2270">
        <v>1</v>
      </c>
      <c r="R2270">
        <v>1</v>
      </c>
      <c r="S2270">
        <v>1</v>
      </c>
      <c r="T2270">
        <v>13</v>
      </c>
    </row>
    <row r="2271" spans="1:20" x14ac:dyDescent="0.25">
      <c r="A2271" t="s">
        <v>925</v>
      </c>
      <c r="B2271" s="4" t="s">
        <v>9</v>
      </c>
      <c r="C2271" s="4" t="s">
        <v>73</v>
      </c>
      <c r="D2271" s="4">
        <v>46139</v>
      </c>
      <c r="E2271" s="5">
        <v>0.5368518518518518</v>
      </c>
      <c r="F2271">
        <v>1</v>
      </c>
      <c r="G2271" t="s">
        <v>83</v>
      </c>
      <c r="H2271">
        <v>12.916666666666666</v>
      </c>
      <c r="M2271" t="s">
        <v>74</v>
      </c>
      <c r="N2271" t="s">
        <v>77</v>
      </c>
    </row>
    <row r="2272" spans="1:20" x14ac:dyDescent="0.25">
      <c r="A2272" t="s">
        <v>925</v>
      </c>
      <c r="B2272" s="4" t="s">
        <v>9</v>
      </c>
      <c r="C2272" s="4" t="s">
        <v>73</v>
      </c>
      <c r="D2272" s="4">
        <v>46139</v>
      </c>
      <c r="E2272" s="5">
        <v>0.5368518518518518</v>
      </c>
      <c r="F2272">
        <v>1</v>
      </c>
      <c r="G2272" t="s">
        <v>83</v>
      </c>
      <c r="H2272">
        <v>12.833333333333334</v>
      </c>
      <c r="M2272" t="s">
        <v>74</v>
      </c>
      <c r="N2272" t="s">
        <v>77</v>
      </c>
    </row>
    <row r="2273" spans="1:20" x14ac:dyDescent="0.25">
      <c r="A2273" t="s">
        <v>925</v>
      </c>
      <c r="B2273" s="4" t="s">
        <v>9</v>
      </c>
      <c r="C2273" s="4" t="s">
        <v>73</v>
      </c>
      <c r="D2273" s="4">
        <v>46139</v>
      </c>
      <c r="E2273" s="5">
        <v>0.53732638888888884</v>
      </c>
      <c r="F2273">
        <v>1</v>
      </c>
      <c r="G2273" t="s">
        <v>83</v>
      </c>
      <c r="H2273">
        <v>13</v>
      </c>
      <c r="M2273" t="s">
        <v>76</v>
      </c>
      <c r="N2273" t="s">
        <v>77</v>
      </c>
    </row>
    <row r="2274" spans="1:20" x14ac:dyDescent="0.25">
      <c r="A2274" t="s">
        <v>931</v>
      </c>
      <c r="B2274" s="4" t="s">
        <v>9</v>
      </c>
      <c r="C2274" s="4" t="s">
        <v>70</v>
      </c>
      <c r="D2274" s="4">
        <v>46139</v>
      </c>
      <c r="E2274" s="5">
        <v>0.5386805555555555</v>
      </c>
      <c r="F2274">
        <v>1</v>
      </c>
      <c r="G2274" t="s">
        <v>83</v>
      </c>
      <c r="H2274">
        <v>15</v>
      </c>
      <c r="L2274" t="s">
        <v>932</v>
      </c>
      <c r="M2274" t="s">
        <v>71</v>
      </c>
      <c r="N2274" t="s">
        <v>75</v>
      </c>
      <c r="O2274">
        <v>1</v>
      </c>
      <c r="R2274">
        <v>1</v>
      </c>
      <c r="S2274">
        <v>1</v>
      </c>
      <c r="T2274">
        <v>12.25</v>
      </c>
    </row>
    <row r="2275" spans="1:20" x14ac:dyDescent="0.25">
      <c r="A2275" t="s">
        <v>932</v>
      </c>
      <c r="B2275" s="4" t="s">
        <v>9</v>
      </c>
      <c r="C2275" s="4" t="s">
        <v>73</v>
      </c>
      <c r="D2275" s="4">
        <v>46139</v>
      </c>
      <c r="E2275" s="5">
        <v>0.5386805555555555</v>
      </c>
      <c r="F2275">
        <v>1</v>
      </c>
      <c r="G2275" t="s">
        <v>83</v>
      </c>
      <c r="H2275">
        <v>12.583333333333334</v>
      </c>
      <c r="M2275" t="s">
        <v>84</v>
      </c>
      <c r="N2275" t="s">
        <v>75</v>
      </c>
    </row>
    <row r="2276" spans="1:20" x14ac:dyDescent="0.25">
      <c r="A2276" t="s">
        <v>932</v>
      </c>
      <c r="B2276" s="4" t="s">
        <v>9</v>
      </c>
      <c r="C2276" s="4" t="s">
        <v>73</v>
      </c>
      <c r="D2276" s="4">
        <v>46139</v>
      </c>
      <c r="E2276" s="5">
        <v>0.5386805555555555</v>
      </c>
      <c r="F2276">
        <v>1</v>
      </c>
      <c r="G2276" t="s">
        <v>83</v>
      </c>
      <c r="H2276">
        <v>12.5</v>
      </c>
      <c r="M2276" t="s">
        <v>84</v>
      </c>
      <c r="N2276" t="s">
        <v>75</v>
      </c>
    </row>
    <row r="2277" spans="1:20" x14ac:dyDescent="0.25">
      <c r="A2277" t="s">
        <v>932</v>
      </c>
      <c r="B2277" s="4" t="s">
        <v>9</v>
      </c>
      <c r="C2277" s="4" t="s">
        <v>73</v>
      </c>
      <c r="D2277" s="4">
        <v>46139</v>
      </c>
      <c r="E2277" s="5">
        <v>0.53901620370370373</v>
      </c>
      <c r="F2277">
        <v>1</v>
      </c>
      <c r="G2277" t="s">
        <v>83</v>
      </c>
      <c r="H2277">
        <v>12.25</v>
      </c>
      <c r="M2277" t="s">
        <v>76</v>
      </c>
      <c r="N2277" t="s">
        <v>75</v>
      </c>
    </row>
    <row r="2278" spans="1:20" x14ac:dyDescent="0.25">
      <c r="A2278" t="s">
        <v>938</v>
      </c>
      <c r="B2278" s="4" t="s">
        <v>9</v>
      </c>
      <c r="C2278" s="4" t="s">
        <v>70</v>
      </c>
      <c r="D2278" s="4">
        <v>46139</v>
      </c>
      <c r="E2278" s="5">
        <v>0.53995370370370366</v>
      </c>
      <c r="F2278">
        <v>1</v>
      </c>
      <c r="G2278" t="s">
        <v>83</v>
      </c>
      <c r="H2278">
        <v>38</v>
      </c>
      <c r="L2278" t="s">
        <v>939</v>
      </c>
      <c r="M2278" t="s">
        <v>71</v>
      </c>
      <c r="N2278" t="s">
        <v>72</v>
      </c>
      <c r="O2278">
        <v>1</v>
      </c>
      <c r="S2278">
        <v>1</v>
      </c>
      <c r="T2278">
        <v>36.5</v>
      </c>
    </row>
    <row r="2279" spans="1:20" x14ac:dyDescent="0.25">
      <c r="A2279" t="s">
        <v>939</v>
      </c>
      <c r="B2279" s="4" t="s">
        <v>9</v>
      </c>
      <c r="C2279" s="4" t="s">
        <v>73</v>
      </c>
      <c r="D2279" s="4">
        <v>46139</v>
      </c>
      <c r="E2279" s="5">
        <v>0.53995370370370366</v>
      </c>
      <c r="F2279">
        <v>1</v>
      </c>
      <c r="G2279" t="s">
        <v>83</v>
      </c>
      <c r="H2279">
        <v>38.416666666666664</v>
      </c>
      <c r="M2279" t="s">
        <v>79</v>
      </c>
      <c r="N2279" t="s">
        <v>72</v>
      </c>
    </row>
    <row r="2280" spans="1:20" x14ac:dyDescent="0.25">
      <c r="A2280" t="s">
        <v>939</v>
      </c>
      <c r="B2280" s="4" t="s">
        <v>9</v>
      </c>
      <c r="C2280" s="4" t="s">
        <v>73</v>
      </c>
      <c r="D2280" s="4">
        <v>46139</v>
      </c>
      <c r="E2280" s="5">
        <v>0.53995370370370366</v>
      </c>
      <c r="F2280">
        <v>1</v>
      </c>
      <c r="G2280" t="s">
        <v>83</v>
      </c>
      <c r="H2280">
        <v>38.333333333333336</v>
      </c>
      <c r="M2280" t="s">
        <v>79</v>
      </c>
      <c r="N2280" t="s">
        <v>72</v>
      </c>
    </row>
    <row r="2281" spans="1:20" x14ac:dyDescent="0.25">
      <c r="A2281" t="s">
        <v>939</v>
      </c>
      <c r="B2281" s="4" t="s">
        <v>9</v>
      </c>
      <c r="C2281" s="4" t="s">
        <v>73</v>
      </c>
      <c r="D2281" s="4">
        <v>46139</v>
      </c>
      <c r="E2281" s="5">
        <v>0.54039351851851847</v>
      </c>
      <c r="F2281">
        <v>1</v>
      </c>
      <c r="G2281" t="s">
        <v>83</v>
      </c>
      <c r="H2281">
        <v>36.5</v>
      </c>
      <c r="M2281" t="s">
        <v>76</v>
      </c>
      <c r="N2281" t="s">
        <v>72</v>
      </c>
    </row>
    <row r="2282" spans="1:20" x14ac:dyDescent="0.25">
      <c r="A2282" t="s">
        <v>942</v>
      </c>
      <c r="B2282" s="4" t="s">
        <v>9</v>
      </c>
      <c r="C2282" s="4" t="s">
        <v>70</v>
      </c>
      <c r="D2282" s="4">
        <v>46139</v>
      </c>
      <c r="E2282" s="5">
        <v>0.54091435185185188</v>
      </c>
      <c r="F2282">
        <v>1</v>
      </c>
      <c r="G2282" t="s">
        <v>83</v>
      </c>
      <c r="H2282">
        <v>0.5</v>
      </c>
      <c r="L2282" t="s">
        <v>943</v>
      </c>
      <c r="M2282" t="s">
        <v>71</v>
      </c>
      <c r="N2282" t="s">
        <v>77</v>
      </c>
      <c r="O2282">
        <v>1</v>
      </c>
      <c r="S2282">
        <v>1</v>
      </c>
      <c r="T2282">
        <v>70.916666666666657</v>
      </c>
    </row>
    <row r="2283" spans="1:20" x14ac:dyDescent="0.25">
      <c r="A2283" t="s">
        <v>943</v>
      </c>
      <c r="B2283" s="4" t="s">
        <v>9</v>
      </c>
      <c r="C2283" s="4" t="s">
        <v>73</v>
      </c>
      <c r="D2283" s="4">
        <v>46139</v>
      </c>
      <c r="E2283" s="5">
        <v>0.54091435185185188</v>
      </c>
      <c r="F2283">
        <v>1</v>
      </c>
      <c r="G2283" t="s">
        <v>83</v>
      </c>
      <c r="H2283">
        <v>72</v>
      </c>
      <c r="M2283" t="s">
        <v>84</v>
      </c>
      <c r="N2283" t="s">
        <v>77</v>
      </c>
    </row>
    <row r="2284" spans="1:20" x14ac:dyDescent="0.25">
      <c r="A2284" t="s">
        <v>943</v>
      </c>
      <c r="B2284" s="4" t="s">
        <v>9</v>
      </c>
      <c r="C2284" s="4" t="s">
        <v>73</v>
      </c>
      <c r="D2284" s="4">
        <v>46139</v>
      </c>
      <c r="E2284" s="5">
        <v>0.54091435185185188</v>
      </c>
      <c r="F2284">
        <v>1</v>
      </c>
      <c r="G2284" t="s">
        <v>83</v>
      </c>
      <c r="H2284">
        <v>71.916666666666657</v>
      </c>
      <c r="M2284" t="s">
        <v>84</v>
      </c>
      <c r="N2284" t="s">
        <v>77</v>
      </c>
    </row>
    <row r="2285" spans="1:20" x14ac:dyDescent="0.25">
      <c r="A2285" t="s">
        <v>943</v>
      </c>
      <c r="B2285" s="4" t="s">
        <v>9</v>
      </c>
      <c r="C2285" s="4" t="s">
        <v>73</v>
      </c>
      <c r="D2285" s="4">
        <v>46139</v>
      </c>
      <c r="E2285" s="5">
        <v>0.54182870370370362</v>
      </c>
      <c r="F2285">
        <v>1</v>
      </c>
      <c r="G2285" t="s">
        <v>83</v>
      </c>
      <c r="H2285">
        <v>71.416666666666657</v>
      </c>
      <c r="M2285" t="s">
        <v>84</v>
      </c>
      <c r="N2285" t="s">
        <v>77</v>
      </c>
    </row>
    <row r="2286" spans="1:20" x14ac:dyDescent="0.25">
      <c r="A2286" t="s">
        <v>943</v>
      </c>
      <c r="B2286" s="4" t="s">
        <v>9</v>
      </c>
      <c r="C2286" s="4" t="s">
        <v>73</v>
      </c>
      <c r="D2286" s="4">
        <v>46139</v>
      </c>
      <c r="E2286" s="5">
        <v>0.54217592592592589</v>
      </c>
      <c r="F2286">
        <v>1</v>
      </c>
      <c r="G2286" t="s">
        <v>83</v>
      </c>
      <c r="H2286">
        <v>70.916666666666657</v>
      </c>
      <c r="M2286" t="s">
        <v>84</v>
      </c>
      <c r="N2286" t="s">
        <v>77</v>
      </c>
    </row>
    <row r="2287" spans="1:20" x14ac:dyDescent="0.25">
      <c r="A2287" t="s">
        <v>943</v>
      </c>
      <c r="B2287" s="4" t="s">
        <v>9</v>
      </c>
      <c r="C2287" s="4" t="s">
        <v>73</v>
      </c>
      <c r="D2287" s="4">
        <v>46139</v>
      </c>
      <c r="E2287" s="5">
        <v>0.54248842592592583</v>
      </c>
      <c r="F2287">
        <v>1</v>
      </c>
      <c r="G2287" t="s">
        <v>83</v>
      </c>
      <c r="H2287">
        <v>70.916666666666657</v>
      </c>
      <c r="M2287" t="s">
        <v>76</v>
      </c>
      <c r="N2287" t="s">
        <v>77</v>
      </c>
    </row>
    <row r="2288" spans="1:20" x14ac:dyDescent="0.25">
      <c r="A2288" t="s">
        <v>949</v>
      </c>
      <c r="B2288" s="4" t="s">
        <v>9</v>
      </c>
      <c r="C2288" s="4" t="s">
        <v>70</v>
      </c>
      <c r="D2288" s="4">
        <v>46139</v>
      </c>
      <c r="E2288" s="5">
        <v>0.54314814814814816</v>
      </c>
      <c r="F2288">
        <v>1</v>
      </c>
      <c r="G2288" t="s">
        <v>83</v>
      </c>
      <c r="H2288">
        <v>4</v>
      </c>
      <c r="L2288" t="s">
        <v>950</v>
      </c>
      <c r="M2288" t="s">
        <v>71</v>
      </c>
      <c r="N2288" t="s">
        <v>75</v>
      </c>
      <c r="O2288">
        <v>1</v>
      </c>
      <c r="S2288">
        <v>1</v>
      </c>
      <c r="T2288">
        <v>76.166666666666657</v>
      </c>
    </row>
    <row r="2289" spans="1:20" x14ac:dyDescent="0.25">
      <c r="A2289" t="s">
        <v>950</v>
      </c>
      <c r="B2289" s="4" t="s">
        <v>9</v>
      </c>
      <c r="C2289" s="4" t="s">
        <v>73</v>
      </c>
      <c r="D2289" s="4">
        <v>46139</v>
      </c>
      <c r="E2289" s="5">
        <v>0.54314814814814816</v>
      </c>
      <c r="F2289">
        <v>1</v>
      </c>
      <c r="G2289" t="s">
        <v>83</v>
      </c>
      <c r="H2289">
        <v>76.166666666666657</v>
      </c>
      <c r="L2289" t="s">
        <v>951</v>
      </c>
      <c r="M2289" t="s">
        <v>84</v>
      </c>
      <c r="N2289" t="s">
        <v>75</v>
      </c>
    </row>
    <row r="2290" spans="1:20" x14ac:dyDescent="0.25">
      <c r="A2290" t="s">
        <v>950</v>
      </c>
      <c r="B2290" s="4" t="s">
        <v>9</v>
      </c>
      <c r="C2290" s="4" t="s">
        <v>73</v>
      </c>
      <c r="D2290" s="4">
        <v>46139</v>
      </c>
      <c r="E2290" s="5">
        <v>0.54357638888888882</v>
      </c>
      <c r="F2290">
        <v>1</v>
      </c>
      <c r="G2290" t="s">
        <v>83</v>
      </c>
      <c r="H2290">
        <v>76.166666666666657</v>
      </c>
      <c r="L2290" t="s">
        <v>951</v>
      </c>
      <c r="M2290" t="s">
        <v>76</v>
      </c>
      <c r="N2290" t="s">
        <v>75</v>
      </c>
    </row>
    <row r="2291" spans="1:20" x14ac:dyDescent="0.25">
      <c r="A2291" t="s">
        <v>958</v>
      </c>
      <c r="B2291" s="4" t="s">
        <v>9</v>
      </c>
      <c r="C2291" s="4" t="s">
        <v>70</v>
      </c>
      <c r="D2291" s="4">
        <v>46139</v>
      </c>
      <c r="E2291" s="5">
        <v>0.54498842592592589</v>
      </c>
      <c r="F2291">
        <v>1</v>
      </c>
      <c r="G2291" t="s">
        <v>83</v>
      </c>
      <c r="H2291">
        <v>11.5</v>
      </c>
      <c r="L2291" t="s">
        <v>959</v>
      </c>
      <c r="M2291" t="s">
        <v>71</v>
      </c>
      <c r="N2291" t="s">
        <v>72</v>
      </c>
      <c r="O2291">
        <v>1</v>
      </c>
      <c r="R2291">
        <v>1</v>
      </c>
      <c r="S2291">
        <v>1</v>
      </c>
      <c r="T2291">
        <v>16.75</v>
      </c>
    </row>
    <row r="2292" spans="1:20" x14ac:dyDescent="0.25">
      <c r="A2292" t="s">
        <v>959</v>
      </c>
      <c r="B2292" s="4" t="s">
        <v>9</v>
      </c>
      <c r="C2292" s="4" t="s">
        <v>73</v>
      </c>
      <c r="D2292" s="4">
        <v>46139</v>
      </c>
      <c r="E2292" s="5">
        <v>0.54498842592592589</v>
      </c>
      <c r="F2292">
        <v>1</v>
      </c>
      <c r="G2292" t="s">
        <v>83</v>
      </c>
      <c r="H2292">
        <v>20</v>
      </c>
      <c r="M2292" t="s">
        <v>79</v>
      </c>
      <c r="N2292" t="s">
        <v>72</v>
      </c>
    </row>
    <row r="2293" spans="1:20" x14ac:dyDescent="0.25">
      <c r="A2293" t="s">
        <v>959</v>
      </c>
      <c r="B2293" s="4" t="s">
        <v>9</v>
      </c>
      <c r="C2293" s="4" t="s">
        <v>73</v>
      </c>
      <c r="D2293" s="4">
        <v>46139</v>
      </c>
      <c r="E2293" s="5">
        <v>0.54498842592592589</v>
      </c>
      <c r="F2293">
        <v>1</v>
      </c>
      <c r="G2293" t="s">
        <v>83</v>
      </c>
      <c r="H2293">
        <v>19.916666666666664</v>
      </c>
      <c r="M2293" t="s">
        <v>79</v>
      </c>
      <c r="N2293" t="s">
        <v>72</v>
      </c>
    </row>
    <row r="2294" spans="1:20" x14ac:dyDescent="0.25">
      <c r="A2294" t="s">
        <v>959</v>
      </c>
      <c r="B2294" s="4" t="s">
        <v>9</v>
      </c>
      <c r="C2294" s="4" t="s">
        <v>73</v>
      </c>
      <c r="D2294" s="4">
        <v>46139</v>
      </c>
      <c r="E2294" s="5">
        <v>0.54556712962962961</v>
      </c>
      <c r="F2294">
        <v>1</v>
      </c>
      <c r="G2294" t="s">
        <v>83</v>
      </c>
      <c r="H2294">
        <v>16.75</v>
      </c>
      <c r="M2294" t="s">
        <v>76</v>
      </c>
      <c r="N2294" t="s">
        <v>72</v>
      </c>
    </row>
    <row r="2295" spans="1:20" x14ac:dyDescent="0.25">
      <c r="A2295" t="s">
        <v>964</v>
      </c>
      <c r="B2295" s="4" t="s">
        <v>9</v>
      </c>
      <c r="C2295" s="4" t="s">
        <v>70</v>
      </c>
      <c r="D2295" s="4">
        <v>46139</v>
      </c>
      <c r="E2295" s="5">
        <v>0.54715277777777782</v>
      </c>
      <c r="F2295">
        <v>1</v>
      </c>
      <c r="G2295" t="s">
        <v>83</v>
      </c>
      <c r="H2295">
        <v>25</v>
      </c>
      <c r="L2295" t="s">
        <v>965</v>
      </c>
      <c r="M2295" t="s">
        <v>71</v>
      </c>
      <c r="N2295" t="s">
        <v>75</v>
      </c>
      <c r="O2295">
        <v>1</v>
      </c>
      <c r="S2295">
        <v>1</v>
      </c>
      <c r="T2295">
        <v>160.33333333333334</v>
      </c>
    </row>
    <row r="2296" spans="1:20" x14ac:dyDescent="0.25">
      <c r="A2296" t="s">
        <v>965</v>
      </c>
      <c r="B2296" s="4" t="s">
        <v>9</v>
      </c>
      <c r="C2296" s="4" t="s">
        <v>73</v>
      </c>
      <c r="D2296" s="4">
        <v>46139</v>
      </c>
      <c r="E2296" s="5">
        <v>0.54715277777777782</v>
      </c>
      <c r="F2296">
        <v>1</v>
      </c>
      <c r="G2296" t="s">
        <v>83</v>
      </c>
      <c r="H2296">
        <v>160.41666666666666</v>
      </c>
      <c r="M2296" t="s">
        <v>84</v>
      </c>
      <c r="N2296" t="s">
        <v>75</v>
      </c>
    </row>
    <row r="2297" spans="1:20" x14ac:dyDescent="0.25">
      <c r="A2297" t="s">
        <v>965</v>
      </c>
      <c r="B2297" s="4" t="s">
        <v>9</v>
      </c>
      <c r="C2297" s="4" t="s">
        <v>73</v>
      </c>
      <c r="D2297" s="4">
        <v>46139</v>
      </c>
      <c r="E2297" s="5">
        <v>0.54715277777777782</v>
      </c>
      <c r="F2297">
        <v>1</v>
      </c>
      <c r="G2297" t="s">
        <v>83</v>
      </c>
      <c r="H2297">
        <v>160.33333333333334</v>
      </c>
      <c r="M2297" t="s">
        <v>84</v>
      </c>
      <c r="N2297" t="s">
        <v>75</v>
      </c>
    </row>
    <row r="2298" spans="1:20" x14ac:dyDescent="0.25">
      <c r="A2298" t="s">
        <v>965</v>
      </c>
      <c r="B2298" s="4" t="s">
        <v>9</v>
      </c>
      <c r="C2298" s="4" t="s">
        <v>73</v>
      </c>
      <c r="D2298" s="4">
        <v>46139</v>
      </c>
      <c r="E2298" s="5">
        <v>0.54731481481481481</v>
      </c>
      <c r="F2298">
        <v>1</v>
      </c>
      <c r="G2298" t="s">
        <v>83</v>
      </c>
      <c r="H2298">
        <v>160.33333333333334</v>
      </c>
      <c r="M2298" t="s">
        <v>76</v>
      </c>
      <c r="N2298" t="s">
        <v>75</v>
      </c>
    </row>
    <row r="2299" spans="1:20" x14ac:dyDescent="0.25">
      <c r="A2299" t="s">
        <v>971</v>
      </c>
      <c r="B2299" s="4" t="s">
        <v>9</v>
      </c>
      <c r="C2299" s="4" t="s">
        <v>70</v>
      </c>
      <c r="D2299" s="4">
        <v>46139</v>
      </c>
      <c r="E2299" s="5">
        <v>0.54835648148148153</v>
      </c>
      <c r="F2299">
        <v>1</v>
      </c>
      <c r="G2299" t="s">
        <v>83</v>
      </c>
      <c r="H2299">
        <v>100</v>
      </c>
      <c r="L2299" t="s">
        <v>972</v>
      </c>
      <c r="M2299" t="s">
        <v>71</v>
      </c>
      <c r="N2299" t="s">
        <v>75</v>
      </c>
      <c r="O2299">
        <v>1</v>
      </c>
      <c r="S2299">
        <v>1</v>
      </c>
      <c r="T2299">
        <v>77.166666666666657</v>
      </c>
    </row>
    <row r="2300" spans="1:20" x14ac:dyDescent="0.25">
      <c r="A2300" t="s">
        <v>972</v>
      </c>
      <c r="B2300" s="4" t="s">
        <v>9</v>
      </c>
      <c r="C2300" s="4" t="s">
        <v>73</v>
      </c>
      <c r="D2300" s="4">
        <v>46139</v>
      </c>
      <c r="E2300" s="5">
        <v>0.54835648148148153</v>
      </c>
      <c r="F2300">
        <v>1</v>
      </c>
      <c r="G2300" t="s">
        <v>83</v>
      </c>
      <c r="H2300">
        <v>77.166666666666657</v>
      </c>
      <c r="M2300" t="s">
        <v>84</v>
      </c>
      <c r="N2300" t="s">
        <v>75</v>
      </c>
    </row>
    <row r="2301" spans="1:20" x14ac:dyDescent="0.25">
      <c r="A2301" t="s">
        <v>972</v>
      </c>
      <c r="B2301" s="4" t="s">
        <v>9</v>
      </c>
      <c r="C2301" s="4" t="s">
        <v>73</v>
      </c>
      <c r="D2301" s="4">
        <v>46139</v>
      </c>
      <c r="E2301" s="5">
        <v>0.55000000000000004</v>
      </c>
      <c r="F2301">
        <v>1</v>
      </c>
      <c r="G2301" t="s">
        <v>83</v>
      </c>
      <c r="H2301">
        <v>77.166666666666657</v>
      </c>
      <c r="M2301" t="s">
        <v>76</v>
      </c>
      <c r="N2301" t="s">
        <v>75</v>
      </c>
    </row>
    <row r="2302" spans="1:20" x14ac:dyDescent="0.25">
      <c r="A2302" t="s">
        <v>986</v>
      </c>
      <c r="B2302" s="4" t="s">
        <v>9</v>
      </c>
      <c r="C2302" s="4" t="s">
        <v>70</v>
      </c>
      <c r="D2302" s="4">
        <v>46139</v>
      </c>
      <c r="E2302" s="5">
        <v>0.55280092592592589</v>
      </c>
      <c r="F2302">
        <v>1</v>
      </c>
      <c r="G2302" t="s">
        <v>83</v>
      </c>
      <c r="H2302">
        <v>40.75</v>
      </c>
      <c r="L2302" t="s">
        <v>987</v>
      </c>
      <c r="M2302" t="s">
        <v>71</v>
      </c>
      <c r="N2302" t="s">
        <v>72</v>
      </c>
      <c r="O2302">
        <v>1</v>
      </c>
      <c r="R2302">
        <v>1</v>
      </c>
      <c r="S2302">
        <v>1</v>
      </c>
      <c r="T2302">
        <v>9.4166666666666661</v>
      </c>
    </row>
    <row r="2303" spans="1:20" x14ac:dyDescent="0.25">
      <c r="A2303" t="s">
        <v>987</v>
      </c>
      <c r="B2303" s="4" t="s">
        <v>9</v>
      </c>
      <c r="C2303" s="4" t="s">
        <v>73</v>
      </c>
      <c r="D2303" s="4">
        <v>46139</v>
      </c>
      <c r="E2303" s="5">
        <v>0.55280092592592589</v>
      </c>
      <c r="F2303">
        <v>1</v>
      </c>
      <c r="G2303" t="s">
        <v>83</v>
      </c>
      <c r="H2303">
        <v>10.083333333333332</v>
      </c>
      <c r="M2303" t="s">
        <v>79</v>
      </c>
      <c r="N2303" t="s">
        <v>72</v>
      </c>
    </row>
    <row r="2304" spans="1:20" x14ac:dyDescent="0.25">
      <c r="A2304" t="s">
        <v>987</v>
      </c>
      <c r="B2304" s="4" t="s">
        <v>9</v>
      </c>
      <c r="C2304" s="4" t="s">
        <v>73</v>
      </c>
      <c r="D2304" s="4">
        <v>46139</v>
      </c>
      <c r="E2304" s="5">
        <v>0.55280092592592589</v>
      </c>
      <c r="F2304">
        <v>1</v>
      </c>
      <c r="G2304" t="s">
        <v>83</v>
      </c>
      <c r="H2304">
        <v>10</v>
      </c>
      <c r="M2304" t="s">
        <v>79</v>
      </c>
      <c r="N2304" t="s">
        <v>72</v>
      </c>
    </row>
    <row r="2305" spans="1:20" x14ac:dyDescent="0.25">
      <c r="A2305" t="s">
        <v>987</v>
      </c>
      <c r="B2305" s="4" t="s">
        <v>9</v>
      </c>
      <c r="C2305" s="4" t="s">
        <v>73</v>
      </c>
      <c r="D2305" s="4">
        <v>46139</v>
      </c>
      <c r="E2305" s="5">
        <v>0.55315972222222221</v>
      </c>
      <c r="F2305">
        <v>1</v>
      </c>
      <c r="G2305" t="s">
        <v>83</v>
      </c>
      <c r="H2305">
        <v>9.4166666666666661</v>
      </c>
      <c r="M2305" t="s">
        <v>76</v>
      </c>
      <c r="N2305" t="s">
        <v>72</v>
      </c>
    </row>
    <row r="2306" spans="1:20" x14ac:dyDescent="0.25">
      <c r="A2306" t="s">
        <v>990</v>
      </c>
      <c r="B2306" s="4" t="s">
        <v>9</v>
      </c>
      <c r="C2306" s="4" t="s">
        <v>70</v>
      </c>
      <c r="D2306" s="4">
        <v>46139</v>
      </c>
      <c r="E2306" s="5">
        <v>0.55385416666666665</v>
      </c>
      <c r="F2306">
        <v>1</v>
      </c>
      <c r="G2306" t="s">
        <v>83</v>
      </c>
      <c r="H2306">
        <v>4</v>
      </c>
      <c r="L2306" t="s">
        <v>991</v>
      </c>
      <c r="M2306" t="s">
        <v>71</v>
      </c>
      <c r="N2306" t="s">
        <v>75</v>
      </c>
      <c r="O2306">
        <v>1</v>
      </c>
      <c r="R2306">
        <v>1</v>
      </c>
      <c r="S2306">
        <v>1</v>
      </c>
      <c r="T2306">
        <v>14.666666666666666</v>
      </c>
    </row>
    <row r="2307" spans="1:20" x14ac:dyDescent="0.25">
      <c r="A2307" t="s">
        <v>991</v>
      </c>
      <c r="B2307" s="4" t="s">
        <v>9</v>
      </c>
      <c r="C2307" s="4" t="s">
        <v>73</v>
      </c>
      <c r="D2307" s="4">
        <v>46139</v>
      </c>
      <c r="E2307" s="5">
        <v>0.55385416666666665</v>
      </c>
      <c r="F2307">
        <v>1</v>
      </c>
      <c r="G2307" t="s">
        <v>83</v>
      </c>
      <c r="H2307">
        <v>14.75</v>
      </c>
      <c r="M2307" t="s">
        <v>84</v>
      </c>
      <c r="N2307" t="s">
        <v>75</v>
      </c>
    </row>
    <row r="2308" spans="1:20" x14ac:dyDescent="0.25">
      <c r="A2308" t="s">
        <v>991</v>
      </c>
      <c r="B2308" s="4" t="s">
        <v>9</v>
      </c>
      <c r="C2308" s="4" t="s">
        <v>73</v>
      </c>
      <c r="D2308" s="4">
        <v>46139</v>
      </c>
      <c r="E2308" s="5">
        <v>0.55385416666666665</v>
      </c>
      <c r="F2308">
        <v>1</v>
      </c>
      <c r="G2308" t="s">
        <v>83</v>
      </c>
      <c r="H2308">
        <v>14.666666666666666</v>
      </c>
      <c r="M2308" t="s">
        <v>84</v>
      </c>
      <c r="N2308" t="s">
        <v>75</v>
      </c>
    </row>
    <row r="2309" spans="1:20" x14ac:dyDescent="0.25">
      <c r="A2309" t="s">
        <v>991</v>
      </c>
      <c r="B2309" s="4" t="s">
        <v>9</v>
      </c>
      <c r="C2309" s="4" t="s">
        <v>73</v>
      </c>
      <c r="D2309" s="4">
        <v>46139</v>
      </c>
      <c r="E2309" s="5">
        <v>0.55465277777777777</v>
      </c>
      <c r="F2309">
        <v>1</v>
      </c>
      <c r="G2309" t="s">
        <v>83</v>
      </c>
      <c r="H2309">
        <v>14.666666666666666</v>
      </c>
      <c r="M2309" t="s">
        <v>76</v>
      </c>
      <c r="N2309" t="s">
        <v>75</v>
      </c>
    </row>
    <row r="2310" spans="1:20" x14ac:dyDescent="0.25">
      <c r="A2310" t="s">
        <v>995</v>
      </c>
      <c r="B2310" s="4" t="s">
        <v>9</v>
      </c>
      <c r="C2310" s="4" t="s">
        <v>70</v>
      </c>
      <c r="D2310" s="4">
        <v>46139</v>
      </c>
      <c r="E2310" s="5">
        <v>0.55542824074074071</v>
      </c>
      <c r="F2310">
        <v>1</v>
      </c>
      <c r="G2310" t="s">
        <v>83</v>
      </c>
      <c r="H2310">
        <v>5</v>
      </c>
      <c r="L2310" t="s">
        <v>996</v>
      </c>
      <c r="M2310" t="s">
        <v>71</v>
      </c>
      <c r="N2310" t="s">
        <v>72</v>
      </c>
      <c r="O2310">
        <v>1</v>
      </c>
      <c r="S2310">
        <v>1</v>
      </c>
      <c r="T2310">
        <v>75.416666666666671</v>
      </c>
    </row>
    <row r="2311" spans="1:20" x14ac:dyDescent="0.25">
      <c r="A2311" t="s">
        <v>996</v>
      </c>
      <c r="B2311" s="4" t="s">
        <v>9</v>
      </c>
      <c r="C2311" s="4" t="s">
        <v>73</v>
      </c>
      <c r="D2311" s="4">
        <v>46139</v>
      </c>
      <c r="E2311" s="5">
        <v>0.55542824074074071</v>
      </c>
      <c r="F2311">
        <v>1</v>
      </c>
      <c r="G2311" t="s">
        <v>83</v>
      </c>
      <c r="H2311">
        <v>75.5</v>
      </c>
      <c r="M2311" t="s">
        <v>84</v>
      </c>
      <c r="N2311" t="s">
        <v>72</v>
      </c>
    </row>
    <row r="2312" spans="1:20" x14ac:dyDescent="0.25">
      <c r="A2312" t="s">
        <v>996</v>
      </c>
      <c r="B2312" s="4" t="s">
        <v>9</v>
      </c>
      <c r="C2312" s="4" t="s">
        <v>73</v>
      </c>
      <c r="D2312" s="4">
        <v>46139</v>
      </c>
      <c r="E2312" s="5">
        <v>0.55542824074074071</v>
      </c>
      <c r="F2312">
        <v>1</v>
      </c>
      <c r="G2312" t="s">
        <v>83</v>
      </c>
      <c r="H2312">
        <v>75.416666666666671</v>
      </c>
      <c r="M2312" t="s">
        <v>84</v>
      </c>
      <c r="N2312" t="s">
        <v>72</v>
      </c>
    </row>
    <row r="2313" spans="1:20" x14ac:dyDescent="0.25">
      <c r="A2313" t="s">
        <v>996</v>
      </c>
      <c r="B2313" s="4" t="s">
        <v>9</v>
      </c>
      <c r="C2313" s="4" t="s">
        <v>73</v>
      </c>
      <c r="D2313" s="4">
        <v>46139</v>
      </c>
      <c r="E2313" s="5">
        <v>0.5555902777777777</v>
      </c>
      <c r="F2313">
        <v>1</v>
      </c>
      <c r="G2313" t="s">
        <v>83</v>
      </c>
      <c r="H2313">
        <v>75.416666666666671</v>
      </c>
      <c r="M2313" t="s">
        <v>76</v>
      </c>
      <c r="N2313" t="s">
        <v>72</v>
      </c>
    </row>
    <row r="2314" spans="1:20" x14ac:dyDescent="0.25">
      <c r="A2314" t="s">
        <v>1001</v>
      </c>
      <c r="B2314" s="4" t="s">
        <v>9</v>
      </c>
      <c r="C2314" s="4" t="s">
        <v>70</v>
      </c>
      <c r="D2314" s="4">
        <v>46139</v>
      </c>
      <c r="E2314" s="5">
        <v>0.55626157407407406</v>
      </c>
      <c r="F2314">
        <v>1</v>
      </c>
      <c r="G2314" t="s">
        <v>83</v>
      </c>
      <c r="H2314">
        <v>3</v>
      </c>
      <c r="L2314" t="s">
        <v>1002</v>
      </c>
      <c r="M2314" t="s">
        <v>71</v>
      </c>
      <c r="N2314" t="s">
        <v>75</v>
      </c>
      <c r="O2314">
        <v>1</v>
      </c>
      <c r="S2314">
        <v>1</v>
      </c>
      <c r="T2314">
        <v>43.416666666666664</v>
      </c>
    </row>
    <row r="2315" spans="1:20" x14ac:dyDescent="0.25">
      <c r="A2315" t="s">
        <v>1002</v>
      </c>
      <c r="B2315" s="4" t="s">
        <v>9</v>
      </c>
      <c r="C2315" s="4" t="s">
        <v>73</v>
      </c>
      <c r="D2315" s="4">
        <v>46139</v>
      </c>
      <c r="E2315" s="5">
        <v>0.55626157407407406</v>
      </c>
      <c r="F2315">
        <v>1</v>
      </c>
      <c r="G2315" t="s">
        <v>83</v>
      </c>
      <c r="H2315">
        <v>43.5</v>
      </c>
      <c r="M2315" t="s">
        <v>79</v>
      </c>
      <c r="N2315" t="s">
        <v>75</v>
      </c>
    </row>
    <row r="2316" spans="1:20" x14ac:dyDescent="0.25">
      <c r="A2316" t="s">
        <v>1002</v>
      </c>
      <c r="B2316" s="4" t="s">
        <v>9</v>
      </c>
      <c r="C2316" s="4" t="s">
        <v>73</v>
      </c>
      <c r="D2316" s="4">
        <v>46139</v>
      </c>
      <c r="E2316" s="5">
        <v>0.55658564814814815</v>
      </c>
      <c r="F2316">
        <v>1</v>
      </c>
      <c r="G2316" t="s">
        <v>83</v>
      </c>
      <c r="H2316">
        <v>43.416666666666664</v>
      </c>
      <c r="M2316" t="s">
        <v>76</v>
      </c>
      <c r="N2316" t="s">
        <v>75</v>
      </c>
    </row>
    <row r="2317" spans="1:20" x14ac:dyDescent="0.25">
      <c r="A2317" t="s">
        <v>1008</v>
      </c>
      <c r="B2317" s="4" t="s">
        <v>9</v>
      </c>
      <c r="C2317" s="4" t="s">
        <v>70</v>
      </c>
      <c r="D2317" s="4">
        <v>46139</v>
      </c>
      <c r="E2317" s="5">
        <v>0.55739583333333331</v>
      </c>
      <c r="F2317">
        <v>1</v>
      </c>
      <c r="G2317" t="s">
        <v>83</v>
      </c>
      <c r="H2317">
        <v>25</v>
      </c>
      <c r="L2317" t="s">
        <v>1009</v>
      </c>
      <c r="M2317" t="s">
        <v>71</v>
      </c>
      <c r="N2317" t="s">
        <v>75</v>
      </c>
      <c r="O2317">
        <v>1</v>
      </c>
      <c r="R2317">
        <v>1</v>
      </c>
      <c r="S2317">
        <v>1</v>
      </c>
      <c r="T2317">
        <v>6.833333333333333</v>
      </c>
    </row>
    <row r="2318" spans="1:20" x14ac:dyDescent="0.25">
      <c r="A2318" t="s">
        <v>1009</v>
      </c>
      <c r="B2318" s="4" t="s">
        <v>9</v>
      </c>
      <c r="C2318" s="4" t="s">
        <v>73</v>
      </c>
      <c r="D2318" s="4">
        <v>46139</v>
      </c>
      <c r="E2318" s="5">
        <v>0.55739583333333331</v>
      </c>
      <c r="F2318">
        <v>1</v>
      </c>
      <c r="G2318" t="s">
        <v>83</v>
      </c>
      <c r="H2318">
        <v>6.9166666666666661</v>
      </c>
      <c r="M2318" t="s">
        <v>84</v>
      </c>
      <c r="N2318" t="s">
        <v>75</v>
      </c>
    </row>
    <row r="2319" spans="1:20" x14ac:dyDescent="0.25">
      <c r="A2319" t="s">
        <v>1009</v>
      </c>
      <c r="B2319" s="4" t="s">
        <v>9</v>
      </c>
      <c r="C2319" s="4" t="s">
        <v>73</v>
      </c>
      <c r="D2319" s="4">
        <v>46139</v>
      </c>
      <c r="E2319" s="5">
        <v>0.55739583333333331</v>
      </c>
      <c r="F2319">
        <v>1</v>
      </c>
      <c r="G2319" t="s">
        <v>83</v>
      </c>
      <c r="H2319">
        <v>6.833333333333333</v>
      </c>
      <c r="M2319" t="s">
        <v>84</v>
      </c>
      <c r="N2319" t="s">
        <v>75</v>
      </c>
    </row>
    <row r="2320" spans="1:20" x14ac:dyDescent="0.25">
      <c r="A2320" t="s">
        <v>1009</v>
      </c>
      <c r="B2320" s="4" t="s">
        <v>9</v>
      </c>
      <c r="C2320" s="4" t="s">
        <v>73</v>
      </c>
      <c r="D2320" s="4">
        <v>46139</v>
      </c>
      <c r="E2320" s="5">
        <v>0.55793981481481469</v>
      </c>
      <c r="F2320">
        <v>1</v>
      </c>
      <c r="G2320" t="s">
        <v>83</v>
      </c>
      <c r="H2320">
        <v>6.833333333333333</v>
      </c>
      <c r="M2320" t="s">
        <v>76</v>
      </c>
      <c r="N2320" t="s">
        <v>75</v>
      </c>
    </row>
    <row r="2321" spans="1:21" x14ac:dyDescent="0.25">
      <c r="A2321" t="s">
        <v>1013</v>
      </c>
      <c r="B2321" s="4" t="s">
        <v>9</v>
      </c>
      <c r="C2321" s="4" t="s">
        <v>73</v>
      </c>
      <c r="D2321" s="4">
        <v>46139</v>
      </c>
      <c r="E2321" s="5">
        <v>0.55905092592592587</v>
      </c>
      <c r="F2321">
        <v>1</v>
      </c>
      <c r="G2321" t="s">
        <v>83</v>
      </c>
      <c r="H2321">
        <v>28.833333333333332</v>
      </c>
      <c r="M2321" t="s">
        <v>79</v>
      </c>
      <c r="N2321" t="s">
        <v>75</v>
      </c>
    </row>
    <row r="2322" spans="1:21" x14ac:dyDescent="0.25">
      <c r="A2322" t="s">
        <v>1016</v>
      </c>
      <c r="B2322" s="4" t="s">
        <v>9</v>
      </c>
      <c r="C2322" s="4" t="s">
        <v>70</v>
      </c>
      <c r="D2322" s="4">
        <v>46139</v>
      </c>
      <c r="E2322" s="5">
        <v>0.55956018518518524</v>
      </c>
      <c r="F2322">
        <v>1</v>
      </c>
      <c r="G2322" t="s">
        <v>83</v>
      </c>
      <c r="H2322">
        <v>27.5</v>
      </c>
      <c r="L2322" t="s">
        <v>1013</v>
      </c>
      <c r="M2322" t="s">
        <v>71</v>
      </c>
      <c r="N2322" t="s">
        <v>75</v>
      </c>
      <c r="O2322">
        <v>1</v>
      </c>
      <c r="Q2322">
        <v>1</v>
      </c>
      <c r="S2322">
        <v>1</v>
      </c>
      <c r="U2322">
        <v>0.33333333333333331</v>
      </c>
    </row>
    <row r="2323" spans="1:21" x14ac:dyDescent="0.25">
      <c r="A2323" t="s">
        <v>1013</v>
      </c>
      <c r="B2323" s="4" t="s">
        <v>9</v>
      </c>
      <c r="C2323" s="4" t="s">
        <v>73</v>
      </c>
      <c r="D2323" s="4">
        <v>46139</v>
      </c>
      <c r="E2323" s="5">
        <v>0.55956018518518524</v>
      </c>
      <c r="F2323">
        <v>1</v>
      </c>
      <c r="G2323" t="s">
        <v>83</v>
      </c>
      <c r="H2323">
        <v>1.3333333333333333</v>
      </c>
      <c r="M2323" t="s">
        <v>79</v>
      </c>
      <c r="N2323" t="s">
        <v>75</v>
      </c>
    </row>
    <row r="2324" spans="1:21" x14ac:dyDescent="0.25">
      <c r="A2324" t="s">
        <v>1013</v>
      </c>
      <c r="B2324" s="4" t="s">
        <v>9</v>
      </c>
      <c r="C2324" s="4" t="s">
        <v>73</v>
      </c>
      <c r="D2324" s="4">
        <v>46139</v>
      </c>
      <c r="E2324" s="5">
        <v>0.55956018518518524</v>
      </c>
      <c r="F2324">
        <v>1</v>
      </c>
      <c r="G2324" t="s">
        <v>83</v>
      </c>
      <c r="H2324">
        <v>0.33333333333333331</v>
      </c>
      <c r="M2324" t="s">
        <v>79</v>
      </c>
      <c r="N2324" t="s">
        <v>75</v>
      </c>
    </row>
    <row r="2325" spans="1:21" x14ac:dyDescent="0.25">
      <c r="A2325" t="s">
        <v>1013</v>
      </c>
      <c r="B2325" s="4" t="s">
        <v>9</v>
      </c>
      <c r="C2325" s="4" t="s">
        <v>73</v>
      </c>
      <c r="D2325" s="4">
        <v>46139</v>
      </c>
      <c r="E2325" s="5">
        <v>0.55956018518518524</v>
      </c>
      <c r="F2325">
        <v>1</v>
      </c>
      <c r="G2325" t="s">
        <v>83</v>
      </c>
      <c r="H2325">
        <v>0</v>
      </c>
      <c r="M2325" t="s">
        <v>79</v>
      </c>
      <c r="N2325" t="s">
        <v>75</v>
      </c>
    </row>
    <row r="2326" spans="1:21" x14ac:dyDescent="0.25">
      <c r="A2326" t="s">
        <v>1019</v>
      </c>
      <c r="B2326" s="4" t="s">
        <v>9</v>
      </c>
      <c r="C2326" s="4" t="s">
        <v>70</v>
      </c>
      <c r="D2326" s="4">
        <v>46139</v>
      </c>
      <c r="E2326" s="5">
        <v>0.56099537037037039</v>
      </c>
      <c r="F2326">
        <v>1</v>
      </c>
      <c r="G2326" t="s">
        <v>83</v>
      </c>
      <c r="H2326">
        <v>4</v>
      </c>
      <c r="L2326" t="s">
        <v>1020</v>
      </c>
      <c r="M2326" t="s">
        <v>71</v>
      </c>
      <c r="N2326" t="s">
        <v>75</v>
      </c>
      <c r="O2326">
        <v>1</v>
      </c>
      <c r="S2326">
        <v>1</v>
      </c>
      <c r="T2326">
        <v>87.25</v>
      </c>
    </row>
    <row r="2327" spans="1:21" x14ac:dyDescent="0.25">
      <c r="A2327" t="s">
        <v>1020</v>
      </c>
      <c r="B2327" s="4" t="s">
        <v>9</v>
      </c>
      <c r="C2327" s="4" t="s">
        <v>73</v>
      </c>
      <c r="D2327" s="4">
        <v>46139</v>
      </c>
      <c r="E2327" s="5">
        <v>0.56099537037037039</v>
      </c>
      <c r="F2327">
        <v>1</v>
      </c>
      <c r="G2327" t="s">
        <v>83</v>
      </c>
      <c r="H2327">
        <v>87.25</v>
      </c>
      <c r="M2327" t="s">
        <v>84</v>
      </c>
      <c r="N2327" t="s">
        <v>75</v>
      </c>
    </row>
    <row r="2328" spans="1:21" x14ac:dyDescent="0.25">
      <c r="A2328" t="s">
        <v>1020</v>
      </c>
      <c r="B2328" s="4" t="s">
        <v>9</v>
      </c>
      <c r="C2328" s="4" t="s">
        <v>73</v>
      </c>
      <c r="D2328" s="4">
        <v>46139</v>
      </c>
      <c r="E2328" s="5">
        <v>0.56119212962962961</v>
      </c>
      <c r="F2328">
        <v>1</v>
      </c>
      <c r="G2328" t="s">
        <v>83</v>
      </c>
      <c r="H2328">
        <v>87.25</v>
      </c>
      <c r="M2328" t="s">
        <v>76</v>
      </c>
      <c r="N2328" t="s">
        <v>75</v>
      </c>
    </row>
    <row r="2329" spans="1:21" x14ac:dyDescent="0.25">
      <c r="A2329" t="s">
        <v>1023</v>
      </c>
      <c r="B2329" s="4" t="s">
        <v>9</v>
      </c>
      <c r="C2329" s="4" t="s">
        <v>70</v>
      </c>
      <c r="D2329" s="4">
        <v>46139</v>
      </c>
      <c r="E2329" s="5">
        <v>0.56175925925925929</v>
      </c>
      <c r="F2329">
        <v>1</v>
      </c>
      <c r="G2329" t="s">
        <v>83</v>
      </c>
      <c r="H2329">
        <v>3</v>
      </c>
      <c r="L2329" t="s">
        <v>1024</v>
      </c>
      <c r="M2329" t="s">
        <v>71</v>
      </c>
      <c r="N2329" t="s">
        <v>75</v>
      </c>
      <c r="O2329">
        <v>1</v>
      </c>
      <c r="R2329">
        <v>1</v>
      </c>
      <c r="S2329">
        <v>1</v>
      </c>
      <c r="T2329">
        <v>11.083333333333334</v>
      </c>
    </row>
    <row r="2330" spans="1:21" x14ac:dyDescent="0.25">
      <c r="A2330" t="s">
        <v>1024</v>
      </c>
      <c r="B2330" s="4" t="s">
        <v>9</v>
      </c>
      <c r="C2330" s="4" t="s">
        <v>73</v>
      </c>
      <c r="D2330" s="4">
        <v>46139</v>
      </c>
      <c r="E2330" s="5">
        <v>0.56175925925925929</v>
      </c>
      <c r="F2330">
        <v>1</v>
      </c>
      <c r="G2330" t="s">
        <v>83</v>
      </c>
      <c r="H2330">
        <v>11.166666666666666</v>
      </c>
      <c r="M2330" t="s">
        <v>79</v>
      </c>
      <c r="N2330" t="s">
        <v>75</v>
      </c>
    </row>
    <row r="2331" spans="1:21" x14ac:dyDescent="0.25">
      <c r="A2331" t="s">
        <v>1024</v>
      </c>
      <c r="B2331" s="4" t="s">
        <v>9</v>
      </c>
      <c r="C2331" s="4" t="s">
        <v>73</v>
      </c>
      <c r="D2331" s="4">
        <v>46139</v>
      </c>
      <c r="E2331" s="5">
        <v>0.56175925925925929</v>
      </c>
      <c r="F2331">
        <v>1</v>
      </c>
      <c r="G2331" t="s">
        <v>83</v>
      </c>
      <c r="H2331">
        <v>11.083333333333334</v>
      </c>
      <c r="M2331" t="s">
        <v>79</v>
      </c>
      <c r="N2331" t="s">
        <v>75</v>
      </c>
    </row>
    <row r="2332" spans="1:21" x14ac:dyDescent="0.25">
      <c r="A2332" t="s">
        <v>1024</v>
      </c>
      <c r="B2332" s="4" t="s">
        <v>9</v>
      </c>
      <c r="C2332" s="4" t="s">
        <v>73</v>
      </c>
      <c r="D2332" s="4">
        <v>46139</v>
      </c>
      <c r="E2332" s="5">
        <v>0.56254629629629627</v>
      </c>
      <c r="F2332">
        <v>1</v>
      </c>
      <c r="G2332" t="s">
        <v>83</v>
      </c>
      <c r="H2332">
        <v>11.083333333333334</v>
      </c>
      <c r="M2332" t="s">
        <v>76</v>
      </c>
      <c r="N2332" t="s">
        <v>75</v>
      </c>
    </row>
    <row r="2333" spans="1:21" x14ac:dyDescent="0.25">
      <c r="A2333" t="s">
        <v>1029</v>
      </c>
      <c r="B2333" s="4" t="s">
        <v>9</v>
      </c>
      <c r="C2333" s="4" t="s">
        <v>70</v>
      </c>
      <c r="D2333" s="4">
        <v>46139</v>
      </c>
      <c r="E2333" s="5">
        <v>0.56359953703703702</v>
      </c>
      <c r="F2333">
        <v>1</v>
      </c>
      <c r="G2333" t="s">
        <v>83</v>
      </c>
      <c r="H2333">
        <v>40</v>
      </c>
      <c r="L2333" t="s">
        <v>1030</v>
      </c>
      <c r="M2333" t="s">
        <v>71</v>
      </c>
      <c r="N2333" t="s">
        <v>75</v>
      </c>
      <c r="O2333">
        <v>1</v>
      </c>
      <c r="S2333">
        <v>1</v>
      </c>
      <c r="T2333">
        <v>84.75</v>
      </c>
    </row>
    <row r="2334" spans="1:21" x14ac:dyDescent="0.25">
      <c r="A2334" t="s">
        <v>1030</v>
      </c>
      <c r="B2334" s="4" t="s">
        <v>9</v>
      </c>
      <c r="C2334" s="4" t="s">
        <v>73</v>
      </c>
      <c r="D2334" s="4">
        <v>46139</v>
      </c>
      <c r="E2334" s="5">
        <v>0.56359953703703702</v>
      </c>
      <c r="F2334">
        <v>1</v>
      </c>
      <c r="G2334" t="s">
        <v>83</v>
      </c>
      <c r="H2334">
        <v>84.75</v>
      </c>
      <c r="M2334" t="s">
        <v>84</v>
      </c>
      <c r="N2334" t="s">
        <v>75</v>
      </c>
    </row>
    <row r="2335" spans="1:21" x14ac:dyDescent="0.25">
      <c r="A2335" t="s">
        <v>1030</v>
      </c>
      <c r="B2335" s="4" t="s">
        <v>9</v>
      </c>
      <c r="C2335" s="4" t="s">
        <v>73</v>
      </c>
      <c r="D2335" s="4">
        <v>46139</v>
      </c>
      <c r="E2335" s="5">
        <v>0.56379629629629624</v>
      </c>
      <c r="F2335">
        <v>1</v>
      </c>
      <c r="G2335" t="s">
        <v>83</v>
      </c>
      <c r="H2335">
        <v>84.75</v>
      </c>
      <c r="M2335" t="s">
        <v>76</v>
      </c>
      <c r="N2335" t="s">
        <v>75</v>
      </c>
    </row>
    <row r="2336" spans="1:21" x14ac:dyDescent="0.25">
      <c r="A2336" t="s">
        <v>1038</v>
      </c>
      <c r="B2336" s="4" t="s">
        <v>9</v>
      </c>
      <c r="C2336" s="4" t="s">
        <v>70</v>
      </c>
      <c r="D2336" s="4">
        <v>46139</v>
      </c>
      <c r="E2336" s="5">
        <v>0.56679398148148152</v>
      </c>
      <c r="F2336">
        <v>1</v>
      </c>
      <c r="G2336" t="s">
        <v>83</v>
      </c>
      <c r="H2336">
        <v>74</v>
      </c>
      <c r="L2336" t="s">
        <v>972</v>
      </c>
      <c r="M2336" t="s">
        <v>71</v>
      </c>
      <c r="N2336" t="s">
        <v>75</v>
      </c>
      <c r="O2336">
        <v>1</v>
      </c>
      <c r="Q2336">
        <v>1</v>
      </c>
      <c r="S2336">
        <v>1</v>
      </c>
      <c r="U2336">
        <v>3.1666666666666661</v>
      </c>
    </row>
    <row r="2337" spans="1:20" x14ac:dyDescent="0.25">
      <c r="A2337" t="s">
        <v>972</v>
      </c>
      <c r="B2337" s="4" t="s">
        <v>9</v>
      </c>
      <c r="C2337" s="4" t="s">
        <v>73</v>
      </c>
      <c r="D2337" s="4">
        <v>46139</v>
      </c>
      <c r="E2337" s="5">
        <v>0.56679398148148152</v>
      </c>
      <c r="F2337">
        <v>1</v>
      </c>
      <c r="G2337" t="s">
        <v>83</v>
      </c>
      <c r="H2337">
        <v>3.1666666666666661</v>
      </c>
      <c r="M2337" t="s">
        <v>76</v>
      </c>
      <c r="N2337" t="s">
        <v>75</v>
      </c>
    </row>
    <row r="2338" spans="1:20" x14ac:dyDescent="0.25">
      <c r="A2338" t="s">
        <v>972</v>
      </c>
      <c r="B2338" s="4" t="s">
        <v>9</v>
      </c>
      <c r="C2338" s="4" t="s">
        <v>73</v>
      </c>
      <c r="D2338" s="4">
        <v>46139</v>
      </c>
      <c r="E2338" s="5">
        <v>0.56679398148148152</v>
      </c>
      <c r="F2338">
        <v>1</v>
      </c>
      <c r="G2338" t="s">
        <v>83</v>
      </c>
      <c r="H2338">
        <v>0</v>
      </c>
      <c r="M2338" t="s">
        <v>76</v>
      </c>
      <c r="N2338" t="s">
        <v>75</v>
      </c>
    </row>
    <row r="2339" spans="1:20" x14ac:dyDescent="0.25">
      <c r="A2339" t="s">
        <v>1041</v>
      </c>
      <c r="B2339" s="4" t="s">
        <v>9</v>
      </c>
      <c r="C2339" s="4" t="s">
        <v>70</v>
      </c>
      <c r="D2339" s="4">
        <v>46139</v>
      </c>
      <c r="E2339" s="5">
        <v>0.56744212962962959</v>
      </c>
      <c r="F2339">
        <v>1</v>
      </c>
      <c r="G2339" t="s">
        <v>83</v>
      </c>
      <c r="H2339">
        <v>3</v>
      </c>
      <c r="L2339" t="s">
        <v>1042</v>
      </c>
      <c r="M2339" t="s">
        <v>71</v>
      </c>
      <c r="N2339" t="s">
        <v>75</v>
      </c>
      <c r="O2339">
        <v>1</v>
      </c>
      <c r="R2339">
        <v>1</v>
      </c>
      <c r="S2339">
        <v>1</v>
      </c>
      <c r="T2339">
        <v>7.916666666666667</v>
      </c>
    </row>
    <row r="2340" spans="1:20" x14ac:dyDescent="0.25">
      <c r="A2340" t="s">
        <v>1042</v>
      </c>
      <c r="B2340" s="4" t="s">
        <v>9</v>
      </c>
      <c r="C2340" s="4" t="s">
        <v>73</v>
      </c>
      <c r="D2340" s="4">
        <v>46139</v>
      </c>
      <c r="E2340" s="5">
        <v>0.56744212962962959</v>
      </c>
      <c r="F2340">
        <v>1</v>
      </c>
      <c r="G2340" t="s">
        <v>83</v>
      </c>
      <c r="H2340">
        <v>8</v>
      </c>
      <c r="M2340" t="s">
        <v>79</v>
      </c>
      <c r="N2340" t="s">
        <v>75</v>
      </c>
    </row>
    <row r="2341" spans="1:20" x14ac:dyDescent="0.25">
      <c r="A2341" t="s">
        <v>1042</v>
      </c>
      <c r="B2341" s="4" t="s">
        <v>9</v>
      </c>
      <c r="C2341" s="4" t="s">
        <v>73</v>
      </c>
      <c r="D2341" s="4">
        <v>46139</v>
      </c>
      <c r="E2341" s="5">
        <v>0.56744212962962959</v>
      </c>
      <c r="F2341">
        <v>1</v>
      </c>
      <c r="G2341" t="s">
        <v>83</v>
      </c>
      <c r="H2341">
        <v>7.916666666666667</v>
      </c>
      <c r="M2341" t="s">
        <v>79</v>
      </c>
      <c r="N2341" t="s">
        <v>75</v>
      </c>
    </row>
    <row r="2342" spans="1:20" x14ac:dyDescent="0.25">
      <c r="A2342" t="s">
        <v>1042</v>
      </c>
      <c r="B2342" s="4" t="s">
        <v>9</v>
      </c>
      <c r="C2342" s="4" t="s">
        <v>73</v>
      </c>
      <c r="D2342" s="4">
        <v>46139</v>
      </c>
      <c r="E2342" s="5">
        <v>0.56765046296296284</v>
      </c>
      <c r="F2342">
        <v>1</v>
      </c>
      <c r="G2342" t="s">
        <v>83</v>
      </c>
      <c r="H2342">
        <v>7.916666666666667</v>
      </c>
      <c r="M2342" t="s">
        <v>76</v>
      </c>
      <c r="N2342" t="s">
        <v>75</v>
      </c>
    </row>
    <row r="2343" spans="1:20" x14ac:dyDescent="0.25">
      <c r="A2343" t="s">
        <v>1043</v>
      </c>
      <c r="B2343" s="4" t="s">
        <v>9</v>
      </c>
      <c r="C2343" s="4" t="s">
        <v>70</v>
      </c>
      <c r="D2343" s="4">
        <v>46139</v>
      </c>
      <c r="E2343" s="5">
        <v>0.5682638888888889</v>
      </c>
      <c r="F2343">
        <v>1</v>
      </c>
      <c r="G2343" t="s">
        <v>83</v>
      </c>
      <c r="H2343">
        <v>1</v>
      </c>
      <c r="L2343" t="s">
        <v>1044</v>
      </c>
      <c r="M2343" t="s">
        <v>71</v>
      </c>
      <c r="N2343" t="s">
        <v>78</v>
      </c>
      <c r="O2343">
        <v>1</v>
      </c>
      <c r="R2343">
        <v>1</v>
      </c>
      <c r="S2343">
        <v>1</v>
      </c>
      <c r="T2343">
        <v>9.3333333333333321</v>
      </c>
    </row>
    <row r="2344" spans="1:20" x14ac:dyDescent="0.25">
      <c r="A2344" t="s">
        <v>1044</v>
      </c>
      <c r="B2344" s="4" t="s">
        <v>9</v>
      </c>
      <c r="C2344" s="4" t="s">
        <v>73</v>
      </c>
      <c r="D2344" s="4">
        <v>46139</v>
      </c>
      <c r="E2344" s="5">
        <v>0.5682638888888889</v>
      </c>
      <c r="F2344">
        <v>1</v>
      </c>
      <c r="G2344" t="s">
        <v>83</v>
      </c>
      <c r="H2344">
        <v>9.4166666666666661</v>
      </c>
      <c r="M2344" t="s">
        <v>84</v>
      </c>
      <c r="N2344" t="s">
        <v>78</v>
      </c>
    </row>
    <row r="2345" spans="1:20" x14ac:dyDescent="0.25">
      <c r="A2345" t="s">
        <v>1044</v>
      </c>
      <c r="B2345" s="4" t="s">
        <v>9</v>
      </c>
      <c r="C2345" s="4" t="s">
        <v>73</v>
      </c>
      <c r="D2345" s="4">
        <v>46139</v>
      </c>
      <c r="E2345" s="5">
        <v>0.56842592592592589</v>
      </c>
      <c r="F2345">
        <v>1</v>
      </c>
      <c r="G2345" t="s">
        <v>83</v>
      </c>
      <c r="H2345">
        <v>9.3333333333333321</v>
      </c>
      <c r="M2345" t="s">
        <v>76</v>
      </c>
      <c r="N2345" t="s">
        <v>78</v>
      </c>
    </row>
    <row r="2346" spans="1:20" x14ac:dyDescent="0.25">
      <c r="A2346" t="s">
        <v>1048</v>
      </c>
      <c r="B2346" s="4" t="s">
        <v>9</v>
      </c>
      <c r="C2346" s="4" t="s">
        <v>70</v>
      </c>
      <c r="D2346" s="4">
        <v>46139</v>
      </c>
      <c r="E2346" s="5">
        <v>0.56940972222222219</v>
      </c>
      <c r="F2346">
        <v>1</v>
      </c>
      <c r="G2346" t="s">
        <v>83</v>
      </c>
      <c r="H2346">
        <v>18.5</v>
      </c>
      <c r="L2346" t="s">
        <v>1049</v>
      </c>
      <c r="M2346" t="s">
        <v>71</v>
      </c>
      <c r="N2346" t="s">
        <v>75</v>
      </c>
      <c r="O2346">
        <v>1</v>
      </c>
      <c r="S2346">
        <v>1</v>
      </c>
      <c r="T2346">
        <v>217.5</v>
      </c>
    </row>
    <row r="2347" spans="1:20" x14ac:dyDescent="0.25">
      <c r="A2347" t="s">
        <v>1049</v>
      </c>
      <c r="B2347" s="4" t="s">
        <v>9</v>
      </c>
      <c r="C2347" s="4" t="s">
        <v>73</v>
      </c>
      <c r="D2347" s="4">
        <v>46139</v>
      </c>
      <c r="E2347" s="5">
        <v>0.56940972222222219</v>
      </c>
      <c r="F2347">
        <v>1</v>
      </c>
      <c r="G2347" t="s">
        <v>83</v>
      </c>
      <c r="H2347">
        <v>217.58333333333331</v>
      </c>
      <c r="M2347" t="s">
        <v>79</v>
      </c>
      <c r="N2347" t="s">
        <v>75</v>
      </c>
    </row>
    <row r="2348" spans="1:20" x14ac:dyDescent="0.25">
      <c r="A2348" t="s">
        <v>1049</v>
      </c>
      <c r="B2348" s="4" t="s">
        <v>9</v>
      </c>
      <c r="C2348" s="4" t="s">
        <v>73</v>
      </c>
      <c r="D2348" s="4">
        <v>46139</v>
      </c>
      <c r="E2348" s="5">
        <v>0.56940972222222219</v>
      </c>
      <c r="F2348">
        <v>1</v>
      </c>
      <c r="G2348" t="s">
        <v>83</v>
      </c>
      <c r="H2348">
        <v>217.5</v>
      </c>
      <c r="M2348" t="s">
        <v>79</v>
      </c>
      <c r="N2348" t="s">
        <v>75</v>
      </c>
    </row>
    <row r="2349" spans="1:20" x14ac:dyDescent="0.25">
      <c r="A2349" t="s">
        <v>1049</v>
      </c>
      <c r="B2349" s="4" t="s">
        <v>9</v>
      </c>
      <c r="C2349" s="4" t="s">
        <v>73</v>
      </c>
      <c r="D2349" s="4">
        <v>46139</v>
      </c>
      <c r="E2349" s="5">
        <v>0.56956018518518514</v>
      </c>
      <c r="F2349">
        <v>1</v>
      </c>
      <c r="G2349" t="s">
        <v>83</v>
      </c>
      <c r="H2349">
        <v>217.5</v>
      </c>
      <c r="M2349" t="s">
        <v>76</v>
      </c>
      <c r="N2349" t="s">
        <v>75</v>
      </c>
    </row>
    <row r="2350" spans="1:20" x14ac:dyDescent="0.25">
      <c r="A2350" t="s">
        <v>1058</v>
      </c>
      <c r="B2350" s="4" t="s">
        <v>9</v>
      </c>
      <c r="C2350" s="4" t="s">
        <v>70</v>
      </c>
      <c r="D2350" s="4">
        <v>46139</v>
      </c>
      <c r="E2350" s="5">
        <v>0.57254629629629628</v>
      </c>
      <c r="F2350">
        <v>1</v>
      </c>
      <c r="G2350" t="s">
        <v>83</v>
      </c>
      <c r="H2350">
        <v>107</v>
      </c>
      <c r="L2350" t="s">
        <v>1059</v>
      </c>
      <c r="M2350" t="s">
        <v>71</v>
      </c>
      <c r="N2350" t="s">
        <v>75</v>
      </c>
      <c r="O2350">
        <v>1</v>
      </c>
      <c r="S2350">
        <v>1</v>
      </c>
      <c r="T2350">
        <v>36.583333333333329</v>
      </c>
    </row>
    <row r="2351" spans="1:20" x14ac:dyDescent="0.25">
      <c r="A2351" t="s">
        <v>1059</v>
      </c>
      <c r="B2351" s="4" t="s">
        <v>9</v>
      </c>
      <c r="C2351" s="4" t="s">
        <v>73</v>
      </c>
      <c r="D2351" s="4">
        <v>46139</v>
      </c>
      <c r="E2351" s="5">
        <v>0.57254629629629628</v>
      </c>
      <c r="F2351">
        <v>1</v>
      </c>
      <c r="G2351" t="s">
        <v>83</v>
      </c>
      <c r="H2351">
        <v>42.416666666666664</v>
      </c>
      <c r="M2351" t="s">
        <v>74</v>
      </c>
      <c r="N2351" t="s">
        <v>75</v>
      </c>
    </row>
    <row r="2352" spans="1:20" x14ac:dyDescent="0.25">
      <c r="A2352" t="s">
        <v>1059</v>
      </c>
      <c r="B2352" s="4" t="s">
        <v>9</v>
      </c>
      <c r="C2352" s="4" t="s">
        <v>73</v>
      </c>
      <c r="D2352" s="4">
        <v>46139</v>
      </c>
      <c r="E2352" s="5">
        <v>0.57254629629629628</v>
      </c>
      <c r="F2352">
        <v>1</v>
      </c>
      <c r="G2352" t="s">
        <v>83</v>
      </c>
      <c r="H2352">
        <v>42.333333333333329</v>
      </c>
      <c r="M2352" t="s">
        <v>74</v>
      </c>
      <c r="N2352" t="s">
        <v>75</v>
      </c>
    </row>
    <row r="2353" spans="1:21" x14ac:dyDescent="0.25">
      <c r="A2353" t="s">
        <v>1059</v>
      </c>
      <c r="B2353" s="4" t="s">
        <v>9</v>
      </c>
      <c r="C2353" s="4" t="s">
        <v>73</v>
      </c>
      <c r="D2353" s="4">
        <v>46139</v>
      </c>
      <c r="E2353" s="5">
        <v>0.57489583333333327</v>
      </c>
      <c r="F2353">
        <v>1</v>
      </c>
      <c r="G2353" t="s">
        <v>83</v>
      </c>
      <c r="H2353">
        <v>36.583333333333329</v>
      </c>
      <c r="M2353" t="s">
        <v>76</v>
      </c>
      <c r="N2353" t="s">
        <v>75</v>
      </c>
    </row>
    <row r="2354" spans="1:21" x14ac:dyDescent="0.25">
      <c r="A2354" t="s">
        <v>1068</v>
      </c>
      <c r="B2354" s="4" t="s">
        <v>9</v>
      </c>
      <c r="C2354" s="4" t="s">
        <v>70</v>
      </c>
      <c r="D2354" s="4">
        <v>46139</v>
      </c>
      <c r="E2354" s="5">
        <v>0.57641203703703703</v>
      </c>
      <c r="F2354">
        <v>1</v>
      </c>
      <c r="G2354" t="s">
        <v>83</v>
      </c>
      <c r="H2354">
        <v>1</v>
      </c>
      <c r="L2354" t="s">
        <v>1069</v>
      </c>
      <c r="M2354" t="s">
        <v>71</v>
      </c>
      <c r="N2354" t="s">
        <v>75</v>
      </c>
      <c r="O2354">
        <v>1</v>
      </c>
      <c r="R2354">
        <v>1</v>
      </c>
      <c r="S2354">
        <v>1</v>
      </c>
      <c r="T2354">
        <v>13</v>
      </c>
    </row>
    <row r="2355" spans="1:21" x14ac:dyDescent="0.25">
      <c r="A2355" t="s">
        <v>1069</v>
      </c>
      <c r="B2355" s="4" t="s">
        <v>9</v>
      </c>
      <c r="C2355" s="4" t="s">
        <v>73</v>
      </c>
      <c r="D2355" s="4">
        <v>46139</v>
      </c>
      <c r="E2355" s="5">
        <v>0.57641203703703703</v>
      </c>
      <c r="F2355">
        <v>1</v>
      </c>
      <c r="G2355" t="s">
        <v>83</v>
      </c>
      <c r="H2355">
        <v>12.833333333333334</v>
      </c>
      <c r="M2355" t="s">
        <v>84</v>
      </c>
      <c r="N2355" t="s">
        <v>75</v>
      </c>
    </row>
    <row r="2356" spans="1:21" x14ac:dyDescent="0.25">
      <c r="A2356" t="s">
        <v>1069</v>
      </c>
      <c r="B2356" s="4" t="s">
        <v>9</v>
      </c>
      <c r="C2356" s="4" t="s">
        <v>73</v>
      </c>
      <c r="D2356" s="4">
        <v>46139</v>
      </c>
      <c r="E2356" s="5">
        <v>0.57641203703703703</v>
      </c>
      <c r="F2356">
        <v>1</v>
      </c>
      <c r="G2356" t="s">
        <v>83</v>
      </c>
      <c r="H2356">
        <v>12.75</v>
      </c>
      <c r="M2356" t="s">
        <v>84</v>
      </c>
      <c r="N2356" t="s">
        <v>75</v>
      </c>
    </row>
    <row r="2357" spans="1:21" x14ac:dyDescent="0.25">
      <c r="A2357" t="s">
        <v>1069</v>
      </c>
      <c r="B2357" s="4" t="s">
        <v>9</v>
      </c>
      <c r="C2357" s="4" t="s">
        <v>73</v>
      </c>
      <c r="D2357" s="4">
        <v>46139</v>
      </c>
      <c r="E2357" s="5">
        <v>0.57689814814814822</v>
      </c>
      <c r="F2357">
        <v>1</v>
      </c>
      <c r="G2357" t="s">
        <v>83</v>
      </c>
      <c r="H2357">
        <v>13</v>
      </c>
      <c r="M2357" t="s">
        <v>76</v>
      </c>
      <c r="N2357" t="s">
        <v>75</v>
      </c>
    </row>
    <row r="2358" spans="1:21" x14ac:dyDescent="0.25">
      <c r="A2358" t="s">
        <v>1070</v>
      </c>
      <c r="B2358" s="4" t="s">
        <v>9</v>
      </c>
      <c r="C2358" s="4" t="s">
        <v>70</v>
      </c>
      <c r="D2358" s="4">
        <v>46139</v>
      </c>
      <c r="E2358" s="5">
        <v>0.577662037037037</v>
      </c>
      <c r="F2358">
        <v>1</v>
      </c>
      <c r="G2358" t="s">
        <v>83</v>
      </c>
      <c r="H2358">
        <v>1</v>
      </c>
      <c r="L2358" t="s">
        <v>1071</v>
      </c>
      <c r="M2358" t="s">
        <v>71</v>
      </c>
      <c r="N2358" t="s">
        <v>75</v>
      </c>
      <c r="O2358">
        <v>1</v>
      </c>
      <c r="R2358">
        <v>1</v>
      </c>
      <c r="S2358">
        <v>1</v>
      </c>
      <c r="T2358">
        <v>11.5</v>
      </c>
    </row>
    <row r="2359" spans="1:21" x14ac:dyDescent="0.25">
      <c r="A2359" t="s">
        <v>1071</v>
      </c>
      <c r="B2359" s="4" t="s">
        <v>9</v>
      </c>
      <c r="C2359" s="4" t="s">
        <v>73</v>
      </c>
      <c r="D2359" s="4">
        <v>46139</v>
      </c>
      <c r="E2359" s="5">
        <v>0.577662037037037</v>
      </c>
      <c r="F2359">
        <v>1</v>
      </c>
      <c r="G2359" t="s">
        <v>83</v>
      </c>
      <c r="H2359">
        <v>11.75</v>
      </c>
      <c r="M2359" t="s">
        <v>84</v>
      </c>
      <c r="N2359" t="s">
        <v>75</v>
      </c>
    </row>
    <row r="2360" spans="1:21" x14ac:dyDescent="0.25">
      <c r="A2360" t="s">
        <v>1071</v>
      </c>
      <c r="B2360" s="4" t="s">
        <v>9</v>
      </c>
      <c r="C2360" s="4" t="s">
        <v>73</v>
      </c>
      <c r="D2360" s="4">
        <v>46139</v>
      </c>
      <c r="E2360" s="5">
        <v>0.57767361111111115</v>
      </c>
      <c r="F2360">
        <v>1</v>
      </c>
      <c r="G2360" t="s">
        <v>83</v>
      </c>
      <c r="H2360">
        <v>11.666666666666666</v>
      </c>
      <c r="M2360" t="s">
        <v>84</v>
      </c>
      <c r="N2360" t="s">
        <v>75</v>
      </c>
    </row>
    <row r="2361" spans="1:21" x14ac:dyDescent="0.25">
      <c r="A2361" t="s">
        <v>1071</v>
      </c>
      <c r="B2361" s="4" t="s">
        <v>9</v>
      </c>
      <c r="C2361" s="4" t="s">
        <v>73</v>
      </c>
      <c r="D2361" s="4">
        <v>46139</v>
      </c>
      <c r="E2361" s="5">
        <v>0.57802083333333332</v>
      </c>
      <c r="F2361">
        <v>1</v>
      </c>
      <c r="G2361" t="s">
        <v>83</v>
      </c>
      <c r="H2361">
        <v>11.5</v>
      </c>
      <c r="M2361" t="s">
        <v>76</v>
      </c>
      <c r="N2361" t="s">
        <v>75</v>
      </c>
    </row>
    <row r="2362" spans="1:21" x14ac:dyDescent="0.25">
      <c r="A2362" t="s">
        <v>1073</v>
      </c>
      <c r="B2362" s="4" t="s">
        <v>9</v>
      </c>
      <c r="C2362" s="4" t="s">
        <v>70</v>
      </c>
      <c r="D2362" s="4">
        <v>46139</v>
      </c>
      <c r="E2362" s="5">
        <v>0.57906249999999992</v>
      </c>
      <c r="F2362">
        <v>1</v>
      </c>
      <c r="G2362" t="s">
        <v>83</v>
      </c>
      <c r="H2362">
        <v>33</v>
      </c>
      <c r="L2362" t="s">
        <v>1074</v>
      </c>
      <c r="M2362" t="s">
        <v>71</v>
      </c>
      <c r="N2362" t="s">
        <v>75</v>
      </c>
      <c r="O2362">
        <v>1</v>
      </c>
      <c r="Q2362">
        <v>1</v>
      </c>
      <c r="S2362">
        <v>1</v>
      </c>
      <c r="U2362">
        <v>3.1666666666666661</v>
      </c>
    </row>
    <row r="2363" spans="1:21" x14ac:dyDescent="0.25">
      <c r="A2363" t="s">
        <v>1074</v>
      </c>
      <c r="B2363" s="4" t="s">
        <v>9</v>
      </c>
      <c r="C2363" s="4" t="s">
        <v>73</v>
      </c>
      <c r="D2363" s="4">
        <v>46139</v>
      </c>
      <c r="E2363" s="5">
        <v>0.57906249999999992</v>
      </c>
      <c r="F2363">
        <v>1</v>
      </c>
      <c r="G2363" t="s">
        <v>83</v>
      </c>
      <c r="H2363">
        <v>3.1666666666666661</v>
      </c>
      <c r="M2363" t="s">
        <v>74</v>
      </c>
      <c r="N2363" t="s">
        <v>75</v>
      </c>
    </row>
    <row r="2364" spans="1:21" x14ac:dyDescent="0.25">
      <c r="A2364" t="s">
        <v>1074</v>
      </c>
      <c r="B2364" s="4" t="s">
        <v>9</v>
      </c>
      <c r="C2364" s="4" t="s">
        <v>73</v>
      </c>
      <c r="D2364" s="4">
        <v>46139</v>
      </c>
      <c r="E2364" s="5">
        <v>0.57906249999999992</v>
      </c>
      <c r="F2364">
        <v>1</v>
      </c>
      <c r="G2364" t="s">
        <v>83</v>
      </c>
      <c r="H2364">
        <v>3.1666666666666661</v>
      </c>
      <c r="M2364" t="s">
        <v>74</v>
      </c>
      <c r="N2364" t="s">
        <v>75</v>
      </c>
    </row>
    <row r="2365" spans="1:21" x14ac:dyDescent="0.25">
      <c r="A2365" t="s">
        <v>1074</v>
      </c>
      <c r="B2365" s="4" t="s">
        <v>9</v>
      </c>
      <c r="C2365" s="4" t="s">
        <v>73</v>
      </c>
      <c r="D2365" s="4">
        <v>46139</v>
      </c>
      <c r="E2365" s="5">
        <v>0.57906249999999992</v>
      </c>
      <c r="F2365">
        <v>1</v>
      </c>
      <c r="G2365" t="s">
        <v>83</v>
      </c>
      <c r="H2365">
        <v>0</v>
      </c>
      <c r="M2365" t="s">
        <v>74</v>
      </c>
      <c r="N2365" t="s">
        <v>75</v>
      </c>
    </row>
    <row r="2366" spans="1:21" x14ac:dyDescent="0.25">
      <c r="A2366" t="s">
        <v>1077</v>
      </c>
      <c r="B2366" s="4" t="s">
        <v>9</v>
      </c>
      <c r="C2366" s="4" t="s">
        <v>70</v>
      </c>
      <c r="D2366" s="4">
        <v>46139</v>
      </c>
      <c r="E2366" s="5">
        <v>0.5797106481481481</v>
      </c>
      <c r="F2366">
        <v>1</v>
      </c>
      <c r="G2366" t="s">
        <v>83</v>
      </c>
      <c r="H2366">
        <v>3</v>
      </c>
      <c r="L2366" t="s">
        <v>1078</v>
      </c>
      <c r="M2366" t="s">
        <v>71</v>
      </c>
      <c r="N2366" t="s">
        <v>75</v>
      </c>
      <c r="O2366">
        <v>1</v>
      </c>
      <c r="R2366">
        <v>1</v>
      </c>
      <c r="S2366">
        <v>1</v>
      </c>
      <c r="T2366">
        <v>10.25</v>
      </c>
    </row>
    <row r="2367" spans="1:21" x14ac:dyDescent="0.25">
      <c r="A2367" t="s">
        <v>1078</v>
      </c>
      <c r="B2367" s="4" t="s">
        <v>9</v>
      </c>
      <c r="C2367" s="4" t="s">
        <v>73</v>
      </c>
      <c r="D2367" s="4">
        <v>46139</v>
      </c>
      <c r="E2367" s="5">
        <v>0.5797106481481481</v>
      </c>
      <c r="F2367">
        <v>1</v>
      </c>
      <c r="G2367" t="s">
        <v>83</v>
      </c>
      <c r="H2367">
        <v>10.75</v>
      </c>
      <c r="M2367" t="s">
        <v>84</v>
      </c>
      <c r="N2367" t="s">
        <v>75</v>
      </c>
    </row>
    <row r="2368" spans="1:21" x14ac:dyDescent="0.25">
      <c r="A2368" t="s">
        <v>1078</v>
      </c>
      <c r="B2368" s="4" t="s">
        <v>9</v>
      </c>
      <c r="C2368" s="4" t="s">
        <v>73</v>
      </c>
      <c r="D2368" s="4">
        <v>46139</v>
      </c>
      <c r="E2368" s="5">
        <v>0.5797106481481481</v>
      </c>
      <c r="F2368">
        <v>1</v>
      </c>
      <c r="G2368" t="s">
        <v>83</v>
      </c>
      <c r="H2368">
        <v>10.666666666666666</v>
      </c>
      <c r="M2368" t="s">
        <v>84</v>
      </c>
      <c r="N2368" t="s">
        <v>75</v>
      </c>
    </row>
    <row r="2369" spans="1:21" x14ac:dyDescent="0.25">
      <c r="A2369" t="s">
        <v>1078</v>
      </c>
      <c r="B2369" s="4" t="s">
        <v>9</v>
      </c>
      <c r="C2369" s="4" t="s">
        <v>73</v>
      </c>
      <c r="D2369" s="4">
        <v>46139</v>
      </c>
      <c r="E2369" s="5">
        <v>0.59336805555555561</v>
      </c>
      <c r="F2369">
        <v>1</v>
      </c>
      <c r="G2369" t="s">
        <v>83</v>
      </c>
      <c r="H2369">
        <v>10.25</v>
      </c>
      <c r="M2369" t="s">
        <v>76</v>
      </c>
      <c r="N2369" t="s">
        <v>75</v>
      </c>
    </row>
    <row r="2370" spans="1:21" x14ac:dyDescent="0.25">
      <c r="A2370" t="s">
        <v>1083</v>
      </c>
      <c r="B2370" s="4" t="s">
        <v>9</v>
      </c>
      <c r="C2370" s="4" t="s">
        <v>70</v>
      </c>
      <c r="D2370" s="4">
        <v>46139</v>
      </c>
      <c r="E2370" s="5">
        <v>0.5941898148148147</v>
      </c>
      <c r="F2370">
        <v>1</v>
      </c>
      <c r="G2370" t="s">
        <v>83</v>
      </c>
      <c r="H2370">
        <v>1</v>
      </c>
      <c r="L2370" t="s">
        <v>1084</v>
      </c>
      <c r="M2370" t="s">
        <v>71</v>
      </c>
      <c r="N2370" t="s">
        <v>75</v>
      </c>
      <c r="O2370">
        <v>1</v>
      </c>
      <c r="S2370">
        <v>1</v>
      </c>
      <c r="T2370">
        <v>118.41666666666667</v>
      </c>
    </row>
    <row r="2371" spans="1:21" x14ac:dyDescent="0.25">
      <c r="A2371" t="s">
        <v>1084</v>
      </c>
      <c r="B2371" s="4" t="s">
        <v>9</v>
      </c>
      <c r="C2371" s="4" t="s">
        <v>73</v>
      </c>
      <c r="D2371" s="4">
        <v>46139</v>
      </c>
      <c r="E2371" s="5">
        <v>0.5941898148148147</v>
      </c>
      <c r="F2371">
        <v>1</v>
      </c>
      <c r="G2371" t="s">
        <v>83</v>
      </c>
      <c r="H2371">
        <v>120.33333333333333</v>
      </c>
      <c r="M2371" t="s">
        <v>74</v>
      </c>
      <c r="N2371" t="s">
        <v>75</v>
      </c>
    </row>
    <row r="2372" spans="1:21" x14ac:dyDescent="0.25">
      <c r="A2372" t="s">
        <v>1084</v>
      </c>
      <c r="B2372" s="4" t="s">
        <v>9</v>
      </c>
      <c r="C2372" s="4" t="s">
        <v>73</v>
      </c>
      <c r="D2372" s="4">
        <v>46139</v>
      </c>
      <c r="E2372" s="5">
        <v>0.5941898148148147</v>
      </c>
      <c r="F2372">
        <v>1</v>
      </c>
      <c r="G2372" t="s">
        <v>83</v>
      </c>
      <c r="H2372">
        <v>120.25</v>
      </c>
      <c r="M2372" t="s">
        <v>74</v>
      </c>
      <c r="N2372" t="s">
        <v>75</v>
      </c>
    </row>
    <row r="2373" spans="1:21" x14ac:dyDescent="0.25">
      <c r="A2373" t="s">
        <v>1084</v>
      </c>
      <c r="B2373" s="4" t="s">
        <v>9</v>
      </c>
      <c r="C2373" s="4" t="s">
        <v>73</v>
      </c>
      <c r="D2373" s="4">
        <v>46139</v>
      </c>
      <c r="E2373" s="5">
        <v>0.59498842592592582</v>
      </c>
      <c r="F2373">
        <v>1</v>
      </c>
      <c r="G2373" t="s">
        <v>83</v>
      </c>
      <c r="H2373">
        <v>118.41666666666667</v>
      </c>
      <c r="M2373" t="s">
        <v>76</v>
      </c>
      <c r="N2373" t="s">
        <v>75</v>
      </c>
    </row>
    <row r="2374" spans="1:21" x14ac:dyDescent="0.25">
      <c r="A2374" t="s">
        <v>1089</v>
      </c>
      <c r="B2374" s="4" t="s">
        <v>9</v>
      </c>
      <c r="C2374" s="4" t="s">
        <v>70</v>
      </c>
      <c r="D2374" s="4">
        <v>46139</v>
      </c>
      <c r="E2374" s="5">
        <v>0.59675925925925921</v>
      </c>
      <c r="F2374">
        <v>1</v>
      </c>
      <c r="G2374" t="s">
        <v>83</v>
      </c>
      <c r="H2374">
        <v>3</v>
      </c>
      <c r="L2374" t="s">
        <v>1090</v>
      </c>
      <c r="M2374" t="s">
        <v>71</v>
      </c>
      <c r="N2374" t="s">
        <v>75</v>
      </c>
      <c r="O2374">
        <v>1</v>
      </c>
      <c r="R2374">
        <v>1</v>
      </c>
      <c r="S2374">
        <v>1</v>
      </c>
      <c r="T2374">
        <v>24.416666666666664</v>
      </c>
    </row>
    <row r="2375" spans="1:21" x14ac:dyDescent="0.25">
      <c r="A2375" t="s">
        <v>1090</v>
      </c>
      <c r="B2375" s="4" t="s">
        <v>9</v>
      </c>
      <c r="C2375" s="4" t="s">
        <v>73</v>
      </c>
      <c r="D2375" s="4">
        <v>46139</v>
      </c>
      <c r="E2375" s="5">
        <v>0.59675925925925921</v>
      </c>
      <c r="F2375">
        <v>1</v>
      </c>
      <c r="G2375" t="s">
        <v>83</v>
      </c>
      <c r="H2375">
        <v>24.416666666666664</v>
      </c>
      <c r="M2375" t="s">
        <v>84</v>
      </c>
      <c r="N2375" t="s">
        <v>75</v>
      </c>
    </row>
    <row r="2376" spans="1:21" x14ac:dyDescent="0.25">
      <c r="A2376" t="s">
        <v>1090</v>
      </c>
      <c r="B2376" s="4" t="s">
        <v>9</v>
      </c>
      <c r="C2376" s="4" t="s">
        <v>73</v>
      </c>
      <c r="D2376" s="4">
        <v>46139</v>
      </c>
      <c r="E2376" s="5">
        <v>0.59748842592592588</v>
      </c>
      <c r="F2376">
        <v>1</v>
      </c>
      <c r="G2376" t="s">
        <v>83</v>
      </c>
      <c r="H2376">
        <v>24.416666666666664</v>
      </c>
      <c r="M2376" t="s">
        <v>76</v>
      </c>
      <c r="N2376" t="s">
        <v>75</v>
      </c>
    </row>
    <row r="2377" spans="1:21" x14ac:dyDescent="0.25">
      <c r="A2377" t="s">
        <v>1095</v>
      </c>
      <c r="B2377" s="4" t="s">
        <v>9</v>
      </c>
      <c r="C2377" s="4" t="s">
        <v>70</v>
      </c>
      <c r="D2377" s="4">
        <v>46139</v>
      </c>
      <c r="E2377" s="5">
        <v>0.59832175925925923</v>
      </c>
      <c r="F2377">
        <v>1</v>
      </c>
      <c r="G2377" t="s">
        <v>83</v>
      </c>
      <c r="H2377">
        <v>1</v>
      </c>
      <c r="L2377" t="s">
        <v>1096</v>
      </c>
      <c r="M2377" t="s">
        <v>71</v>
      </c>
      <c r="N2377" t="s">
        <v>75</v>
      </c>
      <c r="O2377">
        <v>1</v>
      </c>
      <c r="S2377">
        <v>1</v>
      </c>
      <c r="T2377">
        <v>101.08333333333333</v>
      </c>
    </row>
    <row r="2378" spans="1:21" x14ac:dyDescent="0.25">
      <c r="A2378" t="s">
        <v>1096</v>
      </c>
      <c r="B2378" s="4" t="s">
        <v>9</v>
      </c>
      <c r="C2378" s="4" t="s">
        <v>73</v>
      </c>
      <c r="D2378" s="4">
        <v>46139</v>
      </c>
      <c r="E2378" s="5">
        <v>0.59832175925925923</v>
      </c>
      <c r="F2378">
        <v>1</v>
      </c>
      <c r="G2378" t="s">
        <v>83</v>
      </c>
      <c r="H2378">
        <v>101.16666666666666</v>
      </c>
      <c r="M2378" t="s">
        <v>79</v>
      </c>
      <c r="N2378" t="s">
        <v>75</v>
      </c>
    </row>
    <row r="2379" spans="1:21" x14ac:dyDescent="0.25">
      <c r="A2379" t="s">
        <v>1096</v>
      </c>
      <c r="B2379" s="4" t="s">
        <v>9</v>
      </c>
      <c r="C2379" s="4" t="s">
        <v>73</v>
      </c>
      <c r="D2379" s="4">
        <v>46139</v>
      </c>
      <c r="E2379" s="5">
        <v>0.59832175925925923</v>
      </c>
      <c r="F2379">
        <v>1</v>
      </c>
      <c r="G2379" t="s">
        <v>83</v>
      </c>
      <c r="H2379">
        <v>101.08333333333333</v>
      </c>
      <c r="M2379" t="s">
        <v>79</v>
      </c>
      <c r="N2379" t="s">
        <v>75</v>
      </c>
    </row>
    <row r="2380" spans="1:21" x14ac:dyDescent="0.25">
      <c r="A2380" t="s">
        <v>1096</v>
      </c>
      <c r="B2380" s="4" t="s">
        <v>9</v>
      </c>
      <c r="C2380" s="4" t="s">
        <v>73</v>
      </c>
      <c r="D2380" s="4">
        <v>46139</v>
      </c>
      <c r="E2380" s="5">
        <v>0.59841435185185188</v>
      </c>
      <c r="F2380">
        <v>1</v>
      </c>
      <c r="G2380" t="s">
        <v>83</v>
      </c>
      <c r="H2380">
        <v>101.08333333333333</v>
      </c>
      <c r="M2380" t="s">
        <v>76</v>
      </c>
      <c r="N2380" t="s">
        <v>75</v>
      </c>
    </row>
    <row r="2381" spans="1:21" x14ac:dyDescent="0.25">
      <c r="A2381" t="s">
        <v>1101</v>
      </c>
      <c r="B2381" s="4" t="s">
        <v>9</v>
      </c>
      <c r="C2381" s="4" t="s">
        <v>70</v>
      </c>
      <c r="D2381" s="4">
        <v>46139</v>
      </c>
      <c r="E2381" s="5">
        <v>0.60004629629629624</v>
      </c>
      <c r="F2381">
        <v>1</v>
      </c>
      <c r="G2381" t="s">
        <v>83</v>
      </c>
      <c r="H2381">
        <v>2</v>
      </c>
      <c r="L2381" t="s">
        <v>1102</v>
      </c>
      <c r="M2381" t="s">
        <v>71</v>
      </c>
      <c r="N2381" t="s">
        <v>72</v>
      </c>
      <c r="O2381">
        <v>1</v>
      </c>
      <c r="Q2381">
        <v>1</v>
      </c>
      <c r="S2381">
        <v>1</v>
      </c>
      <c r="U2381">
        <v>8.3333333333333329E-2</v>
      </c>
    </row>
    <row r="2382" spans="1:21" x14ac:dyDescent="0.25">
      <c r="A2382" t="s">
        <v>1102</v>
      </c>
      <c r="B2382" s="4" t="s">
        <v>9</v>
      </c>
      <c r="C2382" s="4" t="s">
        <v>73</v>
      </c>
      <c r="D2382" s="4">
        <v>46139</v>
      </c>
      <c r="E2382" s="5">
        <v>0.60004629629629624</v>
      </c>
      <c r="F2382">
        <v>1</v>
      </c>
      <c r="G2382" t="s">
        <v>83</v>
      </c>
      <c r="H2382">
        <v>4.9166666666666661</v>
      </c>
      <c r="M2382" t="s">
        <v>84</v>
      </c>
      <c r="N2382" t="s">
        <v>72</v>
      </c>
    </row>
    <row r="2383" spans="1:21" x14ac:dyDescent="0.25">
      <c r="A2383" t="s">
        <v>1102</v>
      </c>
      <c r="B2383" s="4" t="s">
        <v>9</v>
      </c>
      <c r="C2383" s="4" t="s">
        <v>73</v>
      </c>
      <c r="D2383" s="4">
        <v>46139</v>
      </c>
      <c r="E2383" s="5">
        <v>0.60030092592592588</v>
      </c>
      <c r="F2383">
        <v>1</v>
      </c>
      <c r="G2383" t="s">
        <v>83</v>
      </c>
      <c r="H2383">
        <v>8.3333333333333329E-2</v>
      </c>
      <c r="M2383" t="s">
        <v>84</v>
      </c>
      <c r="N2383" t="s">
        <v>72</v>
      </c>
    </row>
    <row r="2384" spans="1:21" x14ac:dyDescent="0.25">
      <c r="A2384" t="s">
        <v>1102</v>
      </c>
      <c r="B2384" s="4" t="s">
        <v>9</v>
      </c>
      <c r="C2384" s="4" t="s">
        <v>73</v>
      </c>
      <c r="D2384" s="4">
        <v>46139</v>
      </c>
      <c r="E2384" s="5">
        <v>0.60030092592592588</v>
      </c>
      <c r="F2384">
        <v>1</v>
      </c>
      <c r="G2384" t="s">
        <v>83</v>
      </c>
      <c r="H2384">
        <v>0</v>
      </c>
      <c r="M2384" t="s">
        <v>84</v>
      </c>
      <c r="N2384" t="s">
        <v>72</v>
      </c>
    </row>
    <row r="2385" spans="1:21" x14ac:dyDescent="0.25">
      <c r="A2385" t="s">
        <v>1109</v>
      </c>
      <c r="B2385" s="4" t="s">
        <v>9</v>
      </c>
      <c r="C2385" s="4" t="s">
        <v>70</v>
      </c>
      <c r="D2385" s="4">
        <v>46139</v>
      </c>
      <c r="E2385" s="5">
        <v>0.60255787037037034</v>
      </c>
      <c r="F2385">
        <v>1</v>
      </c>
      <c r="G2385" t="s">
        <v>83</v>
      </c>
      <c r="H2385">
        <v>2</v>
      </c>
      <c r="L2385" t="s">
        <v>1110</v>
      </c>
      <c r="M2385" t="s">
        <v>71</v>
      </c>
      <c r="N2385" t="s">
        <v>72</v>
      </c>
      <c r="O2385">
        <v>1</v>
      </c>
      <c r="Q2385">
        <v>1</v>
      </c>
      <c r="S2385">
        <v>1</v>
      </c>
      <c r="U2385">
        <v>0.41666666666666663</v>
      </c>
    </row>
    <row r="2386" spans="1:21" x14ac:dyDescent="0.25">
      <c r="A2386" t="s">
        <v>1110</v>
      </c>
      <c r="B2386" s="4" t="s">
        <v>9</v>
      </c>
      <c r="C2386" s="4" t="s">
        <v>73</v>
      </c>
      <c r="D2386" s="4">
        <v>46139</v>
      </c>
      <c r="E2386" s="5">
        <v>0.60255787037037034</v>
      </c>
      <c r="F2386">
        <v>1</v>
      </c>
      <c r="G2386" t="s">
        <v>83</v>
      </c>
      <c r="H2386">
        <v>3.5</v>
      </c>
      <c r="L2386" t="s">
        <v>1111</v>
      </c>
      <c r="M2386" t="s">
        <v>84</v>
      </c>
      <c r="N2386" t="s">
        <v>72</v>
      </c>
    </row>
    <row r="2387" spans="1:21" x14ac:dyDescent="0.25">
      <c r="A2387" t="s">
        <v>1110</v>
      </c>
      <c r="B2387" s="4" t="s">
        <v>9</v>
      </c>
      <c r="C2387" s="4" t="s">
        <v>73</v>
      </c>
      <c r="D2387" s="4">
        <v>46139</v>
      </c>
      <c r="E2387" s="5">
        <v>0.60255787037037034</v>
      </c>
      <c r="F2387">
        <v>1</v>
      </c>
      <c r="G2387" t="s">
        <v>83</v>
      </c>
      <c r="H2387">
        <v>0.41666666666666663</v>
      </c>
      <c r="L2387" t="s">
        <v>1111</v>
      </c>
      <c r="M2387" t="s">
        <v>84</v>
      </c>
      <c r="N2387" t="s">
        <v>72</v>
      </c>
    </row>
    <row r="2388" spans="1:21" x14ac:dyDescent="0.25">
      <c r="A2388" t="s">
        <v>1110</v>
      </c>
      <c r="B2388" s="4" t="s">
        <v>9</v>
      </c>
      <c r="C2388" s="4" t="s">
        <v>73</v>
      </c>
      <c r="D2388" s="4">
        <v>46139</v>
      </c>
      <c r="E2388" s="5">
        <v>0.60255787037037034</v>
      </c>
      <c r="F2388">
        <v>1</v>
      </c>
      <c r="G2388" t="s">
        <v>83</v>
      </c>
      <c r="H2388">
        <v>0</v>
      </c>
      <c r="L2388" t="s">
        <v>1111</v>
      </c>
      <c r="M2388" t="s">
        <v>84</v>
      </c>
      <c r="N2388" t="s">
        <v>72</v>
      </c>
    </row>
    <row r="2389" spans="1:21" x14ac:dyDescent="0.25">
      <c r="A2389" t="s">
        <v>1114</v>
      </c>
      <c r="B2389" s="4" t="s">
        <v>9</v>
      </c>
      <c r="C2389" s="4" t="s">
        <v>70</v>
      </c>
      <c r="D2389" s="4">
        <v>46139</v>
      </c>
      <c r="E2389" s="5">
        <v>0.60351851851851845</v>
      </c>
      <c r="F2389">
        <v>1</v>
      </c>
      <c r="G2389" t="s">
        <v>83</v>
      </c>
      <c r="H2389">
        <v>1</v>
      </c>
      <c r="L2389" t="s">
        <v>1115</v>
      </c>
      <c r="M2389" t="s">
        <v>71</v>
      </c>
      <c r="N2389" t="s">
        <v>75</v>
      </c>
      <c r="O2389">
        <v>1</v>
      </c>
      <c r="S2389">
        <v>1</v>
      </c>
      <c r="T2389">
        <v>33.833333333333329</v>
      </c>
    </row>
    <row r="2390" spans="1:21" x14ac:dyDescent="0.25">
      <c r="A2390" t="s">
        <v>1115</v>
      </c>
      <c r="B2390" s="4" t="s">
        <v>9</v>
      </c>
      <c r="C2390" s="4" t="s">
        <v>73</v>
      </c>
      <c r="D2390" s="4">
        <v>46139</v>
      </c>
      <c r="E2390" s="5">
        <v>0.60351851851851845</v>
      </c>
      <c r="F2390">
        <v>1</v>
      </c>
      <c r="G2390" t="s">
        <v>83</v>
      </c>
      <c r="H2390">
        <v>34</v>
      </c>
      <c r="L2390" t="s">
        <v>1116</v>
      </c>
      <c r="M2390" t="s">
        <v>79</v>
      </c>
      <c r="N2390" t="s">
        <v>75</v>
      </c>
    </row>
    <row r="2391" spans="1:21" x14ac:dyDescent="0.25">
      <c r="A2391" t="s">
        <v>1115</v>
      </c>
      <c r="B2391" s="4" t="s">
        <v>9</v>
      </c>
      <c r="C2391" s="4" t="s">
        <v>73</v>
      </c>
      <c r="D2391" s="4">
        <v>46139</v>
      </c>
      <c r="E2391" s="5">
        <v>0.60351851851851845</v>
      </c>
      <c r="F2391">
        <v>1</v>
      </c>
      <c r="G2391" t="s">
        <v>83</v>
      </c>
      <c r="H2391">
        <v>33.916666666666664</v>
      </c>
      <c r="L2391" t="s">
        <v>1116</v>
      </c>
      <c r="M2391" t="s">
        <v>79</v>
      </c>
      <c r="N2391" t="s">
        <v>75</v>
      </c>
    </row>
    <row r="2392" spans="1:21" x14ac:dyDescent="0.25">
      <c r="A2392" t="s">
        <v>1115</v>
      </c>
      <c r="B2392" s="4" t="s">
        <v>9</v>
      </c>
      <c r="C2392" s="4" t="s">
        <v>73</v>
      </c>
      <c r="D2392" s="4">
        <v>46139</v>
      </c>
      <c r="E2392" s="5">
        <v>0.60395833333333326</v>
      </c>
      <c r="F2392">
        <v>1</v>
      </c>
      <c r="G2392" t="s">
        <v>83</v>
      </c>
      <c r="H2392">
        <v>33.833333333333329</v>
      </c>
      <c r="L2392" t="s">
        <v>1116</v>
      </c>
      <c r="M2392" t="s">
        <v>76</v>
      </c>
      <c r="N2392" t="s">
        <v>75</v>
      </c>
    </row>
    <row r="2393" spans="1:21" x14ac:dyDescent="0.25">
      <c r="A2393" t="s">
        <v>996</v>
      </c>
      <c r="B2393" s="4" t="s">
        <v>9</v>
      </c>
      <c r="C2393" s="4" t="s">
        <v>73</v>
      </c>
      <c r="D2393" s="4">
        <v>46139</v>
      </c>
      <c r="E2393" s="5">
        <v>0.60456018518518517</v>
      </c>
      <c r="F2393">
        <v>1</v>
      </c>
      <c r="G2393" t="s">
        <v>83</v>
      </c>
      <c r="H2393">
        <v>75.416666666666671</v>
      </c>
      <c r="M2393" t="s">
        <v>76</v>
      </c>
      <c r="N2393" t="s">
        <v>72</v>
      </c>
    </row>
    <row r="2394" spans="1:21" x14ac:dyDescent="0.25">
      <c r="A2394" t="s">
        <v>1119</v>
      </c>
      <c r="B2394" s="4" t="s">
        <v>9</v>
      </c>
      <c r="C2394" s="4" t="s">
        <v>70</v>
      </c>
      <c r="D2394" s="4">
        <v>46139</v>
      </c>
      <c r="E2394" s="5">
        <v>0.60545138888888894</v>
      </c>
      <c r="F2394">
        <v>1</v>
      </c>
      <c r="G2394" t="s">
        <v>83</v>
      </c>
      <c r="H2394">
        <v>14.666666666666666</v>
      </c>
      <c r="L2394" t="s">
        <v>1120</v>
      </c>
      <c r="M2394" t="s">
        <v>71</v>
      </c>
      <c r="N2394" t="s">
        <v>72</v>
      </c>
      <c r="O2394">
        <v>1</v>
      </c>
      <c r="R2394">
        <v>1</v>
      </c>
      <c r="S2394">
        <v>1</v>
      </c>
      <c r="T2394">
        <v>14.75</v>
      </c>
    </row>
    <row r="2395" spans="1:21" x14ac:dyDescent="0.25">
      <c r="A2395" t="s">
        <v>1120</v>
      </c>
      <c r="B2395" s="4" t="s">
        <v>9</v>
      </c>
      <c r="C2395" s="4" t="s">
        <v>73</v>
      </c>
      <c r="D2395" s="4">
        <v>46139</v>
      </c>
      <c r="E2395" s="5">
        <v>0.60545138888888894</v>
      </c>
      <c r="F2395">
        <v>1</v>
      </c>
      <c r="G2395" t="s">
        <v>83</v>
      </c>
      <c r="H2395">
        <v>14.833333333333332</v>
      </c>
      <c r="M2395" t="s">
        <v>79</v>
      </c>
      <c r="N2395" t="s">
        <v>72</v>
      </c>
    </row>
    <row r="2396" spans="1:21" x14ac:dyDescent="0.25">
      <c r="A2396" t="s">
        <v>1120</v>
      </c>
      <c r="B2396" s="4" t="s">
        <v>9</v>
      </c>
      <c r="C2396" s="4" t="s">
        <v>73</v>
      </c>
      <c r="D2396" s="4">
        <v>46139</v>
      </c>
      <c r="E2396" s="5">
        <v>0.60545138888888894</v>
      </c>
      <c r="F2396">
        <v>1</v>
      </c>
      <c r="G2396" t="s">
        <v>83</v>
      </c>
      <c r="H2396">
        <v>14.75</v>
      </c>
      <c r="M2396" t="s">
        <v>79</v>
      </c>
      <c r="N2396" t="s">
        <v>72</v>
      </c>
    </row>
    <row r="2397" spans="1:21" x14ac:dyDescent="0.25">
      <c r="A2397" t="s">
        <v>1120</v>
      </c>
      <c r="B2397" s="4" t="s">
        <v>9</v>
      </c>
      <c r="C2397" s="4" t="s">
        <v>73</v>
      </c>
      <c r="D2397" s="4">
        <v>46139</v>
      </c>
      <c r="E2397" s="5">
        <v>0.60581018518518515</v>
      </c>
      <c r="F2397">
        <v>1</v>
      </c>
      <c r="G2397" t="s">
        <v>83</v>
      </c>
      <c r="H2397">
        <v>14.75</v>
      </c>
      <c r="M2397" t="s">
        <v>76</v>
      </c>
      <c r="N2397" t="s">
        <v>72</v>
      </c>
    </row>
    <row r="2398" spans="1:21" x14ac:dyDescent="0.25">
      <c r="A2398" t="s">
        <v>1124</v>
      </c>
      <c r="B2398" s="4" t="s">
        <v>9</v>
      </c>
      <c r="C2398" s="4" t="s">
        <v>70</v>
      </c>
      <c r="D2398" s="4">
        <v>46139</v>
      </c>
      <c r="E2398" s="5">
        <v>0.60722222222222222</v>
      </c>
      <c r="F2398">
        <v>1</v>
      </c>
      <c r="G2398" t="s">
        <v>83</v>
      </c>
      <c r="H2398">
        <v>2</v>
      </c>
      <c r="L2398" t="s">
        <v>1125</v>
      </c>
      <c r="M2398" t="s">
        <v>71</v>
      </c>
      <c r="N2398" t="s">
        <v>72</v>
      </c>
      <c r="O2398">
        <v>1</v>
      </c>
      <c r="S2398">
        <v>1</v>
      </c>
      <c r="T2398">
        <v>38.25</v>
      </c>
    </row>
    <row r="2399" spans="1:21" x14ac:dyDescent="0.25">
      <c r="A2399" t="s">
        <v>1125</v>
      </c>
      <c r="B2399" s="4" t="s">
        <v>9</v>
      </c>
      <c r="C2399" s="4" t="s">
        <v>73</v>
      </c>
      <c r="D2399" s="4">
        <v>46139</v>
      </c>
      <c r="E2399" s="5">
        <v>0.60722222222222222</v>
      </c>
      <c r="F2399">
        <v>1</v>
      </c>
      <c r="G2399" t="s">
        <v>83</v>
      </c>
      <c r="H2399">
        <v>38.416666666666664</v>
      </c>
      <c r="M2399" t="s">
        <v>84</v>
      </c>
      <c r="N2399" t="s">
        <v>72</v>
      </c>
    </row>
    <row r="2400" spans="1:21" x14ac:dyDescent="0.25">
      <c r="A2400" t="s">
        <v>1125</v>
      </c>
      <c r="B2400" s="4" t="s">
        <v>9</v>
      </c>
      <c r="C2400" s="4" t="s">
        <v>73</v>
      </c>
      <c r="D2400" s="4">
        <v>46139</v>
      </c>
      <c r="E2400" s="5">
        <v>0.60722222222222222</v>
      </c>
      <c r="F2400">
        <v>1</v>
      </c>
      <c r="G2400" t="s">
        <v>83</v>
      </c>
      <c r="H2400">
        <v>38.333333333333336</v>
      </c>
      <c r="M2400" t="s">
        <v>84</v>
      </c>
      <c r="N2400" t="s">
        <v>72</v>
      </c>
    </row>
    <row r="2401" spans="1:20" x14ac:dyDescent="0.25">
      <c r="A2401" t="s">
        <v>1125</v>
      </c>
      <c r="B2401" s="4" t="s">
        <v>9</v>
      </c>
      <c r="C2401" s="4" t="s">
        <v>73</v>
      </c>
      <c r="D2401" s="4">
        <v>46139</v>
      </c>
      <c r="E2401" s="5">
        <v>0.60770833333333329</v>
      </c>
      <c r="F2401">
        <v>1</v>
      </c>
      <c r="G2401" t="s">
        <v>83</v>
      </c>
      <c r="H2401">
        <v>38.25</v>
      </c>
      <c r="M2401" t="s">
        <v>76</v>
      </c>
      <c r="N2401" t="s">
        <v>72</v>
      </c>
    </row>
    <row r="2402" spans="1:20" x14ac:dyDescent="0.25">
      <c r="A2402" t="s">
        <v>1131</v>
      </c>
      <c r="B2402" s="4" t="s">
        <v>9</v>
      </c>
      <c r="C2402" s="4" t="s">
        <v>70</v>
      </c>
      <c r="D2402" s="4">
        <v>46139</v>
      </c>
      <c r="E2402" s="5">
        <v>0.60873842592592597</v>
      </c>
      <c r="F2402">
        <v>1</v>
      </c>
      <c r="G2402" t="s">
        <v>83</v>
      </c>
      <c r="H2402">
        <v>46</v>
      </c>
      <c r="L2402" t="s">
        <v>1132</v>
      </c>
      <c r="M2402" t="s">
        <v>71</v>
      </c>
      <c r="N2402" t="s">
        <v>72</v>
      </c>
      <c r="O2402">
        <v>1</v>
      </c>
      <c r="S2402">
        <v>1</v>
      </c>
      <c r="T2402">
        <v>47</v>
      </c>
    </row>
    <row r="2403" spans="1:20" x14ac:dyDescent="0.25">
      <c r="A2403" t="s">
        <v>1132</v>
      </c>
      <c r="B2403" s="4" t="s">
        <v>9</v>
      </c>
      <c r="C2403" s="4" t="s">
        <v>73</v>
      </c>
      <c r="D2403" s="4">
        <v>46139</v>
      </c>
      <c r="E2403" s="5">
        <v>0.60873842592592597</v>
      </c>
      <c r="F2403">
        <v>1</v>
      </c>
      <c r="G2403" t="s">
        <v>83</v>
      </c>
      <c r="H2403">
        <v>45.666666666666664</v>
      </c>
      <c r="M2403" t="s">
        <v>74</v>
      </c>
      <c r="N2403" t="s">
        <v>72</v>
      </c>
    </row>
    <row r="2404" spans="1:20" x14ac:dyDescent="0.25">
      <c r="A2404" t="s">
        <v>1132</v>
      </c>
      <c r="B2404" s="4" t="s">
        <v>9</v>
      </c>
      <c r="C2404" s="4" t="s">
        <v>73</v>
      </c>
      <c r="D2404" s="4">
        <v>46139</v>
      </c>
      <c r="E2404" s="5">
        <v>0.60873842592592597</v>
      </c>
      <c r="F2404">
        <v>1</v>
      </c>
      <c r="G2404" t="s">
        <v>83</v>
      </c>
      <c r="H2404">
        <v>45.583333333333336</v>
      </c>
      <c r="M2404" t="s">
        <v>74</v>
      </c>
      <c r="N2404" t="s">
        <v>72</v>
      </c>
    </row>
    <row r="2405" spans="1:20" x14ac:dyDescent="0.25">
      <c r="A2405" t="s">
        <v>1132</v>
      </c>
      <c r="B2405" s="4" t="s">
        <v>9</v>
      </c>
      <c r="C2405" s="4" t="s">
        <v>73</v>
      </c>
      <c r="D2405" s="4">
        <v>46139</v>
      </c>
      <c r="E2405" s="5">
        <v>0.60924768518518513</v>
      </c>
      <c r="F2405">
        <v>1</v>
      </c>
      <c r="G2405" t="s">
        <v>83</v>
      </c>
      <c r="H2405">
        <v>47</v>
      </c>
      <c r="M2405" t="s">
        <v>76</v>
      </c>
      <c r="N2405" t="s">
        <v>72</v>
      </c>
    </row>
    <row r="2406" spans="1:20" x14ac:dyDescent="0.25">
      <c r="A2406" t="s">
        <v>1136</v>
      </c>
      <c r="B2406" s="4" t="s">
        <v>9</v>
      </c>
      <c r="C2406" s="4" t="s">
        <v>70</v>
      </c>
      <c r="D2406" s="4">
        <v>46139</v>
      </c>
      <c r="E2406" s="5">
        <v>0.61013888888888879</v>
      </c>
      <c r="F2406">
        <v>1</v>
      </c>
      <c r="G2406" t="s">
        <v>83</v>
      </c>
      <c r="H2406">
        <v>20</v>
      </c>
      <c r="L2406" t="s">
        <v>1137</v>
      </c>
      <c r="M2406" t="s">
        <v>71</v>
      </c>
      <c r="N2406" t="s">
        <v>75</v>
      </c>
      <c r="O2406">
        <v>1</v>
      </c>
      <c r="S2406">
        <v>1</v>
      </c>
      <c r="T2406">
        <v>92.333333333333329</v>
      </c>
    </row>
    <row r="2407" spans="1:20" x14ac:dyDescent="0.25">
      <c r="A2407" t="s">
        <v>1137</v>
      </c>
      <c r="B2407" s="4" t="s">
        <v>9</v>
      </c>
      <c r="C2407" s="4" t="s">
        <v>73</v>
      </c>
      <c r="D2407" s="4">
        <v>46139</v>
      </c>
      <c r="E2407" s="5">
        <v>0.61013888888888879</v>
      </c>
      <c r="F2407">
        <v>1</v>
      </c>
      <c r="G2407" t="s">
        <v>83</v>
      </c>
      <c r="H2407">
        <v>92.416666666666671</v>
      </c>
      <c r="M2407" t="s">
        <v>74</v>
      </c>
      <c r="N2407" t="s">
        <v>75</v>
      </c>
    </row>
    <row r="2408" spans="1:20" x14ac:dyDescent="0.25">
      <c r="A2408" t="s">
        <v>1137</v>
      </c>
      <c r="B2408" s="4" t="s">
        <v>9</v>
      </c>
      <c r="C2408" s="4" t="s">
        <v>73</v>
      </c>
      <c r="D2408" s="4">
        <v>46139</v>
      </c>
      <c r="E2408" s="5">
        <v>0.61013888888888879</v>
      </c>
      <c r="F2408">
        <v>1</v>
      </c>
      <c r="G2408" t="s">
        <v>83</v>
      </c>
      <c r="H2408">
        <v>92.333333333333329</v>
      </c>
      <c r="M2408" t="s">
        <v>74</v>
      </c>
      <c r="N2408" t="s">
        <v>75</v>
      </c>
    </row>
    <row r="2409" spans="1:20" x14ac:dyDescent="0.25">
      <c r="A2409" t="s">
        <v>1137</v>
      </c>
      <c r="B2409" s="4" t="s">
        <v>9</v>
      </c>
      <c r="C2409" s="4" t="s">
        <v>73</v>
      </c>
      <c r="D2409" s="4">
        <v>46139</v>
      </c>
      <c r="E2409" s="5">
        <v>0.61030092592592589</v>
      </c>
      <c r="F2409">
        <v>1</v>
      </c>
      <c r="G2409" t="s">
        <v>83</v>
      </c>
      <c r="H2409">
        <v>92.333333333333329</v>
      </c>
      <c r="M2409" t="s">
        <v>76</v>
      </c>
      <c r="N2409" t="s">
        <v>75</v>
      </c>
    </row>
    <row r="2410" spans="1:20" x14ac:dyDescent="0.25">
      <c r="A2410" t="s">
        <v>1140</v>
      </c>
      <c r="B2410" s="4" t="s">
        <v>9</v>
      </c>
      <c r="C2410" s="4" t="s">
        <v>70</v>
      </c>
      <c r="D2410" s="4">
        <v>46139</v>
      </c>
      <c r="E2410" s="5">
        <v>0.61097222222222214</v>
      </c>
      <c r="F2410">
        <v>1</v>
      </c>
      <c r="G2410" t="s">
        <v>83</v>
      </c>
      <c r="H2410">
        <v>2</v>
      </c>
      <c r="L2410" t="s">
        <v>1141</v>
      </c>
      <c r="M2410" t="s">
        <v>71</v>
      </c>
      <c r="N2410" t="s">
        <v>72</v>
      </c>
      <c r="O2410">
        <v>1</v>
      </c>
      <c r="R2410">
        <v>1</v>
      </c>
      <c r="S2410">
        <v>1</v>
      </c>
      <c r="T2410">
        <v>15.25</v>
      </c>
    </row>
    <row r="2411" spans="1:20" x14ac:dyDescent="0.25">
      <c r="A2411" t="s">
        <v>1141</v>
      </c>
      <c r="B2411" s="4" t="s">
        <v>9</v>
      </c>
      <c r="C2411" s="4" t="s">
        <v>73</v>
      </c>
      <c r="D2411" s="4">
        <v>46139</v>
      </c>
      <c r="E2411" s="5">
        <v>0.61097222222222214</v>
      </c>
      <c r="F2411">
        <v>1</v>
      </c>
      <c r="G2411" t="s">
        <v>83</v>
      </c>
      <c r="H2411">
        <v>15.833333333333334</v>
      </c>
      <c r="M2411" t="s">
        <v>84</v>
      </c>
      <c r="N2411" t="s">
        <v>72</v>
      </c>
    </row>
    <row r="2412" spans="1:20" x14ac:dyDescent="0.25">
      <c r="A2412" t="s">
        <v>1141</v>
      </c>
      <c r="B2412" s="4" t="s">
        <v>9</v>
      </c>
      <c r="C2412" s="4" t="s">
        <v>73</v>
      </c>
      <c r="D2412" s="4">
        <v>46139</v>
      </c>
      <c r="E2412" s="5">
        <v>0.61097222222222214</v>
      </c>
      <c r="F2412">
        <v>1</v>
      </c>
      <c r="G2412" t="s">
        <v>83</v>
      </c>
      <c r="H2412">
        <v>15.75</v>
      </c>
      <c r="M2412" t="s">
        <v>84</v>
      </c>
      <c r="N2412" t="s">
        <v>72</v>
      </c>
    </row>
    <row r="2413" spans="1:20" x14ac:dyDescent="0.25">
      <c r="A2413" t="s">
        <v>1141</v>
      </c>
      <c r="B2413" s="4" t="s">
        <v>9</v>
      </c>
      <c r="C2413" s="4" t="s">
        <v>73</v>
      </c>
      <c r="D2413" s="4">
        <v>46139</v>
      </c>
      <c r="E2413" s="5">
        <v>0.61122685185185177</v>
      </c>
      <c r="F2413">
        <v>1</v>
      </c>
      <c r="G2413" t="s">
        <v>83</v>
      </c>
      <c r="H2413">
        <v>15.25</v>
      </c>
      <c r="M2413" t="s">
        <v>76</v>
      </c>
      <c r="N2413" t="s">
        <v>72</v>
      </c>
    </row>
    <row r="2414" spans="1:20" x14ac:dyDescent="0.25">
      <c r="A2414" t="s">
        <v>1143</v>
      </c>
      <c r="B2414" s="4" t="s">
        <v>9</v>
      </c>
      <c r="C2414" s="4" t="s">
        <v>70</v>
      </c>
      <c r="D2414" s="4">
        <v>46139</v>
      </c>
      <c r="E2414" s="5">
        <v>0.61239583333333325</v>
      </c>
      <c r="F2414">
        <v>1</v>
      </c>
      <c r="G2414" t="s">
        <v>83</v>
      </c>
      <c r="H2414">
        <v>55.833333333333329</v>
      </c>
      <c r="L2414" t="s">
        <v>1144</v>
      </c>
      <c r="M2414" t="s">
        <v>71</v>
      </c>
      <c r="N2414" t="s">
        <v>72</v>
      </c>
      <c r="O2414">
        <v>1</v>
      </c>
      <c r="R2414">
        <v>1</v>
      </c>
      <c r="S2414">
        <v>1</v>
      </c>
      <c r="T2414">
        <v>24.25</v>
      </c>
    </row>
    <row r="2415" spans="1:20" x14ac:dyDescent="0.25">
      <c r="A2415" t="s">
        <v>1144</v>
      </c>
      <c r="B2415" s="4" t="s">
        <v>9</v>
      </c>
      <c r="C2415" s="4" t="s">
        <v>73</v>
      </c>
      <c r="D2415" s="4">
        <v>46139</v>
      </c>
      <c r="E2415" s="5">
        <v>0.61239583333333325</v>
      </c>
      <c r="F2415">
        <v>1</v>
      </c>
      <c r="G2415" t="s">
        <v>83</v>
      </c>
      <c r="H2415">
        <v>24.666666666666664</v>
      </c>
      <c r="M2415" t="s">
        <v>79</v>
      </c>
      <c r="N2415" t="s">
        <v>72</v>
      </c>
    </row>
    <row r="2416" spans="1:20" x14ac:dyDescent="0.25">
      <c r="A2416" t="s">
        <v>1144</v>
      </c>
      <c r="B2416" s="4" t="s">
        <v>9</v>
      </c>
      <c r="C2416" s="4" t="s">
        <v>73</v>
      </c>
      <c r="D2416" s="4">
        <v>46139</v>
      </c>
      <c r="E2416" s="5">
        <v>0.61239583333333325</v>
      </c>
      <c r="F2416">
        <v>1</v>
      </c>
      <c r="G2416" t="s">
        <v>83</v>
      </c>
      <c r="H2416">
        <v>24.583333333333332</v>
      </c>
      <c r="M2416" t="s">
        <v>79</v>
      </c>
      <c r="N2416" t="s">
        <v>72</v>
      </c>
    </row>
    <row r="2417" spans="1:21" x14ac:dyDescent="0.25">
      <c r="A2417" t="s">
        <v>1144</v>
      </c>
      <c r="B2417" s="4" t="s">
        <v>9</v>
      </c>
      <c r="C2417" s="4" t="s">
        <v>73</v>
      </c>
      <c r="D2417" s="4">
        <v>46139</v>
      </c>
      <c r="E2417" s="5">
        <v>0.61283564814814817</v>
      </c>
      <c r="F2417">
        <v>1</v>
      </c>
      <c r="G2417" t="s">
        <v>83</v>
      </c>
      <c r="H2417">
        <v>24.25</v>
      </c>
      <c r="M2417" t="s">
        <v>76</v>
      </c>
      <c r="N2417" t="s">
        <v>72</v>
      </c>
    </row>
    <row r="2418" spans="1:21" x14ac:dyDescent="0.25">
      <c r="A2418" t="s">
        <v>1147</v>
      </c>
      <c r="B2418" s="4" t="s">
        <v>9</v>
      </c>
      <c r="C2418" s="4" t="s">
        <v>73</v>
      </c>
      <c r="D2418" s="4">
        <v>46139</v>
      </c>
      <c r="E2418" s="5">
        <v>0.61413194444444441</v>
      </c>
      <c r="F2418">
        <v>1</v>
      </c>
      <c r="G2418" t="s">
        <v>83</v>
      </c>
      <c r="H2418">
        <v>32.916666666666664</v>
      </c>
      <c r="M2418" t="s">
        <v>74</v>
      </c>
      <c r="N2418" t="s">
        <v>75</v>
      </c>
    </row>
    <row r="2419" spans="1:21" x14ac:dyDescent="0.25">
      <c r="A2419" t="s">
        <v>1150</v>
      </c>
      <c r="B2419" s="4" t="s">
        <v>9</v>
      </c>
      <c r="C2419" s="4" t="s">
        <v>70</v>
      </c>
      <c r="D2419" s="4">
        <v>46139</v>
      </c>
      <c r="E2419" s="5">
        <v>0.61432870370370374</v>
      </c>
      <c r="F2419">
        <v>1</v>
      </c>
      <c r="G2419" t="s">
        <v>83</v>
      </c>
      <c r="H2419">
        <v>2</v>
      </c>
      <c r="L2419" t="s">
        <v>1147</v>
      </c>
      <c r="M2419" t="s">
        <v>71</v>
      </c>
      <c r="N2419" t="s">
        <v>75</v>
      </c>
      <c r="O2419">
        <v>1</v>
      </c>
      <c r="S2419">
        <v>1</v>
      </c>
      <c r="T2419">
        <v>30.5</v>
      </c>
    </row>
    <row r="2420" spans="1:21" x14ac:dyDescent="0.25">
      <c r="A2420" t="s">
        <v>1147</v>
      </c>
      <c r="B2420" s="4" t="s">
        <v>9</v>
      </c>
      <c r="C2420" s="4" t="s">
        <v>73</v>
      </c>
      <c r="D2420" s="4">
        <v>46139</v>
      </c>
      <c r="E2420" s="5">
        <v>0.61432870370370374</v>
      </c>
      <c r="F2420">
        <v>1</v>
      </c>
      <c r="G2420" t="s">
        <v>83</v>
      </c>
      <c r="H2420">
        <v>30.916666666666664</v>
      </c>
      <c r="M2420" t="s">
        <v>74</v>
      </c>
      <c r="N2420" t="s">
        <v>75</v>
      </c>
    </row>
    <row r="2421" spans="1:21" x14ac:dyDescent="0.25">
      <c r="A2421" t="s">
        <v>1147</v>
      </c>
      <c r="B2421" s="4" t="s">
        <v>9</v>
      </c>
      <c r="C2421" s="4" t="s">
        <v>73</v>
      </c>
      <c r="D2421" s="4">
        <v>46139</v>
      </c>
      <c r="E2421" s="5">
        <v>0.61432870370370374</v>
      </c>
      <c r="F2421">
        <v>1</v>
      </c>
      <c r="G2421" t="s">
        <v>83</v>
      </c>
      <c r="H2421">
        <v>30.833333333333329</v>
      </c>
      <c r="M2421" t="s">
        <v>74</v>
      </c>
      <c r="N2421" t="s">
        <v>75</v>
      </c>
    </row>
    <row r="2422" spans="1:21" x14ac:dyDescent="0.25">
      <c r="A2422" t="s">
        <v>1147</v>
      </c>
      <c r="B2422" s="4" t="s">
        <v>9</v>
      </c>
      <c r="C2422" s="4" t="s">
        <v>73</v>
      </c>
      <c r="D2422" s="4">
        <v>46139</v>
      </c>
      <c r="E2422" s="5">
        <v>0.61472222222222217</v>
      </c>
      <c r="F2422">
        <v>1</v>
      </c>
      <c r="G2422" t="s">
        <v>83</v>
      </c>
      <c r="H2422">
        <v>30.5</v>
      </c>
      <c r="M2422" t="s">
        <v>76</v>
      </c>
      <c r="N2422" t="s">
        <v>75</v>
      </c>
    </row>
    <row r="2423" spans="1:21" x14ac:dyDescent="0.25">
      <c r="A2423" t="s">
        <v>1154</v>
      </c>
      <c r="B2423" s="4" t="s">
        <v>9</v>
      </c>
      <c r="C2423" s="4" t="s">
        <v>70</v>
      </c>
      <c r="D2423" s="4">
        <v>46139</v>
      </c>
      <c r="E2423" s="5">
        <v>0.61664351851851851</v>
      </c>
      <c r="F2423">
        <v>1</v>
      </c>
      <c r="G2423" t="s">
        <v>83</v>
      </c>
      <c r="H2423">
        <v>2</v>
      </c>
      <c r="L2423" t="s">
        <v>1155</v>
      </c>
      <c r="M2423" t="s">
        <v>71</v>
      </c>
      <c r="N2423" t="s">
        <v>72</v>
      </c>
      <c r="O2423">
        <v>1</v>
      </c>
      <c r="R2423">
        <v>1</v>
      </c>
      <c r="S2423">
        <v>1</v>
      </c>
      <c r="T2423">
        <v>21.083333333333332</v>
      </c>
    </row>
    <row r="2424" spans="1:21" x14ac:dyDescent="0.25">
      <c r="A2424" t="s">
        <v>1155</v>
      </c>
      <c r="B2424" s="4" t="s">
        <v>9</v>
      </c>
      <c r="C2424" s="4" t="s">
        <v>73</v>
      </c>
      <c r="D2424" s="4">
        <v>46139</v>
      </c>
      <c r="E2424" s="5">
        <v>0.61664351851851851</v>
      </c>
      <c r="F2424">
        <v>1</v>
      </c>
      <c r="G2424" t="s">
        <v>83</v>
      </c>
      <c r="H2424">
        <v>21.5</v>
      </c>
      <c r="M2424" t="s">
        <v>84</v>
      </c>
      <c r="N2424" t="s">
        <v>72</v>
      </c>
    </row>
    <row r="2425" spans="1:21" x14ac:dyDescent="0.25">
      <c r="A2425" t="s">
        <v>1155</v>
      </c>
      <c r="B2425" s="4" t="s">
        <v>9</v>
      </c>
      <c r="C2425" s="4" t="s">
        <v>73</v>
      </c>
      <c r="D2425" s="4">
        <v>46139</v>
      </c>
      <c r="E2425" s="5">
        <v>0.61664351851851851</v>
      </c>
      <c r="F2425">
        <v>1</v>
      </c>
      <c r="G2425" t="s">
        <v>83</v>
      </c>
      <c r="H2425">
        <v>21.416666666666664</v>
      </c>
      <c r="M2425" t="s">
        <v>84</v>
      </c>
      <c r="N2425" t="s">
        <v>72</v>
      </c>
    </row>
    <row r="2426" spans="1:21" x14ac:dyDescent="0.25">
      <c r="A2426" t="s">
        <v>1155</v>
      </c>
      <c r="B2426" s="4" t="s">
        <v>9</v>
      </c>
      <c r="C2426" s="4" t="s">
        <v>73</v>
      </c>
      <c r="D2426" s="4">
        <v>46139</v>
      </c>
      <c r="E2426" s="5">
        <v>0.61716435185185181</v>
      </c>
      <c r="F2426">
        <v>1</v>
      </c>
      <c r="G2426" t="s">
        <v>83</v>
      </c>
      <c r="H2426">
        <v>21.083333333333332</v>
      </c>
      <c r="M2426" t="s">
        <v>76</v>
      </c>
      <c r="N2426" t="s">
        <v>72</v>
      </c>
    </row>
    <row r="2427" spans="1:21" x14ac:dyDescent="0.25">
      <c r="A2427" t="s">
        <v>1158</v>
      </c>
      <c r="B2427" s="4" t="s">
        <v>9</v>
      </c>
      <c r="C2427" s="4" t="s">
        <v>70</v>
      </c>
      <c r="D2427" s="4">
        <v>46139</v>
      </c>
      <c r="E2427" s="5">
        <v>0.61802083333333324</v>
      </c>
      <c r="F2427">
        <v>1</v>
      </c>
      <c r="G2427" t="s">
        <v>83</v>
      </c>
      <c r="H2427">
        <v>47</v>
      </c>
      <c r="L2427" t="s">
        <v>1159</v>
      </c>
      <c r="M2427" t="s">
        <v>71</v>
      </c>
      <c r="N2427" t="s">
        <v>75</v>
      </c>
      <c r="O2427">
        <v>1</v>
      </c>
      <c r="R2427">
        <v>1</v>
      </c>
      <c r="S2427">
        <v>1</v>
      </c>
      <c r="T2427">
        <v>8.5833333333333321</v>
      </c>
    </row>
    <row r="2428" spans="1:21" x14ac:dyDescent="0.25">
      <c r="A2428" t="s">
        <v>1159</v>
      </c>
      <c r="B2428" s="4" t="s">
        <v>9</v>
      </c>
      <c r="C2428" s="4" t="s">
        <v>73</v>
      </c>
      <c r="D2428" s="4">
        <v>46139</v>
      </c>
      <c r="E2428" s="5">
        <v>0.61802083333333324</v>
      </c>
      <c r="F2428">
        <v>1</v>
      </c>
      <c r="G2428" t="s">
        <v>83</v>
      </c>
      <c r="H2428">
        <v>10.25</v>
      </c>
      <c r="M2428" t="s">
        <v>74</v>
      </c>
      <c r="N2428" t="s">
        <v>75</v>
      </c>
    </row>
    <row r="2429" spans="1:21" x14ac:dyDescent="0.25">
      <c r="A2429" t="s">
        <v>1159</v>
      </c>
      <c r="B2429" s="4" t="s">
        <v>9</v>
      </c>
      <c r="C2429" s="4" t="s">
        <v>73</v>
      </c>
      <c r="D2429" s="4">
        <v>46139</v>
      </c>
      <c r="E2429" s="5">
        <v>0.61803240740740739</v>
      </c>
      <c r="F2429">
        <v>1</v>
      </c>
      <c r="G2429" t="s">
        <v>83</v>
      </c>
      <c r="H2429">
        <v>10.166666666666666</v>
      </c>
      <c r="M2429" t="s">
        <v>74</v>
      </c>
      <c r="N2429" t="s">
        <v>75</v>
      </c>
    </row>
    <row r="2430" spans="1:21" x14ac:dyDescent="0.25">
      <c r="A2430" t="s">
        <v>1159</v>
      </c>
      <c r="B2430" s="4" t="s">
        <v>9</v>
      </c>
      <c r="C2430" s="4" t="s">
        <v>73</v>
      </c>
      <c r="D2430" s="4">
        <v>46139</v>
      </c>
      <c r="E2430" s="5">
        <v>0.61837962962962956</v>
      </c>
      <c r="F2430">
        <v>1</v>
      </c>
      <c r="G2430" t="s">
        <v>83</v>
      </c>
      <c r="H2430">
        <v>8.5833333333333321</v>
      </c>
      <c r="M2430" t="s">
        <v>76</v>
      </c>
      <c r="N2430" t="s">
        <v>75</v>
      </c>
    </row>
    <row r="2431" spans="1:21" x14ac:dyDescent="0.25">
      <c r="A2431" t="s">
        <v>1164</v>
      </c>
      <c r="B2431" s="4" t="s">
        <v>9</v>
      </c>
      <c r="C2431" s="4" t="s">
        <v>70</v>
      </c>
      <c r="D2431" s="4">
        <v>46139</v>
      </c>
      <c r="E2431" s="5">
        <v>0.61928240740740736</v>
      </c>
      <c r="F2431">
        <v>1</v>
      </c>
      <c r="G2431" t="s">
        <v>83</v>
      </c>
      <c r="H2431">
        <v>12</v>
      </c>
      <c r="L2431" t="s">
        <v>1165</v>
      </c>
      <c r="M2431" t="s">
        <v>71</v>
      </c>
      <c r="N2431" t="s">
        <v>72</v>
      </c>
      <c r="O2431">
        <v>1</v>
      </c>
      <c r="Q2431">
        <v>1</v>
      </c>
      <c r="S2431">
        <v>1</v>
      </c>
      <c r="U2431">
        <v>0.25</v>
      </c>
    </row>
    <row r="2432" spans="1:21" x14ac:dyDescent="0.25">
      <c r="A2432" t="s">
        <v>1165</v>
      </c>
      <c r="B2432" s="4" t="s">
        <v>9</v>
      </c>
      <c r="C2432" s="4" t="s">
        <v>73</v>
      </c>
      <c r="D2432" s="4">
        <v>46139</v>
      </c>
      <c r="E2432" s="5">
        <v>0.61928240740740736</v>
      </c>
      <c r="F2432">
        <v>1</v>
      </c>
      <c r="G2432" t="s">
        <v>83</v>
      </c>
      <c r="H2432">
        <v>1.1666666666666665</v>
      </c>
      <c r="L2432" t="s">
        <v>1166</v>
      </c>
      <c r="M2432" t="s">
        <v>79</v>
      </c>
      <c r="N2432" t="s">
        <v>72</v>
      </c>
    </row>
    <row r="2433" spans="1:21" x14ac:dyDescent="0.25">
      <c r="A2433" t="s">
        <v>1165</v>
      </c>
      <c r="B2433" s="4" t="s">
        <v>9</v>
      </c>
      <c r="C2433" s="4" t="s">
        <v>73</v>
      </c>
      <c r="D2433" s="4">
        <v>46139</v>
      </c>
      <c r="E2433" s="5">
        <v>0.61928240740740736</v>
      </c>
      <c r="F2433">
        <v>1</v>
      </c>
      <c r="G2433" t="s">
        <v>83</v>
      </c>
      <c r="H2433">
        <v>0.25</v>
      </c>
      <c r="L2433" t="s">
        <v>1166</v>
      </c>
      <c r="M2433" t="s">
        <v>79</v>
      </c>
      <c r="N2433" t="s">
        <v>72</v>
      </c>
    </row>
    <row r="2434" spans="1:21" x14ac:dyDescent="0.25">
      <c r="A2434" t="s">
        <v>1165</v>
      </c>
      <c r="B2434" s="4" t="s">
        <v>9</v>
      </c>
      <c r="C2434" s="4" t="s">
        <v>73</v>
      </c>
      <c r="D2434" s="4">
        <v>46139</v>
      </c>
      <c r="E2434" s="5">
        <v>0.61928240740740736</v>
      </c>
      <c r="F2434">
        <v>1</v>
      </c>
      <c r="G2434" t="s">
        <v>83</v>
      </c>
      <c r="H2434">
        <v>0</v>
      </c>
      <c r="L2434" t="s">
        <v>1166</v>
      </c>
      <c r="M2434" t="s">
        <v>79</v>
      </c>
      <c r="N2434" t="s">
        <v>72</v>
      </c>
    </row>
    <row r="2435" spans="1:21" x14ac:dyDescent="0.25">
      <c r="A2435" t="s">
        <v>1169</v>
      </c>
      <c r="B2435" s="4" t="s">
        <v>9</v>
      </c>
      <c r="C2435" s="4" t="s">
        <v>70</v>
      </c>
      <c r="D2435" s="4">
        <v>46139</v>
      </c>
      <c r="E2435" s="5">
        <v>0.62004629629629626</v>
      </c>
      <c r="F2435">
        <v>1</v>
      </c>
      <c r="G2435" t="s">
        <v>83</v>
      </c>
      <c r="H2435">
        <v>2</v>
      </c>
      <c r="L2435" t="s">
        <v>1170</v>
      </c>
      <c r="M2435" t="s">
        <v>71</v>
      </c>
      <c r="N2435" t="s">
        <v>75</v>
      </c>
      <c r="O2435">
        <v>1</v>
      </c>
      <c r="R2435">
        <v>1</v>
      </c>
      <c r="S2435">
        <v>1</v>
      </c>
      <c r="T2435">
        <v>19.583333333333332</v>
      </c>
    </row>
    <row r="2436" spans="1:21" x14ac:dyDescent="0.25">
      <c r="A2436" t="s">
        <v>1170</v>
      </c>
      <c r="B2436" s="4" t="s">
        <v>9</v>
      </c>
      <c r="C2436" s="4" t="s">
        <v>73</v>
      </c>
      <c r="D2436" s="4">
        <v>46139</v>
      </c>
      <c r="E2436" s="5">
        <v>0.62004629629629626</v>
      </c>
      <c r="F2436">
        <v>1</v>
      </c>
      <c r="G2436" t="s">
        <v>83</v>
      </c>
      <c r="H2436">
        <v>19.666666666666664</v>
      </c>
      <c r="M2436" t="s">
        <v>84</v>
      </c>
      <c r="N2436" t="s">
        <v>75</v>
      </c>
    </row>
    <row r="2437" spans="1:21" x14ac:dyDescent="0.25">
      <c r="A2437" t="s">
        <v>1170</v>
      </c>
      <c r="B2437" s="4" t="s">
        <v>9</v>
      </c>
      <c r="C2437" s="4" t="s">
        <v>73</v>
      </c>
      <c r="D2437" s="4">
        <v>46139</v>
      </c>
      <c r="E2437" s="5">
        <v>0.62005787037037041</v>
      </c>
      <c r="F2437">
        <v>1</v>
      </c>
      <c r="G2437" t="s">
        <v>83</v>
      </c>
      <c r="H2437">
        <v>19.583333333333332</v>
      </c>
      <c r="M2437" t="s">
        <v>84</v>
      </c>
      <c r="N2437" t="s">
        <v>75</v>
      </c>
    </row>
    <row r="2438" spans="1:21" x14ac:dyDescent="0.25">
      <c r="A2438" t="s">
        <v>1170</v>
      </c>
      <c r="B2438" s="4" t="s">
        <v>9</v>
      </c>
      <c r="C2438" s="4" t="s">
        <v>73</v>
      </c>
      <c r="D2438" s="4">
        <v>46139</v>
      </c>
      <c r="E2438" s="5">
        <v>0.62068287037037029</v>
      </c>
      <c r="F2438">
        <v>1</v>
      </c>
      <c r="G2438" t="s">
        <v>83</v>
      </c>
      <c r="H2438">
        <v>19.583333333333332</v>
      </c>
      <c r="M2438" t="s">
        <v>76</v>
      </c>
      <c r="N2438" t="s">
        <v>75</v>
      </c>
    </row>
    <row r="2439" spans="1:21" x14ac:dyDescent="0.25">
      <c r="A2439" t="s">
        <v>1173</v>
      </c>
      <c r="B2439" s="4" t="s">
        <v>9</v>
      </c>
      <c r="C2439" s="4" t="s">
        <v>70</v>
      </c>
      <c r="D2439" s="4">
        <v>46139</v>
      </c>
      <c r="E2439" s="5">
        <v>0.6215046296296296</v>
      </c>
      <c r="F2439">
        <v>1</v>
      </c>
      <c r="G2439" t="s">
        <v>83</v>
      </c>
      <c r="H2439">
        <v>2</v>
      </c>
      <c r="L2439" t="s">
        <v>1174</v>
      </c>
      <c r="M2439" t="s">
        <v>71</v>
      </c>
      <c r="N2439" t="s">
        <v>72</v>
      </c>
      <c r="O2439">
        <v>1</v>
      </c>
      <c r="R2439">
        <v>1</v>
      </c>
      <c r="S2439">
        <v>1</v>
      </c>
      <c r="T2439">
        <v>13.666666666666666</v>
      </c>
    </row>
    <row r="2440" spans="1:21" x14ac:dyDescent="0.25">
      <c r="A2440" t="s">
        <v>1174</v>
      </c>
      <c r="B2440" s="4" t="s">
        <v>9</v>
      </c>
      <c r="C2440" s="4" t="s">
        <v>73</v>
      </c>
      <c r="D2440" s="4">
        <v>46139</v>
      </c>
      <c r="E2440" s="5">
        <v>0.6215046296296296</v>
      </c>
      <c r="F2440">
        <v>1</v>
      </c>
      <c r="G2440" t="s">
        <v>83</v>
      </c>
      <c r="H2440">
        <v>13.416666666666666</v>
      </c>
      <c r="M2440" t="s">
        <v>84</v>
      </c>
      <c r="N2440" t="s">
        <v>72</v>
      </c>
    </row>
    <row r="2441" spans="1:21" x14ac:dyDescent="0.25">
      <c r="A2441" t="s">
        <v>1174</v>
      </c>
      <c r="B2441" s="4" t="s">
        <v>9</v>
      </c>
      <c r="C2441" s="4" t="s">
        <v>73</v>
      </c>
      <c r="D2441" s="4">
        <v>46139</v>
      </c>
      <c r="E2441" s="5">
        <v>0.6215046296296296</v>
      </c>
      <c r="F2441">
        <v>1</v>
      </c>
      <c r="G2441" t="s">
        <v>83</v>
      </c>
      <c r="H2441">
        <v>13.333333333333332</v>
      </c>
      <c r="M2441" t="s">
        <v>84</v>
      </c>
      <c r="N2441" t="s">
        <v>72</v>
      </c>
    </row>
    <row r="2442" spans="1:21" x14ac:dyDescent="0.25">
      <c r="A2442" t="s">
        <v>1174</v>
      </c>
      <c r="B2442" s="4" t="s">
        <v>9</v>
      </c>
      <c r="C2442" s="4" t="s">
        <v>73</v>
      </c>
      <c r="D2442" s="4">
        <v>46139</v>
      </c>
      <c r="E2442" s="5">
        <v>0.62206018518518513</v>
      </c>
      <c r="F2442">
        <v>1</v>
      </c>
      <c r="G2442" t="s">
        <v>83</v>
      </c>
      <c r="H2442">
        <v>13.666666666666666</v>
      </c>
      <c r="M2442" t="s">
        <v>76</v>
      </c>
      <c r="N2442" t="s">
        <v>72</v>
      </c>
    </row>
    <row r="2443" spans="1:21" x14ac:dyDescent="0.25">
      <c r="A2443" t="s">
        <v>1179</v>
      </c>
      <c r="B2443" s="4" t="s">
        <v>9</v>
      </c>
      <c r="C2443" s="4" t="s">
        <v>70</v>
      </c>
      <c r="D2443" s="4">
        <v>46139</v>
      </c>
      <c r="E2443" s="5">
        <v>0.62312500000000004</v>
      </c>
      <c r="F2443">
        <v>1</v>
      </c>
      <c r="G2443" t="s">
        <v>83</v>
      </c>
      <c r="H2443">
        <v>23.25</v>
      </c>
      <c r="L2443" t="s">
        <v>1180</v>
      </c>
      <c r="M2443" t="s">
        <v>71</v>
      </c>
      <c r="N2443" t="s">
        <v>75</v>
      </c>
      <c r="O2443">
        <v>1</v>
      </c>
      <c r="Q2443">
        <v>1</v>
      </c>
      <c r="S2443">
        <v>1</v>
      </c>
      <c r="U2443">
        <v>1.583333333333333</v>
      </c>
    </row>
    <row r="2444" spans="1:21" x14ac:dyDescent="0.25">
      <c r="A2444" t="s">
        <v>1180</v>
      </c>
      <c r="B2444" s="4" t="s">
        <v>9</v>
      </c>
      <c r="C2444" s="4" t="s">
        <v>73</v>
      </c>
      <c r="D2444" s="4">
        <v>46139</v>
      </c>
      <c r="E2444" s="5">
        <v>0.62312500000000004</v>
      </c>
      <c r="F2444">
        <v>1</v>
      </c>
      <c r="G2444" t="s">
        <v>83</v>
      </c>
      <c r="H2444">
        <v>1.583333333333333</v>
      </c>
      <c r="M2444" t="s">
        <v>74</v>
      </c>
      <c r="N2444" t="s">
        <v>75</v>
      </c>
    </row>
    <row r="2445" spans="1:21" x14ac:dyDescent="0.25">
      <c r="A2445" t="s">
        <v>1180</v>
      </c>
      <c r="B2445" s="4" t="s">
        <v>9</v>
      </c>
      <c r="C2445" s="4" t="s">
        <v>73</v>
      </c>
      <c r="D2445" s="4">
        <v>46139</v>
      </c>
      <c r="E2445" s="5">
        <v>0.62312500000000004</v>
      </c>
      <c r="F2445">
        <v>1</v>
      </c>
      <c r="G2445" t="s">
        <v>83</v>
      </c>
      <c r="H2445">
        <v>0</v>
      </c>
      <c r="M2445" t="s">
        <v>74</v>
      </c>
      <c r="N2445" t="s">
        <v>75</v>
      </c>
    </row>
    <row r="2446" spans="1:21" x14ac:dyDescent="0.25">
      <c r="A2446" t="s">
        <v>1185</v>
      </c>
      <c r="B2446" s="4" t="s">
        <v>9</v>
      </c>
      <c r="C2446" s="4" t="s">
        <v>70</v>
      </c>
      <c r="D2446" s="4">
        <v>46139</v>
      </c>
      <c r="E2446" s="5">
        <v>0.62457175925925923</v>
      </c>
      <c r="F2446">
        <v>1</v>
      </c>
      <c r="G2446" t="s">
        <v>83</v>
      </c>
      <c r="H2446">
        <v>2</v>
      </c>
      <c r="L2446" t="s">
        <v>1186</v>
      </c>
      <c r="M2446" t="s">
        <v>71</v>
      </c>
      <c r="N2446" t="s">
        <v>72</v>
      </c>
      <c r="O2446">
        <v>1</v>
      </c>
      <c r="Q2446">
        <v>1</v>
      </c>
      <c r="S2446">
        <v>1</v>
      </c>
      <c r="U2446">
        <v>0.25</v>
      </c>
    </row>
    <row r="2447" spans="1:21" x14ac:dyDescent="0.25">
      <c r="A2447" t="s">
        <v>1186</v>
      </c>
      <c r="B2447" s="4" t="s">
        <v>9</v>
      </c>
      <c r="C2447" s="4" t="s">
        <v>73</v>
      </c>
      <c r="D2447" s="4">
        <v>46139</v>
      </c>
      <c r="E2447" s="5">
        <v>0.62457175925925923</v>
      </c>
      <c r="F2447">
        <v>1</v>
      </c>
      <c r="G2447" t="s">
        <v>83</v>
      </c>
      <c r="H2447">
        <v>3.75</v>
      </c>
      <c r="M2447" t="s">
        <v>84</v>
      </c>
      <c r="N2447" t="s">
        <v>72</v>
      </c>
    </row>
    <row r="2448" spans="1:21" x14ac:dyDescent="0.25">
      <c r="A2448" t="s">
        <v>1186</v>
      </c>
      <c r="B2448" s="4" t="s">
        <v>9</v>
      </c>
      <c r="C2448" s="4" t="s">
        <v>73</v>
      </c>
      <c r="D2448" s="4">
        <v>46139</v>
      </c>
      <c r="E2448" s="5">
        <v>0.62494212962962958</v>
      </c>
      <c r="F2448">
        <v>1</v>
      </c>
      <c r="G2448" t="s">
        <v>83</v>
      </c>
      <c r="H2448">
        <v>0.25</v>
      </c>
      <c r="M2448" t="s">
        <v>84</v>
      </c>
      <c r="N2448" t="s">
        <v>72</v>
      </c>
    </row>
    <row r="2449" spans="1:21" x14ac:dyDescent="0.25">
      <c r="A2449" t="s">
        <v>1186</v>
      </c>
      <c r="B2449" s="4" t="s">
        <v>9</v>
      </c>
      <c r="C2449" s="4" t="s">
        <v>73</v>
      </c>
      <c r="D2449" s="4">
        <v>46139</v>
      </c>
      <c r="E2449" s="5">
        <v>0.62494212962962958</v>
      </c>
      <c r="F2449">
        <v>1</v>
      </c>
      <c r="G2449" t="s">
        <v>83</v>
      </c>
      <c r="H2449">
        <v>0</v>
      </c>
      <c r="M2449" t="s">
        <v>84</v>
      </c>
      <c r="N2449" t="s">
        <v>72</v>
      </c>
    </row>
    <row r="2450" spans="1:21" x14ac:dyDescent="0.25">
      <c r="A2450" t="s">
        <v>1193</v>
      </c>
      <c r="B2450" s="4" t="s">
        <v>9</v>
      </c>
      <c r="C2450" s="4" t="s">
        <v>70</v>
      </c>
      <c r="D2450" s="4">
        <v>46139</v>
      </c>
      <c r="E2450" s="5">
        <v>0.62707175925925929</v>
      </c>
      <c r="F2450">
        <v>1</v>
      </c>
      <c r="G2450" t="s">
        <v>83</v>
      </c>
      <c r="H2450">
        <v>14</v>
      </c>
      <c r="L2450" t="s">
        <v>1194</v>
      </c>
      <c r="M2450" t="s">
        <v>71</v>
      </c>
      <c r="N2450" t="s">
        <v>75</v>
      </c>
      <c r="O2450">
        <v>1</v>
      </c>
      <c r="Q2450">
        <v>1</v>
      </c>
      <c r="S2450">
        <v>1</v>
      </c>
      <c r="U2450">
        <v>0.83333333333333326</v>
      </c>
    </row>
    <row r="2451" spans="1:21" x14ac:dyDescent="0.25">
      <c r="A2451" t="s">
        <v>1194</v>
      </c>
      <c r="B2451" s="4" t="s">
        <v>9</v>
      </c>
      <c r="C2451" s="4" t="s">
        <v>73</v>
      </c>
      <c r="D2451" s="4">
        <v>46139</v>
      </c>
      <c r="E2451" s="5">
        <v>0.62707175925925929</v>
      </c>
      <c r="F2451">
        <v>1</v>
      </c>
      <c r="G2451" t="s">
        <v>83</v>
      </c>
      <c r="H2451">
        <v>0.83333333333333326</v>
      </c>
      <c r="M2451" t="s">
        <v>79</v>
      </c>
      <c r="N2451" t="s">
        <v>75</v>
      </c>
    </row>
    <row r="2452" spans="1:21" x14ac:dyDescent="0.25">
      <c r="A2452" t="s">
        <v>1194</v>
      </c>
      <c r="B2452" s="4" t="s">
        <v>9</v>
      </c>
      <c r="C2452" s="4" t="s">
        <v>73</v>
      </c>
      <c r="D2452" s="4">
        <v>46139</v>
      </c>
      <c r="E2452" s="5">
        <v>0.62707175925925929</v>
      </c>
      <c r="F2452">
        <v>1</v>
      </c>
      <c r="G2452" t="s">
        <v>83</v>
      </c>
      <c r="H2452">
        <v>0</v>
      </c>
      <c r="M2452" t="s">
        <v>79</v>
      </c>
      <c r="N2452" t="s">
        <v>75</v>
      </c>
    </row>
    <row r="2453" spans="1:21" x14ac:dyDescent="0.25">
      <c r="A2453" t="s">
        <v>1195</v>
      </c>
      <c r="B2453" s="4" t="s">
        <v>9</v>
      </c>
      <c r="C2453" s="4" t="s">
        <v>70</v>
      </c>
      <c r="D2453" s="4">
        <v>46139</v>
      </c>
      <c r="E2453" s="5">
        <v>0.62809027777777771</v>
      </c>
      <c r="F2453">
        <v>1</v>
      </c>
      <c r="G2453" t="s">
        <v>83</v>
      </c>
      <c r="H2453">
        <v>2</v>
      </c>
      <c r="L2453" t="s">
        <v>1196</v>
      </c>
      <c r="M2453" t="s">
        <v>71</v>
      </c>
      <c r="N2453" t="s">
        <v>72</v>
      </c>
      <c r="O2453">
        <v>1</v>
      </c>
      <c r="S2453">
        <v>1</v>
      </c>
      <c r="T2453">
        <v>47.666666666666664</v>
      </c>
    </row>
    <row r="2454" spans="1:21" x14ac:dyDescent="0.25">
      <c r="A2454" t="s">
        <v>1196</v>
      </c>
      <c r="B2454" s="4" t="s">
        <v>9</v>
      </c>
      <c r="C2454" s="4" t="s">
        <v>73</v>
      </c>
      <c r="D2454" s="4">
        <v>46139</v>
      </c>
      <c r="E2454" s="5">
        <v>0.62809027777777771</v>
      </c>
      <c r="F2454">
        <v>1</v>
      </c>
      <c r="G2454" t="s">
        <v>83</v>
      </c>
      <c r="H2454">
        <v>47.75</v>
      </c>
      <c r="M2454" t="s">
        <v>84</v>
      </c>
      <c r="N2454" t="s">
        <v>72</v>
      </c>
    </row>
    <row r="2455" spans="1:21" x14ac:dyDescent="0.25">
      <c r="A2455" t="s">
        <v>1196</v>
      </c>
      <c r="B2455" s="4" t="s">
        <v>9</v>
      </c>
      <c r="C2455" s="4" t="s">
        <v>73</v>
      </c>
      <c r="D2455" s="4">
        <v>46139</v>
      </c>
      <c r="E2455" s="5">
        <v>0.62809027777777771</v>
      </c>
      <c r="F2455">
        <v>1</v>
      </c>
      <c r="G2455" t="s">
        <v>83</v>
      </c>
      <c r="H2455">
        <v>47.666666666666664</v>
      </c>
      <c r="M2455" t="s">
        <v>84</v>
      </c>
      <c r="N2455" t="s">
        <v>72</v>
      </c>
    </row>
    <row r="2456" spans="1:21" x14ac:dyDescent="0.25">
      <c r="A2456" t="s">
        <v>1196</v>
      </c>
      <c r="B2456" s="4" t="s">
        <v>9</v>
      </c>
      <c r="C2456" s="4" t="s">
        <v>73</v>
      </c>
      <c r="D2456" s="4">
        <v>46139</v>
      </c>
      <c r="E2456" s="5">
        <v>0.62828703703703703</v>
      </c>
      <c r="F2456">
        <v>1</v>
      </c>
      <c r="G2456" t="s">
        <v>83</v>
      </c>
      <c r="H2456">
        <v>47.666666666666664</v>
      </c>
      <c r="M2456" t="s">
        <v>76</v>
      </c>
      <c r="N2456" t="s">
        <v>72</v>
      </c>
    </row>
    <row r="2457" spans="1:21" x14ac:dyDescent="0.25">
      <c r="A2457" t="s">
        <v>1201</v>
      </c>
      <c r="B2457" s="4" t="s">
        <v>9</v>
      </c>
      <c r="C2457" s="4" t="s">
        <v>73</v>
      </c>
      <c r="D2457" s="4">
        <v>46139</v>
      </c>
      <c r="E2457" s="5">
        <v>0.63002314814814819</v>
      </c>
      <c r="F2457">
        <v>1</v>
      </c>
      <c r="G2457" t="s">
        <v>83</v>
      </c>
      <c r="H2457">
        <v>54.416666666666657</v>
      </c>
      <c r="L2457" t="s">
        <v>1202</v>
      </c>
      <c r="M2457" t="s">
        <v>76</v>
      </c>
      <c r="N2457" t="s">
        <v>78</v>
      </c>
    </row>
    <row r="2458" spans="1:21" x14ac:dyDescent="0.25">
      <c r="A2458" t="s">
        <v>1206</v>
      </c>
      <c r="B2458" s="4" t="s">
        <v>9</v>
      </c>
      <c r="C2458" s="4" t="s">
        <v>70</v>
      </c>
      <c r="D2458" s="4">
        <v>46139</v>
      </c>
      <c r="E2458" s="5">
        <v>0.63094907407407408</v>
      </c>
      <c r="F2458">
        <v>1</v>
      </c>
      <c r="G2458" t="s">
        <v>83</v>
      </c>
      <c r="H2458">
        <v>3</v>
      </c>
      <c r="L2458" t="s">
        <v>1207</v>
      </c>
      <c r="M2458" t="s">
        <v>71</v>
      </c>
      <c r="N2458" t="s">
        <v>75</v>
      </c>
      <c r="O2458">
        <v>1</v>
      </c>
      <c r="R2458">
        <v>1</v>
      </c>
      <c r="S2458">
        <v>1</v>
      </c>
      <c r="T2458">
        <v>29.583333333333329</v>
      </c>
    </row>
    <row r="2459" spans="1:21" x14ac:dyDescent="0.25">
      <c r="A2459" t="s">
        <v>1207</v>
      </c>
      <c r="B2459" s="4" t="s">
        <v>9</v>
      </c>
      <c r="C2459" s="4" t="s">
        <v>73</v>
      </c>
      <c r="D2459" s="4">
        <v>46139</v>
      </c>
      <c r="E2459" s="5">
        <v>0.63094907407407408</v>
      </c>
      <c r="F2459">
        <v>1</v>
      </c>
      <c r="G2459" t="s">
        <v>83</v>
      </c>
      <c r="H2459">
        <v>29.666666666666664</v>
      </c>
      <c r="M2459" t="s">
        <v>79</v>
      </c>
      <c r="N2459" t="s">
        <v>75</v>
      </c>
    </row>
    <row r="2460" spans="1:21" x14ac:dyDescent="0.25">
      <c r="A2460" t="s">
        <v>1207</v>
      </c>
      <c r="B2460" s="4" t="s">
        <v>9</v>
      </c>
      <c r="C2460" s="4" t="s">
        <v>73</v>
      </c>
      <c r="D2460" s="4">
        <v>46139</v>
      </c>
      <c r="E2460" s="5">
        <v>0.63137731481481474</v>
      </c>
      <c r="F2460">
        <v>1</v>
      </c>
      <c r="G2460" t="s">
        <v>83</v>
      </c>
      <c r="H2460">
        <v>29.583333333333329</v>
      </c>
      <c r="M2460" t="s">
        <v>76</v>
      </c>
      <c r="N2460" t="s">
        <v>75</v>
      </c>
    </row>
    <row r="2461" spans="1:21" x14ac:dyDescent="0.25">
      <c r="A2461" t="s">
        <v>1211</v>
      </c>
      <c r="B2461" s="4" t="s">
        <v>9</v>
      </c>
      <c r="C2461" s="4" t="s">
        <v>70</v>
      </c>
      <c r="D2461" s="4">
        <v>46139</v>
      </c>
      <c r="E2461" s="5">
        <v>0.63233796296296296</v>
      </c>
      <c r="F2461">
        <v>1</v>
      </c>
      <c r="G2461" t="s">
        <v>83</v>
      </c>
      <c r="H2461">
        <v>2</v>
      </c>
      <c r="L2461" t="s">
        <v>1212</v>
      </c>
      <c r="M2461" t="s">
        <v>71</v>
      </c>
      <c r="N2461" t="s">
        <v>72</v>
      </c>
      <c r="O2461">
        <v>1</v>
      </c>
      <c r="S2461">
        <v>1</v>
      </c>
      <c r="T2461">
        <v>35.916666666666664</v>
      </c>
    </row>
    <row r="2462" spans="1:21" x14ac:dyDescent="0.25">
      <c r="A2462" t="s">
        <v>1212</v>
      </c>
      <c r="B2462" s="4" t="s">
        <v>9</v>
      </c>
      <c r="C2462" s="4" t="s">
        <v>73</v>
      </c>
      <c r="D2462" s="4">
        <v>46139</v>
      </c>
      <c r="E2462" s="5">
        <v>0.63233796296296296</v>
      </c>
      <c r="F2462">
        <v>1</v>
      </c>
      <c r="G2462" t="s">
        <v>83</v>
      </c>
      <c r="H2462">
        <v>36</v>
      </c>
      <c r="M2462" t="s">
        <v>84</v>
      </c>
      <c r="N2462" t="s">
        <v>72</v>
      </c>
    </row>
    <row r="2463" spans="1:21" x14ac:dyDescent="0.25">
      <c r="A2463" t="s">
        <v>1212</v>
      </c>
      <c r="B2463" s="4" t="s">
        <v>9</v>
      </c>
      <c r="C2463" s="4" t="s">
        <v>73</v>
      </c>
      <c r="D2463" s="4">
        <v>46139</v>
      </c>
      <c r="E2463" s="5">
        <v>0.63233796296296296</v>
      </c>
      <c r="F2463">
        <v>1</v>
      </c>
      <c r="G2463" t="s">
        <v>83</v>
      </c>
      <c r="H2463">
        <v>35.916666666666664</v>
      </c>
      <c r="M2463" t="s">
        <v>84</v>
      </c>
      <c r="N2463" t="s">
        <v>72</v>
      </c>
    </row>
    <row r="2464" spans="1:21" x14ac:dyDescent="0.25">
      <c r="A2464" t="s">
        <v>1212</v>
      </c>
      <c r="B2464" s="4" t="s">
        <v>9</v>
      </c>
      <c r="C2464" s="4" t="s">
        <v>73</v>
      </c>
      <c r="D2464" s="4">
        <v>46139</v>
      </c>
      <c r="E2464" s="5">
        <v>0.63269675925925928</v>
      </c>
      <c r="F2464">
        <v>1</v>
      </c>
      <c r="G2464" t="s">
        <v>83</v>
      </c>
      <c r="H2464">
        <v>35.916666666666664</v>
      </c>
      <c r="M2464" t="s">
        <v>76</v>
      </c>
      <c r="N2464" t="s">
        <v>72</v>
      </c>
    </row>
    <row r="2465" spans="1:20" x14ac:dyDescent="0.25">
      <c r="A2465" t="s">
        <v>1213</v>
      </c>
      <c r="B2465" s="4" t="s">
        <v>9</v>
      </c>
      <c r="C2465" s="4" t="s">
        <v>70</v>
      </c>
      <c r="D2465" s="4">
        <v>46139</v>
      </c>
      <c r="E2465" s="5">
        <v>0.63340277777777776</v>
      </c>
      <c r="F2465">
        <v>1</v>
      </c>
      <c r="G2465" t="s">
        <v>83</v>
      </c>
      <c r="H2465">
        <v>2</v>
      </c>
      <c r="L2465" t="s">
        <v>1214</v>
      </c>
      <c r="M2465" t="s">
        <v>71</v>
      </c>
      <c r="N2465" t="s">
        <v>72</v>
      </c>
      <c r="O2465">
        <v>1</v>
      </c>
      <c r="R2465">
        <v>1</v>
      </c>
      <c r="S2465">
        <v>1</v>
      </c>
      <c r="T2465">
        <v>19.5</v>
      </c>
    </row>
    <row r="2466" spans="1:20" x14ac:dyDescent="0.25">
      <c r="A2466" t="s">
        <v>1214</v>
      </c>
      <c r="B2466" s="4" t="s">
        <v>9</v>
      </c>
      <c r="C2466" s="4" t="s">
        <v>73</v>
      </c>
      <c r="D2466" s="4">
        <v>46139</v>
      </c>
      <c r="E2466" s="5">
        <v>0.63340277777777776</v>
      </c>
      <c r="F2466">
        <v>1</v>
      </c>
      <c r="G2466" t="s">
        <v>83</v>
      </c>
      <c r="H2466">
        <v>19.833333333333332</v>
      </c>
      <c r="M2466" t="s">
        <v>84</v>
      </c>
      <c r="N2466" t="s">
        <v>72</v>
      </c>
    </row>
    <row r="2467" spans="1:20" x14ac:dyDescent="0.25">
      <c r="A2467" t="s">
        <v>1214</v>
      </c>
      <c r="B2467" s="4" t="s">
        <v>9</v>
      </c>
      <c r="C2467" s="4" t="s">
        <v>73</v>
      </c>
      <c r="D2467" s="4">
        <v>46139</v>
      </c>
      <c r="E2467" s="5">
        <v>0.63340277777777776</v>
      </c>
      <c r="F2467">
        <v>1</v>
      </c>
      <c r="G2467" t="s">
        <v>83</v>
      </c>
      <c r="H2467">
        <v>19.75</v>
      </c>
      <c r="M2467" t="s">
        <v>84</v>
      </c>
      <c r="N2467" t="s">
        <v>72</v>
      </c>
    </row>
    <row r="2468" spans="1:20" x14ac:dyDescent="0.25">
      <c r="A2468" t="s">
        <v>1214</v>
      </c>
      <c r="B2468" s="4" t="s">
        <v>9</v>
      </c>
      <c r="C2468" s="4" t="s">
        <v>73</v>
      </c>
      <c r="D2468" s="4">
        <v>46139</v>
      </c>
      <c r="E2468" s="5">
        <v>0.63398148148148148</v>
      </c>
      <c r="F2468">
        <v>1</v>
      </c>
      <c r="G2468" t="s">
        <v>83</v>
      </c>
      <c r="H2468">
        <v>19.5</v>
      </c>
      <c r="M2468" t="s">
        <v>76</v>
      </c>
      <c r="N2468" t="s">
        <v>72</v>
      </c>
    </row>
    <row r="2469" spans="1:20" x14ac:dyDescent="0.25">
      <c r="A2469" t="s">
        <v>1219</v>
      </c>
      <c r="B2469" s="4" t="s">
        <v>9</v>
      </c>
      <c r="C2469" s="4" t="s">
        <v>70</v>
      </c>
      <c r="D2469" s="4">
        <v>46139</v>
      </c>
      <c r="E2469" s="5">
        <v>0.63460648148148147</v>
      </c>
      <c r="F2469">
        <v>1</v>
      </c>
      <c r="G2469" t="s">
        <v>83</v>
      </c>
      <c r="H2469">
        <v>3</v>
      </c>
      <c r="L2469" t="s">
        <v>1220</v>
      </c>
      <c r="M2469" t="s">
        <v>71</v>
      </c>
      <c r="N2469" t="s">
        <v>75</v>
      </c>
      <c r="O2469">
        <v>1</v>
      </c>
      <c r="S2469">
        <v>1</v>
      </c>
      <c r="T2469">
        <v>47.416666666666664</v>
      </c>
    </row>
    <row r="2470" spans="1:20" x14ac:dyDescent="0.25">
      <c r="A2470" t="s">
        <v>1220</v>
      </c>
      <c r="B2470" s="4" t="s">
        <v>9</v>
      </c>
      <c r="C2470" s="4" t="s">
        <v>73</v>
      </c>
      <c r="D2470" s="4">
        <v>46139</v>
      </c>
      <c r="E2470" s="5">
        <v>0.63460648148148147</v>
      </c>
      <c r="F2470">
        <v>1</v>
      </c>
      <c r="G2470" t="s">
        <v>83</v>
      </c>
      <c r="H2470">
        <v>47.416666666666664</v>
      </c>
      <c r="M2470" t="s">
        <v>79</v>
      </c>
      <c r="N2470" t="s">
        <v>75</v>
      </c>
    </row>
    <row r="2471" spans="1:20" x14ac:dyDescent="0.25">
      <c r="A2471" t="s">
        <v>1220</v>
      </c>
      <c r="B2471" s="4" t="s">
        <v>9</v>
      </c>
      <c r="C2471" s="4" t="s">
        <v>73</v>
      </c>
      <c r="D2471" s="4">
        <v>46139</v>
      </c>
      <c r="E2471" s="5">
        <v>0.6350810185185185</v>
      </c>
      <c r="F2471">
        <v>1</v>
      </c>
      <c r="G2471" t="s">
        <v>83</v>
      </c>
      <c r="H2471">
        <v>47.416666666666664</v>
      </c>
      <c r="M2471" t="s">
        <v>76</v>
      </c>
      <c r="N2471" t="s">
        <v>75</v>
      </c>
    </row>
    <row r="2472" spans="1:20" x14ac:dyDescent="0.25">
      <c r="A2472" t="s">
        <v>1223</v>
      </c>
      <c r="B2472" s="4" t="s">
        <v>9</v>
      </c>
      <c r="C2472" s="4" t="s">
        <v>70</v>
      </c>
      <c r="D2472" s="4">
        <v>46139</v>
      </c>
      <c r="E2472" s="5">
        <v>0.63565972222222222</v>
      </c>
      <c r="F2472">
        <v>1</v>
      </c>
      <c r="G2472" t="s">
        <v>83</v>
      </c>
      <c r="H2472">
        <v>3</v>
      </c>
      <c r="L2472" t="s">
        <v>1224</v>
      </c>
      <c r="M2472" t="s">
        <v>71</v>
      </c>
      <c r="N2472" t="s">
        <v>75</v>
      </c>
      <c r="O2472">
        <v>1</v>
      </c>
      <c r="S2472">
        <v>1</v>
      </c>
      <c r="T2472">
        <v>29.666666666666664</v>
      </c>
    </row>
    <row r="2473" spans="1:20" x14ac:dyDescent="0.25">
      <c r="A2473" t="s">
        <v>1224</v>
      </c>
      <c r="B2473" s="4" t="s">
        <v>9</v>
      </c>
      <c r="C2473" s="4" t="s">
        <v>73</v>
      </c>
      <c r="D2473" s="4">
        <v>46139</v>
      </c>
      <c r="E2473" s="5">
        <v>0.63565972222222222</v>
      </c>
      <c r="F2473">
        <v>1</v>
      </c>
      <c r="G2473" t="s">
        <v>83</v>
      </c>
      <c r="H2473">
        <v>33.25</v>
      </c>
      <c r="M2473" t="s">
        <v>74</v>
      </c>
      <c r="N2473" t="s">
        <v>75</v>
      </c>
    </row>
    <row r="2474" spans="1:20" x14ac:dyDescent="0.25">
      <c r="A2474" t="s">
        <v>1224</v>
      </c>
      <c r="B2474" s="4" t="s">
        <v>9</v>
      </c>
      <c r="C2474" s="4" t="s">
        <v>73</v>
      </c>
      <c r="D2474" s="4">
        <v>46139</v>
      </c>
      <c r="E2474" s="5">
        <v>0.63565972222222222</v>
      </c>
      <c r="F2474">
        <v>1</v>
      </c>
      <c r="G2474" t="s">
        <v>83</v>
      </c>
      <c r="H2474">
        <v>33.166666666666664</v>
      </c>
      <c r="M2474" t="s">
        <v>74</v>
      </c>
      <c r="N2474" t="s">
        <v>75</v>
      </c>
    </row>
    <row r="2475" spans="1:20" x14ac:dyDescent="0.25">
      <c r="A2475" t="s">
        <v>1224</v>
      </c>
      <c r="B2475" s="4" t="s">
        <v>9</v>
      </c>
      <c r="C2475" s="4" t="s">
        <v>73</v>
      </c>
      <c r="D2475" s="4">
        <v>46139</v>
      </c>
      <c r="E2475" s="5">
        <v>0.63598379629629631</v>
      </c>
      <c r="F2475">
        <v>1</v>
      </c>
      <c r="G2475" t="s">
        <v>83</v>
      </c>
      <c r="H2475">
        <v>29.666666666666664</v>
      </c>
      <c r="M2475" t="s">
        <v>76</v>
      </c>
      <c r="N2475" t="s">
        <v>75</v>
      </c>
    </row>
    <row r="2476" spans="1:20" x14ac:dyDescent="0.25">
      <c r="A2476" t="s">
        <v>1227</v>
      </c>
      <c r="B2476" s="4" t="s">
        <v>9</v>
      </c>
      <c r="C2476" s="4" t="s">
        <v>70</v>
      </c>
      <c r="D2476" s="4">
        <v>46139</v>
      </c>
      <c r="E2476" s="5">
        <v>0.63664351851851853</v>
      </c>
      <c r="F2476">
        <v>1</v>
      </c>
      <c r="G2476" t="s">
        <v>83</v>
      </c>
      <c r="H2476">
        <v>2</v>
      </c>
      <c r="L2476" t="s">
        <v>1228</v>
      </c>
      <c r="M2476" t="s">
        <v>71</v>
      </c>
      <c r="N2476" t="s">
        <v>72</v>
      </c>
      <c r="O2476">
        <v>1</v>
      </c>
      <c r="S2476">
        <v>1</v>
      </c>
      <c r="T2476">
        <v>43.166666666666664</v>
      </c>
    </row>
    <row r="2477" spans="1:20" x14ac:dyDescent="0.25">
      <c r="A2477" t="s">
        <v>1228</v>
      </c>
      <c r="B2477" s="4" t="s">
        <v>9</v>
      </c>
      <c r="C2477" s="4" t="s">
        <v>73</v>
      </c>
      <c r="D2477" s="4">
        <v>46139</v>
      </c>
      <c r="E2477" s="5">
        <v>0.63664351851851853</v>
      </c>
      <c r="F2477">
        <v>1</v>
      </c>
      <c r="G2477" t="s">
        <v>83</v>
      </c>
      <c r="H2477">
        <v>44.75</v>
      </c>
      <c r="M2477" t="s">
        <v>84</v>
      </c>
      <c r="N2477" t="s">
        <v>72</v>
      </c>
    </row>
    <row r="2478" spans="1:20" x14ac:dyDescent="0.25">
      <c r="A2478" t="s">
        <v>1228</v>
      </c>
      <c r="B2478" s="4" t="s">
        <v>9</v>
      </c>
      <c r="C2478" s="4" t="s">
        <v>73</v>
      </c>
      <c r="D2478" s="4">
        <v>46139</v>
      </c>
      <c r="E2478" s="5">
        <v>0.63664351851851853</v>
      </c>
      <c r="F2478">
        <v>1</v>
      </c>
      <c r="G2478" t="s">
        <v>83</v>
      </c>
      <c r="H2478">
        <v>44.666666666666664</v>
      </c>
      <c r="M2478" t="s">
        <v>84</v>
      </c>
      <c r="N2478" t="s">
        <v>72</v>
      </c>
    </row>
    <row r="2479" spans="1:20" x14ac:dyDescent="0.25">
      <c r="A2479" t="s">
        <v>1228</v>
      </c>
      <c r="B2479" s="4" t="s">
        <v>9</v>
      </c>
      <c r="C2479" s="4" t="s">
        <v>73</v>
      </c>
      <c r="D2479" s="4">
        <v>46139</v>
      </c>
      <c r="E2479" s="5">
        <v>0.63700231481481473</v>
      </c>
      <c r="F2479">
        <v>1</v>
      </c>
      <c r="G2479" t="s">
        <v>83</v>
      </c>
      <c r="H2479">
        <v>43.166666666666664</v>
      </c>
      <c r="M2479" t="s">
        <v>76</v>
      </c>
      <c r="N2479" t="s">
        <v>72</v>
      </c>
    </row>
    <row r="2480" spans="1:20" x14ac:dyDescent="0.25">
      <c r="A2480" t="s">
        <v>1231</v>
      </c>
      <c r="B2480" s="4" t="s">
        <v>9</v>
      </c>
      <c r="C2480" s="4" t="s">
        <v>70</v>
      </c>
      <c r="D2480" s="4">
        <v>46139</v>
      </c>
      <c r="E2480" s="5">
        <v>0.63785879629629627</v>
      </c>
      <c r="F2480">
        <v>1</v>
      </c>
      <c r="G2480" t="s">
        <v>83</v>
      </c>
      <c r="H2480">
        <v>2</v>
      </c>
      <c r="L2480" t="s">
        <v>1232</v>
      </c>
      <c r="M2480" t="s">
        <v>71</v>
      </c>
      <c r="N2480" t="s">
        <v>72</v>
      </c>
      <c r="O2480">
        <v>1</v>
      </c>
      <c r="R2480">
        <v>1</v>
      </c>
      <c r="S2480">
        <v>1</v>
      </c>
      <c r="T2480">
        <v>9.9166666666666661</v>
      </c>
    </row>
    <row r="2481" spans="1:21" x14ac:dyDescent="0.25">
      <c r="A2481" t="s">
        <v>1232</v>
      </c>
      <c r="B2481" s="4" t="s">
        <v>9</v>
      </c>
      <c r="C2481" s="4" t="s">
        <v>73</v>
      </c>
      <c r="D2481" s="4">
        <v>46139</v>
      </c>
      <c r="E2481" s="5">
        <v>0.63785879629629627</v>
      </c>
      <c r="F2481">
        <v>1</v>
      </c>
      <c r="G2481" t="s">
        <v>83</v>
      </c>
      <c r="H2481">
        <v>10</v>
      </c>
      <c r="M2481" t="s">
        <v>84</v>
      </c>
      <c r="N2481" t="s">
        <v>72</v>
      </c>
    </row>
    <row r="2482" spans="1:21" x14ac:dyDescent="0.25">
      <c r="A2482" t="s">
        <v>1232</v>
      </c>
      <c r="B2482" s="4" t="s">
        <v>9</v>
      </c>
      <c r="C2482" s="4" t="s">
        <v>73</v>
      </c>
      <c r="D2482" s="4">
        <v>46139</v>
      </c>
      <c r="E2482" s="5">
        <v>0.63785879629629627</v>
      </c>
      <c r="F2482">
        <v>1</v>
      </c>
      <c r="G2482" t="s">
        <v>83</v>
      </c>
      <c r="H2482">
        <v>9.9166666666666661</v>
      </c>
      <c r="M2482" t="s">
        <v>84</v>
      </c>
      <c r="N2482" t="s">
        <v>72</v>
      </c>
    </row>
    <row r="2483" spans="1:21" x14ac:dyDescent="0.25">
      <c r="A2483" t="s">
        <v>1232</v>
      </c>
      <c r="B2483" s="4" t="s">
        <v>9</v>
      </c>
      <c r="C2483" s="4" t="s">
        <v>73</v>
      </c>
      <c r="D2483" s="4">
        <v>46139</v>
      </c>
      <c r="E2483" s="5">
        <v>0.63803240740740741</v>
      </c>
      <c r="F2483">
        <v>1</v>
      </c>
      <c r="G2483" t="s">
        <v>83</v>
      </c>
      <c r="H2483">
        <v>9.9166666666666661</v>
      </c>
      <c r="M2483" t="s">
        <v>76</v>
      </c>
      <c r="N2483" t="s">
        <v>72</v>
      </c>
    </row>
    <row r="2484" spans="1:21" x14ac:dyDescent="0.25">
      <c r="A2484" t="s">
        <v>1235</v>
      </c>
      <c r="B2484" s="4" t="s">
        <v>9</v>
      </c>
      <c r="C2484" s="4" t="s">
        <v>70</v>
      </c>
      <c r="D2484" s="4">
        <v>46139</v>
      </c>
      <c r="E2484" s="5">
        <v>0.63915509259259262</v>
      </c>
      <c r="F2484">
        <v>1</v>
      </c>
      <c r="G2484" t="s">
        <v>83</v>
      </c>
      <c r="H2484">
        <v>2</v>
      </c>
      <c r="L2484" t="s">
        <v>1236</v>
      </c>
      <c r="M2484" t="s">
        <v>71</v>
      </c>
      <c r="N2484" t="s">
        <v>72</v>
      </c>
      <c r="O2484">
        <v>1</v>
      </c>
      <c r="Q2484">
        <v>1</v>
      </c>
      <c r="S2484">
        <v>1</v>
      </c>
      <c r="U2484">
        <v>0.41666666666666663</v>
      </c>
    </row>
    <row r="2485" spans="1:21" x14ac:dyDescent="0.25">
      <c r="A2485" t="s">
        <v>1236</v>
      </c>
      <c r="B2485" s="4" t="s">
        <v>9</v>
      </c>
      <c r="C2485" s="4" t="s">
        <v>73</v>
      </c>
      <c r="D2485" s="4">
        <v>46139</v>
      </c>
      <c r="E2485" s="5">
        <v>0.63915509259259262</v>
      </c>
      <c r="F2485">
        <v>1</v>
      </c>
      <c r="G2485" t="s">
        <v>83</v>
      </c>
      <c r="H2485">
        <v>3.5</v>
      </c>
      <c r="M2485" t="s">
        <v>84</v>
      </c>
      <c r="N2485" t="s">
        <v>72</v>
      </c>
    </row>
    <row r="2486" spans="1:21" x14ac:dyDescent="0.25">
      <c r="A2486" t="s">
        <v>1236</v>
      </c>
      <c r="B2486" s="4" t="s">
        <v>9</v>
      </c>
      <c r="C2486" s="4" t="s">
        <v>73</v>
      </c>
      <c r="D2486" s="4">
        <v>46139</v>
      </c>
      <c r="E2486" s="5">
        <v>0.63915509259259262</v>
      </c>
      <c r="F2486">
        <v>1</v>
      </c>
      <c r="G2486" t="s">
        <v>83</v>
      </c>
      <c r="H2486">
        <v>0.41666666666666663</v>
      </c>
      <c r="M2486" t="s">
        <v>84</v>
      </c>
      <c r="N2486" t="s">
        <v>72</v>
      </c>
    </row>
    <row r="2487" spans="1:21" x14ac:dyDescent="0.25">
      <c r="A2487" t="s">
        <v>1236</v>
      </c>
      <c r="B2487" s="4" t="s">
        <v>9</v>
      </c>
      <c r="C2487" s="4" t="s">
        <v>73</v>
      </c>
      <c r="D2487" s="4">
        <v>46139</v>
      </c>
      <c r="E2487" s="5">
        <v>0.63915509259259262</v>
      </c>
      <c r="F2487">
        <v>1</v>
      </c>
      <c r="G2487" t="s">
        <v>83</v>
      </c>
      <c r="H2487">
        <v>0</v>
      </c>
      <c r="M2487" t="s">
        <v>84</v>
      </c>
      <c r="N2487" t="s">
        <v>72</v>
      </c>
    </row>
    <row r="2488" spans="1:21" x14ac:dyDescent="0.25">
      <c r="A2488" t="s">
        <v>1239</v>
      </c>
      <c r="B2488" s="4" t="s">
        <v>9</v>
      </c>
      <c r="C2488" s="4" t="s">
        <v>70</v>
      </c>
      <c r="D2488" s="4">
        <v>46139</v>
      </c>
      <c r="E2488" s="5">
        <v>0.63995370370370364</v>
      </c>
      <c r="F2488">
        <v>1</v>
      </c>
      <c r="G2488" t="s">
        <v>83</v>
      </c>
      <c r="H2488">
        <v>2</v>
      </c>
      <c r="L2488" t="s">
        <v>94</v>
      </c>
      <c r="M2488" t="s">
        <v>71</v>
      </c>
      <c r="N2488" t="s">
        <v>72</v>
      </c>
      <c r="O2488">
        <v>1</v>
      </c>
      <c r="R2488">
        <v>1</v>
      </c>
      <c r="S2488">
        <v>1</v>
      </c>
      <c r="T2488">
        <v>9.9166666666666661</v>
      </c>
    </row>
    <row r="2489" spans="1:21" x14ac:dyDescent="0.25">
      <c r="A2489" t="s">
        <v>94</v>
      </c>
      <c r="B2489" s="4" t="s">
        <v>9</v>
      </c>
      <c r="C2489" s="4" t="s">
        <v>73</v>
      </c>
      <c r="D2489" s="4">
        <v>46139</v>
      </c>
      <c r="E2489" s="5">
        <v>0.63995370370370364</v>
      </c>
      <c r="F2489">
        <v>1</v>
      </c>
      <c r="G2489" t="s">
        <v>83</v>
      </c>
      <c r="H2489">
        <v>9.9166666666666661</v>
      </c>
      <c r="M2489" t="s">
        <v>84</v>
      </c>
      <c r="N2489" t="s">
        <v>72</v>
      </c>
    </row>
    <row r="2490" spans="1:21" x14ac:dyDescent="0.25">
      <c r="A2490" t="s">
        <v>94</v>
      </c>
      <c r="B2490" s="4" t="s">
        <v>9</v>
      </c>
      <c r="C2490" s="4" t="s">
        <v>73</v>
      </c>
      <c r="D2490" s="4">
        <v>46139</v>
      </c>
      <c r="E2490" s="5">
        <v>0.63995370370370364</v>
      </c>
      <c r="F2490">
        <v>1</v>
      </c>
      <c r="G2490" t="s">
        <v>83</v>
      </c>
      <c r="H2490">
        <v>9.8333333333333321</v>
      </c>
      <c r="M2490" t="s">
        <v>84</v>
      </c>
      <c r="N2490" t="s">
        <v>72</v>
      </c>
    </row>
    <row r="2491" spans="1:21" x14ac:dyDescent="0.25">
      <c r="A2491" t="s">
        <v>94</v>
      </c>
      <c r="B2491" s="4" t="s">
        <v>9</v>
      </c>
      <c r="C2491" s="4" t="s">
        <v>73</v>
      </c>
      <c r="D2491" s="4">
        <v>46139</v>
      </c>
      <c r="E2491" s="5">
        <v>0.64015046296296296</v>
      </c>
      <c r="F2491">
        <v>1</v>
      </c>
      <c r="G2491" t="s">
        <v>83</v>
      </c>
      <c r="H2491">
        <v>9.9166666666666661</v>
      </c>
      <c r="M2491" t="s">
        <v>76</v>
      </c>
      <c r="N2491" t="s">
        <v>72</v>
      </c>
    </row>
    <row r="2492" spans="1:21" x14ac:dyDescent="0.25">
      <c r="A2492" t="s">
        <v>1248</v>
      </c>
      <c r="B2492" s="4" t="s">
        <v>9</v>
      </c>
      <c r="C2492" s="4" t="s">
        <v>70</v>
      </c>
      <c r="D2492" s="4">
        <v>46139</v>
      </c>
      <c r="E2492" s="5">
        <v>0.64347222222222222</v>
      </c>
      <c r="F2492">
        <v>1</v>
      </c>
      <c r="G2492" t="s">
        <v>83</v>
      </c>
      <c r="H2492">
        <v>2</v>
      </c>
      <c r="L2492" t="s">
        <v>1249</v>
      </c>
      <c r="M2492" t="s">
        <v>71</v>
      </c>
      <c r="N2492" t="s">
        <v>72</v>
      </c>
      <c r="O2492">
        <v>1</v>
      </c>
      <c r="S2492">
        <v>1</v>
      </c>
      <c r="T2492">
        <v>31.5</v>
      </c>
    </row>
    <row r="2493" spans="1:21" x14ac:dyDescent="0.25">
      <c r="A2493" t="s">
        <v>1249</v>
      </c>
      <c r="B2493" s="4" t="s">
        <v>9</v>
      </c>
      <c r="C2493" s="4" t="s">
        <v>73</v>
      </c>
      <c r="D2493" s="4">
        <v>46139</v>
      </c>
      <c r="E2493" s="5">
        <v>0.64347222222222222</v>
      </c>
      <c r="F2493">
        <v>1</v>
      </c>
      <c r="G2493" t="s">
        <v>83</v>
      </c>
      <c r="H2493">
        <v>31.833333333333332</v>
      </c>
      <c r="M2493" t="s">
        <v>84</v>
      </c>
      <c r="N2493" t="s">
        <v>72</v>
      </c>
    </row>
    <row r="2494" spans="1:21" x14ac:dyDescent="0.25">
      <c r="A2494" t="s">
        <v>1249</v>
      </c>
      <c r="B2494" s="4" t="s">
        <v>9</v>
      </c>
      <c r="C2494" s="4" t="s">
        <v>73</v>
      </c>
      <c r="D2494" s="4">
        <v>46139</v>
      </c>
      <c r="E2494" s="5">
        <v>0.64347222222222222</v>
      </c>
      <c r="F2494">
        <v>1</v>
      </c>
      <c r="G2494" t="s">
        <v>83</v>
      </c>
      <c r="H2494">
        <v>31.75</v>
      </c>
      <c r="M2494" t="s">
        <v>84</v>
      </c>
      <c r="N2494" t="s">
        <v>72</v>
      </c>
    </row>
    <row r="2495" spans="1:21" x14ac:dyDescent="0.25">
      <c r="A2495" t="s">
        <v>1249</v>
      </c>
      <c r="B2495" s="4" t="s">
        <v>9</v>
      </c>
      <c r="C2495" s="4" t="s">
        <v>73</v>
      </c>
      <c r="D2495" s="4">
        <v>46139</v>
      </c>
      <c r="E2495" s="5">
        <v>0.64376157407407408</v>
      </c>
      <c r="F2495">
        <v>1</v>
      </c>
      <c r="G2495" t="s">
        <v>83</v>
      </c>
      <c r="H2495">
        <v>31.5</v>
      </c>
      <c r="M2495" t="s">
        <v>76</v>
      </c>
      <c r="N2495" t="s">
        <v>72</v>
      </c>
    </row>
    <row r="2496" spans="1:21" x14ac:dyDescent="0.25">
      <c r="A2496" t="s">
        <v>1262</v>
      </c>
      <c r="B2496" s="4" t="s">
        <v>9</v>
      </c>
      <c r="C2496" s="4" t="s">
        <v>70</v>
      </c>
      <c r="D2496" s="4">
        <v>46139</v>
      </c>
      <c r="E2496" s="5">
        <v>0.64995370370370364</v>
      </c>
      <c r="F2496">
        <v>1</v>
      </c>
      <c r="G2496" t="s">
        <v>83</v>
      </c>
      <c r="H2496">
        <v>2</v>
      </c>
      <c r="L2496" t="s">
        <v>1263</v>
      </c>
      <c r="M2496" t="s">
        <v>71</v>
      </c>
      <c r="N2496" t="s">
        <v>72</v>
      </c>
      <c r="O2496">
        <v>1</v>
      </c>
      <c r="S2496">
        <v>1</v>
      </c>
      <c r="T2496">
        <v>38</v>
      </c>
    </row>
    <row r="2497" spans="1:21" x14ac:dyDescent="0.25">
      <c r="A2497" t="s">
        <v>1263</v>
      </c>
      <c r="B2497" s="4" t="s">
        <v>9</v>
      </c>
      <c r="C2497" s="4" t="s">
        <v>73</v>
      </c>
      <c r="D2497" s="4">
        <v>46139</v>
      </c>
      <c r="E2497" s="5">
        <v>0.64995370370370364</v>
      </c>
      <c r="F2497">
        <v>1</v>
      </c>
      <c r="G2497" t="s">
        <v>83</v>
      </c>
      <c r="H2497">
        <v>38.333333333333336</v>
      </c>
      <c r="M2497" t="s">
        <v>84</v>
      </c>
      <c r="N2497" t="s">
        <v>72</v>
      </c>
    </row>
    <row r="2498" spans="1:21" x14ac:dyDescent="0.25">
      <c r="A2498" t="s">
        <v>1263</v>
      </c>
      <c r="B2498" s="4" t="s">
        <v>9</v>
      </c>
      <c r="C2498" s="4" t="s">
        <v>73</v>
      </c>
      <c r="D2498" s="4">
        <v>46139</v>
      </c>
      <c r="E2498" s="5">
        <v>0.64995370370370364</v>
      </c>
      <c r="F2498">
        <v>1</v>
      </c>
      <c r="G2498" t="s">
        <v>83</v>
      </c>
      <c r="H2498">
        <v>38.25</v>
      </c>
      <c r="M2498" t="s">
        <v>84</v>
      </c>
      <c r="N2498" t="s">
        <v>72</v>
      </c>
    </row>
    <row r="2499" spans="1:21" x14ac:dyDescent="0.25">
      <c r="A2499" t="s">
        <v>1263</v>
      </c>
      <c r="B2499" s="4" t="s">
        <v>9</v>
      </c>
      <c r="C2499" s="4" t="s">
        <v>73</v>
      </c>
      <c r="D2499" s="4">
        <v>46139</v>
      </c>
      <c r="E2499" s="5">
        <v>0.65054398148148151</v>
      </c>
      <c r="F2499">
        <v>1</v>
      </c>
      <c r="G2499" t="s">
        <v>83</v>
      </c>
      <c r="H2499">
        <v>38</v>
      </c>
      <c r="M2499" t="s">
        <v>76</v>
      </c>
      <c r="N2499" t="s">
        <v>72</v>
      </c>
    </row>
    <row r="2500" spans="1:21" x14ac:dyDescent="0.25">
      <c r="A2500" t="s">
        <v>1266</v>
      </c>
      <c r="B2500" s="4" t="s">
        <v>9</v>
      </c>
      <c r="C2500" s="4" t="s">
        <v>70</v>
      </c>
      <c r="D2500" s="4">
        <v>46139</v>
      </c>
      <c r="E2500" s="5">
        <v>0.65116898148148139</v>
      </c>
      <c r="F2500">
        <v>1</v>
      </c>
      <c r="G2500" t="s">
        <v>83</v>
      </c>
      <c r="H2500">
        <v>2</v>
      </c>
      <c r="L2500" t="s">
        <v>1267</v>
      </c>
      <c r="M2500" t="s">
        <v>71</v>
      </c>
      <c r="N2500" t="s">
        <v>72</v>
      </c>
      <c r="O2500">
        <v>1</v>
      </c>
      <c r="S2500">
        <v>1</v>
      </c>
      <c r="T2500">
        <v>90.833333333333329</v>
      </c>
    </row>
    <row r="2501" spans="1:21" x14ac:dyDescent="0.25">
      <c r="A2501" t="s">
        <v>1267</v>
      </c>
      <c r="B2501" s="4" t="s">
        <v>9</v>
      </c>
      <c r="C2501" s="4" t="s">
        <v>73</v>
      </c>
      <c r="D2501" s="4">
        <v>46139</v>
      </c>
      <c r="E2501" s="5">
        <v>0.65116898148148139</v>
      </c>
      <c r="F2501">
        <v>1</v>
      </c>
      <c r="G2501" t="s">
        <v>83</v>
      </c>
      <c r="H2501">
        <v>90.916666666666671</v>
      </c>
      <c r="M2501" t="s">
        <v>74</v>
      </c>
      <c r="N2501" t="s">
        <v>72</v>
      </c>
    </row>
    <row r="2502" spans="1:21" x14ac:dyDescent="0.25">
      <c r="A2502" t="s">
        <v>1267</v>
      </c>
      <c r="B2502" s="4" t="s">
        <v>9</v>
      </c>
      <c r="C2502" s="4" t="s">
        <v>73</v>
      </c>
      <c r="D2502" s="4">
        <v>46139</v>
      </c>
      <c r="E2502" s="5">
        <v>0.65116898148148139</v>
      </c>
      <c r="F2502">
        <v>1</v>
      </c>
      <c r="G2502" t="s">
        <v>83</v>
      </c>
      <c r="H2502">
        <v>90.833333333333329</v>
      </c>
      <c r="M2502" t="s">
        <v>74</v>
      </c>
      <c r="N2502" t="s">
        <v>72</v>
      </c>
    </row>
    <row r="2503" spans="1:21" x14ac:dyDescent="0.25">
      <c r="A2503" t="s">
        <v>1267</v>
      </c>
      <c r="B2503" s="4" t="s">
        <v>9</v>
      </c>
      <c r="C2503" s="4" t="s">
        <v>73</v>
      </c>
      <c r="D2503" s="4">
        <v>46139</v>
      </c>
      <c r="E2503" s="5">
        <v>0.65126157407407403</v>
      </c>
      <c r="F2503">
        <v>1</v>
      </c>
      <c r="G2503" t="s">
        <v>83</v>
      </c>
      <c r="H2503">
        <v>90.833333333333329</v>
      </c>
      <c r="M2503" t="s">
        <v>76</v>
      </c>
      <c r="N2503" t="s">
        <v>72</v>
      </c>
    </row>
    <row r="2504" spans="1:21" x14ac:dyDescent="0.25">
      <c r="A2504" t="s">
        <v>1271</v>
      </c>
      <c r="B2504" s="4" t="s">
        <v>9</v>
      </c>
      <c r="C2504" s="4" t="s">
        <v>73</v>
      </c>
      <c r="D2504" s="4">
        <v>46139</v>
      </c>
      <c r="E2504" s="5">
        <v>0.65217592592592588</v>
      </c>
      <c r="F2504">
        <v>1</v>
      </c>
      <c r="G2504" t="s">
        <v>83</v>
      </c>
      <c r="H2504">
        <v>38.25</v>
      </c>
      <c r="L2504" s="21"/>
      <c r="M2504" t="s">
        <v>79</v>
      </c>
      <c r="N2504" t="s">
        <v>75</v>
      </c>
    </row>
    <row r="2505" spans="1:21" x14ac:dyDescent="0.25">
      <c r="A2505" t="s">
        <v>1273</v>
      </c>
      <c r="B2505" s="4" t="s">
        <v>9</v>
      </c>
      <c r="C2505" s="4" t="s">
        <v>70</v>
      </c>
      <c r="D2505" s="4">
        <v>46139</v>
      </c>
      <c r="E2505" s="5">
        <v>0.6527546296296296</v>
      </c>
      <c r="F2505">
        <v>1</v>
      </c>
      <c r="G2505" t="s">
        <v>83</v>
      </c>
      <c r="H2505">
        <v>25.5</v>
      </c>
      <c r="L2505" t="s">
        <v>1271</v>
      </c>
      <c r="M2505" t="s">
        <v>71</v>
      </c>
      <c r="N2505" t="s">
        <v>75</v>
      </c>
      <c r="O2505">
        <v>1</v>
      </c>
      <c r="R2505">
        <v>1</v>
      </c>
      <c r="S2505">
        <v>1</v>
      </c>
      <c r="T2505">
        <v>12.333333333333332</v>
      </c>
    </row>
    <row r="2506" spans="1:21" x14ac:dyDescent="0.25">
      <c r="A2506" t="s">
        <v>1271</v>
      </c>
      <c r="B2506" s="4" t="s">
        <v>9</v>
      </c>
      <c r="C2506" s="4" t="s">
        <v>73</v>
      </c>
      <c r="D2506" s="4">
        <v>46139</v>
      </c>
      <c r="E2506" s="5">
        <v>0.6527546296296296</v>
      </c>
      <c r="F2506">
        <v>1</v>
      </c>
      <c r="G2506" t="s">
        <v>83</v>
      </c>
      <c r="H2506">
        <v>12.75</v>
      </c>
      <c r="M2506" t="s">
        <v>79</v>
      </c>
      <c r="N2506" t="s">
        <v>75</v>
      </c>
    </row>
    <row r="2507" spans="1:21" x14ac:dyDescent="0.25">
      <c r="A2507" t="s">
        <v>1271</v>
      </c>
      <c r="B2507" s="4" t="s">
        <v>9</v>
      </c>
      <c r="C2507" s="4" t="s">
        <v>73</v>
      </c>
      <c r="D2507" s="4">
        <v>46139</v>
      </c>
      <c r="E2507" s="5">
        <v>0.6527546296296296</v>
      </c>
      <c r="F2507">
        <v>1</v>
      </c>
      <c r="G2507" t="s">
        <v>83</v>
      </c>
      <c r="H2507">
        <v>12.666666666666664</v>
      </c>
      <c r="M2507" t="s">
        <v>79</v>
      </c>
      <c r="N2507" t="s">
        <v>75</v>
      </c>
    </row>
    <row r="2508" spans="1:21" x14ac:dyDescent="0.25">
      <c r="A2508" t="s">
        <v>1271</v>
      </c>
      <c r="B2508" s="4" t="s">
        <v>9</v>
      </c>
      <c r="C2508" s="4" t="s">
        <v>73</v>
      </c>
      <c r="D2508" s="4">
        <v>46139</v>
      </c>
      <c r="E2508" s="5">
        <v>0.65329861111111109</v>
      </c>
      <c r="F2508">
        <v>1</v>
      </c>
      <c r="G2508" t="s">
        <v>83</v>
      </c>
      <c r="H2508">
        <v>12.333333333333332</v>
      </c>
      <c r="M2508" t="s">
        <v>76</v>
      </c>
      <c r="N2508" t="s">
        <v>75</v>
      </c>
    </row>
    <row r="2509" spans="1:21" x14ac:dyDescent="0.25">
      <c r="A2509" t="s">
        <v>1279</v>
      </c>
      <c r="B2509" s="4" t="s">
        <v>9</v>
      </c>
      <c r="C2509" s="4" t="s">
        <v>70</v>
      </c>
      <c r="D2509" s="4">
        <v>46139</v>
      </c>
      <c r="E2509" s="5">
        <v>0.65550925925925929</v>
      </c>
      <c r="F2509">
        <v>1</v>
      </c>
      <c r="G2509" t="s">
        <v>83</v>
      </c>
      <c r="H2509">
        <v>2</v>
      </c>
      <c r="L2509" t="s">
        <v>1280</v>
      </c>
      <c r="M2509" t="s">
        <v>71</v>
      </c>
      <c r="N2509" t="s">
        <v>72</v>
      </c>
      <c r="O2509">
        <v>1</v>
      </c>
      <c r="Q2509">
        <v>1</v>
      </c>
      <c r="S2509">
        <v>1</v>
      </c>
      <c r="U2509">
        <v>0.5</v>
      </c>
    </row>
    <row r="2510" spans="1:21" x14ac:dyDescent="0.25">
      <c r="A2510" t="s">
        <v>1280</v>
      </c>
      <c r="B2510" s="4" t="s">
        <v>9</v>
      </c>
      <c r="C2510" s="4" t="s">
        <v>73</v>
      </c>
      <c r="D2510" s="4">
        <v>46139</v>
      </c>
      <c r="E2510" s="5">
        <v>0.65550925925925929</v>
      </c>
      <c r="F2510">
        <v>1</v>
      </c>
      <c r="G2510" t="s">
        <v>83</v>
      </c>
      <c r="H2510">
        <v>3.333333333333333</v>
      </c>
      <c r="M2510" t="s">
        <v>84</v>
      </c>
      <c r="N2510" t="s">
        <v>72</v>
      </c>
    </row>
    <row r="2511" spans="1:21" x14ac:dyDescent="0.25">
      <c r="A2511" t="s">
        <v>1280</v>
      </c>
      <c r="B2511" s="4" t="s">
        <v>9</v>
      </c>
      <c r="C2511" s="4" t="s">
        <v>73</v>
      </c>
      <c r="D2511" s="4">
        <v>46139</v>
      </c>
      <c r="E2511" s="5">
        <v>0.65550925925925929</v>
      </c>
      <c r="F2511">
        <v>1</v>
      </c>
      <c r="G2511" t="s">
        <v>83</v>
      </c>
      <c r="H2511">
        <v>0.5</v>
      </c>
      <c r="M2511" t="s">
        <v>84</v>
      </c>
      <c r="N2511" t="s">
        <v>72</v>
      </c>
    </row>
    <row r="2512" spans="1:21" x14ac:dyDescent="0.25">
      <c r="A2512" t="s">
        <v>1280</v>
      </c>
      <c r="B2512" s="4" t="s">
        <v>9</v>
      </c>
      <c r="C2512" s="4" t="s">
        <v>73</v>
      </c>
      <c r="D2512" s="4">
        <v>46139</v>
      </c>
      <c r="E2512" s="5">
        <v>0.65550925925925929</v>
      </c>
      <c r="F2512">
        <v>1</v>
      </c>
      <c r="G2512" t="s">
        <v>83</v>
      </c>
      <c r="H2512">
        <v>0</v>
      </c>
      <c r="M2512" t="s">
        <v>84</v>
      </c>
      <c r="N2512" t="s">
        <v>72</v>
      </c>
    </row>
    <row r="2513" spans="1:21" x14ac:dyDescent="0.25">
      <c r="A2513" t="s">
        <v>1285</v>
      </c>
      <c r="B2513" s="4" t="s">
        <v>9</v>
      </c>
      <c r="C2513" s="4" t="s">
        <v>70</v>
      </c>
      <c r="D2513" s="4">
        <v>46139</v>
      </c>
      <c r="E2513" s="5">
        <v>0.65689814814814806</v>
      </c>
      <c r="F2513">
        <v>1</v>
      </c>
      <c r="G2513" t="s">
        <v>83</v>
      </c>
      <c r="H2513">
        <v>2</v>
      </c>
      <c r="L2513" t="s">
        <v>1286</v>
      </c>
      <c r="M2513" t="s">
        <v>71</v>
      </c>
      <c r="N2513" t="s">
        <v>72</v>
      </c>
      <c r="O2513">
        <v>1</v>
      </c>
      <c r="S2513">
        <v>1</v>
      </c>
      <c r="T2513">
        <v>142.16666666666666</v>
      </c>
    </row>
    <row r="2514" spans="1:21" x14ac:dyDescent="0.25">
      <c r="A2514" t="s">
        <v>1286</v>
      </c>
      <c r="B2514" s="4" t="s">
        <v>9</v>
      </c>
      <c r="C2514" s="4" t="s">
        <v>73</v>
      </c>
      <c r="D2514" s="4">
        <v>46139</v>
      </c>
      <c r="E2514" s="5">
        <v>0.65689814814814806</v>
      </c>
      <c r="F2514">
        <v>1</v>
      </c>
      <c r="G2514" t="s">
        <v>83</v>
      </c>
      <c r="H2514">
        <v>142.25</v>
      </c>
      <c r="L2514" t="s">
        <v>1287</v>
      </c>
      <c r="M2514" t="s">
        <v>74</v>
      </c>
      <c r="N2514" t="s">
        <v>72</v>
      </c>
    </row>
    <row r="2515" spans="1:21" x14ac:dyDescent="0.25">
      <c r="A2515" t="s">
        <v>1286</v>
      </c>
      <c r="B2515" s="4" t="s">
        <v>9</v>
      </c>
      <c r="C2515" s="4" t="s">
        <v>73</v>
      </c>
      <c r="D2515" s="4">
        <v>46139</v>
      </c>
      <c r="E2515" s="5">
        <v>0.65689814814814806</v>
      </c>
      <c r="F2515">
        <v>1</v>
      </c>
      <c r="G2515" t="s">
        <v>83</v>
      </c>
      <c r="H2515">
        <v>142.16666666666666</v>
      </c>
      <c r="L2515" t="s">
        <v>1287</v>
      </c>
      <c r="M2515" t="s">
        <v>74</v>
      </c>
      <c r="N2515" t="s">
        <v>72</v>
      </c>
    </row>
    <row r="2516" spans="1:21" x14ac:dyDescent="0.25">
      <c r="A2516" t="s">
        <v>1286</v>
      </c>
      <c r="B2516" s="4" t="s">
        <v>9</v>
      </c>
      <c r="C2516" s="4" t="s">
        <v>73</v>
      </c>
      <c r="D2516" s="4">
        <v>46139</v>
      </c>
      <c r="E2516" s="5">
        <v>0.65700231481481475</v>
      </c>
      <c r="F2516">
        <v>1</v>
      </c>
      <c r="G2516" t="s">
        <v>83</v>
      </c>
      <c r="H2516">
        <v>142.16666666666666</v>
      </c>
      <c r="L2516" t="s">
        <v>1287</v>
      </c>
      <c r="M2516" t="s">
        <v>76</v>
      </c>
      <c r="N2516" t="s">
        <v>72</v>
      </c>
    </row>
    <row r="2517" spans="1:21" x14ac:dyDescent="0.25">
      <c r="A2517" t="s">
        <v>1292</v>
      </c>
      <c r="B2517" s="4" t="s">
        <v>9</v>
      </c>
      <c r="C2517" s="4" t="s">
        <v>70</v>
      </c>
      <c r="D2517" s="4">
        <v>46139</v>
      </c>
      <c r="E2517" s="5">
        <v>0.6580555555555555</v>
      </c>
      <c r="F2517">
        <v>1</v>
      </c>
      <c r="G2517" t="s">
        <v>83</v>
      </c>
      <c r="H2517">
        <v>2</v>
      </c>
      <c r="L2517" t="s">
        <v>1293</v>
      </c>
      <c r="M2517" t="s">
        <v>71</v>
      </c>
      <c r="N2517" t="s">
        <v>72</v>
      </c>
      <c r="O2517">
        <v>1</v>
      </c>
      <c r="Q2517">
        <v>1</v>
      </c>
      <c r="S2517">
        <v>1</v>
      </c>
      <c r="U2517">
        <v>3.083333333333333</v>
      </c>
    </row>
    <row r="2518" spans="1:21" x14ac:dyDescent="0.25">
      <c r="A2518" t="s">
        <v>1293</v>
      </c>
      <c r="B2518" s="4" t="s">
        <v>9</v>
      </c>
      <c r="C2518" s="4" t="s">
        <v>73</v>
      </c>
      <c r="D2518" s="4">
        <v>46139</v>
      </c>
      <c r="E2518" s="5">
        <v>0.6580555555555555</v>
      </c>
      <c r="F2518">
        <v>1</v>
      </c>
      <c r="G2518" t="s">
        <v>83</v>
      </c>
      <c r="H2518">
        <v>3.083333333333333</v>
      </c>
      <c r="M2518" t="s">
        <v>79</v>
      </c>
      <c r="N2518" t="s">
        <v>72</v>
      </c>
    </row>
    <row r="2519" spans="1:21" x14ac:dyDescent="0.25">
      <c r="A2519" t="s">
        <v>1293</v>
      </c>
      <c r="B2519" s="4" t="s">
        <v>9</v>
      </c>
      <c r="C2519" s="4" t="s">
        <v>73</v>
      </c>
      <c r="D2519" s="4">
        <v>46139</v>
      </c>
      <c r="E2519" s="5">
        <v>0.6580555555555555</v>
      </c>
      <c r="F2519">
        <v>1</v>
      </c>
      <c r="G2519" t="s">
        <v>83</v>
      </c>
      <c r="H2519">
        <v>0</v>
      </c>
      <c r="M2519" t="s">
        <v>79</v>
      </c>
      <c r="N2519" t="s">
        <v>72</v>
      </c>
    </row>
    <row r="2520" spans="1:21" x14ac:dyDescent="0.25">
      <c r="A2520" t="s">
        <v>1296</v>
      </c>
      <c r="B2520" s="4" t="s">
        <v>9</v>
      </c>
      <c r="C2520" s="4" t="s">
        <v>70</v>
      </c>
      <c r="D2520" s="4">
        <v>46139</v>
      </c>
      <c r="E2520" s="5">
        <v>0.65927083333333325</v>
      </c>
      <c r="F2520">
        <v>1</v>
      </c>
      <c r="G2520" t="s">
        <v>83</v>
      </c>
      <c r="H2520">
        <v>2</v>
      </c>
      <c r="L2520" t="s">
        <v>1297</v>
      </c>
      <c r="M2520" t="s">
        <v>71</v>
      </c>
      <c r="N2520" t="s">
        <v>72</v>
      </c>
      <c r="O2520">
        <v>1</v>
      </c>
      <c r="R2520">
        <v>1</v>
      </c>
      <c r="S2520">
        <v>1</v>
      </c>
      <c r="T2520">
        <v>23.666666666666668</v>
      </c>
    </row>
    <row r="2521" spans="1:21" x14ac:dyDescent="0.25">
      <c r="A2521" t="s">
        <v>1297</v>
      </c>
      <c r="B2521" s="4" t="s">
        <v>9</v>
      </c>
      <c r="C2521" s="4" t="s">
        <v>73</v>
      </c>
      <c r="D2521" s="4">
        <v>46139</v>
      </c>
      <c r="E2521" s="5">
        <v>0.65927083333333325</v>
      </c>
      <c r="F2521">
        <v>1</v>
      </c>
      <c r="G2521" t="s">
        <v>83</v>
      </c>
      <c r="H2521">
        <v>23.916666666666664</v>
      </c>
      <c r="M2521" t="s">
        <v>84</v>
      </c>
      <c r="N2521" t="s">
        <v>72</v>
      </c>
    </row>
    <row r="2522" spans="1:21" x14ac:dyDescent="0.25">
      <c r="A2522" t="s">
        <v>1297</v>
      </c>
      <c r="B2522" s="4" t="s">
        <v>9</v>
      </c>
      <c r="C2522" s="4" t="s">
        <v>73</v>
      </c>
      <c r="D2522" s="4">
        <v>46139</v>
      </c>
      <c r="E2522" s="5">
        <v>0.65927083333333325</v>
      </c>
      <c r="F2522">
        <v>1</v>
      </c>
      <c r="G2522" t="s">
        <v>83</v>
      </c>
      <c r="H2522">
        <v>23.833333333333332</v>
      </c>
      <c r="M2522" t="s">
        <v>84</v>
      </c>
      <c r="N2522" t="s">
        <v>72</v>
      </c>
    </row>
    <row r="2523" spans="1:21" x14ac:dyDescent="0.25">
      <c r="A2523" t="s">
        <v>1297</v>
      </c>
      <c r="B2523" s="4" t="s">
        <v>9</v>
      </c>
      <c r="C2523" s="4" t="s">
        <v>73</v>
      </c>
      <c r="D2523" s="4">
        <v>46139</v>
      </c>
      <c r="E2523" s="5">
        <v>0.65965277777777775</v>
      </c>
      <c r="F2523">
        <v>1</v>
      </c>
      <c r="G2523" t="s">
        <v>83</v>
      </c>
      <c r="H2523">
        <v>23.666666666666668</v>
      </c>
      <c r="M2523" t="s">
        <v>76</v>
      </c>
      <c r="N2523" t="s">
        <v>72</v>
      </c>
    </row>
    <row r="2524" spans="1:21" x14ac:dyDescent="0.25">
      <c r="A2524" t="s">
        <v>1300</v>
      </c>
      <c r="B2524" s="4" t="s">
        <v>9</v>
      </c>
      <c r="C2524" s="4" t="s">
        <v>70</v>
      </c>
      <c r="D2524" s="4">
        <v>46139</v>
      </c>
      <c r="E2524" s="5">
        <v>0.66015046296296298</v>
      </c>
      <c r="F2524">
        <v>1</v>
      </c>
      <c r="G2524" t="s">
        <v>83</v>
      </c>
      <c r="H2524">
        <v>2</v>
      </c>
      <c r="L2524" t="s">
        <v>1301</v>
      </c>
      <c r="M2524" t="s">
        <v>71</v>
      </c>
      <c r="N2524" t="s">
        <v>72</v>
      </c>
      <c r="O2524">
        <v>1</v>
      </c>
      <c r="S2524">
        <v>1</v>
      </c>
      <c r="T2524">
        <v>92.5</v>
      </c>
    </row>
    <row r="2525" spans="1:21" x14ac:dyDescent="0.25">
      <c r="A2525" t="s">
        <v>1301</v>
      </c>
      <c r="B2525" s="4" t="s">
        <v>9</v>
      </c>
      <c r="C2525" s="4" t="s">
        <v>73</v>
      </c>
      <c r="D2525" s="4">
        <v>46139</v>
      </c>
      <c r="E2525" s="5">
        <v>0.66015046296296298</v>
      </c>
      <c r="F2525">
        <v>1</v>
      </c>
      <c r="G2525" t="s">
        <v>83</v>
      </c>
      <c r="H2525">
        <v>92.583333333333329</v>
      </c>
      <c r="M2525" t="s">
        <v>79</v>
      </c>
      <c r="N2525" t="s">
        <v>72</v>
      </c>
    </row>
    <row r="2526" spans="1:21" x14ac:dyDescent="0.25">
      <c r="A2526" t="s">
        <v>1301</v>
      </c>
      <c r="B2526" s="4" t="s">
        <v>9</v>
      </c>
      <c r="C2526" s="4" t="s">
        <v>73</v>
      </c>
      <c r="D2526" s="4">
        <v>46139</v>
      </c>
      <c r="E2526" s="5">
        <v>0.66015046296296298</v>
      </c>
      <c r="F2526">
        <v>1</v>
      </c>
      <c r="G2526" t="s">
        <v>83</v>
      </c>
      <c r="H2526">
        <v>92.5</v>
      </c>
      <c r="M2526" t="s">
        <v>79</v>
      </c>
      <c r="N2526" t="s">
        <v>72</v>
      </c>
    </row>
    <row r="2527" spans="1:21" x14ac:dyDescent="0.25">
      <c r="A2527" t="s">
        <v>1301</v>
      </c>
      <c r="B2527" s="4" t="s">
        <v>9</v>
      </c>
      <c r="C2527" s="4" t="s">
        <v>73</v>
      </c>
      <c r="D2527" s="4">
        <v>46139</v>
      </c>
      <c r="E2527" s="5">
        <v>0.66024305555555551</v>
      </c>
      <c r="F2527">
        <v>1</v>
      </c>
      <c r="G2527" t="s">
        <v>83</v>
      </c>
      <c r="H2527">
        <v>92.5</v>
      </c>
      <c r="M2527" t="s">
        <v>76</v>
      </c>
      <c r="N2527" t="s">
        <v>72</v>
      </c>
    </row>
    <row r="2528" spans="1:21" x14ac:dyDescent="0.25">
      <c r="A2528" t="s">
        <v>1302</v>
      </c>
      <c r="B2528" s="4" t="s">
        <v>9</v>
      </c>
      <c r="C2528" s="4" t="s">
        <v>70</v>
      </c>
      <c r="D2528" s="4">
        <v>46139</v>
      </c>
      <c r="E2528" s="5">
        <v>0.66081018518518519</v>
      </c>
      <c r="F2528">
        <v>1</v>
      </c>
      <c r="G2528" t="s">
        <v>83</v>
      </c>
      <c r="H2528">
        <v>2</v>
      </c>
      <c r="L2528" t="s">
        <v>1303</v>
      </c>
      <c r="M2528" t="s">
        <v>71</v>
      </c>
      <c r="N2528" t="s">
        <v>72</v>
      </c>
      <c r="O2528">
        <v>1</v>
      </c>
      <c r="R2528">
        <v>1</v>
      </c>
      <c r="S2528">
        <v>1</v>
      </c>
      <c r="T2528">
        <v>10.25</v>
      </c>
    </row>
    <row r="2529" spans="1:14" x14ac:dyDescent="0.25">
      <c r="A2529" t="s">
        <v>1303</v>
      </c>
      <c r="B2529" s="4" t="s">
        <v>9</v>
      </c>
      <c r="C2529" s="4" t="s">
        <v>73</v>
      </c>
      <c r="D2529" s="4">
        <v>46139</v>
      </c>
      <c r="E2529" s="5">
        <v>0.66081018518518519</v>
      </c>
      <c r="F2529">
        <v>1</v>
      </c>
      <c r="G2529" t="s">
        <v>83</v>
      </c>
      <c r="H2529">
        <v>10.666666666666666</v>
      </c>
      <c r="M2529" t="s">
        <v>84</v>
      </c>
      <c r="N2529" t="s">
        <v>72</v>
      </c>
    </row>
    <row r="2530" spans="1:14" x14ac:dyDescent="0.25">
      <c r="A2530" t="s">
        <v>1303</v>
      </c>
      <c r="B2530" s="4" t="s">
        <v>9</v>
      </c>
      <c r="C2530" s="4" t="s">
        <v>73</v>
      </c>
      <c r="D2530" s="4">
        <v>46139</v>
      </c>
      <c r="E2530" s="5">
        <v>0.66082175925925923</v>
      </c>
      <c r="F2530">
        <v>1</v>
      </c>
      <c r="G2530" t="s">
        <v>83</v>
      </c>
      <c r="H2530">
        <v>10.583333333333332</v>
      </c>
      <c r="M2530" t="s">
        <v>84</v>
      </c>
      <c r="N2530" t="s">
        <v>72</v>
      </c>
    </row>
    <row r="2531" spans="1:14" x14ac:dyDescent="0.25">
      <c r="A2531" t="s">
        <v>1303</v>
      </c>
      <c r="B2531" s="4" t="s">
        <v>9</v>
      </c>
      <c r="C2531" s="4" t="s">
        <v>73</v>
      </c>
      <c r="D2531" s="4">
        <v>46139</v>
      </c>
      <c r="E2531" s="5">
        <v>0.66105324074074068</v>
      </c>
      <c r="F2531">
        <v>1</v>
      </c>
      <c r="G2531" t="s">
        <v>83</v>
      </c>
      <c r="H2531">
        <v>10.25</v>
      </c>
      <c r="M2531" t="s">
        <v>76</v>
      </c>
      <c r="N2531" t="s">
        <v>72</v>
      </c>
    </row>
    <row r="2532" spans="1:14" x14ac:dyDescent="0.25">
      <c r="A2532" t="s">
        <v>1308</v>
      </c>
      <c r="B2532" s="4" t="s">
        <v>9</v>
      </c>
      <c r="C2532" s="4" t="s">
        <v>70</v>
      </c>
      <c r="D2532" s="4">
        <v>46140</v>
      </c>
      <c r="E2532" s="5">
        <v>0.25776620370370368</v>
      </c>
      <c r="F2532" t="s">
        <v>87</v>
      </c>
      <c r="G2532" t="s">
        <v>83</v>
      </c>
      <c r="H2532">
        <v>2</v>
      </c>
      <c r="L2532" t="s">
        <v>1309</v>
      </c>
      <c r="M2532" t="s">
        <v>71</v>
      </c>
      <c r="N2532" t="s">
        <v>72</v>
      </c>
    </row>
    <row r="2533" spans="1:14" x14ac:dyDescent="0.25">
      <c r="A2533" t="s">
        <v>1309</v>
      </c>
      <c r="B2533" s="4" t="s">
        <v>9</v>
      </c>
      <c r="C2533" s="4" t="s">
        <v>73</v>
      </c>
      <c r="D2533" s="4">
        <v>46140</v>
      </c>
      <c r="E2533" s="5">
        <v>0.25776620370370368</v>
      </c>
      <c r="F2533" t="s">
        <v>87</v>
      </c>
      <c r="G2533" t="s">
        <v>83</v>
      </c>
      <c r="H2533">
        <v>59.416666666666671</v>
      </c>
      <c r="M2533" t="s">
        <v>74</v>
      </c>
      <c r="N2533" t="s">
        <v>72</v>
      </c>
    </row>
    <row r="2534" spans="1:14" x14ac:dyDescent="0.25">
      <c r="A2534" t="s">
        <v>1309</v>
      </c>
      <c r="B2534" s="4" t="s">
        <v>9</v>
      </c>
      <c r="C2534" s="4" t="s">
        <v>73</v>
      </c>
      <c r="D2534" s="4">
        <v>46140</v>
      </c>
      <c r="E2534" s="5">
        <v>0.25776620370370368</v>
      </c>
      <c r="F2534" t="s">
        <v>87</v>
      </c>
      <c r="G2534" t="s">
        <v>83</v>
      </c>
      <c r="H2534">
        <v>59.333333333333329</v>
      </c>
      <c r="M2534" t="s">
        <v>74</v>
      </c>
      <c r="N2534" t="s">
        <v>72</v>
      </c>
    </row>
    <row r="2535" spans="1:14" x14ac:dyDescent="0.25">
      <c r="A2535" t="s">
        <v>1310</v>
      </c>
      <c r="B2535" s="4" t="s">
        <v>9</v>
      </c>
      <c r="C2535" s="4" t="s">
        <v>70</v>
      </c>
      <c r="D2535" s="4">
        <v>46140</v>
      </c>
      <c r="E2535" s="5">
        <v>0.25792824074074072</v>
      </c>
      <c r="F2535" t="s">
        <v>87</v>
      </c>
      <c r="G2535" t="s">
        <v>83</v>
      </c>
      <c r="H2535">
        <v>2</v>
      </c>
      <c r="L2535" t="s">
        <v>1309</v>
      </c>
      <c r="M2535" t="s">
        <v>71</v>
      </c>
      <c r="N2535" t="s">
        <v>72</v>
      </c>
    </row>
    <row r="2536" spans="1:14" x14ac:dyDescent="0.25">
      <c r="A2536" t="s">
        <v>1309</v>
      </c>
      <c r="B2536" s="4" t="s">
        <v>9</v>
      </c>
      <c r="C2536" s="4" t="s">
        <v>73</v>
      </c>
      <c r="D2536" s="4">
        <v>46140</v>
      </c>
      <c r="E2536" s="5">
        <v>0.25792824074074072</v>
      </c>
      <c r="F2536" t="s">
        <v>87</v>
      </c>
      <c r="G2536" t="s">
        <v>83</v>
      </c>
      <c r="H2536">
        <v>57.333333333333336</v>
      </c>
      <c r="M2536" t="s">
        <v>74</v>
      </c>
      <c r="N2536" t="s">
        <v>72</v>
      </c>
    </row>
    <row r="2537" spans="1:14" x14ac:dyDescent="0.25">
      <c r="A2537" t="s">
        <v>1309</v>
      </c>
      <c r="B2537" s="4" t="s">
        <v>9</v>
      </c>
      <c r="C2537" s="4" t="s">
        <v>73</v>
      </c>
      <c r="D2537" s="4">
        <v>46140</v>
      </c>
      <c r="E2537" s="5">
        <v>0.25792824074074072</v>
      </c>
      <c r="F2537" t="s">
        <v>87</v>
      </c>
      <c r="G2537" t="s">
        <v>83</v>
      </c>
      <c r="H2537">
        <v>57.25</v>
      </c>
      <c r="M2537" t="s">
        <v>74</v>
      </c>
      <c r="N2537" t="s">
        <v>72</v>
      </c>
    </row>
    <row r="2538" spans="1:14" x14ac:dyDescent="0.25">
      <c r="A2538" t="s">
        <v>1309</v>
      </c>
      <c r="B2538" s="4" t="s">
        <v>9</v>
      </c>
      <c r="C2538" s="4" t="s">
        <v>73</v>
      </c>
      <c r="D2538" s="4">
        <v>46140</v>
      </c>
      <c r="E2538" s="5">
        <v>0.25805555555555554</v>
      </c>
      <c r="F2538" t="s">
        <v>87</v>
      </c>
      <c r="G2538" t="s">
        <v>83</v>
      </c>
      <c r="H2538">
        <v>57.25</v>
      </c>
      <c r="M2538" t="s">
        <v>76</v>
      </c>
      <c r="N2538" t="s">
        <v>72</v>
      </c>
    </row>
    <row r="2539" spans="1:14" x14ac:dyDescent="0.25">
      <c r="A2539" t="s">
        <v>1311</v>
      </c>
      <c r="B2539" s="4" t="s">
        <v>9</v>
      </c>
      <c r="C2539" s="4" t="s">
        <v>70</v>
      </c>
      <c r="D2539" s="4">
        <v>46140</v>
      </c>
      <c r="E2539" s="5">
        <v>0.25854166666666667</v>
      </c>
      <c r="F2539" t="s">
        <v>87</v>
      </c>
      <c r="G2539" t="s">
        <v>83</v>
      </c>
      <c r="H2539">
        <v>2</v>
      </c>
      <c r="L2539" t="s">
        <v>1312</v>
      </c>
      <c r="M2539" t="s">
        <v>71</v>
      </c>
      <c r="N2539" t="s">
        <v>72</v>
      </c>
    </row>
    <row r="2540" spans="1:14" x14ac:dyDescent="0.25">
      <c r="A2540" t="s">
        <v>1312</v>
      </c>
      <c r="B2540" s="4" t="s">
        <v>9</v>
      </c>
      <c r="C2540" s="4" t="s">
        <v>73</v>
      </c>
      <c r="D2540" s="4">
        <v>46140</v>
      </c>
      <c r="E2540" s="5">
        <v>0.25854166666666667</v>
      </c>
      <c r="F2540" t="s">
        <v>87</v>
      </c>
      <c r="G2540" t="s">
        <v>83</v>
      </c>
      <c r="H2540">
        <v>48</v>
      </c>
      <c r="M2540" t="s">
        <v>74</v>
      </c>
      <c r="N2540" t="s">
        <v>72</v>
      </c>
    </row>
    <row r="2541" spans="1:14" x14ac:dyDescent="0.25">
      <c r="A2541" t="s">
        <v>1312</v>
      </c>
      <c r="B2541" s="4" t="s">
        <v>9</v>
      </c>
      <c r="C2541" s="4" t="s">
        <v>73</v>
      </c>
      <c r="D2541" s="4">
        <v>46140</v>
      </c>
      <c r="E2541" s="5">
        <v>0.25854166666666667</v>
      </c>
      <c r="F2541" t="s">
        <v>87</v>
      </c>
      <c r="G2541" t="s">
        <v>83</v>
      </c>
      <c r="H2541">
        <v>47.916666666666664</v>
      </c>
      <c r="M2541" t="s">
        <v>74</v>
      </c>
      <c r="N2541" t="s">
        <v>72</v>
      </c>
    </row>
    <row r="2542" spans="1:14" x14ac:dyDescent="0.25">
      <c r="A2542" t="s">
        <v>1312</v>
      </c>
      <c r="B2542" s="4" t="s">
        <v>9</v>
      </c>
      <c r="C2542" s="4" t="s">
        <v>73</v>
      </c>
      <c r="D2542" s="4">
        <v>46140</v>
      </c>
      <c r="E2542" s="5">
        <v>0.25874999999999998</v>
      </c>
      <c r="F2542" t="s">
        <v>87</v>
      </c>
      <c r="G2542" t="s">
        <v>83</v>
      </c>
      <c r="H2542">
        <v>47.916666666666664</v>
      </c>
      <c r="M2542" t="s">
        <v>76</v>
      </c>
      <c r="N2542" t="s">
        <v>72</v>
      </c>
    </row>
    <row r="2543" spans="1:14" x14ac:dyDescent="0.25">
      <c r="A2543" t="s">
        <v>1317</v>
      </c>
      <c r="B2543" s="4" t="s">
        <v>9</v>
      </c>
      <c r="C2543" s="4" t="s">
        <v>73</v>
      </c>
      <c r="D2543" s="4">
        <v>46140</v>
      </c>
      <c r="E2543" s="5">
        <v>0.2606134259259259</v>
      </c>
      <c r="F2543" t="s">
        <v>87</v>
      </c>
      <c r="G2543" t="s">
        <v>83</v>
      </c>
      <c r="H2543">
        <v>5.5</v>
      </c>
      <c r="M2543" t="s">
        <v>76</v>
      </c>
      <c r="N2543" t="s">
        <v>72</v>
      </c>
    </row>
    <row r="2544" spans="1:14" x14ac:dyDescent="0.25">
      <c r="A2544" t="s">
        <v>1320</v>
      </c>
      <c r="B2544" s="4" t="s">
        <v>9</v>
      </c>
      <c r="C2544" s="4" t="s">
        <v>70</v>
      </c>
      <c r="D2544" s="4">
        <v>46140</v>
      </c>
      <c r="E2544" s="5">
        <v>0.26260416666666669</v>
      </c>
      <c r="F2544" t="s">
        <v>87</v>
      </c>
      <c r="G2544" t="s">
        <v>83</v>
      </c>
      <c r="H2544">
        <v>0.5</v>
      </c>
      <c r="L2544" t="s">
        <v>1321</v>
      </c>
      <c r="M2544" t="s">
        <v>71</v>
      </c>
      <c r="N2544" t="s">
        <v>75</v>
      </c>
    </row>
    <row r="2545" spans="1:14" x14ac:dyDescent="0.25">
      <c r="A2545" t="s">
        <v>1321</v>
      </c>
      <c r="B2545" s="4" t="s">
        <v>9</v>
      </c>
      <c r="C2545" s="4" t="s">
        <v>73</v>
      </c>
      <c r="D2545" s="4">
        <v>46140</v>
      </c>
      <c r="E2545" s="5">
        <v>0.26260416666666669</v>
      </c>
      <c r="F2545" t="s">
        <v>87</v>
      </c>
      <c r="G2545" t="s">
        <v>83</v>
      </c>
      <c r="H2545">
        <v>201.66666666666666</v>
      </c>
      <c r="M2545" t="s">
        <v>84</v>
      </c>
      <c r="N2545" t="s">
        <v>75</v>
      </c>
    </row>
    <row r="2546" spans="1:14" x14ac:dyDescent="0.25">
      <c r="A2546" t="s">
        <v>1321</v>
      </c>
      <c r="B2546" s="4" t="s">
        <v>9</v>
      </c>
      <c r="C2546" s="4" t="s">
        <v>73</v>
      </c>
      <c r="D2546" s="4">
        <v>46140</v>
      </c>
      <c r="E2546" s="5">
        <v>0.26260416666666669</v>
      </c>
      <c r="F2546" t="s">
        <v>87</v>
      </c>
      <c r="G2546" t="s">
        <v>83</v>
      </c>
      <c r="H2546">
        <v>201.58333333333334</v>
      </c>
      <c r="M2546" t="s">
        <v>84</v>
      </c>
      <c r="N2546" t="s">
        <v>75</v>
      </c>
    </row>
    <row r="2547" spans="1:14" x14ac:dyDescent="0.25">
      <c r="A2547" t="s">
        <v>1321</v>
      </c>
      <c r="B2547" s="4" t="s">
        <v>9</v>
      </c>
      <c r="C2547" s="4" t="s">
        <v>73</v>
      </c>
      <c r="D2547" s="4">
        <v>46140</v>
      </c>
      <c r="E2547" s="5">
        <v>0.26269675925925923</v>
      </c>
      <c r="F2547" t="s">
        <v>87</v>
      </c>
      <c r="G2547" t="s">
        <v>83</v>
      </c>
      <c r="H2547">
        <v>201.58333333333334</v>
      </c>
      <c r="M2547" t="s">
        <v>76</v>
      </c>
      <c r="N2547" t="s">
        <v>75</v>
      </c>
    </row>
    <row r="2548" spans="1:14" x14ac:dyDescent="0.25">
      <c r="A2548" t="s">
        <v>1326</v>
      </c>
      <c r="B2548" s="4" t="s">
        <v>9</v>
      </c>
      <c r="C2548" s="4" t="s">
        <v>70</v>
      </c>
      <c r="D2548" s="4">
        <v>46140</v>
      </c>
      <c r="E2548" s="5">
        <v>0.26460648148148147</v>
      </c>
      <c r="F2548" t="s">
        <v>87</v>
      </c>
      <c r="G2548" t="s">
        <v>83</v>
      </c>
      <c r="H2548">
        <v>3</v>
      </c>
      <c r="L2548" t="s">
        <v>1327</v>
      </c>
      <c r="M2548" t="s">
        <v>71</v>
      </c>
      <c r="N2548" t="s">
        <v>72</v>
      </c>
    </row>
    <row r="2549" spans="1:14" x14ac:dyDescent="0.25">
      <c r="A2549" t="s">
        <v>1327</v>
      </c>
      <c r="B2549" s="4" t="s">
        <v>9</v>
      </c>
      <c r="C2549" s="4" t="s">
        <v>73</v>
      </c>
      <c r="D2549" s="4">
        <v>46140</v>
      </c>
      <c r="E2549" s="5">
        <v>0.26460648148148147</v>
      </c>
      <c r="F2549" t="s">
        <v>87</v>
      </c>
      <c r="G2549" t="s">
        <v>83</v>
      </c>
      <c r="H2549">
        <v>6.416666666666667</v>
      </c>
      <c r="M2549" t="s">
        <v>74</v>
      </c>
      <c r="N2549" t="s">
        <v>72</v>
      </c>
    </row>
    <row r="2550" spans="1:14" x14ac:dyDescent="0.25">
      <c r="A2550" t="s">
        <v>1327</v>
      </c>
      <c r="B2550" s="4" t="s">
        <v>9</v>
      </c>
      <c r="C2550" s="4" t="s">
        <v>73</v>
      </c>
      <c r="D2550" s="4">
        <v>46140</v>
      </c>
      <c r="E2550" s="5">
        <v>0.26461805555555551</v>
      </c>
      <c r="F2550" t="s">
        <v>87</v>
      </c>
      <c r="G2550" t="s">
        <v>83</v>
      </c>
      <c r="H2550">
        <v>6.3333333333333321</v>
      </c>
      <c r="M2550" t="s">
        <v>74</v>
      </c>
      <c r="N2550" t="s">
        <v>72</v>
      </c>
    </row>
    <row r="2551" spans="1:14" x14ac:dyDescent="0.25">
      <c r="A2551" t="s">
        <v>1327</v>
      </c>
      <c r="B2551" s="4" t="s">
        <v>9</v>
      </c>
      <c r="C2551" s="4" t="s">
        <v>73</v>
      </c>
      <c r="D2551" s="4">
        <v>46140</v>
      </c>
      <c r="E2551" s="5">
        <v>0.26484953703703706</v>
      </c>
      <c r="F2551" t="s">
        <v>87</v>
      </c>
      <c r="G2551" t="s">
        <v>83</v>
      </c>
      <c r="H2551">
        <v>5.75</v>
      </c>
      <c r="M2551" t="s">
        <v>76</v>
      </c>
      <c r="N2551" t="s">
        <v>72</v>
      </c>
    </row>
    <row r="2552" spans="1:14" x14ac:dyDescent="0.25">
      <c r="A2552" t="s">
        <v>1334</v>
      </c>
      <c r="B2552" s="4" t="s">
        <v>9</v>
      </c>
      <c r="C2552" s="4" t="s">
        <v>70</v>
      </c>
      <c r="D2552" s="4">
        <v>46140</v>
      </c>
      <c r="E2552" s="5">
        <v>0.2666087962962963</v>
      </c>
      <c r="F2552" t="s">
        <v>87</v>
      </c>
      <c r="G2552" t="s">
        <v>83</v>
      </c>
      <c r="H2552">
        <v>8.5</v>
      </c>
      <c r="L2552" t="s">
        <v>1335</v>
      </c>
      <c r="M2552" t="s">
        <v>71</v>
      </c>
      <c r="N2552" t="s">
        <v>77</v>
      </c>
    </row>
    <row r="2553" spans="1:14" x14ac:dyDescent="0.25">
      <c r="A2553" t="s">
        <v>1335</v>
      </c>
      <c r="B2553" s="4" t="s">
        <v>9</v>
      </c>
      <c r="C2553" s="4" t="s">
        <v>73</v>
      </c>
      <c r="D2553" s="4">
        <v>46140</v>
      </c>
      <c r="E2553" s="5">
        <v>0.2666087962962963</v>
      </c>
      <c r="F2553" t="s">
        <v>87</v>
      </c>
      <c r="G2553" t="s">
        <v>83</v>
      </c>
      <c r="H2553">
        <v>9.8333333333333321</v>
      </c>
      <c r="M2553" t="s">
        <v>79</v>
      </c>
      <c r="N2553" t="s">
        <v>77</v>
      </c>
    </row>
    <row r="2554" spans="1:14" x14ac:dyDescent="0.25">
      <c r="A2554" t="s">
        <v>1335</v>
      </c>
      <c r="B2554" s="4" t="s">
        <v>9</v>
      </c>
      <c r="C2554" s="4" t="s">
        <v>73</v>
      </c>
      <c r="D2554" s="4">
        <v>46140</v>
      </c>
      <c r="E2554" s="5">
        <v>0.2666087962962963</v>
      </c>
      <c r="F2554" t="s">
        <v>87</v>
      </c>
      <c r="G2554" t="s">
        <v>83</v>
      </c>
      <c r="H2554">
        <v>9.75</v>
      </c>
      <c r="M2554" t="s">
        <v>79</v>
      </c>
      <c r="N2554" t="s">
        <v>77</v>
      </c>
    </row>
    <row r="2555" spans="1:14" x14ac:dyDescent="0.25">
      <c r="A2555" t="s">
        <v>1335</v>
      </c>
      <c r="B2555" s="4" t="s">
        <v>9</v>
      </c>
      <c r="C2555" s="4" t="s">
        <v>73</v>
      </c>
      <c r="D2555" s="4">
        <v>46140</v>
      </c>
      <c r="E2555" s="5">
        <v>0.26712962962962961</v>
      </c>
      <c r="F2555" t="s">
        <v>87</v>
      </c>
      <c r="G2555" t="s">
        <v>83</v>
      </c>
      <c r="H2555">
        <v>9.3333333333333321</v>
      </c>
      <c r="M2555" t="s">
        <v>76</v>
      </c>
      <c r="N2555" t="s">
        <v>77</v>
      </c>
    </row>
    <row r="2556" spans="1:14" x14ac:dyDescent="0.25">
      <c r="A2556" t="s">
        <v>1339</v>
      </c>
      <c r="B2556" s="4" t="s">
        <v>9</v>
      </c>
      <c r="C2556" s="4" t="s">
        <v>70</v>
      </c>
      <c r="D2556" s="4">
        <v>46140</v>
      </c>
      <c r="E2556" s="5">
        <v>0.26855324074074072</v>
      </c>
      <c r="F2556" t="s">
        <v>87</v>
      </c>
      <c r="G2556" t="s">
        <v>83</v>
      </c>
      <c r="H2556">
        <v>5</v>
      </c>
      <c r="L2556" t="s">
        <v>1340</v>
      </c>
      <c r="M2556" t="s">
        <v>71</v>
      </c>
      <c r="N2556" t="s">
        <v>72</v>
      </c>
    </row>
    <row r="2557" spans="1:14" x14ac:dyDescent="0.25">
      <c r="A2557" t="s">
        <v>1340</v>
      </c>
      <c r="B2557" s="4" t="s">
        <v>9</v>
      </c>
      <c r="C2557" s="4" t="s">
        <v>73</v>
      </c>
      <c r="D2557" s="4">
        <v>46140</v>
      </c>
      <c r="E2557" s="5">
        <v>0.26855324074074072</v>
      </c>
      <c r="F2557" t="s">
        <v>87</v>
      </c>
      <c r="G2557" t="s">
        <v>83</v>
      </c>
      <c r="H2557">
        <v>1.3333333333333333</v>
      </c>
      <c r="M2557" t="s">
        <v>84</v>
      </c>
      <c r="N2557" t="s">
        <v>72</v>
      </c>
    </row>
    <row r="2558" spans="1:14" x14ac:dyDescent="0.25">
      <c r="A2558" t="s">
        <v>1340</v>
      </c>
      <c r="B2558" s="4" t="s">
        <v>9</v>
      </c>
      <c r="C2558" s="4" t="s">
        <v>73</v>
      </c>
      <c r="D2558" s="4">
        <v>46140</v>
      </c>
      <c r="E2558" s="5">
        <v>0.26855324074074072</v>
      </c>
      <c r="F2558" t="s">
        <v>87</v>
      </c>
      <c r="G2558" t="s">
        <v>83</v>
      </c>
      <c r="H2558">
        <v>0.66666666666666663</v>
      </c>
      <c r="M2558" t="s">
        <v>84</v>
      </c>
      <c r="N2558" t="s">
        <v>72</v>
      </c>
    </row>
    <row r="2559" spans="1:14" x14ac:dyDescent="0.25">
      <c r="A2559" t="s">
        <v>1340</v>
      </c>
      <c r="B2559" s="4" t="s">
        <v>9</v>
      </c>
      <c r="C2559" s="4" t="s">
        <v>73</v>
      </c>
      <c r="D2559" s="4">
        <v>46140</v>
      </c>
      <c r="E2559" s="5">
        <v>0.26855324074074072</v>
      </c>
      <c r="F2559" t="s">
        <v>87</v>
      </c>
      <c r="G2559" t="s">
        <v>83</v>
      </c>
      <c r="H2559">
        <v>0</v>
      </c>
      <c r="M2559" t="s">
        <v>84</v>
      </c>
      <c r="N2559" t="s">
        <v>72</v>
      </c>
    </row>
    <row r="2560" spans="1:14" x14ac:dyDescent="0.25">
      <c r="A2560" t="s">
        <v>1345</v>
      </c>
      <c r="B2560" s="4" t="s">
        <v>9</v>
      </c>
      <c r="C2560" s="4" t="s">
        <v>70</v>
      </c>
      <c r="D2560" s="4">
        <v>46140</v>
      </c>
      <c r="E2560" s="5">
        <v>0.27030092592592592</v>
      </c>
      <c r="F2560" t="s">
        <v>87</v>
      </c>
      <c r="G2560" t="s">
        <v>83</v>
      </c>
      <c r="H2560">
        <v>15.333333333333332</v>
      </c>
      <c r="L2560" t="s">
        <v>1346</v>
      </c>
      <c r="M2560" t="s">
        <v>71</v>
      </c>
      <c r="N2560" t="s">
        <v>81</v>
      </c>
    </row>
    <row r="2561" spans="1:14" x14ac:dyDescent="0.25">
      <c r="A2561" t="s">
        <v>1346</v>
      </c>
      <c r="B2561" s="4" t="s">
        <v>9</v>
      </c>
      <c r="C2561" s="4" t="s">
        <v>73</v>
      </c>
      <c r="D2561" s="4">
        <v>46140</v>
      </c>
      <c r="E2561" s="5">
        <v>0.27030092592592592</v>
      </c>
      <c r="F2561" t="s">
        <v>87</v>
      </c>
      <c r="G2561" t="s">
        <v>83</v>
      </c>
      <c r="H2561">
        <v>4</v>
      </c>
      <c r="L2561" t="s">
        <v>1347</v>
      </c>
      <c r="M2561" t="s">
        <v>74</v>
      </c>
      <c r="N2561" t="s">
        <v>81</v>
      </c>
    </row>
    <row r="2562" spans="1:14" x14ac:dyDescent="0.25">
      <c r="A2562" t="s">
        <v>1346</v>
      </c>
      <c r="B2562" s="4" t="s">
        <v>9</v>
      </c>
      <c r="C2562" s="4" t="s">
        <v>73</v>
      </c>
      <c r="D2562" s="4">
        <v>46140</v>
      </c>
      <c r="E2562" s="5">
        <v>0.27030092592592592</v>
      </c>
      <c r="F2562" t="s">
        <v>87</v>
      </c>
      <c r="G2562" t="s">
        <v>83</v>
      </c>
      <c r="H2562">
        <v>0.91666666666666663</v>
      </c>
      <c r="L2562" t="s">
        <v>1347</v>
      </c>
      <c r="M2562" t="s">
        <v>74</v>
      </c>
      <c r="N2562" t="s">
        <v>81</v>
      </c>
    </row>
    <row r="2563" spans="1:14" x14ac:dyDescent="0.25">
      <c r="A2563" t="s">
        <v>1346</v>
      </c>
      <c r="B2563" s="4" t="s">
        <v>9</v>
      </c>
      <c r="C2563" s="4" t="s">
        <v>73</v>
      </c>
      <c r="D2563" s="4">
        <v>46140</v>
      </c>
      <c r="E2563" s="5">
        <v>0.27030092592592592</v>
      </c>
      <c r="F2563" t="s">
        <v>87</v>
      </c>
      <c r="G2563" t="s">
        <v>83</v>
      </c>
      <c r="H2563">
        <v>0</v>
      </c>
      <c r="L2563" t="s">
        <v>1347</v>
      </c>
      <c r="M2563" t="s">
        <v>74</v>
      </c>
      <c r="N2563" t="s">
        <v>81</v>
      </c>
    </row>
    <row r="2564" spans="1:14" x14ac:dyDescent="0.25">
      <c r="A2564" t="s">
        <v>1351</v>
      </c>
      <c r="B2564" s="4" t="s">
        <v>9</v>
      </c>
      <c r="C2564" s="4" t="s">
        <v>70</v>
      </c>
      <c r="D2564" s="4">
        <v>46140</v>
      </c>
      <c r="E2564" s="5">
        <v>0.27104166666666663</v>
      </c>
      <c r="F2564" t="s">
        <v>87</v>
      </c>
      <c r="G2564" t="s">
        <v>83</v>
      </c>
      <c r="H2564">
        <v>9.5</v>
      </c>
      <c r="L2564" t="s">
        <v>1352</v>
      </c>
      <c r="M2564" t="s">
        <v>71</v>
      </c>
      <c r="N2564" t="s">
        <v>80</v>
      </c>
    </row>
    <row r="2565" spans="1:14" x14ac:dyDescent="0.25">
      <c r="A2565" t="s">
        <v>1352</v>
      </c>
      <c r="B2565" s="4" t="s">
        <v>9</v>
      </c>
      <c r="C2565" s="4" t="s">
        <v>73</v>
      </c>
      <c r="D2565" s="4">
        <v>46140</v>
      </c>
      <c r="E2565" s="5">
        <v>0.27104166666666663</v>
      </c>
      <c r="F2565" t="s">
        <v>87</v>
      </c>
      <c r="G2565" t="s">
        <v>83</v>
      </c>
      <c r="H2565">
        <v>83.916666666666671</v>
      </c>
      <c r="L2565" s="21"/>
      <c r="M2565" t="s">
        <v>74</v>
      </c>
      <c r="N2565" t="s">
        <v>80</v>
      </c>
    </row>
    <row r="2566" spans="1:14" x14ac:dyDescent="0.25">
      <c r="A2566" t="s">
        <v>1352</v>
      </c>
      <c r="B2566" s="4" t="s">
        <v>9</v>
      </c>
      <c r="C2566" s="4" t="s">
        <v>73</v>
      </c>
      <c r="D2566" s="4">
        <v>46140</v>
      </c>
      <c r="E2566" s="5">
        <v>0.27104166666666663</v>
      </c>
      <c r="F2566" t="s">
        <v>87</v>
      </c>
      <c r="G2566" t="s">
        <v>83</v>
      </c>
      <c r="H2566">
        <v>83.833333333333329</v>
      </c>
      <c r="M2566" t="s">
        <v>74</v>
      </c>
      <c r="N2566" t="s">
        <v>80</v>
      </c>
    </row>
    <row r="2567" spans="1:14" x14ac:dyDescent="0.25">
      <c r="A2567" t="s">
        <v>1352</v>
      </c>
      <c r="B2567" s="4" t="s">
        <v>9</v>
      </c>
      <c r="C2567" s="4" t="s">
        <v>73</v>
      </c>
      <c r="D2567" s="4">
        <v>46140</v>
      </c>
      <c r="E2567" s="5">
        <v>0.27121527777777776</v>
      </c>
      <c r="F2567" t="s">
        <v>87</v>
      </c>
      <c r="G2567" t="s">
        <v>83</v>
      </c>
      <c r="H2567">
        <v>83.833333333333329</v>
      </c>
      <c r="M2567" t="s">
        <v>76</v>
      </c>
      <c r="N2567" t="s">
        <v>80</v>
      </c>
    </row>
    <row r="2568" spans="1:14" x14ac:dyDescent="0.25">
      <c r="A2568" t="s">
        <v>1358</v>
      </c>
      <c r="B2568" s="4" t="s">
        <v>9</v>
      </c>
      <c r="C2568" s="4" t="s">
        <v>70</v>
      </c>
      <c r="D2568" s="4">
        <v>46140</v>
      </c>
      <c r="E2568" s="5">
        <v>0.27303240740740736</v>
      </c>
      <c r="F2568" t="s">
        <v>87</v>
      </c>
      <c r="G2568" t="s">
        <v>83</v>
      </c>
      <c r="H2568">
        <v>2</v>
      </c>
      <c r="L2568" t="s">
        <v>1359</v>
      </c>
      <c r="M2568" t="s">
        <v>71</v>
      </c>
      <c r="N2568" t="s">
        <v>72</v>
      </c>
    </row>
    <row r="2569" spans="1:14" x14ac:dyDescent="0.25">
      <c r="A2569" t="s">
        <v>1359</v>
      </c>
      <c r="B2569" s="4" t="s">
        <v>9</v>
      </c>
      <c r="C2569" s="4" t="s">
        <v>73</v>
      </c>
      <c r="D2569" s="4">
        <v>46140</v>
      </c>
      <c r="E2569" s="5">
        <v>0.27303240740740736</v>
      </c>
      <c r="F2569" t="s">
        <v>87</v>
      </c>
      <c r="G2569" t="s">
        <v>83</v>
      </c>
      <c r="H2569">
        <v>3.333333333333333</v>
      </c>
      <c r="M2569" t="s">
        <v>79</v>
      </c>
      <c r="N2569" t="s">
        <v>72</v>
      </c>
    </row>
    <row r="2570" spans="1:14" x14ac:dyDescent="0.25">
      <c r="A2570" t="s">
        <v>1359</v>
      </c>
      <c r="B2570" s="4" t="s">
        <v>9</v>
      </c>
      <c r="C2570" s="4" t="s">
        <v>73</v>
      </c>
      <c r="D2570" s="4">
        <v>46140</v>
      </c>
      <c r="E2570" s="5">
        <v>0.27303240740740736</v>
      </c>
      <c r="F2570" t="s">
        <v>87</v>
      </c>
      <c r="G2570" t="s">
        <v>83</v>
      </c>
      <c r="H2570">
        <v>0.33333333333333331</v>
      </c>
      <c r="M2570" t="s">
        <v>79</v>
      </c>
      <c r="N2570" t="s">
        <v>72</v>
      </c>
    </row>
    <row r="2571" spans="1:14" x14ac:dyDescent="0.25">
      <c r="A2571" t="s">
        <v>1359</v>
      </c>
      <c r="B2571" s="4" t="s">
        <v>9</v>
      </c>
      <c r="C2571" s="4" t="s">
        <v>73</v>
      </c>
      <c r="D2571" s="4">
        <v>46140</v>
      </c>
      <c r="E2571" s="5">
        <v>0.27303240740740736</v>
      </c>
      <c r="F2571" t="s">
        <v>87</v>
      </c>
      <c r="G2571" t="s">
        <v>83</v>
      </c>
      <c r="H2571">
        <v>0</v>
      </c>
      <c r="M2571" t="s">
        <v>79</v>
      </c>
      <c r="N2571" t="s">
        <v>72</v>
      </c>
    </row>
    <row r="2572" spans="1:14" x14ac:dyDescent="0.25">
      <c r="A2572" t="s">
        <v>1366</v>
      </c>
      <c r="B2572" s="4" t="s">
        <v>9</v>
      </c>
      <c r="C2572" s="4" t="s">
        <v>70</v>
      </c>
      <c r="D2572" s="4">
        <v>46140</v>
      </c>
      <c r="E2572" s="5">
        <v>0.27549768518518519</v>
      </c>
      <c r="F2572" t="s">
        <v>87</v>
      </c>
      <c r="G2572" t="s">
        <v>83</v>
      </c>
      <c r="H2572">
        <v>10</v>
      </c>
      <c r="L2572" t="s">
        <v>1367</v>
      </c>
      <c r="M2572" t="s">
        <v>71</v>
      </c>
      <c r="N2572" t="s">
        <v>72</v>
      </c>
    </row>
    <row r="2573" spans="1:14" x14ac:dyDescent="0.25">
      <c r="A2573" t="s">
        <v>1367</v>
      </c>
      <c r="B2573" s="4" t="s">
        <v>9</v>
      </c>
      <c r="C2573" s="4" t="s">
        <v>73</v>
      </c>
      <c r="D2573" s="4">
        <v>46140</v>
      </c>
      <c r="E2573" s="5">
        <v>0.27549768518518519</v>
      </c>
      <c r="F2573" t="s">
        <v>87</v>
      </c>
      <c r="G2573" t="s">
        <v>83</v>
      </c>
      <c r="H2573">
        <v>2.25</v>
      </c>
      <c r="L2573" t="s">
        <v>1368</v>
      </c>
      <c r="M2573" t="s">
        <v>74</v>
      </c>
      <c r="N2573" t="s">
        <v>72</v>
      </c>
    </row>
    <row r="2574" spans="1:14" x14ac:dyDescent="0.25">
      <c r="A2574" t="s">
        <v>1367</v>
      </c>
      <c r="B2574" s="4" t="s">
        <v>9</v>
      </c>
      <c r="C2574" s="4" t="s">
        <v>73</v>
      </c>
      <c r="D2574" s="4">
        <v>46140</v>
      </c>
      <c r="E2574" s="5">
        <v>0.27549768518518519</v>
      </c>
      <c r="F2574" t="s">
        <v>87</v>
      </c>
      <c r="G2574" t="s">
        <v>83</v>
      </c>
      <c r="H2574">
        <v>0.66666666666666663</v>
      </c>
      <c r="L2574" t="s">
        <v>1368</v>
      </c>
      <c r="M2574" t="s">
        <v>74</v>
      </c>
      <c r="N2574" t="s">
        <v>72</v>
      </c>
    </row>
    <row r="2575" spans="1:14" x14ac:dyDescent="0.25">
      <c r="A2575" t="s">
        <v>1367</v>
      </c>
      <c r="B2575" s="4" t="s">
        <v>9</v>
      </c>
      <c r="C2575" s="4" t="s">
        <v>73</v>
      </c>
      <c r="D2575" s="4">
        <v>46140</v>
      </c>
      <c r="E2575" s="5">
        <v>0.27549768518518519</v>
      </c>
      <c r="F2575" t="s">
        <v>87</v>
      </c>
      <c r="G2575" t="s">
        <v>83</v>
      </c>
      <c r="H2575">
        <v>0</v>
      </c>
      <c r="L2575" t="s">
        <v>1368</v>
      </c>
      <c r="M2575" t="s">
        <v>74</v>
      </c>
      <c r="N2575" t="s">
        <v>72</v>
      </c>
    </row>
    <row r="2576" spans="1:14" x14ac:dyDescent="0.25">
      <c r="A2576" t="s">
        <v>1375</v>
      </c>
      <c r="B2576" s="4" t="s">
        <v>9</v>
      </c>
      <c r="C2576" s="4" t="s">
        <v>70</v>
      </c>
      <c r="D2576" s="4">
        <v>46140</v>
      </c>
      <c r="E2576" s="5">
        <v>0.27763888888888888</v>
      </c>
      <c r="F2576" t="s">
        <v>87</v>
      </c>
      <c r="G2576" t="s">
        <v>83</v>
      </c>
      <c r="H2576">
        <v>53.25</v>
      </c>
      <c r="L2576" t="s">
        <v>1376</v>
      </c>
      <c r="M2576" t="s">
        <v>71</v>
      </c>
      <c r="N2576" t="s">
        <v>75</v>
      </c>
    </row>
    <row r="2577" spans="1:14" x14ac:dyDescent="0.25">
      <c r="A2577" t="s">
        <v>1376</v>
      </c>
      <c r="B2577" s="4" t="s">
        <v>9</v>
      </c>
      <c r="C2577" s="4" t="s">
        <v>73</v>
      </c>
      <c r="D2577" s="4">
        <v>46140</v>
      </c>
      <c r="E2577" s="5">
        <v>0.27763888888888888</v>
      </c>
      <c r="F2577" t="s">
        <v>87</v>
      </c>
      <c r="G2577" t="s">
        <v>83</v>
      </c>
      <c r="H2577">
        <v>263.66666666666663</v>
      </c>
      <c r="M2577" t="s">
        <v>74</v>
      </c>
      <c r="N2577" t="s">
        <v>75</v>
      </c>
    </row>
    <row r="2578" spans="1:14" x14ac:dyDescent="0.25">
      <c r="A2578" t="s">
        <v>1376</v>
      </c>
      <c r="B2578" s="4" t="s">
        <v>9</v>
      </c>
      <c r="C2578" s="4" t="s">
        <v>73</v>
      </c>
      <c r="D2578" s="4">
        <v>46140</v>
      </c>
      <c r="E2578" s="5">
        <v>0.27763888888888888</v>
      </c>
      <c r="F2578" t="s">
        <v>87</v>
      </c>
      <c r="G2578" t="s">
        <v>83</v>
      </c>
      <c r="H2578">
        <v>263.58333333333331</v>
      </c>
      <c r="M2578" t="s">
        <v>74</v>
      </c>
      <c r="N2578" t="s">
        <v>75</v>
      </c>
    </row>
    <row r="2579" spans="1:14" x14ac:dyDescent="0.25">
      <c r="A2579" t="s">
        <v>1376</v>
      </c>
      <c r="B2579" s="4" t="s">
        <v>9</v>
      </c>
      <c r="C2579" s="4" t="s">
        <v>73</v>
      </c>
      <c r="D2579" s="4">
        <v>46140</v>
      </c>
      <c r="E2579" s="5">
        <v>0.27789351851851851</v>
      </c>
      <c r="F2579" t="s">
        <v>87</v>
      </c>
      <c r="G2579" t="s">
        <v>83</v>
      </c>
      <c r="H2579">
        <v>263.58333333333331</v>
      </c>
      <c r="M2579" t="s">
        <v>76</v>
      </c>
      <c r="N2579" t="s">
        <v>75</v>
      </c>
    </row>
    <row r="2580" spans="1:14" x14ac:dyDescent="0.25">
      <c r="A2580" t="s">
        <v>1382</v>
      </c>
      <c r="B2580" s="4" t="s">
        <v>9</v>
      </c>
      <c r="C2580" s="4" t="s">
        <v>70</v>
      </c>
      <c r="D2580" s="4">
        <v>46140</v>
      </c>
      <c r="E2580" s="5">
        <v>0.27942129629629625</v>
      </c>
      <c r="F2580" t="s">
        <v>87</v>
      </c>
      <c r="G2580" t="s">
        <v>83</v>
      </c>
      <c r="H2580">
        <v>77</v>
      </c>
      <c r="L2580" t="s">
        <v>1383</v>
      </c>
      <c r="M2580" t="s">
        <v>71</v>
      </c>
      <c r="N2580" t="s">
        <v>75</v>
      </c>
    </row>
    <row r="2581" spans="1:14" x14ac:dyDescent="0.25">
      <c r="A2581" t="s">
        <v>1383</v>
      </c>
      <c r="B2581" s="4" t="s">
        <v>9</v>
      </c>
      <c r="C2581" s="4" t="s">
        <v>73</v>
      </c>
      <c r="D2581" s="4">
        <v>46140</v>
      </c>
      <c r="E2581" s="5">
        <v>0.27942129629629625</v>
      </c>
      <c r="F2581" t="s">
        <v>87</v>
      </c>
      <c r="G2581" t="s">
        <v>83</v>
      </c>
      <c r="H2581">
        <v>13.833333333333332</v>
      </c>
      <c r="M2581" t="s">
        <v>84</v>
      </c>
      <c r="N2581" t="s">
        <v>75</v>
      </c>
    </row>
    <row r="2582" spans="1:14" x14ac:dyDescent="0.25">
      <c r="A2582" t="s">
        <v>1383</v>
      </c>
      <c r="B2582" s="4" t="s">
        <v>9</v>
      </c>
      <c r="C2582" s="4" t="s">
        <v>73</v>
      </c>
      <c r="D2582" s="4">
        <v>46140</v>
      </c>
      <c r="E2582" s="5">
        <v>0.27942129629629625</v>
      </c>
      <c r="F2582" t="s">
        <v>87</v>
      </c>
      <c r="G2582" t="s">
        <v>83</v>
      </c>
      <c r="H2582">
        <v>13.75</v>
      </c>
      <c r="M2582" t="s">
        <v>84</v>
      </c>
      <c r="N2582" t="s">
        <v>75</v>
      </c>
    </row>
    <row r="2583" spans="1:14" x14ac:dyDescent="0.25">
      <c r="A2583" t="s">
        <v>1389</v>
      </c>
      <c r="B2583" s="4" t="s">
        <v>9</v>
      </c>
      <c r="C2583" s="4" t="s">
        <v>70</v>
      </c>
      <c r="D2583" s="4">
        <v>46140</v>
      </c>
      <c r="E2583" s="5">
        <v>0.28075231481481483</v>
      </c>
      <c r="F2583" t="s">
        <v>87</v>
      </c>
      <c r="G2583" t="s">
        <v>83</v>
      </c>
      <c r="H2583">
        <v>1</v>
      </c>
      <c r="L2583" t="s">
        <v>1383</v>
      </c>
      <c r="M2583" t="s">
        <v>71</v>
      </c>
      <c r="N2583" t="s">
        <v>75</v>
      </c>
    </row>
    <row r="2584" spans="1:14" x14ac:dyDescent="0.25">
      <c r="A2584" t="s">
        <v>1383</v>
      </c>
      <c r="B2584" s="4" t="s">
        <v>9</v>
      </c>
      <c r="C2584" s="4" t="s">
        <v>73</v>
      </c>
      <c r="D2584" s="4">
        <v>46140</v>
      </c>
      <c r="E2584" s="5">
        <v>0.28075231481481483</v>
      </c>
      <c r="F2584" t="s">
        <v>87</v>
      </c>
      <c r="G2584" t="s">
        <v>83</v>
      </c>
      <c r="H2584">
        <v>12.75</v>
      </c>
      <c r="M2584" t="s">
        <v>84</v>
      </c>
      <c r="N2584" t="s">
        <v>75</v>
      </c>
    </row>
    <row r="2585" spans="1:14" x14ac:dyDescent="0.25">
      <c r="A2585" t="s">
        <v>1383</v>
      </c>
      <c r="B2585" s="4" t="s">
        <v>9</v>
      </c>
      <c r="C2585" s="4" t="s">
        <v>73</v>
      </c>
      <c r="D2585" s="4">
        <v>46140</v>
      </c>
      <c r="E2585" s="5">
        <v>0.28075231481481483</v>
      </c>
      <c r="F2585" t="s">
        <v>87</v>
      </c>
      <c r="G2585" t="s">
        <v>83</v>
      </c>
      <c r="H2585">
        <v>12.666666666666664</v>
      </c>
      <c r="M2585" t="s">
        <v>84</v>
      </c>
      <c r="N2585" t="s">
        <v>75</v>
      </c>
    </row>
    <row r="2586" spans="1:14" x14ac:dyDescent="0.25">
      <c r="A2586" t="s">
        <v>1383</v>
      </c>
      <c r="B2586" s="4" t="s">
        <v>9</v>
      </c>
      <c r="C2586" s="4" t="s">
        <v>73</v>
      </c>
      <c r="D2586" s="4">
        <v>46140</v>
      </c>
      <c r="E2586" s="5">
        <v>0.28100694444444441</v>
      </c>
      <c r="F2586" t="s">
        <v>87</v>
      </c>
      <c r="G2586" t="s">
        <v>83</v>
      </c>
      <c r="H2586">
        <v>12.583333333333334</v>
      </c>
      <c r="M2586" t="s">
        <v>76</v>
      </c>
      <c r="N2586" t="s">
        <v>75</v>
      </c>
    </row>
    <row r="2587" spans="1:14" x14ac:dyDescent="0.25">
      <c r="A2587" t="s">
        <v>1400</v>
      </c>
      <c r="B2587" s="4" t="s">
        <v>9</v>
      </c>
      <c r="C2587" s="4" t="s">
        <v>73</v>
      </c>
      <c r="D2587" s="4">
        <v>46140</v>
      </c>
      <c r="E2587" s="5">
        <v>0.28533564814814816</v>
      </c>
      <c r="F2587" t="s">
        <v>87</v>
      </c>
      <c r="G2587" t="s">
        <v>83</v>
      </c>
      <c r="H2587">
        <v>81</v>
      </c>
      <c r="M2587" t="s">
        <v>74</v>
      </c>
      <c r="N2587" t="s">
        <v>72</v>
      </c>
    </row>
    <row r="2588" spans="1:14" x14ac:dyDescent="0.25">
      <c r="A2588" t="s">
        <v>1403</v>
      </c>
      <c r="B2588" s="4" t="s">
        <v>9</v>
      </c>
      <c r="C2588" s="4" t="s">
        <v>70</v>
      </c>
      <c r="D2588" s="4">
        <v>46140</v>
      </c>
      <c r="E2588" s="5">
        <v>0.28568287037037032</v>
      </c>
      <c r="F2588" t="s">
        <v>87</v>
      </c>
      <c r="G2588" t="s">
        <v>83</v>
      </c>
      <c r="H2588">
        <v>28.75</v>
      </c>
      <c r="L2588" t="s">
        <v>1400</v>
      </c>
      <c r="M2588" t="s">
        <v>71</v>
      </c>
      <c r="N2588" t="s">
        <v>72</v>
      </c>
    </row>
    <row r="2589" spans="1:14" x14ac:dyDescent="0.25">
      <c r="A2589" t="s">
        <v>1400</v>
      </c>
      <c r="B2589" s="4" t="s">
        <v>9</v>
      </c>
      <c r="C2589" s="4" t="s">
        <v>73</v>
      </c>
      <c r="D2589" s="4">
        <v>46140</v>
      </c>
      <c r="E2589" s="5">
        <v>0.28569444444444442</v>
      </c>
      <c r="F2589" t="s">
        <v>87</v>
      </c>
      <c r="G2589" t="s">
        <v>83</v>
      </c>
      <c r="H2589">
        <v>52.25</v>
      </c>
      <c r="L2589" s="21"/>
      <c r="M2589" t="s">
        <v>74</v>
      </c>
      <c r="N2589" t="s">
        <v>72</v>
      </c>
    </row>
    <row r="2590" spans="1:14" x14ac:dyDescent="0.25">
      <c r="A2590" t="s">
        <v>1400</v>
      </c>
      <c r="B2590" s="4" t="s">
        <v>9</v>
      </c>
      <c r="C2590" s="4" t="s">
        <v>73</v>
      </c>
      <c r="D2590" s="4">
        <v>46140</v>
      </c>
      <c r="E2590" s="5">
        <v>0.28569444444444442</v>
      </c>
      <c r="F2590" t="s">
        <v>87</v>
      </c>
      <c r="G2590" t="s">
        <v>83</v>
      </c>
      <c r="H2590">
        <v>52.166666666666671</v>
      </c>
      <c r="M2590" t="s">
        <v>74</v>
      </c>
      <c r="N2590" t="s">
        <v>72</v>
      </c>
    </row>
    <row r="2591" spans="1:14" x14ac:dyDescent="0.25">
      <c r="A2591" t="s">
        <v>1400</v>
      </c>
      <c r="B2591" s="4" t="s">
        <v>9</v>
      </c>
      <c r="C2591" s="4" t="s">
        <v>73</v>
      </c>
      <c r="D2591" s="4">
        <v>46140</v>
      </c>
      <c r="E2591" s="5">
        <v>0.28591435185185182</v>
      </c>
      <c r="F2591" t="s">
        <v>87</v>
      </c>
      <c r="G2591" t="s">
        <v>83</v>
      </c>
      <c r="H2591">
        <v>52.166666666666671</v>
      </c>
      <c r="M2591" t="s">
        <v>76</v>
      </c>
      <c r="N2591" t="s">
        <v>72</v>
      </c>
    </row>
    <row r="2592" spans="1:14" x14ac:dyDescent="0.25">
      <c r="A2592" t="s">
        <v>1409</v>
      </c>
      <c r="B2592" s="4" t="s">
        <v>9</v>
      </c>
      <c r="C2592" s="4" t="s">
        <v>70</v>
      </c>
      <c r="D2592" s="4">
        <v>46140</v>
      </c>
      <c r="E2592" s="5">
        <v>0.28712962962962962</v>
      </c>
      <c r="F2592" t="s">
        <v>87</v>
      </c>
      <c r="G2592" t="s">
        <v>83</v>
      </c>
      <c r="H2592">
        <v>3.25</v>
      </c>
      <c r="L2592" t="s">
        <v>1410</v>
      </c>
      <c r="M2592" t="s">
        <v>71</v>
      </c>
      <c r="N2592" t="s">
        <v>77</v>
      </c>
    </row>
    <row r="2593" spans="1:14" x14ac:dyDescent="0.25">
      <c r="A2593" t="s">
        <v>1410</v>
      </c>
      <c r="B2593" s="4" t="s">
        <v>9</v>
      </c>
      <c r="C2593" s="4" t="s">
        <v>73</v>
      </c>
      <c r="D2593" s="4">
        <v>46140</v>
      </c>
      <c r="E2593" s="5">
        <v>0.28712962962962962</v>
      </c>
      <c r="F2593" t="s">
        <v>87</v>
      </c>
      <c r="G2593" t="s">
        <v>83</v>
      </c>
      <c r="H2593">
        <v>3.9166666666666661</v>
      </c>
      <c r="M2593" t="s">
        <v>74</v>
      </c>
      <c r="N2593" t="s">
        <v>77</v>
      </c>
    </row>
    <row r="2594" spans="1:14" x14ac:dyDescent="0.25">
      <c r="A2594" t="s">
        <v>1410</v>
      </c>
      <c r="B2594" s="4" t="s">
        <v>9</v>
      </c>
      <c r="C2594" s="4" t="s">
        <v>73</v>
      </c>
      <c r="D2594" s="4">
        <v>46140</v>
      </c>
      <c r="E2594" s="5">
        <v>0.28758101851851853</v>
      </c>
      <c r="F2594" t="s">
        <v>87</v>
      </c>
      <c r="G2594" t="s">
        <v>83</v>
      </c>
      <c r="H2594">
        <v>0.16666666666666666</v>
      </c>
      <c r="M2594" t="s">
        <v>74</v>
      </c>
      <c r="N2594" t="s">
        <v>77</v>
      </c>
    </row>
    <row r="2595" spans="1:14" x14ac:dyDescent="0.25">
      <c r="A2595" t="s">
        <v>1410</v>
      </c>
      <c r="B2595" s="4" t="s">
        <v>9</v>
      </c>
      <c r="C2595" s="4" t="s">
        <v>73</v>
      </c>
      <c r="D2595" s="4">
        <v>46140</v>
      </c>
      <c r="E2595" s="5">
        <v>0.28758101851851853</v>
      </c>
      <c r="F2595" t="s">
        <v>87</v>
      </c>
      <c r="G2595" t="s">
        <v>83</v>
      </c>
      <c r="H2595">
        <v>0</v>
      </c>
      <c r="M2595" t="s">
        <v>74</v>
      </c>
      <c r="N2595" t="s">
        <v>77</v>
      </c>
    </row>
    <row r="2596" spans="1:14" x14ac:dyDescent="0.25">
      <c r="A2596" t="s">
        <v>1416</v>
      </c>
      <c r="B2596" s="4" t="s">
        <v>9</v>
      </c>
      <c r="C2596" s="4" t="s">
        <v>70</v>
      </c>
      <c r="D2596" s="4">
        <v>46140</v>
      </c>
      <c r="E2596" s="5">
        <v>0.28903935185185181</v>
      </c>
      <c r="F2596" t="s">
        <v>87</v>
      </c>
      <c r="G2596" t="s">
        <v>83</v>
      </c>
      <c r="H2596">
        <v>15.5</v>
      </c>
      <c r="L2596" t="s">
        <v>1417</v>
      </c>
      <c r="M2596" t="s">
        <v>71</v>
      </c>
      <c r="N2596" t="s">
        <v>77</v>
      </c>
    </row>
    <row r="2597" spans="1:14" x14ac:dyDescent="0.25">
      <c r="A2597" t="s">
        <v>1417</v>
      </c>
      <c r="B2597" s="4" t="s">
        <v>9</v>
      </c>
      <c r="C2597" s="4" t="s">
        <v>73</v>
      </c>
      <c r="D2597" s="4">
        <v>46140</v>
      </c>
      <c r="E2597" s="5">
        <v>0.28903935185185181</v>
      </c>
      <c r="F2597" t="s">
        <v>87</v>
      </c>
      <c r="G2597" t="s">
        <v>83</v>
      </c>
      <c r="H2597">
        <v>46.666666666666664</v>
      </c>
      <c r="M2597" t="s">
        <v>74</v>
      </c>
      <c r="N2597" t="s">
        <v>77</v>
      </c>
    </row>
    <row r="2598" spans="1:14" x14ac:dyDescent="0.25">
      <c r="A2598" t="s">
        <v>1417</v>
      </c>
      <c r="B2598" s="4" t="s">
        <v>9</v>
      </c>
      <c r="C2598" s="4" t="s">
        <v>73</v>
      </c>
      <c r="D2598" s="4">
        <v>46140</v>
      </c>
      <c r="E2598" s="5">
        <v>0.28903935185185181</v>
      </c>
      <c r="F2598" t="s">
        <v>87</v>
      </c>
      <c r="G2598" t="s">
        <v>83</v>
      </c>
      <c r="H2598">
        <v>46.583333333333329</v>
      </c>
      <c r="M2598" t="s">
        <v>74</v>
      </c>
      <c r="N2598" t="s">
        <v>77</v>
      </c>
    </row>
    <row r="2599" spans="1:14" x14ac:dyDescent="0.25">
      <c r="A2599" t="s">
        <v>1417</v>
      </c>
      <c r="B2599" s="4" t="s">
        <v>9</v>
      </c>
      <c r="C2599" s="4" t="s">
        <v>73</v>
      </c>
      <c r="D2599" s="4">
        <v>46140</v>
      </c>
      <c r="E2599" s="5">
        <v>0.28929398148148144</v>
      </c>
      <c r="F2599" t="s">
        <v>87</v>
      </c>
      <c r="G2599" t="s">
        <v>83</v>
      </c>
      <c r="H2599">
        <v>46.583333333333329</v>
      </c>
      <c r="M2599" t="s">
        <v>76</v>
      </c>
      <c r="N2599" t="s">
        <v>77</v>
      </c>
    </row>
    <row r="2600" spans="1:14" x14ac:dyDescent="0.25">
      <c r="A2600" t="s">
        <v>1420</v>
      </c>
      <c r="B2600" s="4" t="s">
        <v>9</v>
      </c>
      <c r="C2600" s="4" t="s">
        <v>70</v>
      </c>
      <c r="D2600" s="4">
        <v>46140</v>
      </c>
      <c r="E2600" s="5">
        <v>0.2901273148148148</v>
      </c>
      <c r="F2600" t="s">
        <v>87</v>
      </c>
      <c r="G2600" t="s">
        <v>83</v>
      </c>
      <c r="H2600">
        <v>2</v>
      </c>
      <c r="L2600" t="s">
        <v>1421</v>
      </c>
      <c r="M2600" t="s">
        <v>71</v>
      </c>
      <c r="N2600" t="s">
        <v>72</v>
      </c>
    </row>
    <row r="2601" spans="1:14" x14ac:dyDescent="0.25">
      <c r="A2601" t="s">
        <v>1421</v>
      </c>
      <c r="B2601" s="4" t="s">
        <v>9</v>
      </c>
      <c r="C2601" s="4" t="s">
        <v>73</v>
      </c>
      <c r="D2601" s="4">
        <v>46140</v>
      </c>
      <c r="E2601" s="5">
        <v>0.2901273148148148</v>
      </c>
      <c r="F2601" t="s">
        <v>87</v>
      </c>
      <c r="G2601" t="s">
        <v>83</v>
      </c>
      <c r="H2601">
        <v>3.5</v>
      </c>
      <c r="M2601" t="s">
        <v>84</v>
      </c>
      <c r="N2601" t="s">
        <v>72</v>
      </c>
    </row>
    <row r="2602" spans="1:14" x14ac:dyDescent="0.25">
      <c r="A2602" t="s">
        <v>1421</v>
      </c>
      <c r="B2602" s="4" t="s">
        <v>9</v>
      </c>
      <c r="C2602" s="4" t="s">
        <v>73</v>
      </c>
      <c r="D2602" s="4">
        <v>46140</v>
      </c>
      <c r="E2602" s="5">
        <v>0.29025462962962961</v>
      </c>
      <c r="F2602" t="s">
        <v>87</v>
      </c>
      <c r="G2602" t="s">
        <v>83</v>
      </c>
      <c r="H2602">
        <v>0</v>
      </c>
      <c r="M2602" t="s">
        <v>84</v>
      </c>
      <c r="N2602" t="s">
        <v>72</v>
      </c>
    </row>
    <row r="2603" spans="1:14" x14ac:dyDescent="0.25">
      <c r="A2603" t="s">
        <v>1426</v>
      </c>
      <c r="B2603" s="4" t="s">
        <v>9</v>
      </c>
      <c r="C2603" s="4" t="s">
        <v>70</v>
      </c>
      <c r="D2603" s="4">
        <v>46140</v>
      </c>
      <c r="E2603" s="5">
        <v>0.29150462962962959</v>
      </c>
      <c r="F2603" t="s">
        <v>87</v>
      </c>
      <c r="G2603" t="s">
        <v>83</v>
      </c>
      <c r="H2603">
        <v>34.5</v>
      </c>
      <c r="L2603" t="s">
        <v>1427</v>
      </c>
      <c r="M2603" t="s">
        <v>71</v>
      </c>
      <c r="N2603" t="s">
        <v>75</v>
      </c>
    </row>
    <row r="2604" spans="1:14" x14ac:dyDescent="0.25">
      <c r="A2604" t="s">
        <v>1427</v>
      </c>
      <c r="B2604" s="4" t="s">
        <v>9</v>
      </c>
      <c r="C2604" s="4" t="s">
        <v>73</v>
      </c>
      <c r="D2604" s="4">
        <v>46140</v>
      </c>
      <c r="E2604" s="5">
        <v>0.29151620370370368</v>
      </c>
      <c r="F2604" t="s">
        <v>87</v>
      </c>
      <c r="G2604" t="s">
        <v>83</v>
      </c>
      <c r="H2604">
        <v>0.41666666666666663</v>
      </c>
      <c r="M2604" t="s">
        <v>74</v>
      </c>
      <c r="N2604" t="s">
        <v>75</v>
      </c>
    </row>
    <row r="2605" spans="1:14" x14ac:dyDescent="0.25">
      <c r="A2605" t="s">
        <v>1427</v>
      </c>
      <c r="B2605" s="4" t="s">
        <v>9</v>
      </c>
      <c r="C2605" s="4" t="s">
        <v>73</v>
      </c>
      <c r="D2605" s="4">
        <v>46140</v>
      </c>
      <c r="E2605" s="5">
        <v>0.29151620370370368</v>
      </c>
      <c r="F2605" t="s">
        <v>87</v>
      </c>
      <c r="G2605" t="s">
        <v>83</v>
      </c>
      <c r="H2605">
        <v>8.3333333333333329E-2</v>
      </c>
      <c r="M2605" t="s">
        <v>74</v>
      </c>
      <c r="N2605" t="s">
        <v>75</v>
      </c>
    </row>
    <row r="2606" spans="1:14" x14ac:dyDescent="0.25">
      <c r="A2606" t="s">
        <v>1427</v>
      </c>
      <c r="B2606" s="4" t="s">
        <v>9</v>
      </c>
      <c r="C2606" s="4" t="s">
        <v>73</v>
      </c>
      <c r="D2606" s="4">
        <v>46140</v>
      </c>
      <c r="E2606" s="5">
        <v>0.29151620370370368</v>
      </c>
      <c r="F2606" t="s">
        <v>87</v>
      </c>
      <c r="G2606" t="s">
        <v>83</v>
      </c>
      <c r="H2606">
        <v>0</v>
      </c>
      <c r="M2606" t="s">
        <v>74</v>
      </c>
      <c r="N2606" t="s">
        <v>75</v>
      </c>
    </row>
    <row r="2607" spans="1:14" x14ac:dyDescent="0.25">
      <c r="A2607" t="s">
        <v>1430</v>
      </c>
      <c r="B2607" s="4" t="s">
        <v>9</v>
      </c>
      <c r="C2607" s="4" t="s">
        <v>70</v>
      </c>
      <c r="D2607" s="4">
        <v>46140</v>
      </c>
      <c r="E2607" s="5">
        <v>0.29253472222222221</v>
      </c>
      <c r="F2607" t="s">
        <v>87</v>
      </c>
      <c r="G2607" t="s">
        <v>83</v>
      </c>
      <c r="H2607">
        <v>48</v>
      </c>
      <c r="L2607" t="s">
        <v>1431</v>
      </c>
      <c r="M2607" t="s">
        <v>71</v>
      </c>
      <c r="N2607" t="s">
        <v>75</v>
      </c>
    </row>
    <row r="2608" spans="1:14" x14ac:dyDescent="0.25">
      <c r="A2608" t="s">
        <v>1431</v>
      </c>
      <c r="B2608" s="4" t="s">
        <v>9</v>
      </c>
      <c r="C2608" s="4" t="s">
        <v>73</v>
      </c>
      <c r="D2608" s="4">
        <v>46140</v>
      </c>
      <c r="E2608" s="5">
        <v>0.29253472222222221</v>
      </c>
      <c r="F2608" t="s">
        <v>87</v>
      </c>
      <c r="G2608" t="s">
        <v>83</v>
      </c>
      <c r="H2608">
        <v>8.6666666666666661</v>
      </c>
      <c r="M2608" t="s">
        <v>79</v>
      </c>
      <c r="N2608" t="s">
        <v>75</v>
      </c>
    </row>
    <row r="2609" spans="1:14" x14ac:dyDescent="0.25">
      <c r="A2609" t="s">
        <v>1431</v>
      </c>
      <c r="B2609" s="4" t="s">
        <v>9</v>
      </c>
      <c r="C2609" s="4" t="s">
        <v>73</v>
      </c>
      <c r="D2609" s="4">
        <v>46140</v>
      </c>
      <c r="E2609" s="5">
        <v>0.29253472222222221</v>
      </c>
      <c r="F2609" t="s">
        <v>87</v>
      </c>
      <c r="G2609" t="s">
        <v>83</v>
      </c>
      <c r="H2609">
        <v>8.5833333333333321</v>
      </c>
      <c r="M2609" t="s">
        <v>79</v>
      </c>
      <c r="N2609" t="s">
        <v>75</v>
      </c>
    </row>
    <row r="2610" spans="1:14" x14ac:dyDescent="0.25">
      <c r="A2610" t="s">
        <v>1431</v>
      </c>
      <c r="B2610" s="4" t="s">
        <v>9</v>
      </c>
      <c r="C2610" s="4" t="s">
        <v>73</v>
      </c>
      <c r="D2610" s="4">
        <v>46140</v>
      </c>
      <c r="E2610" s="5">
        <v>0.29309027777777774</v>
      </c>
      <c r="F2610" t="s">
        <v>87</v>
      </c>
      <c r="G2610" t="s">
        <v>83</v>
      </c>
      <c r="H2610">
        <v>8.3333333333333339</v>
      </c>
      <c r="M2610" t="s">
        <v>76</v>
      </c>
      <c r="N2610" t="s">
        <v>75</v>
      </c>
    </row>
    <row r="2611" spans="1:14" x14ac:dyDescent="0.25">
      <c r="A2611" t="s">
        <v>1438</v>
      </c>
      <c r="B2611" s="4" t="s">
        <v>9</v>
      </c>
      <c r="C2611" s="4" t="s">
        <v>70</v>
      </c>
      <c r="D2611" s="4">
        <v>46140</v>
      </c>
      <c r="E2611" s="5">
        <v>0.29481481481481481</v>
      </c>
      <c r="F2611" t="s">
        <v>87</v>
      </c>
      <c r="G2611" t="s">
        <v>83</v>
      </c>
      <c r="H2611">
        <v>114.16666666666666</v>
      </c>
      <c r="L2611" t="s">
        <v>1439</v>
      </c>
      <c r="M2611" t="s">
        <v>71</v>
      </c>
      <c r="N2611" t="s">
        <v>75</v>
      </c>
    </row>
    <row r="2612" spans="1:14" x14ac:dyDescent="0.25">
      <c r="A2612" t="s">
        <v>1439</v>
      </c>
      <c r="B2612" s="4" t="s">
        <v>9</v>
      </c>
      <c r="C2612" s="4" t="s">
        <v>73</v>
      </c>
      <c r="D2612" s="4">
        <v>46140</v>
      </c>
      <c r="E2612" s="5">
        <v>0.29481481481481481</v>
      </c>
      <c r="F2612" t="s">
        <v>87</v>
      </c>
      <c r="G2612" t="s">
        <v>83</v>
      </c>
      <c r="H2612">
        <v>73.416666666666657</v>
      </c>
      <c r="M2612" t="s">
        <v>74</v>
      </c>
      <c r="N2612" t="s">
        <v>75</v>
      </c>
    </row>
    <row r="2613" spans="1:14" x14ac:dyDescent="0.25">
      <c r="A2613" t="s">
        <v>1439</v>
      </c>
      <c r="B2613" s="4" t="s">
        <v>9</v>
      </c>
      <c r="C2613" s="4" t="s">
        <v>73</v>
      </c>
      <c r="D2613" s="4">
        <v>46140</v>
      </c>
      <c r="E2613" s="5">
        <v>0.29481481481481481</v>
      </c>
      <c r="F2613" t="s">
        <v>87</v>
      </c>
      <c r="G2613" t="s">
        <v>83</v>
      </c>
      <c r="H2613">
        <v>73.333333333333329</v>
      </c>
      <c r="M2613" t="s">
        <v>74</v>
      </c>
      <c r="N2613" t="s">
        <v>75</v>
      </c>
    </row>
    <row r="2614" spans="1:14" x14ac:dyDescent="0.25">
      <c r="A2614" t="s">
        <v>1439</v>
      </c>
      <c r="B2614" s="4" t="s">
        <v>9</v>
      </c>
      <c r="C2614" s="4" t="s">
        <v>73</v>
      </c>
      <c r="D2614" s="4">
        <v>46140</v>
      </c>
      <c r="E2614" s="5">
        <v>0.29675925925925922</v>
      </c>
      <c r="F2614" t="s">
        <v>87</v>
      </c>
      <c r="G2614" t="s">
        <v>83</v>
      </c>
      <c r="H2614">
        <v>71.25</v>
      </c>
      <c r="M2614" t="s">
        <v>76</v>
      </c>
      <c r="N2614" t="s">
        <v>75</v>
      </c>
    </row>
    <row r="2615" spans="1:14" x14ac:dyDescent="0.25">
      <c r="A2615" t="s">
        <v>1453</v>
      </c>
      <c r="B2615" s="4" t="s">
        <v>9</v>
      </c>
      <c r="C2615" s="4" t="s">
        <v>70</v>
      </c>
      <c r="D2615" s="4">
        <v>46140</v>
      </c>
      <c r="E2615" s="5">
        <v>0.29944444444444446</v>
      </c>
      <c r="F2615" t="s">
        <v>87</v>
      </c>
      <c r="G2615" t="s">
        <v>83</v>
      </c>
      <c r="H2615">
        <v>1</v>
      </c>
      <c r="L2615" t="s">
        <v>1454</v>
      </c>
      <c r="M2615" t="s">
        <v>71</v>
      </c>
      <c r="N2615" t="s">
        <v>72</v>
      </c>
    </row>
    <row r="2616" spans="1:14" x14ac:dyDescent="0.25">
      <c r="A2616" t="s">
        <v>1454</v>
      </c>
      <c r="B2616" s="4" t="s">
        <v>9</v>
      </c>
      <c r="C2616" s="4" t="s">
        <v>73</v>
      </c>
      <c r="D2616" s="4">
        <v>46140</v>
      </c>
      <c r="E2616" s="5">
        <v>0.29944444444444446</v>
      </c>
      <c r="F2616" t="s">
        <v>87</v>
      </c>
      <c r="G2616" t="s">
        <v>83</v>
      </c>
      <c r="H2616">
        <v>5.75</v>
      </c>
      <c r="M2616" t="s">
        <v>74</v>
      </c>
      <c r="N2616" t="s">
        <v>72</v>
      </c>
    </row>
    <row r="2617" spans="1:14" x14ac:dyDescent="0.25">
      <c r="A2617" t="s">
        <v>1454</v>
      </c>
      <c r="B2617" s="4" t="s">
        <v>9</v>
      </c>
      <c r="C2617" s="4" t="s">
        <v>73</v>
      </c>
      <c r="D2617" s="4">
        <v>46140</v>
      </c>
      <c r="E2617" s="5">
        <v>0.29952546296296295</v>
      </c>
      <c r="F2617" t="s">
        <v>87</v>
      </c>
      <c r="G2617" t="s">
        <v>83</v>
      </c>
      <c r="H2617">
        <v>5.6666666666666661</v>
      </c>
      <c r="M2617" t="s">
        <v>76</v>
      </c>
      <c r="N2617" t="s">
        <v>72</v>
      </c>
    </row>
    <row r="2618" spans="1:14" x14ac:dyDescent="0.25">
      <c r="A2618" t="s">
        <v>1458</v>
      </c>
      <c r="B2618" s="4" t="s">
        <v>9</v>
      </c>
      <c r="C2618" s="4" t="s">
        <v>70</v>
      </c>
      <c r="D2618" s="4">
        <v>46140</v>
      </c>
      <c r="E2618" s="5">
        <v>0.30082175925925925</v>
      </c>
      <c r="F2618" t="s">
        <v>87</v>
      </c>
      <c r="G2618" t="s">
        <v>83</v>
      </c>
      <c r="H2618">
        <v>22.5</v>
      </c>
      <c r="L2618" t="s">
        <v>879</v>
      </c>
      <c r="M2618" t="s">
        <v>71</v>
      </c>
      <c r="N2618" t="s">
        <v>75</v>
      </c>
    </row>
    <row r="2619" spans="1:14" x14ac:dyDescent="0.25">
      <c r="A2619" t="s">
        <v>879</v>
      </c>
      <c r="B2619" s="4" t="s">
        <v>9</v>
      </c>
      <c r="C2619" s="4" t="s">
        <v>73</v>
      </c>
      <c r="D2619" s="4">
        <v>46140</v>
      </c>
      <c r="E2619" s="5">
        <v>0.30082175925925925</v>
      </c>
      <c r="F2619" t="s">
        <v>87</v>
      </c>
      <c r="G2619" t="s">
        <v>83</v>
      </c>
      <c r="H2619">
        <v>59.5</v>
      </c>
      <c r="M2619" t="s">
        <v>79</v>
      </c>
      <c r="N2619" t="s">
        <v>75</v>
      </c>
    </row>
    <row r="2620" spans="1:14" x14ac:dyDescent="0.25">
      <c r="A2620" t="s">
        <v>1459</v>
      </c>
      <c r="B2620" s="4" t="s">
        <v>9</v>
      </c>
      <c r="C2620" s="4" t="s">
        <v>70</v>
      </c>
      <c r="D2620" s="4">
        <v>46140</v>
      </c>
      <c r="E2620" s="5">
        <v>0.30126157407407406</v>
      </c>
      <c r="F2620" t="s">
        <v>87</v>
      </c>
      <c r="G2620" t="s">
        <v>83</v>
      </c>
      <c r="H2620">
        <v>11.25</v>
      </c>
      <c r="L2620" t="s">
        <v>879</v>
      </c>
      <c r="M2620" t="s">
        <v>71</v>
      </c>
      <c r="N2620" t="s">
        <v>75</v>
      </c>
    </row>
    <row r="2621" spans="1:14" x14ac:dyDescent="0.25">
      <c r="A2621" t="s">
        <v>879</v>
      </c>
      <c r="B2621" s="4" t="s">
        <v>9</v>
      </c>
      <c r="C2621" s="4" t="s">
        <v>73</v>
      </c>
      <c r="D2621" s="4">
        <v>46140</v>
      </c>
      <c r="E2621" s="5">
        <v>0.30126157407407406</v>
      </c>
      <c r="F2621" t="s">
        <v>87</v>
      </c>
      <c r="G2621" t="s">
        <v>83</v>
      </c>
      <c r="H2621">
        <v>48.25</v>
      </c>
      <c r="M2621" t="s">
        <v>79</v>
      </c>
      <c r="N2621" t="s">
        <v>75</v>
      </c>
    </row>
    <row r="2622" spans="1:14" x14ac:dyDescent="0.25">
      <c r="A2622" t="s">
        <v>1462</v>
      </c>
      <c r="B2622" s="4" t="s">
        <v>9</v>
      </c>
      <c r="C2622" s="4" t="s">
        <v>70</v>
      </c>
      <c r="D2622" s="4">
        <v>46140</v>
      </c>
      <c r="E2622" s="5">
        <v>0.30178240740740742</v>
      </c>
      <c r="F2622" t="s">
        <v>87</v>
      </c>
      <c r="G2622" t="s">
        <v>83</v>
      </c>
      <c r="H2622">
        <v>13.25</v>
      </c>
      <c r="L2622" t="s">
        <v>879</v>
      </c>
      <c r="M2622" t="s">
        <v>71</v>
      </c>
      <c r="N2622" t="s">
        <v>75</v>
      </c>
    </row>
    <row r="2623" spans="1:14" x14ac:dyDescent="0.25">
      <c r="A2623" t="s">
        <v>879</v>
      </c>
      <c r="B2623" s="4" t="s">
        <v>9</v>
      </c>
      <c r="C2623" s="4" t="s">
        <v>73</v>
      </c>
      <c r="D2623" s="4">
        <v>46140</v>
      </c>
      <c r="E2623" s="5">
        <v>0.30178240740740742</v>
      </c>
      <c r="F2623" t="s">
        <v>87</v>
      </c>
      <c r="G2623" t="s">
        <v>83</v>
      </c>
      <c r="H2623">
        <v>35</v>
      </c>
      <c r="M2623" t="s">
        <v>79</v>
      </c>
      <c r="N2623" t="s">
        <v>75</v>
      </c>
    </row>
    <row r="2624" spans="1:14" x14ac:dyDescent="0.25">
      <c r="A2624" t="s">
        <v>1466</v>
      </c>
      <c r="B2624" s="4" t="s">
        <v>9</v>
      </c>
      <c r="C2624" s="4" t="s">
        <v>70</v>
      </c>
      <c r="D2624" s="4">
        <v>46140</v>
      </c>
      <c r="E2624" s="5">
        <v>0.30219907407407404</v>
      </c>
      <c r="F2624" t="s">
        <v>87</v>
      </c>
      <c r="G2624" t="s">
        <v>83</v>
      </c>
      <c r="H2624">
        <v>14</v>
      </c>
      <c r="L2624" t="s">
        <v>879</v>
      </c>
      <c r="M2624" t="s">
        <v>71</v>
      </c>
      <c r="N2624" t="s">
        <v>75</v>
      </c>
    </row>
    <row r="2625" spans="1:14" x14ac:dyDescent="0.25">
      <c r="A2625" t="s">
        <v>879</v>
      </c>
      <c r="B2625" s="4" t="s">
        <v>9</v>
      </c>
      <c r="C2625" s="4" t="s">
        <v>73</v>
      </c>
      <c r="D2625" s="4">
        <v>46140</v>
      </c>
      <c r="E2625" s="5">
        <v>0.30219907407407404</v>
      </c>
      <c r="F2625" t="s">
        <v>87</v>
      </c>
      <c r="G2625" t="s">
        <v>83</v>
      </c>
      <c r="H2625">
        <v>21</v>
      </c>
      <c r="M2625" t="s">
        <v>79</v>
      </c>
      <c r="N2625" t="s">
        <v>75</v>
      </c>
    </row>
    <row r="2626" spans="1:14" x14ac:dyDescent="0.25">
      <c r="A2626" t="s">
        <v>1468</v>
      </c>
      <c r="B2626" s="4" t="s">
        <v>9</v>
      </c>
      <c r="C2626" s="4" t="s">
        <v>70</v>
      </c>
      <c r="D2626" s="4">
        <v>46140</v>
      </c>
      <c r="E2626" s="5">
        <v>0.30261574074074077</v>
      </c>
      <c r="F2626" t="s">
        <v>87</v>
      </c>
      <c r="G2626" t="s">
        <v>83</v>
      </c>
      <c r="H2626">
        <v>18</v>
      </c>
      <c r="L2626" t="s">
        <v>879</v>
      </c>
      <c r="M2626" t="s">
        <v>71</v>
      </c>
      <c r="N2626" t="s">
        <v>75</v>
      </c>
    </row>
    <row r="2627" spans="1:14" x14ac:dyDescent="0.25">
      <c r="A2627" t="s">
        <v>879</v>
      </c>
      <c r="B2627" s="4" t="s">
        <v>9</v>
      </c>
      <c r="C2627" s="4" t="s">
        <v>73</v>
      </c>
      <c r="D2627" s="4">
        <v>46140</v>
      </c>
      <c r="E2627" s="5">
        <v>0.30261574074074077</v>
      </c>
      <c r="F2627" t="s">
        <v>87</v>
      </c>
      <c r="G2627" t="s">
        <v>83</v>
      </c>
      <c r="H2627">
        <v>3</v>
      </c>
      <c r="M2627" t="s">
        <v>79</v>
      </c>
      <c r="N2627" t="s">
        <v>75</v>
      </c>
    </row>
    <row r="2628" spans="1:14" x14ac:dyDescent="0.25">
      <c r="A2628" t="s">
        <v>879</v>
      </c>
      <c r="B2628" s="4" t="s">
        <v>9</v>
      </c>
      <c r="C2628" s="4" t="s">
        <v>73</v>
      </c>
      <c r="D2628" s="4">
        <v>46140</v>
      </c>
      <c r="E2628" s="5">
        <v>0.30261574074074077</v>
      </c>
      <c r="F2628" t="s">
        <v>87</v>
      </c>
      <c r="G2628" t="s">
        <v>83</v>
      </c>
      <c r="H2628">
        <v>1.75</v>
      </c>
      <c r="M2628" t="s">
        <v>79</v>
      </c>
      <c r="N2628" t="s">
        <v>75</v>
      </c>
    </row>
    <row r="2629" spans="1:14" x14ac:dyDescent="0.25">
      <c r="A2629" t="s">
        <v>879</v>
      </c>
      <c r="B2629" s="4" t="s">
        <v>9</v>
      </c>
      <c r="C2629" s="4" t="s">
        <v>73</v>
      </c>
      <c r="D2629" s="4">
        <v>46140</v>
      </c>
      <c r="E2629" s="5">
        <v>0.30261574074074077</v>
      </c>
      <c r="F2629" t="s">
        <v>87</v>
      </c>
      <c r="G2629" t="s">
        <v>83</v>
      </c>
      <c r="H2629">
        <v>0</v>
      </c>
      <c r="M2629" t="s">
        <v>79</v>
      </c>
      <c r="N2629" t="s">
        <v>75</v>
      </c>
    </row>
    <row r="2630" spans="1:14" x14ac:dyDescent="0.25">
      <c r="A2630" t="s">
        <v>1417</v>
      </c>
      <c r="B2630" s="4" t="s">
        <v>9</v>
      </c>
      <c r="C2630" s="4" t="s">
        <v>73</v>
      </c>
      <c r="D2630" s="4">
        <v>46140</v>
      </c>
      <c r="E2630" s="5">
        <v>0.30978009259259254</v>
      </c>
      <c r="F2630" t="s">
        <v>87</v>
      </c>
      <c r="G2630" t="s">
        <v>83</v>
      </c>
      <c r="H2630">
        <v>47.416666666666664</v>
      </c>
      <c r="M2630" t="s">
        <v>76</v>
      </c>
      <c r="N2630" t="s">
        <v>77</v>
      </c>
    </row>
    <row r="2631" spans="1:14" x14ac:dyDescent="0.25">
      <c r="A2631" t="s">
        <v>1493</v>
      </c>
      <c r="B2631" s="4" t="s">
        <v>9</v>
      </c>
      <c r="C2631" s="4" t="s">
        <v>70</v>
      </c>
      <c r="D2631" s="4">
        <v>46140</v>
      </c>
      <c r="E2631" s="5">
        <v>0.3110532407407407</v>
      </c>
      <c r="F2631" t="s">
        <v>87</v>
      </c>
      <c r="G2631" t="s">
        <v>83</v>
      </c>
      <c r="H2631">
        <v>2</v>
      </c>
      <c r="L2631" t="s">
        <v>1494</v>
      </c>
      <c r="M2631" t="s">
        <v>71</v>
      </c>
      <c r="N2631" t="s">
        <v>72</v>
      </c>
    </row>
    <row r="2632" spans="1:14" x14ac:dyDescent="0.25">
      <c r="A2632" t="s">
        <v>1494</v>
      </c>
      <c r="B2632" s="4" t="s">
        <v>9</v>
      </c>
      <c r="C2632" s="4" t="s">
        <v>73</v>
      </c>
      <c r="D2632" s="4">
        <v>46140</v>
      </c>
      <c r="E2632" s="5">
        <v>0.3110532407407407</v>
      </c>
      <c r="F2632" t="s">
        <v>87</v>
      </c>
      <c r="G2632" t="s">
        <v>83</v>
      </c>
      <c r="H2632">
        <v>3.9166666666666661</v>
      </c>
      <c r="M2632" t="s">
        <v>84</v>
      </c>
      <c r="N2632" t="s">
        <v>72</v>
      </c>
    </row>
    <row r="2633" spans="1:14" x14ac:dyDescent="0.25">
      <c r="A2633" t="s">
        <v>1494</v>
      </c>
      <c r="B2633" s="4" t="s">
        <v>9</v>
      </c>
      <c r="C2633" s="4" t="s">
        <v>73</v>
      </c>
      <c r="D2633" s="4">
        <v>46140</v>
      </c>
      <c r="E2633" s="5">
        <v>0.31130787037037033</v>
      </c>
      <c r="F2633" t="s">
        <v>87</v>
      </c>
      <c r="G2633" t="s">
        <v>83</v>
      </c>
      <c r="H2633">
        <v>0</v>
      </c>
      <c r="M2633" t="s">
        <v>84</v>
      </c>
      <c r="N2633" t="s">
        <v>72</v>
      </c>
    </row>
    <row r="2634" spans="1:14" x14ac:dyDescent="0.25">
      <c r="A2634" t="s">
        <v>1499</v>
      </c>
      <c r="B2634" s="4" t="s">
        <v>9</v>
      </c>
      <c r="C2634" s="4" t="s">
        <v>70</v>
      </c>
      <c r="D2634" s="4">
        <v>46140</v>
      </c>
      <c r="E2634" s="5">
        <v>0.31254629629629632</v>
      </c>
      <c r="F2634" t="s">
        <v>87</v>
      </c>
      <c r="G2634" t="s">
        <v>83</v>
      </c>
      <c r="H2634">
        <v>15</v>
      </c>
      <c r="L2634" t="s">
        <v>1500</v>
      </c>
      <c r="M2634" t="s">
        <v>71</v>
      </c>
      <c r="N2634" t="s">
        <v>75</v>
      </c>
    </row>
    <row r="2635" spans="1:14" x14ac:dyDescent="0.25">
      <c r="A2635" t="s">
        <v>1500</v>
      </c>
      <c r="B2635" s="4" t="s">
        <v>9</v>
      </c>
      <c r="C2635" s="4" t="s">
        <v>73</v>
      </c>
      <c r="D2635" s="4">
        <v>46140</v>
      </c>
      <c r="E2635" s="5">
        <v>0.31254629629629632</v>
      </c>
      <c r="F2635" t="s">
        <v>87</v>
      </c>
      <c r="G2635" t="s">
        <v>83</v>
      </c>
      <c r="H2635">
        <v>84.833333333333329</v>
      </c>
      <c r="M2635" t="s">
        <v>79</v>
      </c>
      <c r="N2635" t="s">
        <v>75</v>
      </c>
    </row>
    <row r="2636" spans="1:14" x14ac:dyDescent="0.25">
      <c r="A2636" t="s">
        <v>1500</v>
      </c>
      <c r="B2636" s="4" t="s">
        <v>9</v>
      </c>
      <c r="C2636" s="4" t="s">
        <v>73</v>
      </c>
      <c r="D2636" s="4">
        <v>46140</v>
      </c>
      <c r="E2636" s="5">
        <v>0.31254629629629632</v>
      </c>
      <c r="F2636" t="s">
        <v>87</v>
      </c>
      <c r="G2636" t="s">
        <v>83</v>
      </c>
      <c r="H2636">
        <v>84.75</v>
      </c>
      <c r="M2636" t="s">
        <v>79</v>
      </c>
      <c r="N2636" t="s">
        <v>75</v>
      </c>
    </row>
    <row r="2637" spans="1:14" x14ac:dyDescent="0.25">
      <c r="A2637" t="s">
        <v>1501</v>
      </c>
      <c r="B2637" s="4" t="s">
        <v>9</v>
      </c>
      <c r="C2637" s="4" t="s">
        <v>70</v>
      </c>
      <c r="D2637" s="4">
        <v>46140</v>
      </c>
      <c r="E2637" s="5">
        <v>0.31293981481481481</v>
      </c>
      <c r="F2637" t="s">
        <v>87</v>
      </c>
      <c r="G2637" t="s">
        <v>83</v>
      </c>
      <c r="H2637">
        <v>12</v>
      </c>
      <c r="L2637" t="s">
        <v>1500</v>
      </c>
      <c r="M2637" t="s">
        <v>71</v>
      </c>
      <c r="N2637" t="s">
        <v>75</v>
      </c>
    </row>
    <row r="2638" spans="1:14" x14ac:dyDescent="0.25">
      <c r="A2638" t="s">
        <v>1500</v>
      </c>
      <c r="B2638" s="4" t="s">
        <v>9</v>
      </c>
      <c r="C2638" s="4" t="s">
        <v>73</v>
      </c>
      <c r="D2638" s="4">
        <v>46140</v>
      </c>
      <c r="E2638" s="5">
        <v>0.31293981481481481</v>
      </c>
      <c r="F2638" t="s">
        <v>87</v>
      </c>
      <c r="G2638" t="s">
        <v>83</v>
      </c>
      <c r="H2638">
        <v>72.75</v>
      </c>
      <c r="M2638" t="s">
        <v>79</v>
      </c>
      <c r="N2638" t="s">
        <v>75</v>
      </c>
    </row>
    <row r="2639" spans="1:14" x14ac:dyDescent="0.25">
      <c r="A2639" t="s">
        <v>1500</v>
      </c>
      <c r="B2639" s="4" t="s">
        <v>9</v>
      </c>
      <c r="C2639" s="4" t="s">
        <v>73</v>
      </c>
      <c r="D2639" s="4">
        <v>46140</v>
      </c>
      <c r="E2639" s="5">
        <v>0.31293981481481481</v>
      </c>
      <c r="F2639" t="s">
        <v>87</v>
      </c>
      <c r="G2639" t="s">
        <v>83</v>
      </c>
      <c r="H2639">
        <v>72.666666666666671</v>
      </c>
      <c r="M2639" t="s">
        <v>79</v>
      </c>
      <c r="N2639" t="s">
        <v>75</v>
      </c>
    </row>
    <row r="2640" spans="1:14" x14ac:dyDescent="0.25">
      <c r="A2640" t="s">
        <v>1500</v>
      </c>
      <c r="B2640" s="4" t="s">
        <v>9</v>
      </c>
      <c r="C2640" s="4" t="s">
        <v>73</v>
      </c>
      <c r="D2640" s="4">
        <v>46140</v>
      </c>
      <c r="E2640" s="5">
        <v>0.31319444444444444</v>
      </c>
      <c r="F2640" t="s">
        <v>87</v>
      </c>
      <c r="G2640" t="s">
        <v>83</v>
      </c>
      <c r="H2640">
        <v>72.666666666666671</v>
      </c>
      <c r="M2640" t="s">
        <v>76</v>
      </c>
      <c r="N2640" t="s">
        <v>75</v>
      </c>
    </row>
    <row r="2641" spans="1:14" x14ac:dyDescent="0.25">
      <c r="A2641" t="s">
        <v>1504</v>
      </c>
      <c r="B2641" s="4" t="s">
        <v>9</v>
      </c>
      <c r="C2641" s="4" t="s">
        <v>70</v>
      </c>
      <c r="D2641" s="4">
        <v>46140</v>
      </c>
      <c r="E2641" s="5">
        <v>0.31376157407407407</v>
      </c>
      <c r="F2641" t="s">
        <v>87</v>
      </c>
      <c r="G2641" t="s">
        <v>83</v>
      </c>
      <c r="H2641">
        <v>1.6666666666666665</v>
      </c>
      <c r="L2641" t="s">
        <v>1505</v>
      </c>
      <c r="M2641" t="s">
        <v>71</v>
      </c>
      <c r="N2641" t="s">
        <v>72</v>
      </c>
    </row>
    <row r="2642" spans="1:14" x14ac:dyDescent="0.25">
      <c r="A2642" t="s">
        <v>1505</v>
      </c>
      <c r="B2642" s="4" t="s">
        <v>9</v>
      </c>
      <c r="C2642" s="4" t="s">
        <v>73</v>
      </c>
      <c r="D2642" s="4">
        <v>46140</v>
      </c>
      <c r="E2642" s="5">
        <v>0.31376157407407407</v>
      </c>
      <c r="F2642" t="s">
        <v>87</v>
      </c>
      <c r="G2642" t="s">
        <v>83</v>
      </c>
      <c r="H2642">
        <v>50.5</v>
      </c>
      <c r="M2642" t="s">
        <v>84</v>
      </c>
      <c r="N2642" t="s">
        <v>72</v>
      </c>
    </row>
    <row r="2643" spans="1:14" x14ac:dyDescent="0.25">
      <c r="A2643" t="s">
        <v>1505</v>
      </c>
      <c r="B2643" s="4" t="s">
        <v>9</v>
      </c>
      <c r="C2643" s="4" t="s">
        <v>73</v>
      </c>
      <c r="D2643" s="4">
        <v>46140</v>
      </c>
      <c r="E2643" s="5">
        <v>0.31376157407407407</v>
      </c>
      <c r="F2643" t="s">
        <v>87</v>
      </c>
      <c r="G2643" t="s">
        <v>83</v>
      </c>
      <c r="H2643">
        <v>50.416666666666664</v>
      </c>
      <c r="M2643" t="s">
        <v>84</v>
      </c>
      <c r="N2643" t="s">
        <v>72</v>
      </c>
    </row>
    <row r="2644" spans="1:14" x14ac:dyDescent="0.25">
      <c r="A2644" t="s">
        <v>1505</v>
      </c>
      <c r="B2644" s="4" t="s">
        <v>9</v>
      </c>
      <c r="C2644" s="4" t="s">
        <v>73</v>
      </c>
      <c r="D2644" s="4">
        <v>46140</v>
      </c>
      <c r="E2644" s="5">
        <v>0.31400462962962961</v>
      </c>
      <c r="F2644" t="s">
        <v>87</v>
      </c>
      <c r="G2644" t="s">
        <v>83</v>
      </c>
      <c r="H2644">
        <v>50.416666666666664</v>
      </c>
      <c r="M2644" t="s">
        <v>76</v>
      </c>
      <c r="N2644" t="s">
        <v>72</v>
      </c>
    </row>
    <row r="2645" spans="1:14" x14ac:dyDescent="0.25">
      <c r="A2645" t="s">
        <v>1509</v>
      </c>
      <c r="B2645" s="4" t="s">
        <v>9</v>
      </c>
      <c r="C2645" s="4" t="s">
        <v>70</v>
      </c>
      <c r="D2645" s="4">
        <v>46140</v>
      </c>
      <c r="E2645" s="5">
        <v>0.31503472222222217</v>
      </c>
      <c r="F2645" t="s">
        <v>87</v>
      </c>
      <c r="G2645" t="s">
        <v>83</v>
      </c>
      <c r="H2645">
        <v>115</v>
      </c>
      <c r="L2645" t="s">
        <v>1510</v>
      </c>
      <c r="M2645" t="s">
        <v>71</v>
      </c>
      <c r="N2645" t="s">
        <v>75</v>
      </c>
    </row>
    <row r="2646" spans="1:14" x14ac:dyDescent="0.25">
      <c r="A2646" t="s">
        <v>1510</v>
      </c>
      <c r="B2646" s="4" t="s">
        <v>9</v>
      </c>
      <c r="C2646" s="4" t="s">
        <v>73</v>
      </c>
      <c r="D2646" s="4">
        <v>46140</v>
      </c>
      <c r="E2646" s="5">
        <v>0.31503472222222217</v>
      </c>
      <c r="F2646" t="s">
        <v>87</v>
      </c>
      <c r="G2646" t="s">
        <v>83</v>
      </c>
      <c r="H2646">
        <v>64.75</v>
      </c>
      <c r="M2646" t="s">
        <v>74</v>
      </c>
      <c r="N2646" t="s">
        <v>75</v>
      </c>
    </row>
    <row r="2647" spans="1:14" x14ac:dyDescent="0.25">
      <c r="A2647" t="s">
        <v>1511</v>
      </c>
      <c r="B2647" s="4" t="s">
        <v>9</v>
      </c>
      <c r="C2647" s="4" t="s">
        <v>70</v>
      </c>
      <c r="D2647" s="4">
        <v>46140</v>
      </c>
      <c r="E2647" s="5">
        <v>0.3152314814814815</v>
      </c>
      <c r="F2647" t="s">
        <v>87</v>
      </c>
      <c r="G2647" t="s">
        <v>83</v>
      </c>
      <c r="H2647">
        <v>2</v>
      </c>
      <c r="L2647" t="s">
        <v>1510</v>
      </c>
      <c r="M2647" t="s">
        <v>71</v>
      </c>
      <c r="N2647" t="s">
        <v>75</v>
      </c>
    </row>
    <row r="2648" spans="1:14" x14ac:dyDescent="0.25">
      <c r="A2648" t="s">
        <v>1510</v>
      </c>
      <c r="B2648" s="4" t="s">
        <v>9</v>
      </c>
      <c r="C2648" s="4" t="s">
        <v>73</v>
      </c>
      <c r="D2648" s="4">
        <v>46140</v>
      </c>
      <c r="E2648" s="5">
        <v>0.3152314814814815</v>
      </c>
      <c r="F2648" t="s">
        <v>87</v>
      </c>
      <c r="G2648" t="s">
        <v>83</v>
      </c>
      <c r="H2648">
        <v>62.75</v>
      </c>
      <c r="M2648" t="s">
        <v>74</v>
      </c>
      <c r="N2648" t="s">
        <v>75</v>
      </c>
    </row>
    <row r="2649" spans="1:14" x14ac:dyDescent="0.25">
      <c r="A2649" t="s">
        <v>1510</v>
      </c>
      <c r="B2649" s="4" t="s">
        <v>9</v>
      </c>
      <c r="C2649" s="4" t="s">
        <v>73</v>
      </c>
      <c r="D2649" s="4">
        <v>46140</v>
      </c>
      <c r="E2649" s="5">
        <v>0.31550925925925927</v>
      </c>
      <c r="F2649" t="s">
        <v>87</v>
      </c>
      <c r="G2649" t="s">
        <v>83</v>
      </c>
      <c r="H2649">
        <v>62.75</v>
      </c>
      <c r="M2649" t="s">
        <v>76</v>
      </c>
      <c r="N2649" t="s">
        <v>75</v>
      </c>
    </row>
    <row r="2650" spans="1:14" x14ac:dyDescent="0.25">
      <c r="A2650" t="s">
        <v>1515</v>
      </c>
      <c r="B2650" s="4" t="s">
        <v>9</v>
      </c>
      <c r="C2650" s="4" t="s">
        <v>70</v>
      </c>
      <c r="D2650" s="4">
        <v>46140</v>
      </c>
      <c r="E2650" s="5">
        <v>0.31612268518518516</v>
      </c>
      <c r="F2650" t="s">
        <v>87</v>
      </c>
      <c r="G2650" t="s">
        <v>83</v>
      </c>
      <c r="H2650">
        <v>1.6666666666666665</v>
      </c>
      <c r="L2650" t="s">
        <v>1516</v>
      </c>
      <c r="M2650" t="s">
        <v>71</v>
      </c>
      <c r="N2650" t="s">
        <v>72</v>
      </c>
    </row>
    <row r="2651" spans="1:14" x14ac:dyDescent="0.25">
      <c r="A2651" t="s">
        <v>1516</v>
      </c>
      <c r="B2651" s="4" t="s">
        <v>9</v>
      </c>
      <c r="C2651" s="4" t="s">
        <v>73</v>
      </c>
      <c r="D2651" s="4">
        <v>46140</v>
      </c>
      <c r="E2651" s="5">
        <v>0.31612268518518516</v>
      </c>
      <c r="F2651" t="s">
        <v>87</v>
      </c>
      <c r="G2651" t="s">
        <v>83</v>
      </c>
      <c r="H2651">
        <v>6.5</v>
      </c>
      <c r="M2651" t="s">
        <v>84</v>
      </c>
      <c r="N2651" t="s">
        <v>72</v>
      </c>
    </row>
    <row r="2652" spans="1:14" x14ac:dyDescent="0.25">
      <c r="A2652" t="s">
        <v>1516</v>
      </c>
      <c r="B2652" s="4" t="s">
        <v>9</v>
      </c>
      <c r="C2652" s="4" t="s">
        <v>73</v>
      </c>
      <c r="D2652" s="4">
        <v>46140</v>
      </c>
      <c r="E2652" s="5">
        <v>0.31613425925925925</v>
      </c>
      <c r="F2652" t="s">
        <v>87</v>
      </c>
      <c r="G2652" t="s">
        <v>83</v>
      </c>
      <c r="H2652">
        <v>6.416666666666667</v>
      </c>
      <c r="M2652" t="s">
        <v>84</v>
      </c>
      <c r="N2652" t="s">
        <v>72</v>
      </c>
    </row>
    <row r="2653" spans="1:14" x14ac:dyDescent="0.25">
      <c r="A2653" t="s">
        <v>1516</v>
      </c>
      <c r="B2653" s="4" t="s">
        <v>9</v>
      </c>
      <c r="C2653" s="4" t="s">
        <v>73</v>
      </c>
      <c r="D2653" s="4">
        <v>46140</v>
      </c>
      <c r="E2653" s="5">
        <v>0.3162962962962963</v>
      </c>
      <c r="F2653" t="s">
        <v>87</v>
      </c>
      <c r="G2653" t="s">
        <v>83</v>
      </c>
      <c r="H2653">
        <v>6.833333333333333</v>
      </c>
      <c r="M2653" t="s">
        <v>76</v>
      </c>
      <c r="N2653" t="s">
        <v>72</v>
      </c>
    </row>
    <row r="2654" spans="1:14" x14ac:dyDescent="0.25">
      <c r="A2654" t="s">
        <v>1521</v>
      </c>
      <c r="B2654" s="4" t="s">
        <v>9</v>
      </c>
      <c r="C2654" s="4" t="s">
        <v>70</v>
      </c>
      <c r="D2654" s="4">
        <v>46140</v>
      </c>
      <c r="E2654" s="5">
        <v>0.31737268518518519</v>
      </c>
      <c r="F2654" t="s">
        <v>87</v>
      </c>
      <c r="G2654" t="s">
        <v>83</v>
      </c>
      <c r="H2654">
        <v>29</v>
      </c>
      <c r="L2654" t="s">
        <v>1522</v>
      </c>
      <c r="M2654" t="s">
        <v>71</v>
      </c>
      <c r="N2654" t="s">
        <v>78</v>
      </c>
    </row>
    <row r="2655" spans="1:14" x14ac:dyDescent="0.25">
      <c r="A2655" t="s">
        <v>1522</v>
      </c>
      <c r="B2655" s="4" t="s">
        <v>9</v>
      </c>
      <c r="C2655" s="4" t="s">
        <v>73</v>
      </c>
      <c r="D2655" s="4">
        <v>46140</v>
      </c>
      <c r="E2655" s="5">
        <v>0.31737268518518519</v>
      </c>
      <c r="F2655" t="s">
        <v>87</v>
      </c>
      <c r="G2655" t="s">
        <v>83</v>
      </c>
      <c r="H2655">
        <v>22.416666666666668</v>
      </c>
      <c r="M2655" t="s">
        <v>79</v>
      </c>
      <c r="N2655" t="s">
        <v>78</v>
      </c>
    </row>
    <row r="2656" spans="1:14" x14ac:dyDescent="0.25">
      <c r="A2656" t="s">
        <v>1522</v>
      </c>
      <c r="B2656" s="4" t="s">
        <v>9</v>
      </c>
      <c r="C2656" s="4" t="s">
        <v>73</v>
      </c>
      <c r="D2656" s="4">
        <v>46140</v>
      </c>
      <c r="E2656" s="5">
        <v>0.31737268518518519</v>
      </c>
      <c r="F2656" t="s">
        <v>87</v>
      </c>
      <c r="G2656" t="s">
        <v>83</v>
      </c>
      <c r="H2656">
        <v>22.333333333333332</v>
      </c>
      <c r="M2656" t="s">
        <v>79</v>
      </c>
      <c r="N2656" t="s">
        <v>78</v>
      </c>
    </row>
    <row r="2657" spans="1:14" x14ac:dyDescent="0.25">
      <c r="A2657" t="s">
        <v>1522</v>
      </c>
      <c r="B2657" s="4" t="s">
        <v>9</v>
      </c>
      <c r="C2657" s="4" t="s">
        <v>73</v>
      </c>
      <c r="D2657" s="4">
        <v>46140</v>
      </c>
      <c r="E2657" s="5">
        <v>0.31790509259259259</v>
      </c>
      <c r="F2657" t="s">
        <v>87</v>
      </c>
      <c r="G2657" t="s">
        <v>83</v>
      </c>
      <c r="H2657">
        <v>19.666666666666664</v>
      </c>
      <c r="M2657" t="s">
        <v>76</v>
      </c>
      <c r="N2657" t="s">
        <v>78</v>
      </c>
    </row>
    <row r="2658" spans="1:14" x14ac:dyDescent="0.25">
      <c r="A2658" t="s">
        <v>1528</v>
      </c>
      <c r="B2658" s="4" t="s">
        <v>9</v>
      </c>
      <c r="C2658" s="4" t="s">
        <v>70</v>
      </c>
      <c r="D2658" s="4">
        <v>46140</v>
      </c>
      <c r="E2658" s="5">
        <v>0.31921296296296292</v>
      </c>
      <c r="F2658" t="s">
        <v>87</v>
      </c>
      <c r="G2658" t="s">
        <v>83</v>
      </c>
      <c r="H2658">
        <v>1</v>
      </c>
      <c r="L2658" t="s">
        <v>1529</v>
      </c>
      <c r="M2658" t="s">
        <v>71</v>
      </c>
      <c r="N2658" t="s">
        <v>72</v>
      </c>
    </row>
    <row r="2659" spans="1:14" x14ac:dyDescent="0.25">
      <c r="A2659" t="s">
        <v>1529</v>
      </c>
      <c r="B2659" s="4" t="s">
        <v>9</v>
      </c>
      <c r="C2659" s="4" t="s">
        <v>73</v>
      </c>
      <c r="D2659" s="4">
        <v>46140</v>
      </c>
      <c r="E2659" s="5">
        <v>0.31921296296296292</v>
      </c>
      <c r="F2659" t="s">
        <v>87</v>
      </c>
      <c r="G2659" t="s">
        <v>83</v>
      </c>
      <c r="H2659">
        <v>61.583333333333329</v>
      </c>
      <c r="M2659" t="s">
        <v>74</v>
      </c>
      <c r="N2659" t="s">
        <v>72</v>
      </c>
    </row>
    <row r="2660" spans="1:14" x14ac:dyDescent="0.25">
      <c r="A2660" t="s">
        <v>1529</v>
      </c>
      <c r="B2660" s="4" t="s">
        <v>9</v>
      </c>
      <c r="C2660" s="4" t="s">
        <v>73</v>
      </c>
      <c r="D2660" s="4">
        <v>46140</v>
      </c>
      <c r="E2660" s="5">
        <v>0.31921296296296292</v>
      </c>
      <c r="F2660" t="s">
        <v>87</v>
      </c>
      <c r="G2660" t="s">
        <v>83</v>
      </c>
      <c r="H2660">
        <v>61.5</v>
      </c>
      <c r="M2660" t="s">
        <v>74</v>
      </c>
      <c r="N2660" t="s">
        <v>72</v>
      </c>
    </row>
    <row r="2661" spans="1:14" x14ac:dyDescent="0.25">
      <c r="A2661" t="s">
        <v>1529</v>
      </c>
      <c r="B2661" s="4" t="s">
        <v>9</v>
      </c>
      <c r="C2661" s="4" t="s">
        <v>73</v>
      </c>
      <c r="D2661" s="4">
        <v>46140</v>
      </c>
      <c r="E2661" s="5">
        <v>0.31990740740740742</v>
      </c>
      <c r="F2661" t="s">
        <v>87</v>
      </c>
      <c r="G2661" t="s">
        <v>83</v>
      </c>
      <c r="H2661">
        <v>61.083333333333336</v>
      </c>
      <c r="M2661" t="s">
        <v>76</v>
      </c>
      <c r="N2661" t="s">
        <v>72</v>
      </c>
    </row>
    <row r="2662" spans="1:14" x14ac:dyDescent="0.25">
      <c r="A2662" t="s">
        <v>1532</v>
      </c>
      <c r="B2662" s="4" t="s">
        <v>9</v>
      </c>
      <c r="C2662" s="4" t="s">
        <v>70</v>
      </c>
      <c r="D2662" s="4">
        <v>46140</v>
      </c>
      <c r="E2662" s="5">
        <v>0.32057870370370367</v>
      </c>
      <c r="F2662" t="s">
        <v>87</v>
      </c>
      <c r="G2662" t="s">
        <v>83</v>
      </c>
      <c r="H2662">
        <v>2</v>
      </c>
      <c r="L2662" t="s">
        <v>1533</v>
      </c>
      <c r="M2662" t="s">
        <v>71</v>
      </c>
      <c r="N2662" t="s">
        <v>72</v>
      </c>
    </row>
    <row r="2663" spans="1:14" x14ac:dyDescent="0.25">
      <c r="A2663" t="s">
        <v>1533</v>
      </c>
      <c r="B2663" s="4" t="s">
        <v>9</v>
      </c>
      <c r="C2663" s="4" t="s">
        <v>73</v>
      </c>
      <c r="D2663" s="4">
        <v>46140</v>
      </c>
      <c r="E2663" s="5">
        <v>0.32057870370370367</v>
      </c>
      <c r="F2663" t="s">
        <v>87</v>
      </c>
      <c r="G2663" t="s">
        <v>83</v>
      </c>
      <c r="H2663">
        <v>20</v>
      </c>
      <c r="M2663" t="s">
        <v>79</v>
      </c>
      <c r="N2663" t="s">
        <v>72</v>
      </c>
    </row>
    <row r="2664" spans="1:14" x14ac:dyDescent="0.25">
      <c r="A2664" t="s">
        <v>1533</v>
      </c>
      <c r="B2664" s="4" t="s">
        <v>9</v>
      </c>
      <c r="C2664" s="4" t="s">
        <v>73</v>
      </c>
      <c r="D2664" s="4">
        <v>46140</v>
      </c>
      <c r="E2664" s="5">
        <v>0.32057870370370367</v>
      </c>
      <c r="F2664" t="s">
        <v>87</v>
      </c>
      <c r="G2664" t="s">
        <v>83</v>
      </c>
      <c r="H2664">
        <v>19.916666666666664</v>
      </c>
      <c r="M2664" t="s">
        <v>79</v>
      </c>
      <c r="N2664" t="s">
        <v>72</v>
      </c>
    </row>
    <row r="2665" spans="1:14" x14ac:dyDescent="0.25">
      <c r="A2665" t="s">
        <v>1533</v>
      </c>
      <c r="B2665" s="4" t="s">
        <v>9</v>
      </c>
      <c r="C2665" s="4" t="s">
        <v>73</v>
      </c>
      <c r="D2665" s="4">
        <v>46140</v>
      </c>
      <c r="E2665" s="5">
        <v>0.32109953703703703</v>
      </c>
      <c r="F2665" t="s">
        <v>87</v>
      </c>
      <c r="G2665" t="s">
        <v>83</v>
      </c>
      <c r="H2665">
        <v>20</v>
      </c>
      <c r="M2665" t="s">
        <v>76</v>
      </c>
      <c r="N2665" t="s">
        <v>72</v>
      </c>
    </row>
    <row r="2666" spans="1:14" x14ac:dyDescent="0.25">
      <c r="A2666" t="s">
        <v>1541</v>
      </c>
      <c r="B2666" s="4" t="s">
        <v>9</v>
      </c>
      <c r="C2666" s="4" t="s">
        <v>70</v>
      </c>
      <c r="D2666" s="4">
        <v>46140</v>
      </c>
      <c r="E2666" s="5">
        <v>0.32267361111111109</v>
      </c>
      <c r="F2666" t="s">
        <v>87</v>
      </c>
      <c r="G2666" t="s">
        <v>83</v>
      </c>
      <c r="H2666">
        <v>1.6666666666666665</v>
      </c>
      <c r="L2666" t="s">
        <v>1542</v>
      </c>
      <c r="M2666" t="s">
        <v>71</v>
      </c>
      <c r="N2666" t="s">
        <v>72</v>
      </c>
    </row>
    <row r="2667" spans="1:14" x14ac:dyDescent="0.25">
      <c r="A2667" t="s">
        <v>1542</v>
      </c>
      <c r="B2667" s="4" t="s">
        <v>9</v>
      </c>
      <c r="C2667" s="4" t="s">
        <v>73</v>
      </c>
      <c r="D2667" s="4">
        <v>46140</v>
      </c>
      <c r="E2667" s="5">
        <v>0.32267361111111109</v>
      </c>
      <c r="F2667" t="s">
        <v>87</v>
      </c>
      <c r="G2667" t="s">
        <v>83</v>
      </c>
      <c r="H2667">
        <v>4.416666666666667</v>
      </c>
      <c r="M2667" t="s">
        <v>84</v>
      </c>
      <c r="N2667" t="s">
        <v>72</v>
      </c>
    </row>
    <row r="2668" spans="1:14" x14ac:dyDescent="0.25">
      <c r="A2668" t="s">
        <v>1542</v>
      </c>
      <c r="B2668" s="4" t="s">
        <v>9</v>
      </c>
      <c r="C2668" s="4" t="s">
        <v>73</v>
      </c>
      <c r="D2668" s="4">
        <v>46140</v>
      </c>
      <c r="E2668" s="5">
        <v>0.32277777777777777</v>
      </c>
      <c r="F2668" t="s">
        <v>87</v>
      </c>
      <c r="G2668" t="s">
        <v>83</v>
      </c>
      <c r="H2668">
        <v>0.66666666666666663</v>
      </c>
      <c r="M2668" t="s">
        <v>84</v>
      </c>
      <c r="N2668" t="s">
        <v>72</v>
      </c>
    </row>
    <row r="2669" spans="1:14" x14ac:dyDescent="0.25">
      <c r="A2669" t="s">
        <v>1542</v>
      </c>
      <c r="B2669" s="4" t="s">
        <v>9</v>
      </c>
      <c r="C2669" s="4" t="s">
        <v>73</v>
      </c>
      <c r="D2669" s="4">
        <v>46140</v>
      </c>
      <c r="E2669" s="5">
        <v>0.32277777777777777</v>
      </c>
      <c r="F2669" t="s">
        <v>87</v>
      </c>
      <c r="G2669" t="s">
        <v>83</v>
      </c>
      <c r="H2669">
        <v>0</v>
      </c>
      <c r="M2669" t="s">
        <v>84</v>
      </c>
      <c r="N2669" t="s">
        <v>72</v>
      </c>
    </row>
    <row r="2670" spans="1:14" x14ac:dyDescent="0.25">
      <c r="A2670" t="s">
        <v>1545</v>
      </c>
      <c r="B2670" s="4" t="s">
        <v>9</v>
      </c>
      <c r="C2670" s="4" t="s">
        <v>70</v>
      </c>
      <c r="D2670" s="4">
        <v>46140</v>
      </c>
      <c r="E2670" s="5">
        <v>0.3238657407407407</v>
      </c>
      <c r="F2670" t="s">
        <v>87</v>
      </c>
      <c r="G2670" t="s">
        <v>83</v>
      </c>
      <c r="H2670">
        <v>1</v>
      </c>
      <c r="L2670" t="s">
        <v>86</v>
      </c>
      <c r="M2670" t="s">
        <v>71</v>
      </c>
      <c r="N2670" t="s">
        <v>72</v>
      </c>
    </row>
    <row r="2671" spans="1:14" x14ac:dyDescent="0.25">
      <c r="A2671" t="s">
        <v>86</v>
      </c>
      <c r="B2671" s="4" t="s">
        <v>9</v>
      </c>
      <c r="C2671" s="4" t="s">
        <v>73</v>
      </c>
      <c r="D2671" s="4">
        <v>46140</v>
      </c>
      <c r="E2671" s="5">
        <v>0.3238657407407407</v>
      </c>
      <c r="F2671" t="s">
        <v>87</v>
      </c>
      <c r="G2671" t="s">
        <v>83</v>
      </c>
      <c r="H2671">
        <v>4.75</v>
      </c>
      <c r="M2671" t="s">
        <v>74</v>
      </c>
      <c r="N2671" t="s">
        <v>72</v>
      </c>
    </row>
    <row r="2672" spans="1:14" x14ac:dyDescent="0.25">
      <c r="A2672" t="s">
        <v>86</v>
      </c>
      <c r="B2672" s="4" t="s">
        <v>9</v>
      </c>
      <c r="C2672" s="4" t="s">
        <v>73</v>
      </c>
      <c r="D2672" s="4">
        <v>46140</v>
      </c>
      <c r="E2672" s="5">
        <v>0.32400462962962961</v>
      </c>
      <c r="F2672" t="s">
        <v>87</v>
      </c>
      <c r="G2672" t="s">
        <v>83</v>
      </c>
      <c r="H2672">
        <v>0.33333333333333331</v>
      </c>
      <c r="M2672" t="s">
        <v>74</v>
      </c>
      <c r="N2672" t="s">
        <v>72</v>
      </c>
    </row>
    <row r="2673" spans="1:14" x14ac:dyDescent="0.25">
      <c r="A2673" t="s">
        <v>86</v>
      </c>
      <c r="B2673" s="4" t="s">
        <v>9</v>
      </c>
      <c r="C2673" s="4" t="s">
        <v>73</v>
      </c>
      <c r="D2673" s="4">
        <v>46140</v>
      </c>
      <c r="E2673" s="5">
        <v>0.32400462962962961</v>
      </c>
      <c r="F2673" t="s">
        <v>87</v>
      </c>
      <c r="G2673" t="s">
        <v>83</v>
      </c>
      <c r="H2673">
        <v>0</v>
      </c>
      <c r="M2673" t="s">
        <v>74</v>
      </c>
      <c r="N2673" t="s">
        <v>72</v>
      </c>
    </row>
    <row r="2674" spans="1:14" x14ac:dyDescent="0.25">
      <c r="A2674" t="s">
        <v>1548</v>
      </c>
      <c r="B2674" s="4" t="s">
        <v>9</v>
      </c>
      <c r="C2674" s="4" t="s">
        <v>70</v>
      </c>
      <c r="D2674" s="4">
        <v>46140</v>
      </c>
      <c r="E2674" s="5">
        <v>0.32510416666666664</v>
      </c>
      <c r="F2674" t="s">
        <v>87</v>
      </c>
      <c r="G2674" t="s">
        <v>83</v>
      </c>
      <c r="H2674">
        <v>88</v>
      </c>
      <c r="L2674" t="s">
        <v>1549</v>
      </c>
      <c r="M2674" t="s">
        <v>71</v>
      </c>
      <c r="N2674" t="s">
        <v>75</v>
      </c>
    </row>
    <row r="2675" spans="1:14" x14ac:dyDescent="0.25">
      <c r="A2675" t="s">
        <v>1549</v>
      </c>
      <c r="B2675" s="4" t="s">
        <v>9</v>
      </c>
      <c r="C2675" s="4" t="s">
        <v>73</v>
      </c>
      <c r="D2675" s="4">
        <v>46140</v>
      </c>
      <c r="E2675" s="5">
        <v>0.32510416666666664</v>
      </c>
      <c r="F2675" t="s">
        <v>87</v>
      </c>
      <c r="G2675" t="s">
        <v>83</v>
      </c>
      <c r="H2675">
        <v>16</v>
      </c>
      <c r="M2675" t="s">
        <v>74</v>
      </c>
      <c r="N2675" t="s">
        <v>75</v>
      </c>
    </row>
    <row r="2676" spans="1:14" x14ac:dyDescent="0.25">
      <c r="A2676" t="s">
        <v>1549</v>
      </c>
      <c r="B2676" s="4" t="s">
        <v>9</v>
      </c>
      <c r="C2676" s="4" t="s">
        <v>73</v>
      </c>
      <c r="D2676" s="4">
        <v>46140</v>
      </c>
      <c r="E2676" s="5">
        <v>0.32510416666666664</v>
      </c>
      <c r="F2676" t="s">
        <v>87</v>
      </c>
      <c r="G2676" t="s">
        <v>83</v>
      </c>
      <c r="H2676">
        <v>15.916666666666666</v>
      </c>
      <c r="M2676" t="s">
        <v>74</v>
      </c>
      <c r="N2676" t="s">
        <v>75</v>
      </c>
    </row>
    <row r="2677" spans="1:14" x14ac:dyDescent="0.25">
      <c r="A2677" t="s">
        <v>1549</v>
      </c>
      <c r="B2677" s="4" t="s">
        <v>9</v>
      </c>
      <c r="C2677" s="4" t="s">
        <v>73</v>
      </c>
      <c r="D2677" s="4">
        <v>46140</v>
      </c>
      <c r="E2677" s="5">
        <v>0.32565972222222223</v>
      </c>
      <c r="F2677" t="s">
        <v>87</v>
      </c>
      <c r="G2677" t="s">
        <v>83</v>
      </c>
      <c r="H2677">
        <v>62</v>
      </c>
      <c r="M2677" t="s">
        <v>76</v>
      </c>
      <c r="N2677" t="s">
        <v>75</v>
      </c>
    </row>
    <row r="2678" spans="1:14" x14ac:dyDescent="0.25">
      <c r="A2678" t="s">
        <v>1559</v>
      </c>
      <c r="B2678" s="4" t="s">
        <v>9</v>
      </c>
      <c r="C2678" s="4" t="s">
        <v>70</v>
      </c>
      <c r="D2678" s="4">
        <v>46140</v>
      </c>
      <c r="E2678" s="5">
        <v>0.32807870370370373</v>
      </c>
      <c r="F2678" t="s">
        <v>87</v>
      </c>
      <c r="G2678" t="s">
        <v>83</v>
      </c>
      <c r="H2678">
        <v>1.6666666666666665</v>
      </c>
      <c r="L2678" t="s">
        <v>1560</v>
      </c>
      <c r="M2678" t="s">
        <v>71</v>
      </c>
      <c r="N2678" t="s">
        <v>72</v>
      </c>
    </row>
    <row r="2679" spans="1:14" x14ac:dyDescent="0.25">
      <c r="A2679" t="s">
        <v>1560</v>
      </c>
      <c r="B2679" s="4" t="s">
        <v>9</v>
      </c>
      <c r="C2679" s="4" t="s">
        <v>73</v>
      </c>
      <c r="D2679" s="4">
        <v>46140</v>
      </c>
      <c r="E2679" s="5">
        <v>0.32807870370370373</v>
      </c>
      <c r="F2679" t="s">
        <v>87</v>
      </c>
      <c r="G2679" t="s">
        <v>83</v>
      </c>
      <c r="H2679">
        <v>6</v>
      </c>
      <c r="M2679" t="s">
        <v>84</v>
      </c>
      <c r="N2679" t="s">
        <v>72</v>
      </c>
    </row>
    <row r="2680" spans="1:14" x14ac:dyDescent="0.25">
      <c r="A2680" t="s">
        <v>1560</v>
      </c>
      <c r="B2680" s="4" t="s">
        <v>9</v>
      </c>
      <c r="C2680" s="4" t="s">
        <v>73</v>
      </c>
      <c r="D2680" s="4">
        <v>46140</v>
      </c>
      <c r="E2680" s="5">
        <v>0.32807870370370373</v>
      </c>
      <c r="F2680" t="s">
        <v>87</v>
      </c>
      <c r="G2680" t="s">
        <v>83</v>
      </c>
      <c r="H2680">
        <v>5.916666666666667</v>
      </c>
      <c r="M2680" t="s">
        <v>84</v>
      </c>
      <c r="N2680" t="s">
        <v>72</v>
      </c>
    </row>
    <row r="2681" spans="1:14" x14ac:dyDescent="0.25">
      <c r="A2681" t="s">
        <v>1560</v>
      </c>
      <c r="B2681" s="4" t="s">
        <v>9</v>
      </c>
      <c r="C2681" s="4" t="s">
        <v>73</v>
      </c>
      <c r="D2681" s="4">
        <v>46140</v>
      </c>
      <c r="E2681" s="5">
        <v>0.32821759259259259</v>
      </c>
      <c r="F2681" t="s">
        <v>87</v>
      </c>
      <c r="G2681" t="s">
        <v>83</v>
      </c>
      <c r="H2681">
        <v>5.333333333333333</v>
      </c>
      <c r="M2681" t="s">
        <v>76</v>
      </c>
      <c r="N2681" t="s">
        <v>72</v>
      </c>
    </row>
    <row r="2682" spans="1:14" x14ac:dyDescent="0.25">
      <c r="A2682" t="s">
        <v>1563</v>
      </c>
      <c r="B2682" s="4" t="s">
        <v>9</v>
      </c>
      <c r="C2682" s="4" t="s">
        <v>70</v>
      </c>
      <c r="D2682" s="4">
        <v>46140</v>
      </c>
      <c r="E2682" s="5">
        <v>0.32900462962962962</v>
      </c>
      <c r="F2682" t="s">
        <v>87</v>
      </c>
      <c r="G2682" t="s">
        <v>83</v>
      </c>
      <c r="H2682">
        <v>1</v>
      </c>
      <c r="L2682" t="s">
        <v>1564</v>
      </c>
      <c r="M2682" t="s">
        <v>71</v>
      </c>
      <c r="N2682" t="s">
        <v>72</v>
      </c>
    </row>
    <row r="2683" spans="1:14" x14ac:dyDescent="0.25">
      <c r="A2683" t="s">
        <v>1564</v>
      </c>
      <c r="B2683" s="4" t="s">
        <v>9</v>
      </c>
      <c r="C2683" s="4" t="s">
        <v>73</v>
      </c>
      <c r="D2683" s="4">
        <v>46140</v>
      </c>
      <c r="E2683" s="5">
        <v>0.32900462962962962</v>
      </c>
      <c r="F2683" t="s">
        <v>87</v>
      </c>
      <c r="G2683" t="s">
        <v>83</v>
      </c>
      <c r="H2683">
        <v>5.5</v>
      </c>
      <c r="M2683" t="s">
        <v>84</v>
      </c>
      <c r="N2683" t="s">
        <v>72</v>
      </c>
    </row>
    <row r="2684" spans="1:14" x14ac:dyDescent="0.25">
      <c r="A2684" t="s">
        <v>1564</v>
      </c>
      <c r="B2684" s="4" t="s">
        <v>9</v>
      </c>
      <c r="C2684" s="4" t="s">
        <v>73</v>
      </c>
      <c r="D2684" s="4">
        <v>46140</v>
      </c>
      <c r="E2684" s="5">
        <v>0.32924768518518516</v>
      </c>
      <c r="F2684" t="s">
        <v>87</v>
      </c>
      <c r="G2684" t="s">
        <v>83</v>
      </c>
      <c r="H2684">
        <v>0.5</v>
      </c>
      <c r="M2684" t="s">
        <v>84</v>
      </c>
      <c r="N2684" t="s">
        <v>72</v>
      </c>
    </row>
    <row r="2685" spans="1:14" x14ac:dyDescent="0.25">
      <c r="A2685" t="s">
        <v>1564</v>
      </c>
      <c r="B2685" s="4" t="s">
        <v>9</v>
      </c>
      <c r="C2685" s="4" t="s">
        <v>73</v>
      </c>
      <c r="D2685" s="4">
        <v>46140</v>
      </c>
      <c r="E2685" s="5">
        <v>0.32924768518518516</v>
      </c>
      <c r="F2685" t="s">
        <v>87</v>
      </c>
      <c r="G2685" t="s">
        <v>83</v>
      </c>
      <c r="H2685">
        <v>0</v>
      </c>
      <c r="M2685" t="s">
        <v>84</v>
      </c>
      <c r="N2685" t="s">
        <v>72</v>
      </c>
    </row>
    <row r="2686" spans="1:14" x14ac:dyDescent="0.25">
      <c r="A2686" t="s">
        <v>128</v>
      </c>
      <c r="B2686" s="4" t="s">
        <v>92</v>
      </c>
      <c r="C2686" s="4" t="s">
        <v>73</v>
      </c>
      <c r="D2686" s="4">
        <v>46139</v>
      </c>
      <c r="E2686" s="5">
        <v>0.26349537037037035</v>
      </c>
      <c r="F2686">
        <v>1</v>
      </c>
      <c r="G2686" t="s">
        <v>129</v>
      </c>
      <c r="H2686">
        <v>107.33333333333333</v>
      </c>
      <c r="M2686" t="s">
        <v>92</v>
      </c>
      <c r="N2686" t="s">
        <v>75</v>
      </c>
    </row>
    <row r="2687" spans="1:14" x14ac:dyDescent="0.25">
      <c r="A2687" t="s">
        <v>146</v>
      </c>
      <c r="B2687" s="4" t="s">
        <v>92</v>
      </c>
      <c r="C2687" s="4" t="s">
        <v>73</v>
      </c>
      <c r="D2687" s="4">
        <v>46139</v>
      </c>
      <c r="E2687" s="5">
        <v>0.26863425925925927</v>
      </c>
      <c r="F2687">
        <v>1</v>
      </c>
      <c r="G2687" t="s">
        <v>129</v>
      </c>
      <c r="H2687">
        <v>258.33333333333331</v>
      </c>
      <c r="M2687" t="s">
        <v>92</v>
      </c>
      <c r="N2687" t="s">
        <v>75</v>
      </c>
    </row>
    <row r="2688" spans="1:14" x14ac:dyDescent="0.25">
      <c r="A2688" t="s">
        <v>157</v>
      </c>
      <c r="B2688" s="4" t="s">
        <v>92</v>
      </c>
      <c r="C2688" s="4" t="s">
        <v>73</v>
      </c>
      <c r="D2688" s="4">
        <v>46139</v>
      </c>
      <c r="E2688" s="5">
        <v>0.27048611111111109</v>
      </c>
      <c r="F2688">
        <v>1</v>
      </c>
      <c r="G2688" t="s">
        <v>129</v>
      </c>
      <c r="H2688">
        <v>41.083333333333329</v>
      </c>
      <c r="M2688" t="s">
        <v>92</v>
      </c>
      <c r="N2688" t="s">
        <v>72</v>
      </c>
    </row>
    <row r="2689" spans="1:22" x14ac:dyDescent="0.25">
      <c r="A2689" t="s">
        <v>167</v>
      </c>
      <c r="B2689" s="4" t="s">
        <v>92</v>
      </c>
      <c r="C2689" s="4" t="s">
        <v>73</v>
      </c>
      <c r="D2689" s="4">
        <v>46139</v>
      </c>
      <c r="E2689" s="5">
        <v>0.27446759259259257</v>
      </c>
      <c r="F2689">
        <v>1</v>
      </c>
      <c r="G2689" t="s">
        <v>129</v>
      </c>
      <c r="H2689">
        <v>335.16666666666663</v>
      </c>
      <c r="L2689" t="s">
        <v>168</v>
      </c>
      <c r="M2689" t="s">
        <v>92</v>
      </c>
      <c r="N2689" t="s">
        <v>75</v>
      </c>
    </row>
    <row r="2690" spans="1:22" x14ac:dyDescent="0.25">
      <c r="A2690" t="s">
        <v>168</v>
      </c>
      <c r="B2690" s="4" t="s">
        <v>92</v>
      </c>
      <c r="C2690" s="4" t="s">
        <v>73</v>
      </c>
      <c r="D2690" s="4">
        <v>46139</v>
      </c>
      <c r="E2690" s="5">
        <v>0.27606481481481482</v>
      </c>
      <c r="F2690">
        <v>1</v>
      </c>
      <c r="G2690" t="s">
        <v>129</v>
      </c>
      <c r="H2690">
        <v>61.833333333333329</v>
      </c>
      <c r="M2690" t="s">
        <v>92</v>
      </c>
      <c r="N2690" t="s">
        <v>75</v>
      </c>
    </row>
    <row r="2691" spans="1:22" x14ac:dyDescent="0.25">
      <c r="A2691" t="s">
        <v>240</v>
      </c>
      <c r="B2691" s="4" t="s">
        <v>92</v>
      </c>
      <c r="C2691" s="4" t="s">
        <v>73</v>
      </c>
      <c r="D2691" s="4">
        <v>46139</v>
      </c>
      <c r="E2691" s="5">
        <v>0.2976388888888889</v>
      </c>
      <c r="F2691">
        <v>1</v>
      </c>
      <c r="G2691" t="s">
        <v>129</v>
      </c>
      <c r="H2691">
        <v>19.583333333333332</v>
      </c>
      <c r="M2691" t="s">
        <v>92</v>
      </c>
      <c r="N2691" t="s">
        <v>81</v>
      </c>
    </row>
    <row r="2692" spans="1:22" x14ac:dyDescent="0.25">
      <c r="A2692" t="s">
        <v>253</v>
      </c>
      <c r="B2692" s="4" t="s">
        <v>92</v>
      </c>
      <c r="C2692" s="4" t="s">
        <v>73</v>
      </c>
      <c r="D2692" s="4">
        <v>46139</v>
      </c>
      <c r="E2692" s="5">
        <v>0.30179398148148145</v>
      </c>
      <c r="F2692">
        <v>1</v>
      </c>
      <c r="G2692" t="s">
        <v>129</v>
      </c>
      <c r="H2692">
        <v>120</v>
      </c>
      <c r="L2692" t="s">
        <v>254</v>
      </c>
      <c r="M2692" t="s">
        <v>92</v>
      </c>
      <c r="N2692" t="s">
        <v>72</v>
      </c>
    </row>
    <row r="2693" spans="1:22" x14ac:dyDescent="0.25">
      <c r="A2693" t="s">
        <v>276</v>
      </c>
      <c r="B2693" s="4" t="s">
        <v>92</v>
      </c>
      <c r="C2693" s="4" t="s">
        <v>73</v>
      </c>
      <c r="D2693" s="4">
        <v>46139</v>
      </c>
      <c r="E2693" s="5">
        <v>0.30942129629629628</v>
      </c>
      <c r="F2693">
        <v>1</v>
      </c>
      <c r="G2693" t="s">
        <v>129</v>
      </c>
      <c r="H2693">
        <v>40.083333333333336</v>
      </c>
      <c r="L2693" t="s">
        <v>277</v>
      </c>
      <c r="M2693" t="s">
        <v>92</v>
      </c>
      <c r="N2693" t="s">
        <v>80</v>
      </c>
    </row>
    <row r="2694" spans="1:22" x14ac:dyDescent="0.25">
      <c r="A2694" t="s">
        <v>276</v>
      </c>
      <c r="B2694" s="4" t="s">
        <v>92</v>
      </c>
      <c r="C2694" s="4" t="s">
        <v>73</v>
      </c>
      <c r="D2694" s="4">
        <v>46139</v>
      </c>
      <c r="E2694" s="5">
        <v>0.3096875</v>
      </c>
      <c r="F2694">
        <v>1</v>
      </c>
      <c r="G2694" t="s">
        <v>129</v>
      </c>
      <c r="H2694">
        <v>40.083333333333336</v>
      </c>
      <c r="L2694" t="s">
        <v>277</v>
      </c>
      <c r="M2694" t="s">
        <v>92</v>
      </c>
      <c r="N2694" t="s">
        <v>80</v>
      </c>
    </row>
    <row r="2695" spans="1:22" x14ac:dyDescent="0.25">
      <c r="A2695" t="s">
        <v>288</v>
      </c>
      <c r="B2695" s="4" t="s">
        <v>92</v>
      </c>
      <c r="C2695" s="4" t="s">
        <v>73</v>
      </c>
      <c r="D2695" s="4">
        <v>46139</v>
      </c>
      <c r="E2695" s="5">
        <v>0.3128009259259259</v>
      </c>
      <c r="F2695">
        <v>1</v>
      </c>
      <c r="G2695" t="s">
        <v>129</v>
      </c>
      <c r="H2695">
        <v>128</v>
      </c>
      <c r="L2695" t="s">
        <v>289</v>
      </c>
      <c r="M2695" t="s">
        <v>92</v>
      </c>
      <c r="N2695" t="s">
        <v>78</v>
      </c>
    </row>
    <row r="2696" spans="1:22" x14ac:dyDescent="0.25">
      <c r="A2696" t="s">
        <v>302</v>
      </c>
      <c r="B2696" s="4" t="s">
        <v>92</v>
      </c>
      <c r="C2696" s="4" t="s">
        <v>73</v>
      </c>
      <c r="D2696" s="4">
        <v>46139</v>
      </c>
      <c r="E2696" s="5">
        <v>0.31736111111111109</v>
      </c>
      <c r="F2696">
        <v>1</v>
      </c>
      <c r="G2696" t="s">
        <v>129</v>
      </c>
      <c r="H2696">
        <v>120.16666666666667</v>
      </c>
      <c r="M2696" t="s">
        <v>92</v>
      </c>
      <c r="N2696" t="s">
        <v>75</v>
      </c>
    </row>
    <row r="2697" spans="1:22" x14ac:dyDescent="0.25">
      <c r="A2697" t="s">
        <v>305</v>
      </c>
      <c r="B2697" s="4" t="s">
        <v>92</v>
      </c>
      <c r="C2697" s="4" t="s">
        <v>73</v>
      </c>
      <c r="D2697" s="4">
        <v>46139</v>
      </c>
      <c r="E2697" s="5">
        <v>0.31797453703703704</v>
      </c>
      <c r="F2697">
        <v>1</v>
      </c>
      <c r="G2697" t="s">
        <v>129</v>
      </c>
      <c r="H2697">
        <v>13.5</v>
      </c>
      <c r="M2697" t="s">
        <v>92</v>
      </c>
      <c r="N2697" t="s">
        <v>75</v>
      </c>
    </row>
    <row r="2698" spans="1:22" x14ac:dyDescent="0.25">
      <c r="A2698" t="s">
        <v>322</v>
      </c>
      <c r="B2698" s="4" t="s">
        <v>92</v>
      </c>
      <c r="C2698" s="4" t="s">
        <v>70</v>
      </c>
      <c r="D2698" s="4">
        <v>46139</v>
      </c>
      <c r="E2698" s="5">
        <v>0.32291666666666669</v>
      </c>
      <c r="F2698">
        <v>1</v>
      </c>
      <c r="G2698" t="s">
        <v>129</v>
      </c>
      <c r="H2698">
        <v>11.083333333333334</v>
      </c>
      <c r="L2698" t="s">
        <v>323</v>
      </c>
      <c r="M2698" t="s">
        <v>92</v>
      </c>
      <c r="N2698" t="s">
        <v>75</v>
      </c>
      <c r="O2698">
        <v>1</v>
      </c>
      <c r="S2698">
        <v>1</v>
      </c>
      <c r="V2698">
        <v>110.66666666666666</v>
      </c>
    </row>
    <row r="2699" spans="1:22" x14ac:dyDescent="0.25">
      <c r="A2699" t="s">
        <v>323</v>
      </c>
      <c r="B2699" s="4" t="s">
        <v>92</v>
      </c>
      <c r="C2699" s="4" t="s">
        <v>73</v>
      </c>
      <c r="D2699" s="4">
        <v>46139</v>
      </c>
      <c r="E2699" s="5">
        <v>0.32291666666666669</v>
      </c>
      <c r="F2699">
        <v>1</v>
      </c>
      <c r="G2699" t="s">
        <v>129</v>
      </c>
      <c r="H2699">
        <v>110.66666666666666</v>
      </c>
      <c r="M2699" t="s">
        <v>92</v>
      </c>
      <c r="N2699" t="s">
        <v>75</v>
      </c>
    </row>
    <row r="2700" spans="1:22" x14ac:dyDescent="0.25">
      <c r="A2700" t="s">
        <v>323</v>
      </c>
      <c r="B2700" s="4" t="s">
        <v>92</v>
      </c>
      <c r="C2700" s="4" t="s">
        <v>73</v>
      </c>
      <c r="D2700" s="4">
        <v>46139</v>
      </c>
      <c r="E2700" s="5">
        <v>0.32351851851851854</v>
      </c>
      <c r="F2700">
        <v>1</v>
      </c>
      <c r="G2700" t="s">
        <v>129</v>
      </c>
      <c r="H2700">
        <v>110.66666666666666</v>
      </c>
      <c r="M2700" t="s">
        <v>92</v>
      </c>
      <c r="N2700" t="s">
        <v>75</v>
      </c>
    </row>
    <row r="2701" spans="1:22" x14ac:dyDescent="0.25">
      <c r="A2701" t="s">
        <v>347</v>
      </c>
      <c r="B2701" s="4" t="s">
        <v>92</v>
      </c>
      <c r="C2701" s="4" t="s">
        <v>73</v>
      </c>
      <c r="D2701" s="4">
        <v>46139</v>
      </c>
      <c r="E2701" s="5">
        <v>0.32760416666666664</v>
      </c>
      <c r="F2701">
        <v>1</v>
      </c>
      <c r="G2701" t="s">
        <v>129</v>
      </c>
      <c r="H2701">
        <v>22.5</v>
      </c>
      <c r="M2701" t="s">
        <v>92</v>
      </c>
      <c r="N2701" t="s">
        <v>77</v>
      </c>
    </row>
    <row r="2702" spans="1:22" x14ac:dyDescent="0.25">
      <c r="A2702" t="s">
        <v>367</v>
      </c>
      <c r="B2702" s="4" t="s">
        <v>92</v>
      </c>
      <c r="C2702" s="4" t="s">
        <v>73</v>
      </c>
      <c r="D2702" s="4">
        <v>46139</v>
      </c>
      <c r="E2702" s="5">
        <v>0.34531250000000002</v>
      </c>
      <c r="F2702">
        <v>1</v>
      </c>
      <c r="G2702" t="s">
        <v>129</v>
      </c>
      <c r="H2702">
        <v>58.5</v>
      </c>
      <c r="M2702" t="s">
        <v>92</v>
      </c>
      <c r="N2702" t="s">
        <v>75</v>
      </c>
    </row>
    <row r="2703" spans="1:22" x14ac:dyDescent="0.25">
      <c r="A2703" t="s">
        <v>380</v>
      </c>
      <c r="B2703" s="4" t="s">
        <v>92</v>
      </c>
      <c r="C2703" s="4" t="s">
        <v>73</v>
      </c>
      <c r="D2703" s="4">
        <v>46139</v>
      </c>
      <c r="E2703" s="5">
        <v>0.34850694444444441</v>
      </c>
      <c r="F2703">
        <v>1</v>
      </c>
      <c r="G2703" t="s">
        <v>129</v>
      </c>
      <c r="H2703">
        <v>51.166666666666664</v>
      </c>
      <c r="M2703" t="s">
        <v>92</v>
      </c>
      <c r="N2703" t="s">
        <v>75</v>
      </c>
    </row>
    <row r="2704" spans="1:22" x14ac:dyDescent="0.25">
      <c r="A2704" t="s">
        <v>395</v>
      </c>
      <c r="B2704" s="4" t="s">
        <v>92</v>
      </c>
      <c r="C2704" s="4" t="s">
        <v>73</v>
      </c>
      <c r="D2704" s="4">
        <v>46139</v>
      </c>
      <c r="E2704" s="5">
        <v>0.35251157407407407</v>
      </c>
      <c r="F2704">
        <v>1</v>
      </c>
      <c r="G2704" t="s">
        <v>129</v>
      </c>
      <c r="H2704">
        <v>59</v>
      </c>
      <c r="M2704" t="s">
        <v>92</v>
      </c>
      <c r="N2704" t="s">
        <v>72</v>
      </c>
    </row>
    <row r="2705" spans="1:22" x14ac:dyDescent="0.25">
      <c r="A2705" t="s">
        <v>421</v>
      </c>
      <c r="B2705" s="4" t="s">
        <v>92</v>
      </c>
      <c r="C2705" s="4" t="s">
        <v>73</v>
      </c>
      <c r="D2705" s="4">
        <v>46139</v>
      </c>
      <c r="E2705" s="5">
        <v>0.35809027777777774</v>
      </c>
      <c r="F2705">
        <v>1</v>
      </c>
      <c r="G2705" t="s">
        <v>129</v>
      </c>
      <c r="H2705">
        <v>26.916666666666668</v>
      </c>
      <c r="M2705" t="s">
        <v>92</v>
      </c>
      <c r="N2705" t="s">
        <v>77</v>
      </c>
    </row>
    <row r="2706" spans="1:22" x14ac:dyDescent="0.25">
      <c r="A2706" t="s">
        <v>433</v>
      </c>
      <c r="B2706" s="4" t="s">
        <v>92</v>
      </c>
      <c r="C2706" s="4" t="s">
        <v>73</v>
      </c>
      <c r="D2706" s="4">
        <v>46139</v>
      </c>
      <c r="E2706" s="5">
        <v>0.36127314814814815</v>
      </c>
      <c r="F2706">
        <v>1</v>
      </c>
      <c r="G2706" t="s">
        <v>129</v>
      </c>
      <c r="H2706">
        <v>39.416666666666664</v>
      </c>
      <c r="M2706" t="s">
        <v>92</v>
      </c>
      <c r="N2706" t="s">
        <v>77</v>
      </c>
    </row>
    <row r="2707" spans="1:22" x14ac:dyDescent="0.25">
      <c r="A2707" t="s">
        <v>453</v>
      </c>
      <c r="B2707" s="4" t="s">
        <v>92</v>
      </c>
      <c r="C2707" s="4" t="s">
        <v>70</v>
      </c>
      <c r="D2707" s="4">
        <v>46139</v>
      </c>
      <c r="E2707" s="5">
        <v>0.36633101851851846</v>
      </c>
      <c r="F2707">
        <v>1</v>
      </c>
      <c r="G2707" t="s">
        <v>129</v>
      </c>
      <c r="H2707">
        <v>24.666666666666664</v>
      </c>
      <c r="L2707" t="s">
        <v>454</v>
      </c>
      <c r="M2707" t="s">
        <v>92</v>
      </c>
      <c r="N2707" t="s">
        <v>72</v>
      </c>
      <c r="O2707">
        <v>1</v>
      </c>
      <c r="S2707">
        <v>1</v>
      </c>
      <c r="V2707">
        <v>52.833333333333336</v>
      </c>
    </row>
    <row r="2708" spans="1:22" x14ac:dyDescent="0.25">
      <c r="A2708" t="s">
        <v>454</v>
      </c>
      <c r="B2708" s="4" t="s">
        <v>92</v>
      </c>
      <c r="C2708" s="4" t="s">
        <v>73</v>
      </c>
      <c r="D2708" s="4">
        <v>46139</v>
      </c>
      <c r="E2708" s="5">
        <v>0.36633101851851846</v>
      </c>
      <c r="F2708">
        <v>1</v>
      </c>
      <c r="G2708" t="s">
        <v>129</v>
      </c>
      <c r="H2708">
        <v>52.833333333333336</v>
      </c>
      <c r="M2708" t="s">
        <v>92</v>
      </c>
      <c r="N2708" t="s">
        <v>72</v>
      </c>
    </row>
    <row r="2709" spans="1:22" x14ac:dyDescent="0.25">
      <c r="A2709" t="s">
        <v>454</v>
      </c>
      <c r="B2709" s="4" t="s">
        <v>92</v>
      </c>
      <c r="C2709" s="4" t="s">
        <v>73</v>
      </c>
      <c r="D2709" s="4">
        <v>46139</v>
      </c>
      <c r="E2709" s="5">
        <v>0.36699074074074073</v>
      </c>
      <c r="F2709">
        <v>1</v>
      </c>
      <c r="G2709" t="s">
        <v>129</v>
      </c>
      <c r="H2709">
        <v>52.833333333333336</v>
      </c>
      <c r="M2709" t="s">
        <v>92</v>
      </c>
      <c r="N2709" t="s">
        <v>72</v>
      </c>
    </row>
    <row r="2710" spans="1:22" x14ac:dyDescent="0.25">
      <c r="A2710" t="s">
        <v>469</v>
      </c>
      <c r="B2710" s="4" t="s">
        <v>92</v>
      </c>
      <c r="C2710" s="4" t="s">
        <v>73</v>
      </c>
      <c r="D2710" s="4">
        <v>46139</v>
      </c>
      <c r="E2710" s="5">
        <v>0.37119212962962961</v>
      </c>
      <c r="F2710">
        <v>1</v>
      </c>
      <c r="G2710" t="s">
        <v>129</v>
      </c>
      <c r="H2710">
        <v>93.083333333333329</v>
      </c>
      <c r="M2710" t="s">
        <v>92</v>
      </c>
      <c r="N2710" t="s">
        <v>77</v>
      </c>
    </row>
    <row r="2711" spans="1:22" x14ac:dyDescent="0.25">
      <c r="A2711" t="s">
        <v>489</v>
      </c>
      <c r="B2711" s="4" t="s">
        <v>92</v>
      </c>
      <c r="C2711" s="4" t="s">
        <v>73</v>
      </c>
      <c r="D2711" s="4">
        <v>46139</v>
      </c>
      <c r="E2711" s="5">
        <v>0.37614583333333329</v>
      </c>
      <c r="F2711">
        <v>1</v>
      </c>
      <c r="G2711" t="s">
        <v>129</v>
      </c>
      <c r="H2711">
        <v>16</v>
      </c>
      <c r="M2711" t="s">
        <v>92</v>
      </c>
      <c r="N2711" t="s">
        <v>75</v>
      </c>
    </row>
    <row r="2712" spans="1:22" x14ac:dyDescent="0.25">
      <c r="A2712" t="s">
        <v>520</v>
      </c>
      <c r="B2712" s="4" t="s">
        <v>92</v>
      </c>
      <c r="C2712" s="4" t="s">
        <v>70</v>
      </c>
      <c r="D2712" s="4">
        <v>46139</v>
      </c>
      <c r="E2712" s="5">
        <v>0.38694444444444442</v>
      </c>
      <c r="F2712">
        <v>1</v>
      </c>
      <c r="G2712" t="s">
        <v>129</v>
      </c>
      <c r="H2712">
        <v>8.5</v>
      </c>
      <c r="L2712" t="s">
        <v>521</v>
      </c>
      <c r="M2712" t="s">
        <v>92</v>
      </c>
      <c r="N2712" t="s">
        <v>78</v>
      </c>
      <c r="O2712">
        <v>1</v>
      </c>
    </row>
    <row r="2713" spans="1:22" x14ac:dyDescent="0.25">
      <c r="A2713" t="s">
        <v>521</v>
      </c>
      <c r="B2713" s="4" t="s">
        <v>92</v>
      </c>
      <c r="C2713" s="4" t="s">
        <v>73</v>
      </c>
      <c r="D2713" s="4">
        <v>46139</v>
      </c>
      <c r="E2713" s="5">
        <v>0.38694444444444442</v>
      </c>
      <c r="F2713">
        <v>1</v>
      </c>
      <c r="G2713" t="s">
        <v>129</v>
      </c>
      <c r="H2713">
        <v>361.08333333333331</v>
      </c>
      <c r="M2713" t="s">
        <v>92</v>
      </c>
      <c r="N2713" t="s">
        <v>78</v>
      </c>
    </row>
    <row r="2714" spans="1:22" x14ac:dyDescent="0.25">
      <c r="A2714" t="s">
        <v>529</v>
      </c>
      <c r="B2714" s="4" t="s">
        <v>92</v>
      </c>
      <c r="C2714" s="4" t="s">
        <v>70</v>
      </c>
      <c r="D2714" s="4">
        <v>46139</v>
      </c>
      <c r="E2714" s="5">
        <v>0.38858796296296294</v>
      </c>
      <c r="F2714">
        <v>1</v>
      </c>
      <c r="G2714" t="s">
        <v>129</v>
      </c>
      <c r="H2714">
        <v>54</v>
      </c>
      <c r="L2714" t="s">
        <v>521</v>
      </c>
      <c r="M2714" t="s">
        <v>92</v>
      </c>
      <c r="N2714" t="s">
        <v>78</v>
      </c>
      <c r="P2714">
        <v>1</v>
      </c>
    </row>
    <row r="2715" spans="1:22" x14ac:dyDescent="0.25">
      <c r="A2715" t="s">
        <v>521</v>
      </c>
      <c r="B2715" s="4" t="s">
        <v>92</v>
      </c>
      <c r="C2715" s="4" t="s">
        <v>73</v>
      </c>
      <c r="D2715" s="4">
        <v>46139</v>
      </c>
      <c r="E2715" s="5">
        <v>0.38858796296296294</v>
      </c>
      <c r="F2715">
        <v>1</v>
      </c>
      <c r="G2715" t="s">
        <v>129</v>
      </c>
      <c r="H2715">
        <v>307.08333333333331</v>
      </c>
      <c r="M2715" t="s">
        <v>92</v>
      </c>
      <c r="N2715" t="s">
        <v>78</v>
      </c>
    </row>
    <row r="2716" spans="1:22" x14ac:dyDescent="0.25">
      <c r="A2716" t="s">
        <v>534</v>
      </c>
      <c r="B2716" s="4" t="s">
        <v>92</v>
      </c>
      <c r="C2716" s="4" t="s">
        <v>70</v>
      </c>
      <c r="D2716" s="4">
        <v>46139</v>
      </c>
      <c r="E2716" s="5">
        <v>0.38974537037037033</v>
      </c>
      <c r="F2716">
        <v>1</v>
      </c>
      <c r="G2716" t="s">
        <v>129</v>
      </c>
      <c r="H2716">
        <v>95.25</v>
      </c>
      <c r="L2716" t="s">
        <v>521</v>
      </c>
      <c r="M2716" t="s">
        <v>92</v>
      </c>
      <c r="N2716" t="s">
        <v>78</v>
      </c>
      <c r="P2716">
        <v>1</v>
      </c>
    </row>
    <row r="2717" spans="1:22" x14ac:dyDescent="0.25">
      <c r="A2717" t="s">
        <v>521</v>
      </c>
      <c r="B2717" s="4" t="s">
        <v>92</v>
      </c>
      <c r="C2717" s="4" t="s">
        <v>73</v>
      </c>
      <c r="D2717" s="4">
        <v>46139</v>
      </c>
      <c r="E2717" s="5">
        <v>0.38974537037037033</v>
      </c>
      <c r="F2717">
        <v>1</v>
      </c>
      <c r="G2717" t="s">
        <v>129</v>
      </c>
      <c r="H2717">
        <v>211.83333333333331</v>
      </c>
      <c r="M2717" t="s">
        <v>92</v>
      </c>
      <c r="N2717" t="s">
        <v>78</v>
      </c>
    </row>
    <row r="2718" spans="1:22" x14ac:dyDescent="0.25">
      <c r="A2718" t="s">
        <v>542</v>
      </c>
      <c r="B2718" s="4" t="s">
        <v>92</v>
      </c>
      <c r="C2718" s="4" t="s">
        <v>70</v>
      </c>
      <c r="D2718" s="4">
        <v>46139</v>
      </c>
      <c r="E2718" s="5">
        <v>0.39143518518518516</v>
      </c>
      <c r="F2718">
        <v>1</v>
      </c>
      <c r="G2718" t="s">
        <v>129</v>
      </c>
      <c r="H2718">
        <v>121.5</v>
      </c>
      <c r="L2718" t="s">
        <v>521</v>
      </c>
      <c r="M2718" t="s">
        <v>92</v>
      </c>
      <c r="N2718" t="s">
        <v>78</v>
      </c>
      <c r="P2718">
        <v>1</v>
      </c>
      <c r="S2718">
        <v>1</v>
      </c>
      <c r="V2718">
        <v>90.333333333333329</v>
      </c>
    </row>
    <row r="2719" spans="1:22" x14ac:dyDescent="0.25">
      <c r="A2719" t="s">
        <v>521</v>
      </c>
      <c r="B2719" s="4" t="s">
        <v>92</v>
      </c>
      <c r="C2719" s="4" t="s">
        <v>73</v>
      </c>
      <c r="D2719" s="4">
        <v>46139</v>
      </c>
      <c r="E2719" s="5">
        <v>0.39143518518518516</v>
      </c>
      <c r="F2719">
        <v>1</v>
      </c>
      <c r="G2719" t="s">
        <v>129</v>
      </c>
      <c r="H2719">
        <v>90.333333333333329</v>
      </c>
      <c r="M2719" t="s">
        <v>92</v>
      </c>
      <c r="N2719" t="s">
        <v>78</v>
      </c>
    </row>
    <row r="2720" spans="1:22" x14ac:dyDescent="0.25">
      <c r="A2720" t="s">
        <v>521</v>
      </c>
      <c r="B2720" s="4" t="s">
        <v>92</v>
      </c>
      <c r="C2720" s="4" t="s">
        <v>73</v>
      </c>
      <c r="D2720" s="4">
        <v>46139</v>
      </c>
      <c r="E2720" s="5">
        <v>0.39258101851851851</v>
      </c>
      <c r="F2720">
        <v>1</v>
      </c>
      <c r="G2720" t="s">
        <v>129</v>
      </c>
      <c r="H2720">
        <v>90.333333333333329</v>
      </c>
      <c r="M2720" t="s">
        <v>92</v>
      </c>
      <c r="N2720" t="s">
        <v>78</v>
      </c>
    </row>
    <row r="2721" spans="1:22" x14ac:dyDescent="0.25">
      <c r="A2721" t="s">
        <v>553</v>
      </c>
      <c r="B2721" s="4" t="s">
        <v>92</v>
      </c>
      <c r="C2721" s="4" t="s">
        <v>70</v>
      </c>
      <c r="D2721" s="4">
        <v>46139</v>
      </c>
      <c r="E2721" s="5">
        <v>0.39427083333333335</v>
      </c>
      <c r="F2721">
        <v>1</v>
      </c>
      <c r="G2721" t="s">
        <v>129</v>
      </c>
      <c r="H2721">
        <v>6</v>
      </c>
      <c r="L2721" t="s">
        <v>554</v>
      </c>
      <c r="M2721" t="s">
        <v>92</v>
      </c>
      <c r="N2721" t="s">
        <v>75</v>
      </c>
      <c r="O2721">
        <v>1</v>
      </c>
    </row>
    <row r="2722" spans="1:22" x14ac:dyDescent="0.25">
      <c r="A2722" t="s">
        <v>554</v>
      </c>
      <c r="B2722" s="4" t="s">
        <v>92</v>
      </c>
      <c r="C2722" s="4" t="s">
        <v>73</v>
      </c>
      <c r="D2722" s="4">
        <v>46139</v>
      </c>
      <c r="E2722" s="5">
        <v>0.39427083333333335</v>
      </c>
      <c r="F2722">
        <v>1</v>
      </c>
      <c r="G2722" t="s">
        <v>129</v>
      </c>
      <c r="H2722">
        <v>76.166666666666657</v>
      </c>
      <c r="M2722" t="s">
        <v>92</v>
      </c>
      <c r="N2722" t="s">
        <v>75</v>
      </c>
    </row>
    <row r="2723" spans="1:22" x14ac:dyDescent="0.25">
      <c r="A2723" t="s">
        <v>569</v>
      </c>
      <c r="B2723" s="4" t="s">
        <v>92</v>
      </c>
      <c r="C2723" s="4" t="s">
        <v>70</v>
      </c>
      <c r="D2723" s="4">
        <v>46139</v>
      </c>
      <c r="E2723" s="5">
        <v>0.39795138888888887</v>
      </c>
      <c r="F2723">
        <v>1</v>
      </c>
      <c r="G2723" t="s">
        <v>129</v>
      </c>
      <c r="H2723">
        <v>8.5</v>
      </c>
      <c r="L2723" t="s">
        <v>554</v>
      </c>
      <c r="M2723" t="s">
        <v>92</v>
      </c>
      <c r="N2723" t="s">
        <v>75</v>
      </c>
      <c r="P2723">
        <v>1</v>
      </c>
      <c r="S2723">
        <v>1</v>
      </c>
      <c r="V2723">
        <v>67.666666666666657</v>
      </c>
    </row>
    <row r="2724" spans="1:22" x14ac:dyDescent="0.25">
      <c r="A2724" t="s">
        <v>554</v>
      </c>
      <c r="B2724" s="4" t="s">
        <v>92</v>
      </c>
      <c r="C2724" s="4" t="s">
        <v>73</v>
      </c>
      <c r="D2724" s="4">
        <v>46139</v>
      </c>
      <c r="E2724" s="5">
        <v>0.39795138888888887</v>
      </c>
      <c r="F2724">
        <v>1</v>
      </c>
      <c r="G2724" t="s">
        <v>129</v>
      </c>
      <c r="H2724">
        <v>67.666666666666657</v>
      </c>
      <c r="M2724" t="s">
        <v>92</v>
      </c>
      <c r="N2724" t="s">
        <v>75</v>
      </c>
    </row>
    <row r="2725" spans="1:22" x14ac:dyDescent="0.25">
      <c r="A2725" t="s">
        <v>554</v>
      </c>
      <c r="B2725" s="4" t="s">
        <v>92</v>
      </c>
      <c r="C2725" s="4" t="s">
        <v>73</v>
      </c>
      <c r="D2725" s="4">
        <v>46139</v>
      </c>
      <c r="E2725" s="5">
        <v>0.40003472222222219</v>
      </c>
      <c r="F2725">
        <v>1</v>
      </c>
      <c r="G2725" t="s">
        <v>129</v>
      </c>
      <c r="H2725">
        <v>67.666666666666657</v>
      </c>
      <c r="M2725" t="s">
        <v>92</v>
      </c>
      <c r="N2725" t="s">
        <v>75</v>
      </c>
    </row>
    <row r="2726" spans="1:22" x14ac:dyDescent="0.25">
      <c r="A2726" t="s">
        <v>591</v>
      </c>
      <c r="B2726" s="4" t="s">
        <v>92</v>
      </c>
      <c r="C2726" s="4" t="s">
        <v>73</v>
      </c>
      <c r="D2726" s="4">
        <v>46139</v>
      </c>
      <c r="E2726" s="5">
        <v>0.40427083333333336</v>
      </c>
      <c r="F2726">
        <v>1</v>
      </c>
      <c r="G2726" t="s">
        <v>129</v>
      </c>
      <c r="H2726">
        <v>60.833333333333329</v>
      </c>
      <c r="M2726" t="s">
        <v>92</v>
      </c>
      <c r="N2726" t="s">
        <v>77</v>
      </c>
    </row>
    <row r="2727" spans="1:22" x14ac:dyDescent="0.25">
      <c r="A2727" t="s">
        <v>591</v>
      </c>
      <c r="B2727" s="4" t="s">
        <v>92</v>
      </c>
      <c r="C2727" s="4" t="s">
        <v>73</v>
      </c>
      <c r="D2727" s="4">
        <v>46139</v>
      </c>
      <c r="E2727" s="5">
        <v>0.40444444444444444</v>
      </c>
      <c r="F2727">
        <v>1</v>
      </c>
      <c r="G2727" t="s">
        <v>129</v>
      </c>
      <c r="H2727">
        <v>63.083333333333329</v>
      </c>
      <c r="M2727" t="s">
        <v>92</v>
      </c>
      <c r="N2727" t="s">
        <v>77</v>
      </c>
    </row>
    <row r="2728" spans="1:22" x14ac:dyDescent="0.25">
      <c r="A2728" t="s">
        <v>591</v>
      </c>
      <c r="B2728" s="4" t="s">
        <v>92</v>
      </c>
      <c r="C2728" s="4" t="s">
        <v>73</v>
      </c>
      <c r="D2728" s="4">
        <v>46139</v>
      </c>
      <c r="E2728" s="5">
        <v>0.4045717592592592</v>
      </c>
      <c r="F2728">
        <v>1</v>
      </c>
      <c r="G2728" t="s">
        <v>129</v>
      </c>
      <c r="H2728">
        <v>63.083333333333329</v>
      </c>
      <c r="M2728" t="s">
        <v>92</v>
      </c>
      <c r="N2728" t="s">
        <v>77</v>
      </c>
    </row>
    <row r="2729" spans="1:22" x14ac:dyDescent="0.25">
      <c r="A2729" t="s">
        <v>614</v>
      </c>
      <c r="B2729" s="4" t="s">
        <v>92</v>
      </c>
      <c r="C2729" s="4" t="s">
        <v>70</v>
      </c>
      <c r="D2729" s="4">
        <v>46139</v>
      </c>
      <c r="E2729" s="5">
        <v>0.43041666666666667</v>
      </c>
      <c r="F2729">
        <v>1</v>
      </c>
      <c r="G2729" t="s">
        <v>129</v>
      </c>
      <c r="H2729">
        <v>12.5</v>
      </c>
      <c r="L2729" t="s">
        <v>615</v>
      </c>
      <c r="M2729" t="s">
        <v>92</v>
      </c>
      <c r="N2729" t="s">
        <v>75</v>
      </c>
      <c r="O2729">
        <v>1</v>
      </c>
      <c r="R2729">
        <v>1</v>
      </c>
      <c r="S2729">
        <v>1</v>
      </c>
      <c r="V2729">
        <v>13.583333333333332</v>
      </c>
    </row>
    <row r="2730" spans="1:22" x14ac:dyDescent="0.25">
      <c r="A2730" t="s">
        <v>615</v>
      </c>
      <c r="B2730" s="4" t="s">
        <v>92</v>
      </c>
      <c r="C2730" s="4" t="s">
        <v>73</v>
      </c>
      <c r="D2730" s="4">
        <v>46139</v>
      </c>
      <c r="E2730" s="5">
        <v>0.43041666666666667</v>
      </c>
      <c r="F2730">
        <v>1</v>
      </c>
      <c r="G2730" t="s">
        <v>129</v>
      </c>
      <c r="H2730">
        <v>13.583333333333332</v>
      </c>
      <c r="M2730" t="s">
        <v>92</v>
      </c>
      <c r="N2730" t="s">
        <v>75</v>
      </c>
    </row>
    <row r="2731" spans="1:22" x14ac:dyDescent="0.25">
      <c r="A2731" t="s">
        <v>615</v>
      </c>
      <c r="B2731" s="4" t="s">
        <v>92</v>
      </c>
      <c r="C2731" s="4" t="s">
        <v>73</v>
      </c>
      <c r="D2731" s="4">
        <v>46139</v>
      </c>
      <c r="E2731" s="5">
        <v>0.43137731481481478</v>
      </c>
      <c r="F2731">
        <v>1</v>
      </c>
      <c r="G2731" t="s">
        <v>129</v>
      </c>
      <c r="H2731">
        <v>13.583333333333332</v>
      </c>
      <c r="M2731" t="s">
        <v>92</v>
      </c>
      <c r="N2731" t="s">
        <v>75</v>
      </c>
    </row>
    <row r="2732" spans="1:22" x14ac:dyDescent="0.25">
      <c r="A2732" t="s">
        <v>620</v>
      </c>
      <c r="B2732" s="4" t="s">
        <v>92</v>
      </c>
      <c r="C2732" s="4" t="s">
        <v>70</v>
      </c>
      <c r="D2732" s="4">
        <v>46139</v>
      </c>
      <c r="E2732" s="5">
        <v>0.43416666666666665</v>
      </c>
      <c r="F2732">
        <v>1</v>
      </c>
      <c r="G2732" t="s">
        <v>129</v>
      </c>
      <c r="H2732">
        <v>29.5</v>
      </c>
      <c r="L2732" t="s">
        <v>621</v>
      </c>
      <c r="M2732" t="s">
        <v>92</v>
      </c>
      <c r="N2732" t="s">
        <v>75</v>
      </c>
      <c r="O2732">
        <v>1</v>
      </c>
      <c r="S2732">
        <v>1</v>
      </c>
      <c r="V2732">
        <v>112.75</v>
      </c>
    </row>
    <row r="2733" spans="1:22" x14ac:dyDescent="0.25">
      <c r="A2733" t="s">
        <v>621</v>
      </c>
      <c r="B2733" s="4" t="s">
        <v>92</v>
      </c>
      <c r="C2733" s="4" t="s">
        <v>73</v>
      </c>
      <c r="D2733" s="4">
        <v>46139</v>
      </c>
      <c r="E2733" s="5">
        <v>0.43417824074074068</v>
      </c>
      <c r="F2733">
        <v>1</v>
      </c>
      <c r="G2733" t="s">
        <v>129</v>
      </c>
      <c r="H2733">
        <v>112.75</v>
      </c>
      <c r="M2733" t="s">
        <v>92</v>
      </c>
      <c r="N2733" t="s">
        <v>75</v>
      </c>
    </row>
    <row r="2734" spans="1:22" x14ac:dyDescent="0.25">
      <c r="A2734" t="s">
        <v>621</v>
      </c>
      <c r="B2734" s="4" t="s">
        <v>92</v>
      </c>
      <c r="C2734" s="4" t="s">
        <v>73</v>
      </c>
      <c r="D2734" s="4">
        <v>46139</v>
      </c>
      <c r="E2734" s="5">
        <v>0.43532407407407403</v>
      </c>
      <c r="F2734">
        <v>1</v>
      </c>
      <c r="G2734" t="s">
        <v>129</v>
      </c>
      <c r="H2734">
        <v>112.75</v>
      </c>
      <c r="M2734" t="s">
        <v>92</v>
      </c>
      <c r="N2734" t="s">
        <v>75</v>
      </c>
    </row>
    <row r="2735" spans="1:22" x14ac:dyDescent="0.25">
      <c r="A2735" t="s">
        <v>631</v>
      </c>
      <c r="B2735" s="4" t="s">
        <v>92</v>
      </c>
      <c r="C2735" s="4" t="s">
        <v>70</v>
      </c>
      <c r="D2735" s="4">
        <v>46139</v>
      </c>
      <c r="E2735" s="5">
        <v>0.43688657407407405</v>
      </c>
      <c r="F2735">
        <v>1</v>
      </c>
      <c r="G2735" t="s">
        <v>129</v>
      </c>
      <c r="H2735">
        <v>46.5</v>
      </c>
      <c r="L2735" t="s">
        <v>632</v>
      </c>
      <c r="M2735" t="s">
        <v>92</v>
      </c>
      <c r="N2735" t="s">
        <v>75</v>
      </c>
      <c r="O2735">
        <v>1</v>
      </c>
      <c r="S2735">
        <v>1</v>
      </c>
      <c r="V2735">
        <v>242.91666666666663</v>
      </c>
    </row>
    <row r="2736" spans="1:22" x14ac:dyDescent="0.25">
      <c r="A2736" t="s">
        <v>632</v>
      </c>
      <c r="B2736" s="4" t="s">
        <v>92</v>
      </c>
      <c r="C2736" s="4" t="s">
        <v>73</v>
      </c>
      <c r="D2736" s="4">
        <v>46139</v>
      </c>
      <c r="E2736" s="5">
        <v>0.43688657407407405</v>
      </c>
      <c r="F2736">
        <v>1</v>
      </c>
      <c r="G2736" t="s">
        <v>129</v>
      </c>
      <c r="H2736">
        <v>242.91666666666663</v>
      </c>
      <c r="M2736" t="s">
        <v>92</v>
      </c>
      <c r="N2736" t="s">
        <v>75</v>
      </c>
    </row>
    <row r="2737" spans="1:22" x14ac:dyDescent="0.25">
      <c r="A2737" t="s">
        <v>632</v>
      </c>
      <c r="B2737" s="4" t="s">
        <v>92</v>
      </c>
      <c r="C2737" s="4" t="s">
        <v>73</v>
      </c>
      <c r="D2737" s="4">
        <v>46139</v>
      </c>
      <c r="E2737" s="5">
        <v>0.43848379629629625</v>
      </c>
      <c r="F2737">
        <v>1</v>
      </c>
      <c r="G2737" t="s">
        <v>129</v>
      </c>
      <c r="H2737">
        <v>242.91666666666663</v>
      </c>
      <c r="M2737" t="s">
        <v>92</v>
      </c>
      <c r="N2737" t="s">
        <v>75</v>
      </c>
    </row>
    <row r="2738" spans="1:22" x14ac:dyDescent="0.25">
      <c r="A2738" t="s">
        <v>647</v>
      </c>
      <c r="B2738" s="4" t="s">
        <v>92</v>
      </c>
      <c r="C2738" s="4" t="s">
        <v>70</v>
      </c>
      <c r="D2738" s="4">
        <v>46139</v>
      </c>
      <c r="E2738" s="5">
        <v>0.44070601851851854</v>
      </c>
      <c r="F2738">
        <v>1</v>
      </c>
      <c r="G2738" t="s">
        <v>129</v>
      </c>
      <c r="H2738">
        <v>4</v>
      </c>
      <c r="L2738" t="s">
        <v>648</v>
      </c>
      <c r="M2738" t="s">
        <v>92</v>
      </c>
      <c r="N2738" t="s">
        <v>75</v>
      </c>
      <c r="O2738">
        <v>1</v>
      </c>
      <c r="R2738">
        <v>1</v>
      </c>
      <c r="S2738">
        <v>1</v>
      </c>
      <c r="V2738">
        <v>16.666666666666668</v>
      </c>
    </row>
    <row r="2739" spans="1:22" x14ac:dyDescent="0.25">
      <c r="A2739" t="s">
        <v>648</v>
      </c>
      <c r="B2739" s="4" t="s">
        <v>92</v>
      </c>
      <c r="C2739" s="4" t="s">
        <v>73</v>
      </c>
      <c r="D2739" s="4">
        <v>46139</v>
      </c>
      <c r="E2739" s="5">
        <v>0.44070601851851854</v>
      </c>
      <c r="F2739">
        <v>1</v>
      </c>
      <c r="G2739" t="s">
        <v>129</v>
      </c>
      <c r="H2739">
        <v>16.666666666666668</v>
      </c>
      <c r="M2739" t="s">
        <v>92</v>
      </c>
      <c r="N2739" t="s">
        <v>75</v>
      </c>
    </row>
    <row r="2740" spans="1:22" x14ac:dyDescent="0.25">
      <c r="A2740" t="s">
        <v>648</v>
      </c>
      <c r="B2740" s="4" t="s">
        <v>92</v>
      </c>
      <c r="C2740" s="4" t="s">
        <v>73</v>
      </c>
      <c r="D2740" s="4">
        <v>46139</v>
      </c>
      <c r="E2740" s="5">
        <v>0.44271990740740741</v>
      </c>
      <c r="F2740">
        <v>1</v>
      </c>
      <c r="G2740" t="s">
        <v>129</v>
      </c>
      <c r="H2740">
        <v>16.666666666666668</v>
      </c>
      <c r="M2740" t="s">
        <v>92</v>
      </c>
      <c r="N2740" t="s">
        <v>75</v>
      </c>
    </row>
    <row r="2741" spans="1:22" x14ac:dyDescent="0.25">
      <c r="A2741" t="s">
        <v>674</v>
      </c>
      <c r="B2741" s="4" t="s">
        <v>92</v>
      </c>
      <c r="C2741" s="4" t="s">
        <v>73</v>
      </c>
      <c r="D2741" s="4">
        <v>46139</v>
      </c>
      <c r="E2741" s="5">
        <v>0.44908564814814811</v>
      </c>
      <c r="F2741">
        <v>1</v>
      </c>
      <c r="G2741" t="s">
        <v>129</v>
      </c>
      <c r="H2741">
        <v>5.4166666666666661</v>
      </c>
      <c r="L2741" t="s">
        <v>675</v>
      </c>
      <c r="M2741" t="s">
        <v>92</v>
      </c>
      <c r="N2741" t="s">
        <v>77</v>
      </c>
    </row>
    <row r="2742" spans="1:22" x14ac:dyDescent="0.25">
      <c r="A2742" t="s">
        <v>681</v>
      </c>
      <c r="B2742" s="4" t="s">
        <v>92</v>
      </c>
      <c r="C2742" s="4" t="s">
        <v>70</v>
      </c>
      <c r="D2742" s="4">
        <v>46139</v>
      </c>
      <c r="E2742" s="5">
        <v>0.45015046296296291</v>
      </c>
      <c r="F2742">
        <v>1</v>
      </c>
      <c r="G2742" t="s">
        <v>129</v>
      </c>
      <c r="H2742">
        <v>63.25</v>
      </c>
      <c r="L2742" t="s">
        <v>682</v>
      </c>
      <c r="M2742" t="s">
        <v>92</v>
      </c>
      <c r="N2742" t="s">
        <v>72</v>
      </c>
      <c r="O2742">
        <v>1</v>
      </c>
      <c r="Q2742">
        <v>1</v>
      </c>
      <c r="S2742">
        <v>1</v>
      </c>
      <c r="V2742">
        <v>0.41666666666666663</v>
      </c>
    </row>
    <row r="2743" spans="1:22" x14ac:dyDescent="0.25">
      <c r="A2743" t="s">
        <v>682</v>
      </c>
      <c r="B2743" s="4" t="s">
        <v>92</v>
      </c>
      <c r="C2743" s="4" t="s">
        <v>73</v>
      </c>
      <c r="D2743" s="4">
        <v>46139</v>
      </c>
      <c r="E2743" s="5">
        <v>0.45015046296296291</v>
      </c>
      <c r="F2743">
        <v>1</v>
      </c>
      <c r="G2743" t="s">
        <v>129</v>
      </c>
      <c r="H2743">
        <v>0.41666666666666663</v>
      </c>
      <c r="M2743" t="s">
        <v>92</v>
      </c>
      <c r="N2743" t="s">
        <v>72</v>
      </c>
    </row>
    <row r="2744" spans="1:22" x14ac:dyDescent="0.25">
      <c r="A2744" t="s">
        <v>690</v>
      </c>
      <c r="B2744" s="4" t="s">
        <v>92</v>
      </c>
      <c r="C2744" s="4" t="s">
        <v>70</v>
      </c>
      <c r="D2744" s="4">
        <v>46139</v>
      </c>
      <c r="E2744" s="5">
        <v>0.45268518518518519</v>
      </c>
      <c r="F2744">
        <v>1</v>
      </c>
      <c r="G2744" t="s">
        <v>129</v>
      </c>
      <c r="H2744">
        <v>36.583333333333329</v>
      </c>
      <c r="L2744" t="s">
        <v>691</v>
      </c>
      <c r="M2744" t="s">
        <v>92</v>
      </c>
      <c r="N2744" t="s">
        <v>75</v>
      </c>
      <c r="O2744">
        <v>1</v>
      </c>
    </row>
    <row r="2745" spans="1:22" x14ac:dyDescent="0.25">
      <c r="A2745" t="s">
        <v>691</v>
      </c>
      <c r="B2745" s="4" t="s">
        <v>92</v>
      </c>
      <c r="C2745" s="4" t="s">
        <v>73</v>
      </c>
      <c r="D2745" s="4">
        <v>46139</v>
      </c>
      <c r="E2745" s="5">
        <v>0.45268518518518519</v>
      </c>
      <c r="F2745">
        <v>1</v>
      </c>
      <c r="G2745" t="s">
        <v>129</v>
      </c>
      <c r="H2745">
        <v>313.75</v>
      </c>
      <c r="M2745" t="s">
        <v>92</v>
      </c>
      <c r="N2745" t="s">
        <v>75</v>
      </c>
    </row>
    <row r="2746" spans="1:22" x14ac:dyDescent="0.25">
      <c r="A2746" t="s">
        <v>713</v>
      </c>
      <c r="B2746" s="4" t="s">
        <v>92</v>
      </c>
      <c r="C2746" s="4" t="s">
        <v>70</v>
      </c>
      <c r="D2746" s="4">
        <v>46139</v>
      </c>
      <c r="E2746" s="5">
        <v>0.45881944444444445</v>
      </c>
      <c r="F2746">
        <v>1</v>
      </c>
      <c r="G2746" t="s">
        <v>129</v>
      </c>
      <c r="H2746">
        <v>76.583333333333329</v>
      </c>
      <c r="L2746" t="s">
        <v>691</v>
      </c>
      <c r="M2746" t="s">
        <v>92</v>
      </c>
      <c r="N2746" t="s">
        <v>75</v>
      </c>
      <c r="P2746">
        <v>1</v>
      </c>
    </row>
    <row r="2747" spans="1:22" x14ac:dyDescent="0.25">
      <c r="A2747" t="s">
        <v>691</v>
      </c>
      <c r="B2747" s="4" t="s">
        <v>92</v>
      </c>
      <c r="C2747" s="4" t="s">
        <v>73</v>
      </c>
      <c r="D2747" s="4">
        <v>46139</v>
      </c>
      <c r="E2747" s="5">
        <v>0.45881944444444445</v>
      </c>
      <c r="F2747">
        <v>1</v>
      </c>
      <c r="G2747" t="s">
        <v>129</v>
      </c>
      <c r="H2747">
        <v>236.16666666666666</v>
      </c>
      <c r="M2747" t="s">
        <v>92</v>
      </c>
      <c r="N2747" t="s">
        <v>75</v>
      </c>
    </row>
    <row r="2748" spans="1:22" x14ac:dyDescent="0.25">
      <c r="A2748" t="s">
        <v>720</v>
      </c>
      <c r="B2748" s="4" t="s">
        <v>92</v>
      </c>
      <c r="C2748" s="4" t="s">
        <v>70</v>
      </c>
      <c r="D2748" s="4">
        <v>46139</v>
      </c>
      <c r="E2748" s="5">
        <v>0.46075231481481477</v>
      </c>
      <c r="F2748">
        <v>1</v>
      </c>
      <c r="G2748" t="s">
        <v>129</v>
      </c>
      <c r="H2748">
        <v>14.75</v>
      </c>
      <c r="L2748" t="s">
        <v>691</v>
      </c>
      <c r="M2748" t="s">
        <v>92</v>
      </c>
      <c r="N2748" t="s">
        <v>75</v>
      </c>
      <c r="P2748">
        <v>1</v>
      </c>
      <c r="S2748">
        <v>1</v>
      </c>
      <c r="V2748">
        <v>221.41666666666669</v>
      </c>
    </row>
    <row r="2749" spans="1:22" x14ac:dyDescent="0.25">
      <c r="A2749" t="s">
        <v>691</v>
      </c>
      <c r="B2749" s="4" t="s">
        <v>92</v>
      </c>
      <c r="C2749" s="4" t="s">
        <v>73</v>
      </c>
      <c r="D2749" s="4">
        <v>46139</v>
      </c>
      <c r="E2749" s="5">
        <v>0.46075231481481477</v>
      </c>
      <c r="F2749">
        <v>1</v>
      </c>
      <c r="G2749" t="s">
        <v>129</v>
      </c>
      <c r="H2749">
        <v>221.41666666666669</v>
      </c>
      <c r="M2749" t="s">
        <v>92</v>
      </c>
      <c r="N2749" t="s">
        <v>75</v>
      </c>
    </row>
    <row r="2750" spans="1:22" x14ac:dyDescent="0.25">
      <c r="A2750" t="s">
        <v>691</v>
      </c>
      <c r="B2750" s="4" t="s">
        <v>92</v>
      </c>
      <c r="C2750" s="4" t="s">
        <v>73</v>
      </c>
      <c r="D2750" s="4">
        <v>46139</v>
      </c>
      <c r="E2750" s="5">
        <v>0.46489583333333334</v>
      </c>
      <c r="F2750">
        <v>1</v>
      </c>
      <c r="G2750" t="s">
        <v>129</v>
      </c>
      <c r="H2750">
        <v>221.41666666666669</v>
      </c>
      <c r="M2750" t="s">
        <v>92</v>
      </c>
      <c r="N2750" t="s">
        <v>75</v>
      </c>
    </row>
    <row r="2751" spans="1:22" x14ac:dyDescent="0.25">
      <c r="A2751" t="s">
        <v>740</v>
      </c>
      <c r="B2751" s="4" t="s">
        <v>92</v>
      </c>
      <c r="C2751" s="4" t="s">
        <v>70</v>
      </c>
      <c r="D2751" s="4">
        <v>46139</v>
      </c>
      <c r="E2751" s="5">
        <v>0.46621527777777777</v>
      </c>
      <c r="F2751">
        <v>1</v>
      </c>
      <c r="G2751" t="s">
        <v>129</v>
      </c>
      <c r="H2751">
        <v>9</v>
      </c>
      <c r="L2751" t="s">
        <v>741</v>
      </c>
      <c r="M2751" t="s">
        <v>92</v>
      </c>
      <c r="N2751" t="s">
        <v>75</v>
      </c>
      <c r="O2751">
        <v>1</v>
      </c>
    </row>
    <row r="2752" spans="1:22" x14ac:dyDescent="0.25">
      <c r="A2752" t="s">
        <v>741</v>
      </c>
      <c r="B2752" s="4" t="s">
        <v>92</v>
      </c>
      <c r="C2752" s="4" t="s">
        <v>73</v>
      </c>
      <c r="D2752" s="4">
        <v>46139</v>
      </c>
      <c r="E2752" s="5">
        <v>0.46621527777777777</v>
      </c>
      <c r="F2752">
        <v>1</v>
      </c>
      <c r="G2752" t="s">
        <v>129</v>
      </c>
      <c r="H2752">
        <v>253.5</v>
      </c>
      <c r="M2752" t="s">
        <v>92</v>
      </c>
      <c r="N2752" t="s">
        <v>75</v>
      </c>
    </row>
    <row r="2753" spans="1:22" x14ac:dyDescent="0.25">
      <c r="A2753" t="s">
        <v>744</v>
      </c>
      <c r="B2753" s="4" t="s">
        <v>92</v>
      </c>
      <c r="C2753" s="4" t="s">
        <v>70</v>
      </c>
      <c r="D2753" s="4">
        <v>46139</v>
      </c>
      <c r="E2753" s="5">
        <v>0.46706018518518522</v>
      </c>
      <c r="F2753">
        <v>1</v>
      </c>
      <c r="G2753" t="s">
        <v>129</v>
      </c>
      <c r="H2753">
        <v>9.5</v>
      </c>
      <c r="L2753" t="s">
        <v>741</v>
      </c>
      <c r="M2753" t="s">
        <v>92</v>
      </c>
      <c r="N2753" t="s">
        <v>75</v>
      </c>
      <c r="P2753">
        <v>1</v>
      </c>
    </row>
    <row r="2754" spans="1:22" x14ac:dyDescent="0.25">
      <c r="A2754" t="s">
        <v>741</v>
      </c>
      <c r="B2754" s="4" t="s">
        <v>92</v>
      </c>
      <c r="C2754" s="4" t="s">
        <v>73</v>
      </c>
      <c r="D2754" s="4">
        <v>46139</v>
      </c>
      <c r="E2754" s="5">
        <v>0.46706018518518522</v>
      </c>
      <c r="F2754">
        <v>1</v>
      </c>
      <c r="G2754" t="s">
        <v>129</v>
      </c>
      <c r="H2754">
        <v>244</v>
      </c>
      <c r="M2754" t="s">
        <v>92</v>
      </c>
      <c r="N2754" t="s">
        <v>75</v>
      </c>
    </row>
    <row r="2755" spans="1:22" x14ac:dyDescent="0.25">
      <c r="A2755" t="s">
        <v>748</v>
      </c>
      <c r="B2755" s="4" t="s">
        <v>92</v>
      </c>
      <c r="C2755" s="4" t="s">
        <v>70</v>
      </c>
      <c r="D2755" s="4">
        <v>46139</v>
      </c>
      <c r="E2755" s="5">
        <v>0.46785879629629629</v>
      </c>
      <c r="F2755">
        <v>1</v>
      </c>
      <c r="G2755" t="s">
        <v>129</v>
      </c>
      <c r="H2755">
        <v>11.75</v>
      </c>
      <c r="L2755" t="s">
        <v>741</v>
      </c>
      <c r="M2755" t="s">
        <v>92</v>
      </c>
      <c r="N2755" t="s">
        <v>75</v>
      </c>
      <c r="P2755">
        <v>1</v>
      </c>
    </row>
    <row r="2756" spans="1:22" x14ac:dyDescent="0.25">
      <c r="A2756" t="s">
        <v>741</v>
      </c>
      <c r="B2756" s="4" t="s">
        <v>92</v>
      </c>
      <c r="C2756" s="4" t="s">
        <v>73</v>
      </c>
      <c r="D2756" s="4">
        <v>46139</v>
      </c>
      <c r="E2756" s="5">
        <v>0.46785879629629629</v>
      </c>
      <c r="F2756">
        <v>1</v>
      </c>
      <c r="G2756" t="s">
        <v>129</v>
      </c>
      <c r="H2756">
        <v>232.25</v>
      </c>
      <c r="M2756" t="s">
        <v>92</v>
      </c>
      <c r="N2756" t="s">
        <v>75</v>
      </c>
    </row>
    <row r="2757" spans="1:22" x14ac:dyDescent="0.25">
      <c r="A2757" t="s">
        <v>752</v>
      </c>
      <c r="B2757" s="4" t="s">
        <v>92</v>
      </c>
      <c r="C2757" s="4" t="s">
        <v>70</v>
      </c>
      <c r="D2757" s="4">
        <v>46139</v>
      </c>
      <c r="E2757" s="5">
        <v>0.46880787037037031</v>
      </c>
      <c r="F2757">
        <v>1</v>
      </c>
      <c r="G2757" t="s">
        <v>129</v>
      </c>
      <c r="H2757">
        <v>11</v>
      </c>
      <c r="L2757" t="s">
        <v>741</v>
      </c>
      <c r="M2757" t="s">
        <v>92</v>
      </c>
      <c r="N2757" t="s">
        <v>75</v>
      </c>
      <c r="P2757">
        <v>1</v>
      </c>
    </row>
    <row r="2758" spans="1:22" x14ac:dyDescent="0.25">
      <c r="A2758" t="s">
        <v>741</v>
      </c>
      <c r="B2758" s="4" t="s">
        <v>92</v>
      </c>
      <c r="C2758" s="4" t="s">
        <v>73</v>
      </c>
      <c r="D2758" s="4">
        <v>46139</v>
      </c>
      <c r="E2758" s="5">
        <v>0.46880787037037031</v>
      </c>
      <c r="F2758">
        <v>1</v>
      </c>
      <c r="G2758" t="s">
        <v>129</v>
      </c>
      <c r="H2758">
        <v>221.25</v>
      </c>
      <c r="M2758" t="s">
        <v>92</v>
      </c>
      <c r="N2758" t="s">
        <v>75</v>
      </c>
    </row>
    <row r="2759" spans="1:22" x14ac:dyDescent="0.25">
      <c r="A2759" t="s">
        <v>757</v>
      </c>
      <c r="B2759" s="4" t="s">
        <v>92</v>
      </c>
      <c r="C2759" s="4" t="s">
        <v>70</v>
      </c>
      <c r="D2759" s="4">
        <v>46139</v>
      </c>
      <c r="E2759" s="5">
        <v>0.46994212962962961</v>
      </c>
      <c r="F2759">
        <v>1</v>
      </c>
      <c r="G2759" t="s">
        <v>129</v>
      </c>
      <c r="H2759">
        <v>12.75</v>
      </c>
      <c r="L2759" t="s">
        <v>741</v>
      </c>
      <c r="M2759" t="s">
        <v>92</v>
      </c>
      <c r="N2759" t="s">
        <v>75</v>
      </c>
      <c r="P2759">
        <v>1</v>
      </c>
    </row>
    <row r="2760" spans="1:22" x14ac:dyDescent="0.25">
      <c r="A2760" t="s">
        <v>741</v>
      </c>
      <c r="B2760" s="4" t="s">
        <v>92</v>
      </c>
      <c r="C2760" s="4" t="s">
        <v>73</v>
      </c>
      <c r="D2760" s="4">
        <v>46139</v>
      </c>
      <c r="E2760" s="5">
        <v>0.46994212962962961</v>
      </c>
      <c r="F2760">
        <v>1</v>
      </c>
      <c r="G2760" t="s">
        <v>129</v>
      </c>
      <c r="H2760">
        <v>208.5</v>
      </c>
      <c r="M2760" t="s">
        <v>92</v>
      </c>
      <c r="N2760" t="s">
        <v>75</v>
      </c>
    </row>
    <row r="2761" spans="1:22" x14ac:dyDescent="0.25">
      <c r="A2761" t="s">
        <v>760</v>
      </c>
      <c r="B2761" s="4" t="s">
        <v>92</v>
      </c>
      <c r="C2761" s="4" t="s">
        <v>70</v>
      </c>
      <c r="D2761" s="4">
        <v>46139</v>
      </c>
      <c r="E2761" s="5">
        <v>0.47047453703703701</v>
      </c>
      <c r="F2761">
        <v>1</v>
      </c>
      <c r="G2761" t="s">
        <v>129</v>
      </c>
      <c r="H2761">
        <v>20.25</v>
      </c>
      <c r="L2761" t="s">
        <v>741</v>
      </c>
      <c r="M2761" t="s">
        <v>92</v>
      </c>
      <c r="N2761" t="s">
        <v>75</v>
      </c>
      <c r="P2761">
        <v>1</v>
      </c>
    </row>
    <row r="2762" spans="1:22" x14ac:dyDescent="0.25">
      <c r="A2762" t="s">
        <v>741</v>
      </c>
      <c r="B2762" s="4" t="s">
        <v>92</v>
      </c>
      <c r="C2762" s="4" t="s">
        <v>73</v>
      </c>
      <c r="D2762" s="4">
        <v>46139</v>
      </c>
      <c r="E2762" s="5">
        <v>0.47047453703703701</v>
      </c>
      <c r="F2762">
        <v>1</v>
      </c>
      <c r="G2762" t="s">
        <v>129</v>
      </c>
      <c r="H2762">
        <v>188.25</v>
      </c>
      <c r="M2762" t="s">
        <v>92</v>
      </c>
      <c r="N2762" t="s">
        <v>75</v>
      </c>
    </row>
    <row r="2763" spans="1:22" x14ac:dyDescent="0.25">
      <c r="A2763" t="s">
        <v>765</v>
      </c>
      <c r="B2763" s="4" t="s">
        <v>92</v>
      </c>
      <c r="C2763" s="4" t="s">
        <v>70</v>
      </c>
      <c r="D2763" s="4">
        <v>46139</v>
      </c>
      <c r="E2763" s="5">
        <v>0.47186342592592589</v>
      </c>
      <c r="F2763">
        <v>1</v>
      </c>
      <c r="G2763" t="s">
        <v>129</v>
      </c>
      <c r="H2763">
        <v>24.25</v>
      </c>
      <c r="L2763" t="s">
        <v>741</v>
      </c>
      <c r="M2763" t="s">
        <v>92</v>
      </c>
      <c r="N2763" t="s">
        <v>75</v>
      </c>
      <c r="P2763">
        <v>1</v>
      </c>
      <c r="S2763">
        <v>1</v>
      </c>
      <c r="V2763">
        <v>164</v>
      </c>
    </row>
    <row r="2764" spans="1:22" x14ac:dyDescent="0.25">
      <c r="A2764" t="s">
        <v>741</v>
      </c>
      <c r="B2764" s="4" t="s">
        <v>92</v>
      </c>
      <c r="C2764" s="4" t="s">
        <v>73</v>
      </c>
      <c r="D2764" s="4">
        <v>46139</v>
      </c>
      <c r="E2764" s="5">
        <v>0.47186342592592589</v>
      </c>
      <c r="F2764">
        <v>1</v>
      </c>
      <c r="G2764" t="s">
        <v>129</v>
      </c>
      <c r="H2764">
        <v>164</v>
      </c>
      <c r="M2764" t="s">
        <v>92</v>
      </c>
      <c r="N2764" t="s">
        <v>75</v>
      </c>
    </row>
    <row r="2765" spans="1:22" x14ac:dyDescent="0.25">
      <c r="A2765" t="s">
        <v>741</v>
      </c>
      <c r="B2765" s="4" t="s">
        <v>92</v>
      </c>
      <c r="C2765" s="4" t="s">
        <v>73</v>
      </c>
      <c r="D2765" s="4">
        <v>46139</v>
      </c>
      <c r="E2765" s="5">
        <v>0.47292824074074075</v>
      </c>
      <c r="F2765">
        <v>1</v>
      </c>
      <c r="G2765" t="s">
        <v>129</v>
      </c>
      <c r="H2765">
        <v>164</v>
      </c>
      <c r="M2765" t="s">
        <v>92</v>
      </c>
      <c r="N2765" t="s">
        <v>75</v>
      </c>
    </row>
    <row r="2766" spans="1:22" x14ac:dyDescent="0.25">
      <c r="A2766" t="s">
        <v>773</v>
      </c>
      <c r="B2766" s="4" t="s">
        <v>92</v>
      </c>
      <c r="C2766" s="4" t="s">
        <v>70</v>
      </c>
      <c r="D2766" s="4">
        <v>46139</v>
      </c>
      <c r="E2766" s="5">
        <v>0.47498842592592588</v>
      </c>
      <c r="F2766">
        <v>1</v>
      </c>
      <c r="G2766" t="s">
        <v>129</v>
      </c>
      <c r="H2766">
        <v>5.25</v>
      </c>
      <c r="L2766" t="s">
        <v>774</v>
      </c>
      <c r="M2766" t="s">
        <v>92</v>
      </c>
      <c r="N2766" t="s">
        <v>77</v>
      </c>
      <c r="O2766">
        <v>1</v>
      </c>
      <c r="S2766">
        <v>1</v>
      </c>
      <c r="V2766">
        <v>60.083333333333336</v>
      </c>
    </row>
    <row r="2767" spans="1:22" x14ac:dyDescent="0.25">
      <c r="A2767" t="s">
        <v>774</v>
      </c>
      <c r="B2767" s="4" t="s">
        <v>92</v>
      </c>
      <c r="C2767" s="4" t="s">
        <v>73</v>
      </c>
      <c r="D2767" s="4">
        <v>46139</v>
      </c>
      <c r="E2767" s="5">
        <v>0.47498842592592588</v>
      </c>
      <c r="F2767">
        <v>1</v>
      </c>
      <c r="G2767" t="s">
        <v>129</v>
      </c>
      <c r="H2767">
        <v>60.083333333333336</v>
      </c>
      <c r="M2767" t="s">
        <v>92</v>
      </c>
      <c r="N2767" t="s">
        <v>77</v>
      </c>
    </row>
    <row r="2768" spans="1:22" x14ac:dyDescent="0.25">
      <c r="A2768" t="s">
        <v>774</v>
      </c>
      <c r="B2768" s="4" t="s">
        <v>92</v>
      </c>
      <c r="C2768" s="4" t="s">
        <v>73</v>
      </c>
      <c r="D2768" s="4">
        <v>46139</v>
      </c>
      <c r="E2768" s="5">
        <v>0.4773148148148148</v>
      </c>
      <c r="F2768">
        <v>1</v>
      </c>
      <c r="G2768" t="s">
        <v>129</v>
      </c>
      <c r="H2768">
        <v>60.083333333333336</v>
      </c>
      <c r="M2768" t="s">
        <v>92</v>
      </c>
      <c r="N2768" t="s">
        <v>77</v>
      </c>
    </row>
    <row r="2769" spans="1:22" x14ac:dyDescent="0.25">
      <c r="A2769" t="s">
        <v>787</v>
      </c>
      <c r="B2769" s="4" t="s">
        <v>92</v>
      </c>
      <c r="C2769" s="4" t="s">
        <v>70</v>
      </c>
      <c r="D2769" s="4">
        <v>46139</v>
      </c>
      <c r="E2769" s="5">
        <v>0.47923611111111108</v>
      </c>
      <c r="F2769">
        <v>1</v>
      </c>
      <c r="G2769" t="s">
        <v>129</v>
      </c>
      <c r="H2769">
        <v>13.5</v>
      </c>
      <c r="L2769" t="s">
        <v>788</v>
      </c>
      <c r="M2769" t="s">
        <v>92</v>
      </c>
      <c r="N2769" t="s">
        <v>77</v>
      </c>
      <c r="O2769">
        <v>1</v>
      </c>
      <c r="Q2769">
        <v>1</v>
      </c>
      <c r="S2769">
        <v>1</v>
      </c>
      <c r="V2769">
        <v>1.0833333333333333</v>
      </c>
    </row>
    <row r="2770" spans="1:22" x14ac:dyDescent="0.25">
      <c r="A2770" t="s">
        <v>788</v>
      </c>
      <c r="B2770" s="4" t="s">
        <v>92</v>
      </c>
      <c r="C2770" s="4" t="s">
        <v>73</v>
      </c>
      <c r="D2770" s="4">
        <v>46139</v>
      </c>
      <c r="E2770" s="5">
        <v>0.47923611111111108</v>
      </c>
      <c r="F2770">
        <v>1</v>
      </c>
      <c r="G2770" t="s">
        <v>129</v>
      </c>
      <c r="H2770">
        <v>1.0833333333333333</v>
      </c>
      <c r="M2770" t="s">
        <v>92</v>
      </c>
      <c r="N2770" t="s">
        <v>77</v>
      </c>
    </row>
    <row r="2771" spans="1:22" x14ac:dyDescent="0.25">
      <c r="A2771" t="s">
        <v>803</v>
      </c>
      <c r="B2771" s="4" t="s">
        <v>92</v>
      </c>
      <c r="C2771" s="4" t="s">
        <v>73</v>
      </c>
      <c r="D2771" s="4">
        <v>46139</v>
      </c>
      <c r="E2771" s="5">
        <v>0.48307870370370365</v>
      </c>
      <c r="F2771">
        <v>1</v>
      </c>
      <c r="G2771" t="s">
        <v>129</v>
      </c>
      <c r="H2771">
        <v>127.75</v>
      </c>
      <c r="M2771" t="s">
        <v>92</v>
      </c>
      <c r="N2771" t="s">
        <v>72</v>
      </c>
    </row>
    <row r="2772" spans="1:22" x14ac:dyDescent="0.25">
      <c r="A2772" t="s">
        <v>829</v>
      </c>
      <c r="B2772" s="4" t="s">
        <v>92</v>
      </c>
      <c r="C2772" s="4" t="s">
        <v>73</v>
      </c>
      <c r="D2772" s="4">
        <v>46139</v>
      </c>
      <c r="E2772" s="5">
        <v>0.49060185185185184</v>
      </c>
      <c r="F2772">
        <v>1</v>
      </c>
      <c r="G2772" t="s">
        <v>129</v>
      </c>
      <c r="H2772">
        <v>213.58333333333331</v>
      </c>
      <c r="M2772" t="s">
        <v>92</v>
      </c>
      <c r="N2772" t="s">
        <v>75</v>
      </c>
    </row>
    <row r="2773" spans="1:22" x14ac:dyDescent="0.25">
      <c r="A2773" t="s">
        <v>848</v>
      </c>
      <c r="B2773" s="4" t="s">
        <v>92</v>
      </c>
      <c r="C2773" s="4" t="s">
        <v>73</v>
      </c>
      <c r="D2773" s="4">
        <v>46139</v>
      </c>
      <c r="E2773" s="5">
        <v>0.49737268518518518</v>
      </c>
      <c r="F2773">
        <v>1</v>
      </c>
      <c r="G2773" t="s">
        <v>129</v>
      </c>
      <c r="H2773">
        <v>202.58333333333334</v>
      </c>
      <c r="M2773" t="s">
        <v>92</v>
      </c>
      <c r="N2773" t="s">
        <v>75</v>
      </c>
    </row>
    <row r="2774" spans="1:22" x14ac:dyDescent="0.25">
      <c r="A2774" t="s">
        <v>859</v>
      </c>
      <c r="B2774" s="4" t="s">
        <v>92</v>
      </c>
      <c r="C2774" s="4" t="s">
        <v>70</v>
      </c>
      <c r="D2774" s="4">
        <v>46139</v>
      </c>
      <c r="E2774" s="5">
        <v>0.51195601851851846</v>
      </c>
      <c r="F2774">
        <v>1</v>
      </c>
      <c r="G2774" t="s">
        <v>129</v>
      </c>
      <c r="H2774">
        <v>110.66666666666666</v>
      </c>
      <c r="L2774" t="s">
        <v>860</v>
      </c>
      <c r="M2774" t="s">
        <v>92</v>
      </c>
      <c r="N2774" t="s">
        <v>75</v>
      </c>
      <c r="O2774">
        <v>1</v>
      </c>
      <c r="S2774">
        <v>1</v>
      </c>
      <c r="V2774">
        <v>91.666666666666657</v>
      </c>
    </row>
    <row r="2775" spans="1:22" x14ac:dyDescent="0.25">
      <c r="A2775" t="s">
        <v>860</v>
      </c>
      <c r="B2775" s="4" t="s">
        <v>92</v>
      </c>
      <c r="C2775" s="4" t="s">
        <v>73</v>
      </c>
      <c r="D2775" s="4">
        <v>46139</v>
      </c>
      <c r="E2775" s="5">
        <v>0.51195601851851846</v>
      </c>
      <c r="F2775">
        <v>1</v>
      </c>
      <c r="G2775" t="s">
        <v>129</v>
      </c>
      <c r="H2775">
        <v>91.666666666666657</v>
      </c>
      <c r="M2775" t="s">
        <v>92</v>
      </c>
      <c r="N2775" t="s">
        <v>75</v>
      </c>
    </row>
    <row r="2776" spans="1:22" x14ac:dyDescent="0.25">
      <c r="A2776" t="s">
        <v>860</v>
      </c>
      <c r="B2776" s="4" t="s">
        <v>92</v>
      </c>
      <c r="C2776" s="4" t="s">
        <v>73</v>
      </c>
      <c r="D2776" s="4">
        <v>46139</v>
      </c>
      <c r="E2776" s="5">
        <v>0.51453703703703701</v>
      </c>
      <c r="F2776">
        <v>1</v>
      </c>
      <c r="G2776" t="s">
        <v>129</v>
      </c>
      <c r="H2776">
        <v>91.666666666666657</v>
      </c>
      <c r="M2776" t="s">
        <v>92</v>
      </c>
      <c r="N2776" t="s">
        <v>75</v>
      </c>
    </row>
    <row r="2777" spans="1:22" x14ac:dyDescent="0.25">
      <c r="A2777" t="s">
        <v>877</v>
      </c>
      <c r="B2777" s="4" t="s">
        <v>92</v>
      </c>
      <c r="C2777" s="4" t="s">
        <v>73</v>
      </c>
      <c r="D2777" s="4">
        <v>46139</v>
      </c>
      <c r="E2777" s="5">
        <v>0.51733796296296297</v>
      </c>
      <c r="F2777">
        <v>1</v>
      </c>
      <c r="G2777" t="s">
        <v>129</v>
      </c>
      <c r="H2777">
        <v>258.75</v>
      </c>
      <c r="M2777" t="s">
        <v>92</v>
      </c>
      <c r="N2777" t="s">
        <v>75</v>
      </c>
    </row>
    <row r="2778" spans="1:22" x14ac:dyDescent="0.25">
      <c r="A2778" t="s">
        <v>554</v>
      </c>
      <c r="B2778" s="4" t="s">
        <v>92</v>
      </c>
      <c r="C2778" s="4" t="s">
        <v>73</v>
      </c>
      <c r="D2778" s="4">
        <v>46139</v>
      </c>
      <c r="E2778" s="5">
        <v>0.51862268518518517</v>
      </c>
      <c r="F2778">
        <v>1</v>
      </c>
      <c r="G2778" t="s">
        <v>129</v>
      </c>
      <c r="H2778">
        <v>70.5</v>
      </c>
      <c r="M2778" t="s">
        <v>92</v>
      </c>
      <c r="N2778" t="s">
        <v>75</v>
      </c>
    </row>
    <row r="2779" spans="1:22" x14ac:dyDescent="0.25">
      <c r="A2779" t="s">
        <v>883</v>
      </c>
      <c r="B2779" s="4" t="s">
        <v>92</v>
      </c>
      <c r="C2779" s="4" t="s">
        <v>73</v>
      </c>
      <c r="D2779" s="4">
        <v>46139</v>
      </c>
      <c r="E2779" s="5">
        <v>0.52103009259259259</v>
      </c>
      <c r="F2779">
        <v>1</v>
      </c>
      <c r="G2779" t="s">
        <v>129</v>
      </c>
      <c r="H2779">
        <v>96.333333333333329</v>
      </c>
      <c r="M2779" t="s">
        <v>92</v>
      </c>
      <c r="N2779" t="s">
        <v>75</v>
      </c>
    </row>
    <row r="2780" spans="1:22" x14ac:dyDescent="0.25">
      <c r="A2780" t="s">
        <v>888</v>
      </c>
      <c r="B2780" s="4" t="s">
        <v>92</v>
      </c>
      <c r="C2780" s="4" t="s">
        <v>70</v>
      </c>
      <c r="D2780" s="4">
        <v>46139</v>
      </c>
      <c r="E2780" s="5">
        <v>0.5241203703703704</v>
      </c>
      <c r="F2780">
        <v>1</v>
      </c>
      <c r="G2780" t="s">
        <v>129</v>
      </c>
      <c r="H2780">
        <v>55.083333333333336</v>
      </c>
      <c r="L2780" t="s">
        <v>889</v>
      </c>
      <c r="M2780" t="s">
        <v>92</v>
      </c>
      <c r="N2780" t="s">
        <v>75</v>
      </c>
      <c r="O2780">
        <v>1</v>
      </c>
      <c r="S2780">
        <v>1</v>
      </c>
      <c r="V2780">
        <v>243.08333333333334</v>
      </c>
    </row>
    <row r="2781" spans="1:22" x14ac:dyDescent="0.25">
      <c r="A2781" t="s">
        <v>889</v>
      </c>
      <c r="B2781" s="4" t="s">
        <v>92</v>
      </c>
      <c r="C2781" s="4" t="s">
        <v>73</v>
      </c>
      <c r="D2781" s="4">
        <v>46139</v>
      </c>
      <c r="E2781" s="5">
        <v>0.5241203703703704</v>
      </c>
      <c r="F2781">
        <v>1</v>
      </c>
      <c r="G2781" t="s">
        <v>129</v>
      </c>
      <c r="H2781">
        <v>243.08333333333334</v>
      </c>
      <c r="M2781" t="s">
        <v>92</v>
      </c>
      <c r="N2781" t="s">
        <v>75</v>
      </c>
    </row>
    <row r="2782" spans="1:22" x14ac:dyDescent="0.25">
      <c r="A2782" t="s">
        <v>889</v>
      </c>
      <c r="B2782" s="4" t="s">
        <v>92</v>
      </c>
      <c r="C2782" s="4" t="s">
        <v>73</v>
      </c>
      <c r="D2782" s="4">
        <v>46139</v>
      </c>
      <c r="E2782" s="5">
        <v>0.52630787037037041</v>
      </c>
      <c r="F2782">
        <v>1</v>
      </c>
      <c r="G2782" t="s">
        <v>129</v>
      </c>
      <c r="H2782">
        <v>243.08333333333334</v>
      </c>
      <c r="M2782" t="s">
        <v>92</v>
      </c>
      <c r="N2782" t="s">
        <v>75</v>
      </c>
    </row>
    <row r="2783" spans="1:22" x14ac:dyDescent="0.25">
      <c r="A2783" t="s">
        <v>859</v>
      </c>
      <c r="B2783" s="4" t="s">
        <v>92</v>
      </c>
      <c r="C2783" s="4" t="s">
        <v>73</v>
      </c>
      <c r="D2783" s="4">
        <v>46139</v>
      </c>
      <c r="E2783" s="5">
        <v>0.52983796296296293</v>
      </c>
      <c r="F2783">
        <v>1</v>
      </c>
      <c r="G2783" t="s">
        <v>129</v>
      </c>
      <c r="H2783">
        <v>107.16666666666666</v>
      </c>
      <c r="L2783" t="s">
        <v>860</v>
      </c>
      <c r="M2783" t="s">
        <v>92</v>
      </c>
      <c r="N2783" t="s">
        <v>75</v>
      </c>
    </row>
    <row r="2784" spans="1:22" x14ac:dyDescent="0.25">
      <c r="A2784" t="s">
        <v>691</v>
      </c>
      <c r="B2784" s="4" t="s">
        <v>92</v>
      </c>
      <c r="C2784" s="4" t="s">
        <v>73</v>
      </c>
      <c r="D2784" s="4">
        <v>46139</v>
      </c>
      <c r="E2784" s="5">
        <v>0.53216435185185185</v>
      </c>
      <c r="F2784">
        <v>1</v>
      </c>
      <c r="G2784" t="s">
        <v>129</v>
      </c>
      <c r="H2784">
        <v>221.58333333333334</v>
      </c>
      <c r="M2784" t="s">
        <v>92</v>
      </c>
      <c r="N2784" t="s">
        <v>75</v>
      </c>
    </row>
    <row r="2785" spans="1:16" x14ac:dyDescent="0.25">
      <c r="A2785" t="s">
        <v>521</v>
      </c>
      <c r="B2785" s="4" t="s">
        <v>92</v>
      </c>
      <c r="C2785" s="4" t="s">
        <v>73</v>
      </c>
      <c r="D2785" s="4">
        <v>46139</v>
      </c>
      <c r="E2785" s="5">
        <v>0.53528935185185189</v>
      </c>
      <c r="F2785">
        <v>1</v>
      </c>
      <c r="G2785" t="s">
        <v>129</v>
      </c>
      <c r="H2785">
        <v>84.75</v>
      </c>
      <c r="M2785" t="s">
        <v>92</v>
      </c>
      <c r="N2785" t="s">
        <v>78</v>
      </c>
    </row>
    <row r="2786" spans="1:16" x14ac:dyDescent="0.25">
      <c r="A2786" t="s">
        <v>928</v>
      </c>
      <c r="B2786" s="4" t="s">
        <v>92</v>
      </c>
      <c r="C2786" s="4" t="s">
        <v>73</v>
      </c>
      <c r="D2786" s="4">
        <v>46139</v>
      </c>
      <c r="E2786" s="5">
        <v>0.53766203703703697</v>
      </c>
      <c r="F2786">
        <v>1</v>
      </c>
      <c r="G2786" t="s">
        <v>129</v>
      </c>
      <c r="H2786">
        <v>151.83333333333331</v>
      </c>
      <c r="M2786" t="s">
        <v>92</v>
      </c>
      <c r="N2786" t="s">
        <v>75</v>
      </c>
    </row>
    <row r="2787" spans="1:16" x14ac:dyDescent="0.25">
      <c r="A2787" t="s">
        <v>944</v>
      </c>
      <c r="B2787" s="4" t="s">
        <v>92</v>
      </c>
      <c r="C2787" s="4" t="s">
        <v>73</v>
      </c>
      <c r="D2787" s="4">
        <v>46139</v>
      </c>
      <c r="E2787" s="5">
        <v>0.54185185185185181</v>
      </c>
      <c r="F2787">
        <v>1</v>
      </c>
      <c r="G2787" t="s">
        <v>129</v>
      </c>
      <c r="H2787">
        <v>240.33333333333334</v>
      </c>
      <c r="M2787" t="s">
        <v>92</v>
      </c>
      <c r="N2787" t="s">
        <v>75</v>
      </c>
    </row>
    <row r="2788" spans="1:16" x14ac:dyDescent="0.25">
      <c r="A2788" t="s">
        <v>648</v>
      </c>
      <c r="B2788" s="4" t="s">
        <v>92</v>
      </c>
      <c r="C2788" s="4" t="s">
        <v>73</v>
      </c>
      <c r="D2788" s="4">
        <v>46139</v>
      </c>
      <c r="E2788" s="5">
        <v>0.54353009259259266</v>
      </c>
      <c r="F2788">
        <v>1</v>
      </c>
      <c r="G2788" t="s">
        <v>129</v>
      </c>
      <c r="H2788">
        <v>16.5</v>
      </c>
      <c r="M2788" t="s">
        <v>92</v>
      </c>
      <c r="N2788" t="s">
        <v>75</v>
      </c>
    </row>
    <row r="2789" spans="1:16" x14ac:dyDescent="0.25">
      <c r="A2789" t="s">
        <v>969</v>
      </c>
      <c r="B2789" s="4" t="s">
        <v>92</v>
      </c>
      <c r="C2789" s="4" t="s">
        <v>70</v>
      </c>
      <c r="D2789" s="4">
        <v>46139</v>
      </c>
      <c r="E2789" s="5">
        <v>0.54759259259259263</v>
      </c>
      <c r="F2789">
        <v>1</v>
      </c>
      <c r="G2789" t="s">
        <v>129</v>
      </c>
      <c r="H2789">
        <v>39.416666666666664</v>
      </c>
      <c r="L2789" t="s">
        <v>970</v>
      </c>
      <c r="M2789" t="s">
        <v>92</v>
      </c>
      <c r="N2789" t="s">
        <v>75</v>
      </c>
      <c r="O2789">
        <v>1</v>
      </c>
    </row>
    <row r="2790" spans="1:16" x14ac:dyDescent="0.25">
      <c r="A2790" t="s">
        <v>970</v>
      </c>
      <c r="B2790" s="4" t="s">
        <v>92</v>
      </c>
      <c r="C2790" s="4" t="s">
        <v>73</v>
      </c>
      <c r="D2790" s="4">
        <v>46139</v>
      </c>
      <c r="E2790" s="5">
        <v>0.54759259259259263</v>
      </c>
      <c r="F2790">
        <v>1</v>
      </c>
      <c r="G2790" t="s">
        <v>129</v>
      </c>
      <c r="H2790">
        <v>248.83333333333331</v>
      </c>
      <c r="M2790" t="s">
        <v>92</v>
      </c>
      <c r="N2790" t="s">
        <v>75</v>
      </c>
    </row>
    <row r="2791" spans="1:16" x14ac:dyDescent="0.25">
      <c r="A2791" t="s">
        <v>975</v>
      </c>
      <c r="B2791" s="4" t="s">
        <v>92</v>
      </c>
      <c r="C2791" s="4" t="s">
        <v>70</v>
      </c>
      <c r="D2791" s="4">
        <v>46139</v>
      </c>
      <c r="E2791" s="5">
        <v>0.54878472222222219</v>
      </c>
      <c r="F2791">
        <v>1</v>
      </c>
      <c r="G2791" t="s">
        <v>129</v>
      </c>
      <c r="H2791">
        <v>14.5</v>
      </c>
      <c r="L2791" t="s">
        <v>970</v>
      </c>
      <c r="M2791" t="s">
        <v>92</v>
      </c>
      <c r="N2791" t="s">
        <v>75</v>
      </c>
      <c r="P2791">
        <v>1</v>
      </c>
    </row>
    <row r="2792" spans="1:16" x14ac:dyDescent="0.25">
      <c r="A2792" t="s">
        <v>970</v>
      </c>
      <c r="B2792" s="4" t="s">
        <v>92</v>
      </c>
      <c r="C2792" s="4" t="s">
        <v>73</v>
      </c>
      <c r="D2792" s="4">
        <v>46139</v>
      </c>
      <c r="E2792" s="5">
        <v>0.54878472222222219</v>
      </c>
      <c r="F2792">
        <v>1</v>
      </c>
      <c r="G2792" t="s">
        <v>129</v>
      </c>
      <c r="H2792">
        <v>234.33333333333334</v>
      </c>
      <c r="M2792" t="s">
        <v>92</v>
      </c>
      <c r="N2792" t="s">
        <v>75</v>
      </c>
    </row>
    <row r="2793" spans="1:16" x14ac:dyDescent="0.25">
      <c r="A2793" t="s">
        <v>978</v>
      </c>
      <c r="B2793" s="4" t="s">
        <v>92</v>
      </c>
      <c r="C2793" s="4" t="s">
        <v>70</v>
      </c>
      <c r="D2793" s="4">
        <v>46139</v>
      </c>
      <c r="E2793" s="5">
        <v>0.55008101851851854</v>
      </c>
      <c r="F2793">
        <v>1</v>
      </c>
      <c r="G2793" t="s">
        <v>129</v>
      </c>
      <c r="H2793">
        <v>20.583333333333332</v>
      </c>
      <c r="L2793" t="s">
        <v>970</v>
      </c>
      <c r="M2793" t="s">
        <v>92</v>
      </c>
      <c r="N2793" t="s">
        <v>75</v>
      </c>
      <c r="P2793">
        <v>1</v>
      </c>
    </row>
    <row r="2794" spans="1:16" x14ac:dyDescent="0.25">
      <c r="A2794" t="s">
        <v>970</v>
      </c>
      <c r="B2794" s="4" t="s">
        <v>92</v>
      </c>
      <c r="C2794" s="4" t="s">
        <v>73</v>
      </c>
      <c r="D2794" s="4">
        <v>46139</v>
      </c>
      <c r="E2794" s="5">
        <v>0.55008101851851854</v>
      </c>
      <c r="F2794">
        <v>1</v>
      </c>
      <c r="G2794" t="s">
        <v>129</v>
      </c>
      <c r="H2794">
        <v>213.75</v>
      </c>
      <c r="M2794" t="s">
        <v>92</v>
      </c>
      <c r="N2794" t="s">
        <v>75</v>
      </c>
    </row>
    <row r="2795" spans="1:16" x14ac:dyDescent="0.25">
      <c r="A2795" t="s">
        <v>983</v>
      </c>
      <c r="B2795" s="4" t="s">
        <v>92</v>
      </c>
      <c r="C2795" s="4" t="s">
        <v>70</v>
      </c>
      <c r="D2795" s="4">
        <v>46139</v>
      </c>
      <c r="E2795" s="5">
        <v>0.55173611111111098</v>
      </c>
      <c r="F2795">
        <v>1</v>
      </c>
      <c r="G2795" t="s">
        <v>129</v>
      </c>
      <c r="H2795">
        <v>28.5</v>
      </c>
      <c r="L2795" t="s">
        <v>970</v>
      </c>
      <c r="M2795" t="s">
        <v>92</v>
      </c>
      <c r="N2795" t="s">
        <v>75</v>
      </c>
      <c r="P2795">
        <v>1</v>
      </c>
    </row>
    <row r="2796" spans="1:16" x14ac:dyDescent="0.25">
      <c r="A2796" t="s">
        <v>970</v>
      </c>
      <c r="B2796" s="4" t="s">
        <v>92</v>
      </c>
      <c r="C2796" s="4" t="s">
        <v>73</v>
      </c>
      <c r="D2796" s="4">
        <v>46139</v>
      </c>
      <c r="E2796" s="5">
        <v>0.55173611111111098</v>
      </c>
      <c r="F2796">
        <v>1</v>
      </c>
      <c r="G2796" t="s">
        <v>129</v>
      </c>
      <c r="H2796">
        <v>185.25</v>
      </c>
      <c r="M2796" t="s">
        <v>92</v>
      </c>
      <c r="N2796" t="s">
        <v>75</v>
      </c>
    </row>
    <row r="2797" spans="1:16" x14ac:dyDescent="0.25">
      <c r="A2797" t="s">
        <v>993</v>
      </c>
      <c r="B2797" s="4" t="s">
        <v>92</v>
      </c>
      <c r="C2797" s="4" t="s">
        <v>70</v>
      </c>
      <c r="D2797" s="4">
        <v>46139</v>
      </c>
      <c r="E2797" s="5">
        <v>0.55458333333333332</v>
      </c>
      <c r="F2797">
        <v>1</v>
      </c>
      <c r="G2797" t="s">
        <v>129</v>
      </c>
      <c r="H2797">
        <v>28.083333333333332</v>
      </c>
      <c r="L2797" t="s">
        <v>970</v>
      </c>
      <c r="M2797" t="s">
        <v>92</v>
      </c>
      <c r="N2797" t="s">
        <v>75</v>
      </c>
      <c r="P2797">
        <v>1</v>
      </c>
    </row>
    <row r="2798" spans="1:16" x14ac:dyDescent="0.25">
      <c r="A2798" t="s">
        <v>970</v>
      </c>
      <c r="B2798" s="4" t="s">
        <v>92</v>
      </c>
      <c r="C2798" s="4" t="s">
        <v>73</v>
      </c>
      <c r="D2798" s="4">
        <v>46139</v>
      </c>
      <c r="E2798" s="5">
        <v>0.55458333333333332</v>
      </c>
      <c r="F2798">
        <v>1</v>
      </c>
      <c r="G2798" t="s">
        <v>129</v>
      </c>
      <c r="H2798">
        <v>157.16666666666666</v>
      </c>
      <c r="M2798" t="s">
        <v>92</v>
      </c>
      <c r="N2798" t="s">
        <v>75</v>
      </c>
    </row>
    <row r="2799" spans="1:16" x14ac:dyDescent="0.25">
      <c r="A2799" t="s">
        <v>1003</v>
      </c>
      <c r="B2799" s="4" t="s">
        <v>92</v>
      </c>
      <c r="C2799" s="4" t="s">
        <v>70</v>
      </c>
      <c r="D2799" s="4">
        <v>46139</v>
      </c>
      <c r="E2799" s="5">
        <v>0.556574074074074</v>
      </c>
      <c r="F2799">
        <v>1</v>
      </c>
      <c r="G2799" t="s">
        <v>129</v>
      </c>
      <c r="H2799">
        <v>35.333333333333336</v>
      </c>
      <c r="L2799" t="s">
        <v>970</v>
      </c>
      <c r="M2799" t="s">
        <v>92</v>
      </c>
      <c r="N2799" t="s">
        <v>75</v>
      </c>
      <c r="P2799">
        <v>1</v>
      </c>
    </row>
    <row r="2800" spans="1:16" x14ac:dyDescent="0.25">
      <c r="A2800" t="s">
        <v>970</v>
      </c>
      <c r="B2800" s="4" t="s">
        <v>92</v>
      </c>
      <c r="C2800" s="4" t="s">
        <v>73</v>
      </c>
      <c r="D2800" s="4">
        <v>46139</v>
      </c>
      <c r="E2800" s="5">
        <v>0.556574074074074</v>
      </c>
      <c r="F2800">
        <v>1</v>
      </c>
      <c r="G2800" t="s">
        <v>129</v>
      </c>
      <c r="H2800">
        <v>121.83333333333333</v>
      </c>
      <c r="M2800" t="s">
        <v>92</v>
      </c>
      <c r="N2800" t="s">
        <v>75</v>
      </c>
    </row>
    <row r="2801" spans="1:22" x14ac:dyDescent="0.25">
      <c r="A2801" t="s">
        <v>1012</v>
      </c>
      <c r="B2801" s="4" t="s">
        <v>92</v>
      </c>
      <c r="C2801" s="4" t="s">
        <v>70</v>
      </c>
      <c r="D2801" s="4">
        <v>46139</v>
      </c>
      <c r="E2801" s="5">
        <v>0.55825231481481474</v>
      </c>
      <c r="F2801">
        <v>1</v>
      </c>
      <c r="G2801" t="s">
        <v>129</v>
      </c>
      <c r="H2801">
        <v>59.333333333333329</v>
      </c>
      <c r="L2801" t="s">
        <v>970</v>
      </c>
      <c r="M2801" t="s">
        <v>92</v>
      </c>
      <c r="N2801" t="s">
        <v>75</v>
      </c>
      <c r="P2801">
        <v>1</v>
      </c>
      <c r="S2801">
        <v>1</v>
      </c>
      <c r="V2801">
        <v>53.833333333333336</v>
      </c>
    </row>
    <row r="2802" spans="1:22" x14ac:dyDescent="0.25">
      <c r="A2802" t="s">
        <v>970</v>
      </c>
      <c r="B2802" s="4" t="s">
        <v>92</v>
      </c>
      <c r="C2802" s="4" t="s">
        <v>73</v>
      </c>
      <c r="D2802" s="4">
        <v>46139</v>
      </c>
      <c r="E2802" s="5">
        <v>0.55825231481481474</v>
      </c>
      <c r="F2802">
        <v>1</v>
      </c>
      <c r="G2802" t="s">
        <v>129</v>
      </c>
      <c r="H2802">
        <v>62.5</v>
      </c>
      <c r="M2802" t="s">
        <v>92</v>
      </c>
      <c r="N2802" t="s">
        <v>75</v>
      </c>
    </row>
    <row r="2803" spans="1:22" x14ac:dyDescent="0.25">
      <c r="A2803" t="s">
        <v>970</v>
      </c>
      <c r="B2803" s="4" t="s">
        <v>92</v>
      </c>
      <c r="C2803" s="4" t="s">
        <v>73</v>
      </c>
      <c r="D2803" s="4">
        <v>46139</v>
      </c>
      <c r="E2803" s="5">
        <v>0.56149305555555551</v>
      </c>
      <c r="F2803">
        <v>1</v>
      </c>
      <c r="G2803" t="s">
        <v>129</v>
      </c>
      <c r="H2803">
        <v>53.833333333333336</v>
      </c>
      <c r="M2803" t="s">
        <v>92</v>
      </c>
      <c r="N2803" t="s">
        <v>75</v>
      </c>
    </row>
    <row r="2804" spans="1:22" x14ac:dyDescent="0.25">
      <c r="A2804" t="s">
        <v>1053</v>
      </c>
      <c r="B2804" s="4" t="s">
        <v>92</v>
      </c>
      <c r="C2804" s="4" t="s">
        <v>73</v>
      </c>
      <c r="D2804" s="4">
        <v>46139</v>
      </c>
      <c r="E2804" s="5">
        <v>0.57114583333333324</v>
      </c>
      <c r="F2804">
        <v>1</v>
      </c>
      <c r="G2804" t="s">
        <v>129</v>
      </c>
      <c r="H2804">
        <v>300.58333333333331</v>
      </c>
      <c r="M2804" t="s">
        <v>92</v>
      </c>
      <c r="N2804" t="s">
        <v>75</v>
      </c>
    </row>
    <row r="2805" spans="1:22" x14ac:dyDescent="0.25">
      <c r="A2805" t="s">
        <v>1060</v>
      </c>
      <c r="B2805" s="4" t="s">
        <v>92</v>
      </c>
      <c r="C2805" s="4" t="s">
        <v>73</v>
      </c>
      <c r="D2805" s="4">
        <v>46139</v>
      </c>
      <c r="E2805" s="5">
        <v>0.57329861111111113</v>
      </c>
      <c r="F2805">
        <v>1</v>
      </c>
      <c r="G2805" t="s">
        <v>129</v>
      </c>
      <c r="H2805">
        <v>117.16666666666667</v>
      </c>
      <c r="M2805" t="s">
        <v>92</v>
      </c>
      <c r="N2805" t="s">
        <v>75</v>
      </c>
    </row>
    <row r="2806" spans="1:22" x14ac:dyDescent="0.25">
      <c r="A2806" t="s">
        <v>1328</v>
      </c>
      <c r="B2806" s="4" t="s">
        <v>92</v>
      </c>
      <c r="C2806" s="4" t="s">
        <v>70</v>
      </c>
      <c r="D2806" s="4">
        <v>46140</v>
      </c>
      <c r="E2806" s="5">
        <v>0.26503472222222219</v>
      </c>
      <c r="F2806">
        <v>1</v>
      </c>
      <c r="G2806" t="s">
        <v>129</v>
      </c>
      <c r="H2806">
        <v>90.5</v>
      </c>
      <c r="L2806" t="s">
        <v>1329</v>
      </c>
      <c r="M2806" t="s">
        <v>92</v>
      </c>
      <c r="N2806" t="s">
        <v>75</v>
      </c>
      <c r="O2806">
        <v>1</v>
      </c>
    </row>
    <row r="2807" spans="1:22" x14ac:dyDescent="0.25">
      <c r="A2807" t="s">
        <v>1329</v>
      </c>
      <c r="B2807" s="4" t="s">
        <v>92</v>
      </c>
      <c r="C2807" s="4" t="s">
        <v>73</v>
      </c>
      <c r="D2807" s="4">
        <v>46140</v>
      </c>
      <c r="E2807" s="5">
        <v>0.26503472222222219</v>
      </c>
      <c r="F2807">
        <v>1</v>
      </c>
      <c r="G2807" t="s">
        <v>129</v>
      </c>
      <c r="H2807">
        <v>206.83333333333331</v>
      </c>
      <c r="M2807" t="s">
        <v>92</v>
      </c>
      <c r="N2807" t="s">
        <v>75</v>
      </c>
    </row>
    <row r="2808" spans="1:22" x14ac:dyDescent="0.25">
      <c r="A2808" t="s">
        <v>1338</v>
      </c>
      <c r="B2808" s="4" t="s">
        <v>92</v>
      </c>
      <c r="C2808" s="4" t="s">
        <v>70</v>
      </c>
      <c r="D2808" s="4">
        <v>46140</v>
      </c>
      <c r="E2808" s="5">
        <v>0.26841435185185186</v>
      </c>
      <c r="F2808">
        <v>1</v>
      </c>
      <c r="G2808" t="s">
        <v>129</v>
      </c>
      <c r="H2808">
        <v>79.416666666666657</v>
      </c>
      <c r="L2808" t="s">
        <v>1329</v>
      </c>
      <c r="M2808" t="s">
        <v>92</v>
      </c>
      <c r="N2808" t="s">
        <v>75</v>
      </c>
      <c r="P2808">
        <v>1</v>
      </c>
    </row>
    <row r="2809" spans="1:22" x14ac:dyDescent="0.25">
      <c r="A2809" t="s">
        <v>1329</v>
      </c>
      <c r="B2809" s="4" t="s">
        <v>92</v>
      </c>
      <c r="C2809" s="4" t="s">
        <v>73</v>
      </c>
      <c r="D2809" s="4">
        <v>46140</v>
      </c>
      <c r="E2809" s="5">
        <v>0.26841435185185186</v>
      </c>
      <c r="F2809">
        <v>1</v>
      </c>
      <c r="G2809" t="s">
        <v>129</v>
      </c>
      <c r="H2809">
        <v>127.41666666666666</v>
      </c>
      <c r="M2809" t="s">
        <v>92</v>
      </c>
      <c r="N2809" t="s">
        <v>75</v>
      </c>
    </row>
    <row r="2810" spans="1:22" x14ac:dyDescent="0.25">
      <c r="A2810" t="s">
        <v>1348</v>
      </c>
      <c r="B2810" s="4" t="s">
        <v>92</v>
      </c>
      <c r="C2810" s="4" t="s">
        <v>70</v>
      </c>
      <c r="D2810" s="4">
        <v>46140</v>
      </c>
      <c r="E2810" s="5">
        <v>0.27032407407407405</v>
      </c>
      <c r="F2810">
        <v>1</v>
      </c>
      <c r="G2810" t="s">
        <v>129</v>
      </c>
      <c r="H2810">
        <v>35.25</v>
      </c>
      <c r="L2810" t="s">
        <v>1329</v>
      </c>
      <c r="M2810" t="s">
        <v>92</v>
      </c>
      <c r="N2810" t="s">
        <v>75</v>
      </c>
      <c r="P2810">
        <v>1</v>
      </c>
    </row>
    <row r="2811" spans="1:22" x14ac:dyDescent="0.25">
      <c r="A2811" t="s">
        <v>1329</v>
      </c>
      <c r="B2811" s="4" t="s">
        <v>92</v>
      </c>
      <c r="C2811" s="4" t="s">
        <v>73</v>
      </c>
      <c r="D2811" s="4">
        <v>46140</v>
      </c>
      <c r="E2811" s="5">
        <v>0.27032407407407405</v>
      </c>
      <c r="F2811">
        <v>1</v>
      </c>
      <c r="G2811" t="s">
        <v>129</v>
      </c>
      <c r="H2811">
        <v>92.166666666666671</v>
      </c>
      <c r="M2811" t="s">
        <v>92</v>
      </c>
      <c r="N2811" t="s">
        <v>75</v>
      </c>
    </row>
    <row r="2812" spans="1:22" x14ac:dyDescent="0.25">
      <c r="A2812" t="s">
        <v>1355</v>
      </c>
      <c r="B2812" s="4" t="s">
        <v>92</v>
      </c>
      <c r="C2812" s="4" t="s">
        <v>70</v>
      </c>
      <c r="D2812" s="4">
        <v>46140</v>
      </c>
      <c r="E2812" s="5">
        <v>0.27253472222222225</v>
      </c>
      <c r="F2812">
        <v>1</v>
      </c>
      <c r="G2812" t="s">
        <v>129</v>
      </c>
      <c r="H2812">
        <v>12.333333333333332</v>
      </c>
      <c r="L2812" t="s">
        <v>1329</v>
      </c>
      <c r="M2812" t="s">
        <v>92</v>
      </c>
      <c r="N2812" t="s">
        <v>75</v>
      </c>
      <c r="P2812">
        <v>1</v>
      </c>
      <c r="S2812">
        <v>1</v>
      </c>
      <c r="V2812">
        <v>79.833333333333329</v>
      </c>
    </row>
    <row r="2813" spans="1:22" x14ac:dyDescent="0.25">
      <c r="A2813" t="s">
        <v>1329</v>
      </c>
      <c r="B2813" s="4" t="s">
        <v>92</v>
      </c>
      <c r="C2813" s="4" t="s">
        <v>73</v>
      </c>
      <c r="D2813" s="4">
        <v>46140</v>
      </c>
      <c r="E2813" s="5">
        <v>0.27253472222222225</v>
      </c>
      <c r="F2813">
        <v>1</v>
      </c>
      <c r="G2813" t="s">
        <v>129</v>
      </c>
      <c r="H2813">
        <v>79.833333333333329</v>
      </c>
      <c r="M2813" t="s">
        <v>92</v>
      </c>
      <c r="N2813" t="s">
        <v>75</v>
      </c>
    </row>
    <row r="2814" spans="1:22" x14ac:dyDescent="0.25">
      <c r="A2814" t="s">
        <v>1329</v>
      </c>
      <c r="B2814" s="4" t="s">
        <v>92</v>
      </c>
      <c r="C2814" s="4" t="s">
        <v>73</v>
      </c>
      <c r="D2814" s="4">
        <v>46140</v>
      </c>
      <c r="E2814" s="5">
        <v>0.27337962962962964</v>
      </c>
      <c r="F2814">
        <v>1</v>
      </c>
      <c r="G2814" t="s">
        <v>129</v>
      </c>
      <c r="H2814">
        <v>79.833333333333329</v>
      </c>
      <c r="M2814" t="s">
        <v>92</v>
      </c>
      <c r="N2814" t="s">
        <v>75</v>
      </c>
    </row>
    <row r="2815" spans="1:22" x14ac:dyDescent="0.25">
      <c r="A2815" t="s">
        <v>1371</v>
      </c>
      <c r="B2815" s="4" t="s">
        <v>92</v>
      </c>
      <c r="C2815" s="4" t="s">
        <v>70</v>
      </c>
      <c r="D2815" s="4">
        <v>46140</v>
      </c>
      <c r="E2815" s="5">
        <v>0.27627314814814813</v>
      </c>
      <c r="F2815">
        <v>1</v>
      </c>
      <c r="G2815" t="s">
        <v>129</v>
      </c>
      <c r="H2815">
        <v>35.5</v>
      </c>
      <c r="L2815" t="s">
        <v>1372</v>
      </c>
      <c r="M2815" t="s">
        <v>92</v>
      </c>
      <c r="N2815" t="s">
        <v>72</v>
      </c>
      <c r="O2815">
        <v>1</v>
      </c>
    </row>
    <row r="2816" spans="1:22" x14ac:dyDescent="0.25">
      <c r="A2816" t="s">
        <v>1372</v>
      </c>
      <c r="B2816" s="4" t="s">
        <v>92</v>
      </c>
      <c r="C2816" s="4" t="s">
        <v>73</v>
      </c>
      <c r="D2816" s="4">
        <v>46140</v>
      </c>
      <c r="E2816" s="5">
        <v>0.27627314814814813</v>
      </c>
      <c r="F2816">
        <v>1</v>
      </c>
      <c r="G2816" t="s">
        <v>129</v>
      </c>
      <c r="H2816">
        <v>61.833333333333329</v>
      </c>
      <c r="M2816" t="s">
        <v>92</v>
      </c>
      <c r="N2816" t="s">
        <v>72</v>
      </c>
    </row>
    <row r="2817" spans="1:22" x14ac:dyDescent="0.25">
      <c r="A2817" t="s">
        <v>1379</v>
      </c>
      <c r="B2817" s="4" t="s">
        <v>92</v>
      </c>
      <c r="C2817" s="4" t="s">
        <v>70</v>
      </c>
      <c r="D2817" s="4">
        <v>46140</v>
      </c>
      <c r="E2817" s="5">
        <v>0.27788194444444442</v>
      </c>
      <c r="F2817">
        <v>1</v>
      </c>
      <c r="G2817" t="s">
        <v>129</v>
      </c>
      <c r="H2817">
        <v>18</v>
      </c>
      <c r="L2817" t="s">
        <v>1372</v>
      </c>
      <c r="M2817" t="s">
        <v>92</v>
      </c>
      <c r="N2817" t="s">
        <v>72</v>
      </c>
      <c r="P2817">
        <v>1</v>
      </c>
    </row>
    <row r="2818" spans="1:22" x14ac:dyDescent="0.25">
      <c r="A2818" t="s">
        <v>1372</v>
      </c>
      <c r="B2818" s="4" t="s">
        <v>92</v>
      </c>
      <c r="C2818" s="4" t="s">
        <v>73</v>
      </c>
      <c r="D2818" s="4">
        <v>46140</v>
      </c>
      <c r="E2818" s="5">
        <v>0.27788194444444442</v>
      </c>
      <c r="F2818">
        <v>1</v>
      </c>
      <c r="G2818" t="s">
        <v>129</v>
      </c>
      <c r="H2818">
        <v>43.833333333333329</v>
      </c>
      <c r="M2818" t="s">
        <v>92</v>
      </c>
      <c r="N2818" t="s">
        <v>72</v>
      </c>
    </row>
    <row r="2819" spans="1:22" x14ac:dyDescent="0.25">
      <c r="A2819" t="s">
        <v>1386</v>
      </c>
      <c r="B2819" s="4" t="s">
        <v>92</v>
      </c>
      <c r="C2819" s="4" t="s">
        <v>70</v>
      </c>
      <c r="D2819" s="4">
        <v>46140</v>
      </c>
      <c r="E2819" s="5">
        <v>0.27981481481481474</v>
      </c>
      <c r="F2819">
        <v>1</v>
      </c>
      <c r="G2819" t="s">
        <v>129</v>
      </c>
      <c r="H2819">
        <v>16.5</v>
      </c>
      <c r="L2819" t="s">
        <v>1372</v>
      </c>
      <c r="M2819" t="s">
        <v>92</v>
      </c>
      <c r="N2819" t="s">
        <v>72</v>
      </c>
      <c r="P2819">
        <v>1</v>
      </c>
      <c r="R2819">
        <v>1</v>
      </c>
      <c r="S2819">
        <v>1</v>
      </c>
      <c r="V2819">
        <v>22.666666666666664</v>
      </c>
    </row>
    <row r="2820" spans="1:22" x14ac:dyDescent="0.25">
      <c r="A2820" t="s">
        <v>1372</v>
      </c>
      <c r="B2820" s="4" t="s">
        <v>92</v>
      </c>
      <c r="C2820" s="4" t="s">
        <v>73</v>
      </c>
      <c r="D2820" s="4">
        <v>46140</v>
      </c>
      <c r="E2820" s="5">
        <v>0.27981481481481474</v>
      </c>
      <c r="F2820">
        <v>1</v>
      </c>
      <c r="G2820" t="s">
        <v>129</v>
      </c>
      <c r="H2820">
        <v>26.333333333333332</v>
      </c>
      <c r="M2820" t="s">
        <v>92</v>
      </c>
      <c r="N2820" t="s">
        <v>72</v>
      </c>
    </row>
    <row r="2821" spans="1:22" x14ac:dyDescent="0.25">
      <c r="A2821" t="s">
        <v>1372</v>
      </c>
      <c r="B2821" s="4" t="s">
        <v>92</v>
      </c>
      <c r="C2821" s="4" t="s">
        <v>73</v>
      </c>
      <c r="D2821" s="4">
        <v>46140</v>
      </c>
      <c r="E2821" s="5">
        <v>0.2827662037037037</v>
      </c>
      <c r="F2821">
        <v>1</v>
      </c>
      <c r="G2821" t="s">
        <v>129</v>
      </c>
      <c r="H2821">
        <v>22.666666666666664</v>
      </c>
      <c r="M2821" t="s">
        <v>92</v>
      </c>
      <c r="N2821" t="s">
        <v>72</v>
      </c>
    </row>
    <row r="2822" spans="1:22" x14ac:dyDescent="0.25">
      <c r="A2822" t="s">
        <v>1404</v>
      </c>
      <c r="B2822" s="4" t="s">
        <v>92</v>
      </c>
      <c r="C2822" s="4" t="s">
        <v>70</v>
      </c>
      <c r="D2822" s="4">
        <v>46140</v>
      </c>
      <c r="E2822" s="5">
        <v>0.28570601851851851</v>
      </c>
      <c r="F2822">
        <v>1</v>
      </c>
      <c r="G2822" t="s">
        <v>129</v>
      </c>
      <c r="H2822">
        <v>23.75</v>
      </c>
      <c r="L2822" t="s">
        <v>1405</v>
      </c>
      <c r="M2822" t="s">
        <v>92</v>
      </c>
      <c r="N2822" t="s">
        <v>72</v>
      </c>
      <c r="O2822">
        <v>1</v>
      </c>
    </row>
    <row r="2823" spans="1:22" x14ac:dyDescent="0.25">
      <c r="A2823" t="s">
        <v>1405</v>
      </c>
      <c r="B2823" s="4" t="s">
        <v>92</v>
      </c>
      <c r="C2823" s="4" t="s">
        <v>73</v>
      </c>
      <c r="D2823" s="4">
        <v>46140</v>
      </c>
      <c r="E2823" s="5">
        <v>0.28570601851851851</v>
      </c>
      <c r="F2823">
        <v>1</v>
      </c>
      <c r="G2823" t="s">
        <v>129</v>
      </c>
      <c r="H2823">
        <v>196.91666666666666</v>
      </c>
      <c r="M2823" t="s">
        <v>92</v>
      </c>
      <c r="N2823" t="s">
        <v>72</v>
      </c>
    </row>
    <row r="2824" spans="1:22" x14ac:dyDescent="0.25">
      <c r="A2824" t="s">
        <v>1415</v>
      </c>
      <c r="B2824" s="4" t="s">
        <v>92</v>
      </c>
      <c r="C2824" s="4" t="s">
        <v>70</v>
      </c>
      <c r="D2824" s="4">
        <v>46140</v>
      </c>
      <c r="E2824" s="5">
        <v>0.28893518518518518</v>
      </c>
      <c r="F2824">
        <v>1</v>
      </c>
      <c r="G2824" t="s">
        <v>129</v>
      </c>
      <c r="H2824">
        <v>135</v>
      </c>
      <c r="L2824" t="s">
        <v>1405</v>
      </c>
      <c r="M2824" t="s">
        <v>92</v>
      </c>
      <c r="N2824" t="s">
        <v>72</v>
      </c>
      <c r="P2824">
        <v>1</v>
      </c>
      <c r="S2824">
        <v>1</v>
      </c>
      <c r="V2824">
        <v>58.833333333333336</v>
      </c>
    </row>
    <row r="2825" spans="1:22" x14ac:dyDescent="0.25">
      <c r="A2825" t="s">
        <v>1405</v>
      </c>
      <c r="B2825" s="4" t="s">
        <v>92</v>
      </c>
      <c r="C2825" s="4" t="s">
        <v>73</v>
      </c>
      <c r="D2825" s="4">
        <v>46140</v>
      </c>
      <c r="E2825" s="5">
        <v>0.28893518518518518</v>
      </c>
      <c r="F2825">
        <v>1</v>
      </c>
      <c r="G2825" t="s">
        <v>129</v>
      </c>
      <c r="H2825">
        <v>61.583333333333329</v>
      </c>
      <c r="L2825" s="21"/>
      <c r="M2825" t="s">
        <v>92</v>
      </c>
      <c r="N2825" t="s">
        <v>72</v>
      </c>
    </row>
    <row r="2826" spans="1:22" x14ac:dyDescent="0.25">
      <c r="A2826" t="s">
        <v>1405</v>
      </c>
      <c r="B2826" s="4" t="s">
        <v>92</v>
      </c>
      <c r="C2826" s="4" t="s">
        <v>73</v>
      </c>
      <c r="D2826" s="4">
        <v>46140</v>
      </c>
      <c r="E2826" s="5">
        <v>0.29930555555555555</v>
      </c>
      <c r="F2826">
        <v>1</v>
      </c>
      <c r="G2826" t="s">
        <v>129</v>
      </c>
      <c r="H2826">
        <v>58.833333333333336</v>
      </c>
      <c r="M2826" t="s">
        <v>92</v>
      </c>
      <c r="N2826" t="s">
        <v>72</v>
      </c>
    </row>
    <row r="2827" spans="1:22" x14ac:dyDescent="0.25">
      <c r="A2827" t="s">
        <v>1479</v>
      </c>
      <c r="B2827" s="4" t="s">
        <v>92</v>
      </c>
      <c r="C2827" s="4" t="s">
        <v>73</v>
      </c>
      <c r="D2827" s="4">
        <v>46140</v>
      </c>
      <c r="E2827" s="5">
        <v>0.30678240740740742</v>
      </c>
      <c r="F2827">
        <v>1</v>
      </c>
      <c r="G2827" t="s">
        <v>129</v>
      </c>
      <c r="H2827">
        <v>127.58333333333333</v>
      </c>
      <c r="L2827" t="s">
        <v>1480</v>
      </c>
      <c r="M2827" t="s">
        <v>92</v>
      </c>
      <c r="N2827" t="s">
        <v>75</v>
      </c>
    </row>
    <row r="2828" spans="1:22" x14ac:dyDescent="0.25">
      <c r="A2828" t="s">
        <v>1514</v>
      </c>
      <c r="B2828" s="4" t="s">
        <v>92</v>
      </c>
      <c r="C2828" s="4" t="s">
        <v>70</v>
      </c>
      <c r="D2828" s="4">
        <v>46140</v>
      </c>
      <c r="E2828" s="5">
        <v>0.31612268518518516</v>
      </c>
      <c r="F2828">
        <v>1</v>
      </c>
      <c r="G2828" t="s">
        <v>129</v>
      </c>
      <c r="H2828">
        <v>166.08333333333334</v>
      </c>
      <c r="L2828" t="s">
        <v>877</v>
      </c>
      <c r="M2828" t="s">
        <v>92</v>
      </c>
      <c r="N2828" t="s">
        <v>75</v>
      </c>
      <c r="O2828">
        <v>1</v>
      </c>
    </row>
    <row r="2829" spans="1:22" x14ac:dyDescent="0.25">
      <c r="A2829" t="s">
        <v>877</v>
      </c>
      <c r="B2829" s="4" t="s">
        <v>92</v>
      </c>
      <c r="C2829" s="4" t="s">
        <v>73</v>
      </c>
      <c r="D2829" s="4">
        <v>46140</v>
      </c>
      <c r="E2829" s="5">
        <v>0.31612268518518516</v>
      </c>
      <c r="F2829">
        <v>1</v>
      </c>
      <c r="G2829" t="s">
        <v>129</v>
      </c>
      <c r="H2829">
        <v>92.583333333333329</v>
      </c>
      <c r="M2829" t="s">
        <v>92</v>
      </c>
      <c r="N2829" t="s">
        <v>75</v>
      </c>
    </row>
    <row r="2830" spans="1:22" x14ac:dyDescent="0.25">
      <c r="A2830" t="s">
        <v>1527</v>
      </c>
      <c r="B2830" s="4" t="s">
        <v>92</v>
      </c>
      <c r="C2830" s="4" t="s">
        <v>70</v>
      </c>
      <c r="D2830" s="4">
        <v>46140</v>
      </c>
      <c r="E2830" s="5">
        <v>0.3187962962962963</v>
      </c>
      <c r="F2830">
        <v>1</v>
      </c>
      <c r="G2830" t="s">
        <v>129</v>
      </c>
      <c r="H2830">
        <v>10.083333333333332</v>
      </c>
      <c r="L2830" t="s">
        <v>877</v>
      </c>
      <c r="M2830" t="s">
        <v>92</v>
      </c>
      <c r="N2830" t="s">
        <v>75</v>
      </c>
      <c r="P2830">
        <v>1</v>
      </c>
      <c r="S2830">
        <v>1</v>
      </c>
      <c r="V2830">
        <v>80.916666666666657</v>
      </c>
    </row>
    <row r="2831" spans="1:22" x14ac:dyDescent="0.25">
      <c r="A2831" t="s">
        <v>877</v>
      </c>
      <c r="B2831" s="4" t="s">
        <v>92</v>
      </c>
      <c r="C2831" s="4" t="s">
        <v>73</v>
      </c>
      <c r="D2831" s="4">
        <v>46140</v>
      </c>
      <c r="E2831" s="5">
        <v>0.3187962962962963</v>
      </c>
      <c r="F2831">
        <v>1</v>
      </c>
      <c r="G2831" t="s">
        <v>129</v>
      </c>
      <c r="H2831">
        <v>80.916666666666657</v>
      </c>
      <c r="M2831" t="s">
        <v>92</v>
      </c>
      <c r="N2831" t="s">
        <v>75</v>
      </c>
    </row>
    <row r="2832" spans="1:22" x14ac:dyDescent="0.25">
      <c r="A2832" t="s">
        <v>877</v>
      </c>
      <c r="B2832" s="4" t="s">
        <v>92</v>
      </c>
      <c r="C2832" s="4" t="s">
        <v>73</v>
      </c>
      <c r="D2832" s="4">
        <v>46140</v>
      </c>
      <c r="E2832" s="5">
        <v>0.32050925925925927</v>
      </c>
      <c r="F2832">
        <v>1</v>
      </c>
      <c r="G2832" t="s">
        <v>129</v>
      </c>
      <c r="H2832">
        <v>80.916666666666657</v>
      </c>
      <c r="M2832" t="s">
        <v>92</v>
      </c>
      <c r="N2832" t="s">
        <v>75</v>
      </c>
    </row>
    <row r="2833" spans="1:14" x14ac:dyDescent="0.25">
      <c r="A2833" t="s">
        <v>1552</v>
      </c>
      <c r="B2833" s="4" t="s">
        <v>92</v>
      </c>
      <c r="C2833" s="4" t="s">
        <v>73</v>
      </c>
      <c r="D2833" s="4">
        <v>46140</v>
      </c>
      <c r="E2833" s="5">
        <v>0.32600694444444445</v>
      </c>
      <c r="F2833">
        <v>1</v>
      </c>
      <c r="G2833" t="s">
        <v>129</v>
      </c>
      <c r="H2833">
        <v>60.25</v>
      </c>
      <c r="L2833" t="s">
        <v>1553</v>
      </c>
      <c r="M2833" t="s">
        <v>92</v>
      </c>
      <c r="N2833" t="s">
        <v>81</v>
      </c>
    </row>
    <row r="2848" spans="1:14" x14ac:dyDescent="0.25">
      <c r="L2848" s="21"/>
    </row>
    <row r="3499" spans="12:12" x14ac:dyDescent="0.25">
      <c r="L3499" s="21"/>
    </row>
    <row r="4058" spans="12:12" x14ac:dyDescent="0.25">
      <c r="L4058" s="21"/>
    </row>
    <row r="4690" spans="12:12" x14ac:dyDescent="0.25">
      <c r="L4690" s="21"/>
    </row>
    <row r="5768" spans="12:12" x14ac:dyDescent="0.25">
      <c r="L5768" s="21"/>
    </row>
    <row r="6304" spans="12:12" x14ac:dyDescent="0.25">
      <c r="L6304" s="21"/>
    </row>
    <row r="7324" spans="12:12" x14ac:dyDescent="0.25">
      <c r="L7324" s="21"/>
    </row>
    <row r="7424" spans="12:12" x14ac:dyDescent="0.25">
      <c r="L7424" s="21"/>
    </row>
    <row r="7532" spans="12:12" x14ac:dyDescent="0.25">
      <c r="L7532" s="21"/>
    </row>
    <row r="7593" spans="12:12" x14ac:dyDescent="0.25">
      <c r="L7593" s="21"/>
    </row>
    <row r="7640" spans="12:12" x14ac:dyDescent="0.25">
      <c r="L7640" s="21"/>
    </row>
    <row r="8273" spans="12:12" x14ac:dyDescent="0.25">
      <c r="L8273" s="21"/>
    </row>
  </sheetData>
  <sortState xmlns:xlrd2="http://schemas.microsoft.com/office/spreadsheetml/2017/richdata2" ref="A2:U2833">
    <sortCondition ref="B2"/>
  </sortState>
  <conditionalFormatting sqref="N1:N1048576">
    <cfRule type="containsText" dxfId="3" priority="1" operator="containsText" text="CUTSHP">
      <formula>NOT(ISERROR(SEARCH("CUTSHP",N1)))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I54"/>
  <sheetViews>
    <sheetView tabSelected="1" zoomScaleNormal="100" workbookViewId="0">
      <selection activeCell="C32" sqref="C32"/>
    </sheetView>
  </sheetViews>
  <sheetFormatPr defaultRowHeight="15" x14ac:dyDescent="0.25"/>
  <cols>
    <col min="1" max="1" width="9.7109375" bestFit="1" customWidth="1"/>
    <col min="2" max="2" width="16.7109375" customWidth="1"/>
    <col min="3" max="3" width="13.28515625" customWidth="1"/>
    <col min="4" max="4" width="13.140625" customWidth="1"/>
    <col min="5" max="5" width="15.85546875" customWidth="1"/>
    <col min="6" max="6" width="3.85546875" customWidth="1"/>
    <col min="7" max="7" width="16.7109375" customWidth="1"/>
    <col min="8" max="8" width="13.28515625" customWidth="1"/>
    <col min="9" max="9" width="13.140625" customWidth="1"/>
    <col min="10" max="10" width="11.5703125" customWidth="1"/>
    <col min="11" max="11" width="10.42578125" customWidth="1"/>
    <col min="12" max="12" width="16.7109375" customWidth="1"/>
    <col min="13" max="13" width="13.28515625" customWidth="1"/>
    <col min="14" max="14" width="13.140625" customWidth="1"/>
    <col min="15" max="15" width="15.5703125" customWidth="1"/>
    <col min="16" max="16" width="3.85546875" customWidth="1"/>
    <col min="17" max="17" width="10.5703125" bestFit="1" customWidth="1"/>
    <col min="18" max="18" width="10.42578125" bestFit="1" customWidth="1"/>
    <col min="19" max="19" width="12.42578125" customWidth="1"/>
    <col min="20" max="20" width="11.7109375" customWidth="1"/>
    <col min="21" max="21" width="11.85546875" customWidth="1"/>
  </cols>
  <sheetData>
    <row r="1" spans="1:35" ht="21" x14ac:dyDescent="0.35">
      <c r="A1" s="1" t="s">
        <v>38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5.7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9.5" thickBot="1" x14ac:dyDescent="0.35">
      <c r="A3" s="2"/>
      <c r="B3" s="3"/>
      <c r="C3" s="23">
        <v>46139</v>
      </c>
      <c r="D3" s="2"/>
      <c r="E3" s="2"/>
      <c r="F3" s="2"/>
      <c r="G3" s="2"/>
      <c r="H3" s="2"/>
      <c r="I3" s="2"/>
      <c r="J3" s="2"/>
      <c r="K3" s="2"/>
      <c r="L3" s="27" t="s">
        <v>57</v>
      </c>
      <c r="M3" s="28"/>
      <c r="N3" s="28"/>
      <c r="O3" s="29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5.75" thickTop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15"/>
      <c r="M4" s="11" t="s">
        <v>10</v>
      </c>
      <c r="N4" s="2" t="s">
        <v>9</v>
      </c>
      <c r="O4" s="16" t="s">
        <v>92</v>
      </c>
      <c r="P4" s="2"/>
      <c r="Q4" s="2"/>
      <c r="R4" s="35" t="s">
        <v>69</v>
      </c>
      <c r="S4" s="35"/>
      <c r="T4" s="35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x14ac:dyDescent="0.25">
      <c r="A5" s="2"/>
      <c r="B5" s="2"/>
      <c r="C5" s="20" t="s">
        <v>10</v>
      </c>
      <c r="D5" s="20" t="s">
        <v>9</v>
      </c>
      <c r="E5" s="16" t="s">
        <v>92</v>
      </c>
      <c r="F5" s="2"/>
      <c r="G5" s="20" t="s">
        <v>61</v>
      </c>
      <c r="H5" s="20" t="s">
        <v>62</v>
      </c>
      <c r="I5" s="2" t="s">
        <v>93</v>
      </c>
      <c r="J5" s="2"/>
      <c r="K5" s="2"/>
      <c r="L5" s="15" t="s">
        <v>39</v>
      </c>
      <c r="M5" s="12">
        <f>G12</f>
        <v>8.9</v>
      </c>
      <c r="N5" s="12">
        <f>H12</f>
        <v>8.9</v>
      </c>
      <c r="O5" s="12">
        <f>I12</f>
        <v>7.2</v>
      </c>
      <c r="P5" s="2"/>
      <c r="Q5" s="2"/>
      <c r="R5" s="2"/>
      <c r="S5" s="2" t="s">
        <v>61</v>
      </c>
      <c r="T5" s="2" t="s">
        <v>62</v>
      </c>
      <c r="U5" s="2" t="s">
        <v>93</v>
      </c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x14ac:dyDescent="0.25">
      <c r="A6" s="2"/>
      <c r="B6" s="3" t="s">
        <v>63</v>
      </c>
      <c r="C6" s="22"/>
      <c r="D6" s="22"/>
      <c r="E6" s="22"/>
      <c r="F6" s="34" t="s">
        <v>60</v>
      </c>
      <c r="G6" s="32">
        <f>IF(S6="",(C7-C6+IF(C6&gt;0.25,1,0))*24,S6)</f>
        <v>0</v>
      </c>
      <c r="H6" s="32">
        <f>IF(T6="",(D7-D6+IF(D6&gt;0.25,1,0))*24,T6)</f>
        <v>0</v>
      </c>
      <c r="I6" s="32">
        <f>IF(U6="",(E7-E6+IF(E6&gt;0.25,1,0))*24,U6)</f>
        <v>0</v>
      </c>
      <c r="J6" s="2"/>
      <c r="K6" s="2"/>
      <c r="L6" s="15" t="s">
        <v>30</v>
      </c>
      <c r="M6" s="13">
        <f>SUMIFS(Report!$O:$O,Report!$B:$B,M4)</f>
        <v>323</v>
      </c>
      <c r="N6" s="13">
        <f>SUMIFS(Report!$O:$O,Report!$B:$B,N4)</f>
        <v>178</v>
      </c>
      <c r="O6" s="13">
        <f>SUMIFS(Report!$O:$O,Report!$B:$B,O4)</f>
        <v>20</v>
      </c>
      <c r="P6" s="2"/>
      <c r="Q6" s="2"/>
      <c r="R6" s="2" t="s">
        <v>60</v>
      </c>
      <c r="S6" s="24"/>
      <c r="T6" s="24"/>
      <c r="U6" s="24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x14ac:dyDescent="0.25">
      <c r="A7" s="2"/>
      <c r="B7" s="3" t="s">
        <v>53</v>
      </c>
      <c r="C7" s="22"/>
      <c r="D7" s="22"/>
      <c r="E7" s="22"/>
      <c r="F7" s="34"/>
      <c r="G7" s="33"/>
      <c r="H7" s="33"/>
      <c r="I7" s="33"/>
      <c r="J7" s="2"/>
      <c r="K7" s="2"/>
      <c r="L7" s="15" t="s">
        <v>31</v>
      </c>
      <c r="M7" s="13">
        <f>SUMIFS(Report!$P:$P,Report!$B:$B,M4)+M6</f>
        <v>393</v>
      </c>
      <c r="N7" s="13">
        <f>SUMIFS(Report!$P:$P,Report!$B:$B,N4)+N6</f>
        <v>194</v>
      </c>
      <c r="O7" s="13">
        <f>SUMIFS(Report!$P:$P,Report!$B:$B,O4)+O6</f>
        <v>45</v>
      </c>
      <c r="P7" s="2"/>
      <c r="Q7" s="2"/>
      <c r="R7" s="2" t="s">
        <v>58</v>
      </c>
      <c r="S7" s="24">
        <v>8.9</v>
      </c>
      <c r="T7" s="24">
        <v>8.9</v>
      </c>
      <c r="U7" s="24">
        <v>7.2</v>
      </c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x14ac:dyDescent="0.25">
      <c r="A8" s="2"/>
      <c r="B8" s="3" t="s">
        <v>64</v>
      </c>
      <c r="C8" s="22">
        <v>0.29166666666666669</v>
      </c>
      <c r="D8" s="22">
        <v>0.29166666666666669</v>
      </c>
      <c r="E8" s="22">
        <v>0.29166666666666669</v>
      </c>
      <c r="F8" s="40" t="s">
        <v>58</v>
      </c>
      <c r="G8" s="32">
        <f>IF(S7="",IF(C8="",0,((IF(C9&lt;0.5,C9+1,C9)-C8)*24))-IF(IF(C8="",0,((IF(C9&lt;0.5,C9+1,C9)-C8)*24))&gt;24,24,0),S7)</f>
        <v>8.9</v>
      </c>
      <c r="H8" s="32">
        <f>IF(T7="",IF(D8="",0,((IF(D9&lt;0.5,D9+1,D9)-D8)*24))-IF(IF(D8="",0,((IF(D9&lt;0.5,D9+1,D9)-D8)*24))&gt;24,24,0),T7)</f>
        <v>8.9</v>
      </c>
      <c r="I8" s="32">
        <f>IF(U7="",IF(E8="",0,((IF(E9&lt;0.5,E9+1,E9)-E8)*24))-IF(IF(E8="",0,((IF(E9&lt;0.5,E9+1,E9)-E8)*24))&gt;24,24,0),U7)</f>
        <v>7.2</v>
      </c>
      <c r="J8" s="2"/>
      <c r="K8" s="2"/>
      <c r="L8" s="15" t="s">
        <v>32</v>
      </c>
      <c r="M8" s="12">
        <f>IF(M7=0,"",M7/M6)</f>
        <v>1.21671826625387</v>
      </c>
      <c r="N8" s="12">
        <f>IF(N7=0,"",N7/N6)</f>
        <v>1.0898876404494382</v>
      </c>
      <c r="O8" s="12">
        <f>IF(O7=0,"",O7/O6)</f>
        <v>2.25</v>
      </c>
      <c r="P8" s="2"/>
      <c r="Q8" s="2"/>
      <c r="R8" s="2" t="s">
        <v>59</v>
      </c>
      <c r="S8" s="24"/>
      <c r="T8" s="24"/>
      <c r="U8" s="24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A9" s="2"/>
      <c r="B9" s="3" t="s">
        <v>51</v>
      </c>
      <c r="C9" s="22">
        <v>0.70833333333333337</v>
      </c>
      <c r="D9" s="22">
        <v>0.70833333333333337</v>
      </c>
      <c r="E9" s="22">
        <v>0.70833333333333337</v>
      </c>
      <c r="F9" s="40"/>
      <c r="G9" s="33"/>
      <c r="H9" s="33"/>
      <c r="I9" s="33"/>
      <c r="J9" s="2"/>
      <c r="K9" s="2"/>
      <c r="L9" s="15" t="s">
        <v>33</v>
      </c>
      <c r="M9" s="13">
        <f>SUMIFS(Report!$W:$W,Report!$B:$B,M4)+SUMIFS(Report!$X:$X,Report!$B:$B,M4)+SUMIFS(Report!$Y:$Y,Report!$B:$B,M4)+SUMIFS(Report!$Z:$Z,Report!$B:$B,M4)</f>
        <v>506.35602222222229</v>
      </c>
      <c r="N9" s="13">
        <f>SUMIFS(Report!$W:$W,Report!$B:$B,N4)+SUMIFS(Report!$X:$X,Report!$B:$B,N4)+SUMIFS(Report!$Y:$Y,Report!$B:$B,N4)+SUMIFS(Report!$Z:$Z,Report!$B:$B,N4)</f>
        <v>253.92524444444427</v>
      </c>
      <c r="O9" s="13">
        <f>SUMIFS(Report!$W:$W,Report!$B:$B,O4)+SUMIFS(Report!$X:$X,Report!$B:$B,O4)+SUMIFS(Report!$Y:$Y,Report!$B:$B,O4)+SUMIFS(Report!$Z:$Z,Report!$B:$B,O4)</f>
        <v>42.875888888888895</v>
      </c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x14ac:dyDescent="0.25">
      <c r="A10" s="2"/>
      <c r="B10" s="3" t="s">
        <v>52</v>
      </c>
      <c r="C10" s="22"/>
      <c r="D10" s="22"/>
      <c r="E10" s="22"/>
      <c r="F10" s="41" t="s">
        <v>59</v>
      </c>
      <c r="G10" s="32">
        <f>IF(S8="",IF(C10="",0,(C11-C10+IF(C11&lt;0.25,1,0))*24),S8)</f>
        <v>0</v>
      </c>
      <c r="H10" s="32">
        <f>IF(T8="",IF(D10="",0,(D11-D10+IF(D11&lt;0.5,1,0))*24),T8)</f>
        <v>0</v>
      </c>
      <c r="I10" s="32">
        <f>IF(U8="",IF(E10="",0,(E11-E10+IF(E11&lt;0.5,1,0))*24),U8)</f>
        <v>0</v>
      </c>
      <c r="J10" s="2"/>
      <c r="K10" s="2"/>
      <c r="L10" s="15" t="s">
        <v>34</v>
      </c>
      <c r="M10" s="13">
        <f>47.65*M5</f>
        <v>424.08499999999998</v>
      </c>
      <c r="N10" s="13">
        <f>47.65*N5</f>
        <v>424.08499999999998</v>
      </c>
      <c r="O10" s="13">
        <f>47.65*O5</f>
        <v>343.08</v>
      </c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x14ac:dyDescent="0.25">
      <c r="A11" s="2"/>
      <c r="B11" s="3" t="s">
        <v>50</v>
      </c>
      <c r="C11" s="22"/>
      <c r="D11" s="22"/>
      <c r="E11" s="22"/>
      <c r="F11" s="41"/>
      <c r="G11" s="33"/>
      <c r="H11" s="33"/>
      <c r="I11" s="33"/>
      <c r="J11" s="2"/>
      <c r="K11" s="2"/>
      <c r="L11" s="15" t="s">
        <v>35</v>
      </c>
      <c r="M11" s="14">
        <f>IF(M10=0,"",M9/M10)</f>
        <v>1.1939965389538001</v>
      </c>
      <c r="N11" s="14">
        <f>IF(N10=0,"",N9/N10)</f>
        <v>0.59876025901516039</v>
      </c>
      <c r="O11" s="14">
        <f>IF(O10=0,"",O9/O10)</f>
        <v>0.12497344318785385</v>
      </c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x14ac:dyDescent="0.25">
      <c r="A12" s="2"/>
      <c r="B12" s="2"/>
      <c r="C12" s="2"/>
      <c r="D12" s="2"/>
      <c r="E12" s="39" t="s">
        <v>57</v>
      </c>
      <c r="F12" s="40"/>
      <c r="G12" s="30">
        <f>SUM(G6:G10)</f>
        <v>8.9</v>
      </c>
      <c r="H12" s="30">
        <f>SUM(H6:H11)</f>
        <v>8.9</v>
      </c>
      <c r="I12" s="30">
        <f>SUM(I6:I11)</f>
        <v>7.2</v>
      </c>
      <c r="J12" s="2"/>
      <c r="K12" s="2"/>
      <c r="L12" s="15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A13" s="2"/>
      <c r="B13" s="2"/>
      <c r="C13" s="2"/>
      <c r="D13" s="2"/>
      <c r="E13" s="39"/>
      <c r="F13" s="40"/>
      <c r="G13" s="31"/>
      <c r="H13" s="31"/>
      <c r="I13" s="31"/>
      <c r="J13" s="2"/>
      <c r="K13" s="2"/>
      <c r="L13" s="15" t="s">
        <v>36</v>
      </c>
      <c r="M13" s="12">
        <f>IF(M5=0,"",M7/(M5))</f>
        <v>44.157303370786515</v>
      </c>
      <c r="N13" s="12">
        <f>IF(N5=0,"",N7/(N5))</f>
        <v>21.797752808988765</v>
      </c>
      <c r="O13" s="12">
        <f>IF(O5=0,"",O7/(O5))</f>
        <v>6.25</v>
      </c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15" t="s">
        <v>37</v>
      </c>
      <c r="M14" s="12">
        <f>IF(M11="","",M13/M11)</f>
        <v>36.982773341602723</v>
      </c>
      <c r="N14" s="12">
        <f>IF(N11="","",N13/N11)</f>
        <v>36.404808904387984</v>
      </c>
      <c r="O14" s="12">
        <f>IF(O11="","",O13/O11)</f>
        <v>50.010624982183707</v>
      </c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15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15" t="s">
        <v>65</v>
      </c>
      <c r="M16" s="13">
        <f>COUNTIFS(Report!$B:$B,'Control Panel'!M4,Report!$AA:$AA,1)</f>
        <v>281</v>
      </c>
      <c r="N16" s="13">
        <f>COUNTIFS(Report!$B:$B,'Control Panel'!N4,Report!$AA:$AA,1)</f>
        <v>163</v>
      </c>
      <c r="O16" s="13">
        <f>COUNTIFS(Report!$B:$B,'Control Panel'!O4,Report!$AA:$AA,1)</f>
        <v>11</v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15" t="s">
        <v>66</v>
      </c>
      <c r="M17" s="13">
        <f>COUNTIFS(Report!$B:$B,'Control Panel'!M4,Report!$AA:$AA,2)</f>
        <v>27</v>
      </c>
      <c r="N17" s="13">
        <f>COUNTIFS(Report!$B:$B,'Control Panel'!N4,Report!$AA:$AA,2)</f>
        <v>14</v>
      </c>
      <c r="O17" s="13">
        <f>COUNTIFS(Report!$B:$B,'Control Panel'!O4,Report!$AA:$AA,2)</f>
        <v>3</v>
      </c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15" t="s">
        <v>67</v>
      </c>
      <c r="M18" s="13">
        <f>COUNTIFS(Report!$B:$B,'Control Panel'!M4,Report!$AA:$AA,"&gt;=3",Report!$AA:$AA,"&lt;=5")</f>
        <v>14</v>
      </c>
      <c r="N18" s="13">
        <f>COUNTIFS(Report!$B:$B,'Control Panel'!N4,Report!$AA:$AA,"&gt;=3",Report!$AA:$AA,"&lt;=5")</f>
        <v>1</v>
      </c>
      <c r="O18" s="13">
        <f>COUNTIFS(Report!$B:$B,'Control Panel'!O4,Report!$AA:$AA,"&gt;=3",Report!$AA:$AA,"&lt;=5")</f>
        <v>4</v>
      </c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15" t="s">
        <v>68</v>
      </c>
      <c r="M19" s="13">
        <f>COUNTIFS(Report!$B:$B,'Control Panel'!M4,Report!$AA:$AA,"&gt;=6")</f>
        <v>1</v>
      </c>
      <c r="N19" s="13">
        <f>COUNTIFS(Report!$B:$B,'Control Panel'!N4,Report!$AA:$AA,"&gt;=6")</f>
        <v>0</v>
      </c>
      <c r="O19" s="13">
        <f>COUNTIFS(Report!$B:$B,'Control Panel'!O4,Report!$AA:$AA,"&gt;=6")</f>
        <v>2</v>
      </c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5.75" thickBo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17"/>
      <c r="M20" s="18"/>
      <c r="N20" s="18"/>
      <c r="O20" s="19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9.5" thickBot="1" x14ac:dyDescent="0.35">
      <c r="A22" s="2"/>
      <c r="B22" s="36" t="s">
        <v>54</v>
      </c>
      <c r="C22" s="37"/>
      <c r="D22" s="37"/>
      <c r="E22" s="38"/>
      <c r="F22" s="2"/>
      <c r="G22" s="36" t="s">
        <v>55</v>
      </c>
      <c r="H22" s="37"/>
      <c r="I22" s="37"/>
      <c r="J22" s="38"/>
      <c r="K22" s="2"/>
      <c r="L22" s="36" t="s">
        <v>56</v>
      </c>
      <c r="M22" s="37"/>
      <c r="N22" s="37"/>
      <c r="O22" s="38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5.75" thickTop="1" x14ac:dyDescent="0.25">
      <c r="A23" s="2"/>
      <c r="B23" s="15"/>
      <c r="C23" s="11" t="s">
        <v>10</v>
      </c>
      <c r="D23" s="2" t="s">
        <v>9</v>
      </c>
      <c r="E23" s="16" t="s">
        <v>92</v>
      </c>
      <c r="F23" s="2"/>
      <c r="G23" s="15"/>
      <c r="H23" s="11" t="s">
        <v>10</v>
      </c>
      <c r="I23" s="2" t="s">
        <v>9</v>
      </c>
      <c r="J23" s="16" t="s">
        <v>92</v>
      </c>
      <c r="K23" s="2"/>
      <c r="L23" s="15"/>
      <c r="M23" s="11" t="s">
        <v>10</v>
      </c>
      <c r="N23" s="2" t="s">
        <v>9</v>
      </c>
      <c r="O23" s="16" t="s">
        <v>92</v>
      </c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x14ac:dyDescent="0.25">
      <c r="A24" s="2"/>
      <c r="B24" s="15" t="s">
        <v>39</v>
      </c>
      <c r="C24" s="12">
        <f>G8</f>
        <v>8.9</v>
      </c>
      <c r="D24" s="12">
        <f>H8</f>
        <v>8.9</v>
      </c>
      <c r="E24" s="12">
        <f>I8</f>
        <v>7.2</v>
      </c>
      <c r="F24" s="2"/>
      <c r="G24" s="15" t="s">
        <v>39</v>
      </c>
      <c r="H24" s="12">
        <f>G10</f>
        <v>0</v>
      </c>
      <c r="I24" s="12">
        <f>H10</f>
        <v>0</v>
      </c>
      <c r="J24" s="12">
        <f>I10</f>
        <v>0</v>
      </c>
      <c r="K24" s="2"/>
      <c r="L24" s="15" t="s">
        <v>39</v>
      </c>
      <c r="M24" s="12">
        <f>G6</f>
        <v>0</v>
      </c>
      <c r="N24" s="12">
        <f>H6</f>
        <v>0</v>
      </c>
      <c r="O24" s="12">
        <f>I6</f>
        <v>0</v>
      </c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x14ac:dyDescent="0.25">
      <c r="A25" s="2"/>
      <c r="B25" s="15" t="s">
        <v>30</v>
      </c>
      <c r="C25" s="13">
        <f>SUMIFS(Report!$O:$O,Report!$B:$B,C23,Report!$F:$F,1)</f>
        <v>323</v>
      </c>
      <c r="D25" s="13">
        <f>SUMIFS(Report!$O:$O,Report!$B:$B,D23,Report!$F:$F,1)</f>
        <v>178</v>
      </c>
      <c r="E25" s="13">
        <f>SUMIFS(Report!$O:$O,Report!$B:$B,E23,Report!$F:$F,1)</f>
        <v>20</v>
      </c>
      <c r="F25" s="2"/>
      <c r="G25" s="15" t="s">
        <v>30</v>
      </c>
      <c r="H25" s="13">
        <f>SUMIFS(Report!$O:$O,Report!$B:$B,H23,Report!$F:$F,2)</f>
        <v>0</v>
      </c>
      <c r="I25" s="13">
        <f>SUMIFS(Report!$O:$O,Report!$B:$B,I23,Report!$F:$F,2)</f>
        <v>0</v>
      </c>
      <c r="J25" s="13">
        <f>SUMIFS(Report!$O:$O,Report!$B:$B,J23,Report!$F:$F,2)</f>
        <v>0</v>
      </c>
      <c r="K25" s="2"/>
      <c r="L25" s="15" t="s">
        <v>30</v>
      </c>
      <c r="M25" s="13">
        <f>SUMIFS(Report!$O:$O,Report!$B:$B,M23,Report!$F:$F,3)</f>
        <v>0</v>
      </c>
      <c r="N25" s="13">
        <f>SUMIFS(Report!$O:$O,Report!$B:$B,N23,Report!$F:$F,3)</f>
        <v>0</v>
      </c>
      <c r="O25" s="13">
        <f>SUMIFS(Report!$O:$O,Report!$B:$B,O23,Report!$F:$F,3)</f>
        <v>0</v>
      </c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2"/>
      <c r="B26" s="15" t="s">
        <v>31</v>
      </c>
      <c r="C26" s="13">
        <f>SUMIFS(Report!$P:$P,Report!$B:$B,C23,Report!$F:$F,1)+C25</f>
        <v>393</v>
      </c>
      <c r="D26" s="13">
        <f>SUMIFS(Report!$P:$P,Report!$B:$B,D23,Report!$F:$F,1)+D25</f>
        <v>194</v>
      </c>
      <c r="E26" s="13">
        <f>SUMIFS(Report!$P:$P,Report!$B:$B,E23,Report!$F:$F,1)+E25</f>
        <v>45</v>
      </c>
      <c r="F26" s="2"/>
      <c r="G26" s="15" t="s">
        <v>31</v>
      </c>
      <c r="H26" s="13">
        <f>SUMIFS(Report!$P:$P,Report!$B:$B,H23,Report!$F:$F,2)+H25</f>
        <v>0</v>
      </c>
      <c r="I26" s="13">
        <f>SUMIFS(Report!$P:$P,Report!$B:$B,I23,Report!$F:$F,2)+I25</f>
        <v>0</v>
      </c>
      <c r="J26" s="13">
        <f>SUMIFS(Report!$P:$P,Report!$B:$B,J23,Report!$F:$F,2)+J25</f>
        <v>0</v>
      </c>
      <c r="K26" s="2"/>
      <c r="L26" s="15" t="s">
        <v>31</v>
      </c>
      <c r="M26" s="13">
        <f>SUMIFS(Report!$P:$P,Report!$B:$B,M23,Report!$F:$F,3)+M25</f>
        <v>0</v>
      </c>
      <c r="N26" s="13">
        <f>SUMIFS(Report!$P:$P,Report!$B:$B,N23,Report!$F:$F,3)+N25</f>
        <v>0</v>
      </c>
      <c r="O26" s="13">
        <f>SUMIFS(Report!$P:$P,Report!$B:$B,O23,Report!$F:$F,3)+O25</f>
        <v>0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x14ac:dyDescent="0.25">
      <c r="A27" s="2"/>
      <c r="B27" s="15" t="s">
        <v>32</v>
      </c>
      <c r="C27" s="12">
        <f>IF(C26=0,"",C26/C25)</f>
        <v>1.21671826625387</v>
      </c>
      <c r="D27" s="12">
        <f>IF(D26=0,"",D26/D25)</f>
        <v>1.0898876404494382</v>
      </c>
      <c r="E27" s="12">
        <f>IF(E26=0,"",E26/E25)</f>
        <v>2.25</v>
      </c>
      <c r="F27" s="2"/>
      <c r="G27" s="15" t="s">
        <v>32</v>
      </c>
      <c r="H27" s="12" t="str">
        <f>IF(H26=0,"",H26/H25)</f>
        <v/>
      </c>
      <c r="I27" s="12" t="str">
        <f>IF(I26=0,"",I26/I25)</f>
        <v/>
      </c>
      <c r="J27" s="12" t="str">
        <f>IF(J26=0,"",J26/J25)</f>
        <v/>
      </c>
      <c r="K27" s="2"/>
      <c r="L27" s="15" t="s">
        <v>32</v>
      </c>
      <c r="M27" s="12" t="str">
        <f>IF(M26=0,"",M26/M25)</f>
        <v/>
      </c>
      <c r="N27" s="12" t="str">
        <f>IF(N26=0,"",N26/N25)</f>
        <v/>
      </c>
      <c r="O27" s="12" t="str">
        <f>IF(O26=0,"",O26/O25)</f>
        <v/>
      </c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x14ac:dyDescent="0.25">
      <c r="A28" s="2"/>
      <c r="B28" s="15" t="s">
        <v>33</v>
      </c>
      <c r="C28" s="13">
        <f>SUMIFS(Report!$W:$W,Report!$B:$B,C23,Report!$F:$F,1)+SUMIFS(Report!$X:$X,Report!$B:$B,C23,Report!$F:$F,1)+SUMIFS(Report!$Y:$Y,Report!$B:$B,C23,Report!$F:$F,1)+SUMIFS(Report!$Z:$Z,Report!$B:$B,C23,Report!$F:$F,1)</f>
        <v>506.35602222222229</v>
      </c>
      <c r="D28" s="13">
        <f>SUMIFS(Report!$W:$W,Report!$B:$B,D23,Report!$F:$F,1)+SUMIFS(Report!$X:$X,Report!$B:$B,D23,Report!$F:$F,1)+SUMIFS(Report!$Y:$Y,Report!$B:$B,D23,Report!$F:$F,1)+SUMIFS(Report!$Z:$Z,Report!$B:$B,D23,Report!$F:$F,1)</f>
        <v>253.92524444444427</v>
      </c>
      <c r="E28" s="13">
        <f>SUMIFS(Report!$W:$W,Report!$B:$B,E23,Report!$F:$F,1)+SUMIFS(Report!$X:$X,Report!$B:$B,E23,Report!$F:$F,1)+SUMIFS(Report!$Y:$Y,Report!$B:$B,E23,Report!$F:$F,1)+SUMIFS(Report!$Z:$Z,Report!$B:$B,E23,Report!$F:$F,1)</f>
        <v>42.875888888888895</v>
      </c>
      <c r="F28" s="2"/>
      <c r="G28" s="15" t="s">
        <v>33</v>
      </c>
      <c r="H28" s="13">
        <f>SUMIFS(Report!$W:$W,Report!$B:$B,H23,Report!$F:$F,2)+SUMIFS(Report!$X:$X,Report!$B:$B,H23,Report!$F:$F,2)+SUMIFS(Report!$Y:$Y,Report!$B:$B,H23,Report!$F:$F,2)+SUMIFS(Report!$Z:$Z,Report!$B:$B,H23,Report!$F:$F,2)</f>
        <v>0</v>
      </c>
      <c r="I28" s="13">
        <f>SUMIFS(Report!$W:$W,Report!$B:$B,I23,Report!$F:$F,2)+SUMIFS(Report!$X:$X,Report!$B:$B,I23,Report!$F:$F,2)+SUMIFS(Report!$Y:$Y,Report!$B:$B,I23,Report!$F:$F,2)+SUMIFS(Report!$Z:$Z,Report!$B:$B,I23,Report!$F:$F,2)</f>
        <v>0</v>
      </c>
      <c r="J28" s="13">
        <f>SUMIFS(Report!$W:$W,Report!$B:$B,J23,Report!$F:$F,2)+SUMIFS(Report!$X:$X,Report!$B:$B,J23,Report!$F:$F,2)+SUMIFS(Report!$Y:$Y,Report!$B:$B,J23,Report!$F:$F,2)+SUMIFS(Report!$Z:$Z,Report!$B:$B,J23,Report!$F:$F,2)</f>
        <v>0</v>
      </c>
      <c r="K28" s="2"/>
      <c r="L28" s="15" t="s">
        <v>33</v>
      </c>
      <c r="M28" s="13">
        <f>SUMIFS(Report!$W:$W,Report!$B:$B,M23,Report!$F:$F,3)+SUMIFS(Report!$X:$X,Report!$B:$B,M23,Report!$F:$F,3)+SUMIFS(Report!$Y:$Y,Report!$B:$B,M23,Report!$F:$F,3)+SUMIFS(Report!$Z:$Z,Report!$B:$B,M23,Report!$F:$F,3)</f>
        <v>0</v>
      </c>
      <c r="N28" s="13">
        <f>SUMIFS(Report!$W:$W,Report!$B:$B,N23,Report!$F:$F,3)+SUMIFS(Report!$X:$X,Report!$B:$B,N23,Report!$F:$F,3)+SUMIFS(Report!$Y:$Y,Report!$B:$B,N23,Report!$F:$F,3)+SUMIFS(Report!$Z:$Z,Report!$B:$B,N23,Report!$F:$F,3)</f>
        <v>0</v>
      </c>
      <c r="O28" s="13">
        <f>SUMIFS(Report!$W:$W,Report!$B:$B,O23,Report!$F:$F,3)+SUMIFS(Report!$X:$X,Report!$B:$B,O23,Report!$F:$F,3)+SUMIFS(Report!$Y:$Y,Report!$B:$B,O23,Report!$F:$F,3)+SUMIFS(Report!$Z:$Z,Report!$B:$B,O23,Report!$F:$F,3)</f>
        <v>0</v>
      </c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A29" s="2"/>
      <c r="B29" s="15" t="s">
        <v>34</v>
      </c>
      <c r="C29" s="13">
        <f>47.65*C24</f>
        <v>424.08499999999998</v>
      </c>
      <c r="D29" s="13">
        <f>47.65*D24</f>
        <v>424.08499999999998</v>
      </c>
      <c r="E29" s="13">
        <f>47.65*E24</f>
        <v>343.08</v>
      </c>
      <c r="F29" s="2"/>
      <c r="G29" s="15" t="s">
        <v>34</v>
      </c>
      <c r="H29" s="13">
        <f>47.65*H24</f>
        <v>0</v>
      </c>
      <c r="I29" s="13">
        <f>47.65*I24</f>
        <v>0</v>
      </c>
      <c r="J29" s="13">
        <f>47.65*J24</f>
        <v>0</v>
      </c>
      <c r="K29" s="2"/>
      <c r="L29" s="15" t="s">
        <v>34</v>
      </c>
      <c r="M29" s="13">
        <f>47.65*M24</f>
        <v>0</v>
      </c>
      <c r="N29" s="13">
        <f>47.65*N24</f>
        <v>0</v>
      </c>
      <c r="O29" s="13">
        <f>47.65*O24</f>
        <v>0</v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A30" s="2"/>
      <c r="B30" s="15" t="s">
        <v>35</v>
      </c>
      <c r="C30" s="14">
        <f>IF(C29=0,"",C28/C29)</f>
        <v>1.1939965389538001</v>
      </c>
      <c r="D30" s="14">
        <f>IF(D29=0,"",D28/D29)</f>
        <v>0.59876025901516039</v>
      </c>
      <c r="E30" s="14">
        <f>IF(E29=0,"",E28/E29)</f>
        <v>0.12497344318785385</v>
      </c>
      <c r="F30" s="2"/>
      <c r="G30" s="15" t="s">
        <v>35</v>
      </c>
      <c r="H30" s="14" t="str">
        <f>IF(H29=0,"",H28/H29)</f>
        <v/>
      </c>
      <c r="I30" s="14" t="str">
        <f>IF(I29=0,"",I28/I29)</f>
        <v/>
      </c>
      <c r="J30" s="14" t="str">
        <f>IF(J29=0,"",J28/J29)</f>
        <v/>
      </c>
      <c r="K30" s="2"/>
      <c r="L30" s="15" t="s">
        <v>35</v>
      </c>
      <c r="M30" s="14" t="str">
        <f>IF(M29=0,"",M28/M29)</f>
        <v/>
      </c>
      <c r="N30" s="14" t="str">
        <f>IF(N29=0,"",N28/N29)</f>
        <v/>
      </c>
      <c r="O30" s="14" t="str">
        <f>IF(O29=0,"",O28/O29)</f>
        <v/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x14ac:dyDescent="0.25">
      <c r="A31" s="2"/>
      <c r="B31" s="15"/>
      <c r="C31" s="2"/>
      <c r="D31" s="2"/>
      <c r="E31" s="2"/>
      <c r="F31" s="2"/>
      <c r="G31" s="15"/>
      <c r="H31" s="2"/>
      <c r="I31" s="2"/>
      <c r="J31" s="2"/>
      <c r="K31" s="2"/>
      <c r="L31" s="15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x14ac:dyDescent="0.25">
      <c r="A32" s="2"/>
      <c r="B32" s="15" t="s">
        <v>36</v>
      </c>
      <c r="C32" s="12">
        <f>IF(C24=0,"",C26/(C24))</f>
        <v>44.157303370786515</v>
      </c>
      <c r="D32" s="12">
        <f>IF(D24=0,"",D26/(D24))</f>
        <v>21.797752808988765</v>
      </c>
      <c r="E32" s="12">
        <f>IF(E24=0,"",E26/(E24))</f>
        <v>6.25</v>
      </c>
      <c r="F32" s="2"/>
      <c r="G32" s="15" t="s">
        <v>36</v>
      </c>
      <c r="H32" s="12" t="str">
        <f>IF(H24=0,"",H26/(H24))</f>
        <v/>
      </c>
      <c r="I32" s="12" t="str">
        <f>IF(I24=0,"",I26/(I24))</f>
        <v/>
      </c>
      <c r="J32" s="12" t="str">
        <f>IF(J24=0,"",J26/(J24))</f>
        <v/>
      </c>
      <c r="K32" s="2"/>
      <c r="L32" s="15" t="s">
        <v>36</v>
      </c>
      <c r="M32" s="12" t="str">
        <f>IF(M24=0,"",M26/(M24))</f>
        <v/>
      </c>
      <c r="N32" s="12" t="str">
        <f>IF(N24=0,"",N26/(N24))</f>
        <v/>
      </c>
      <c r="O32" s="12" t="str">
        <f>IF(O24=0,"",O26/(O24))</f>
        <v/>
      </c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x14ac:dyDescent="0.25">
      <c r="A33" s="2"/>
      <c r="B33" s="15" t="s">
        <v>37</v>
      </c>
      <c r="C33" s="12">
        <f>IF(C30="","",C32/C30)</f>
        <v>36.982773341602723</v>
      </c>
      <c r="D33" s="12">
        <f>IF(D30="","",D32/D30)</f>
        <v>36.404808904387984</v>
      </c>
      <c r="E33" s="12">
        <f>IF(E30="","",E32/E30)</f>
        <v>50.010624982183707</v>
      </c>
      <c r="F33" s="2"/>
      <c r="G33" s="15" t="s">
        <v>37</v>
      </c>
      <c r="H33" s="12" t="str">
        <f>IF(H30="","",H32/H30)</f>
        <v/>
      </c>
      <c r="I33" s="12" t="str">
        <f>IF(I30="","",I32/I30)</f>
        <v/>
      </c>
      <c r="J33" s="12" t="str">
        <f>IF(J30="","",J32/J30)</f>
        <v/>
      </c>
      <c r="K33" s="2"/>
      <c r="L33" s="15" t="s">
        <v>37</v>
      </c>
      <c r="M33" s="12" t="str">
        <f>IFERROR(IF(M30="","",M32/M30),0)</f>
        <v/>
      </c>
      <c r="N33" s="12" t="str">
        <f>IF(N30="","",N32/N30)</f>
        <v/>
      </c>
      <c r="O33" s="12" t="str">
        <f>IF(O30="","",O32/O30)</f>
        <v/>
      </c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x14ac:dyDescent="0.25">
      <c r="A34" s="2"/>
      <c r="B34" s="15"/>
      <c r="C34" s="2"/>
      <c r="D34" s="2"/>
      <c r="E34" s="2"/>
      <c r="F34" s="2"/>
      <c r="G34" s="15"/>
      <c r="H34" s="2"/>
      <c r="I34" s="2"/>
      <c r="J34" s="2"/>
      <c r="K34" s="2"/>
      <c r="L34" s="15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x14ac:dyDescent="0.25">
      <c r="A35" s="2"/>
      <c r="B35" s="15" t="s">
        <v>65</v>
      </c>
      <c r="C35" s="13">
        <f>COUNTIFS(Report!$B:$B,'Control Panel'!C23,Report!$F:$F,1,Report!$AA:$AA,1)</f>
        <v>281</v>
      </c>
      <c r="D35" s="13">
        <f>COUNTIFS(Report!$B:$B,'Control Panel'!D23,Report!$F:$F,1,Report!$AA:$AA,1)</f>
        <v>163</v>
      </c>
      <c r="E35" s="13">
        <f>COUNTIFS(Report!$B:$B,'Control Panel'!E23,Report!$F:$F,1,Report!$AA:$AA,1)</f>
        <v>11</v>
      </c>
      <c r="F35" s="2"/>
      <c r="G35" s="15" t="s">
        <v>65</v>
      </c>
      <c r="H35" s="13">
        <f>COUNTIFS(Report!$B:$B,'Control Panel'!H23,Report!$F:$F,2,Report!$AA:$AA,1)</f>
        <v>0</v>
      </c>
      <c r="I35" s="13">
        <f>COUNTIFS(Report!$B:$B,'Control Panel'!I23,Report!$F:$F,2,Report!$AA:$AA,1)</f>
        <v>0</v>
      </c>
      <c r="J35" s="13">
        <f>COUNTIFS(Report!$B:$B,'Control Panel'!J23,Report!$F:$F,2,Report!$AA:$AA,1)</f>
        <v>0</v>
      </c>
      <c r="K35" s="2"/>
      <c r="L35" s="15" t="s">
        <v>65</v>
      </c>
      <c r="M35" s="13">
        <f>COUNTIFS(Report!$B:$B,'Control Panel'!M23,Report!$F:$F,3,Report!$AA:$AA,1)</f>
        <v>0</v>
      </c>
      <c r="N35" s="13">
        <f>COUNTIFS(Report!$B:$B,'Control Panel'!N23,Report!$F:$F,3,Report!$AA:$AA,1)</f>
        <v>0</v>
      </c>
      <c r="O35" s="13">
        <f>COUNTIFS(Report!$B:$B,'Control Panel'!O23,Report!$F:$F,3,Report!$AA:$AA,1)</f>
        <v>0</v>
      </c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x14ac:dyDescent="0.25">
      <c r="A36" s="2"/>
      <c r="B36" s="15" t="s">
        <v>66</v>
      </c>
      <c r="C36" s="13">
        <f>COUNTIFS(Report!$B:$B,'Control Panel'!C23,Report!$F:$F,1,Report!$AA:$AA,2)</f>
        <v>27</v>
      </c>
      <c r="D36" s="13">
        <f>COUNTIFS(Report!$B:$B,'Control Panel'!D23,Report!$F:$F,1,Report!$AA:$AA,2)</f>
        <v>14</v>
      </c>
      <c r="E36" s="13">
        <f>COUNTIFS(Report!$B:$B,'Control Panel'!E23,Report!$F:$F,1,Report!$AA:$AA,2)</f>
        <v>3</v>
      </c>
      <c r="F36" s="2"/>
      <c r="G36" s="15" t="s">
        <v>66</v>
      </c>
      <c r="H36" s="13">
        <f>COUNTIFS(Report!$B:$B,'Control Panel'!H23,Report!$F:$F,2,Report!$AA:$AA,2)</f>
        <v>0</v>
      </c>
      <c r="I36" s="13">
        <f>COUNTIFS(Report!$B:$B,'Control Panel'!I23,Report!$F:$F,2,Report!$AA:$AA,2)</f>
        <v>0</v>
      </c>
      <c r="J36" s="13">
        <f>COUNTIFS(Report!$B:$B,'Control Panel'!J23,Report!$F:$F,2,Report!$AA:$AA,2)</f>
        <v>0</v>
      </c>
      <c r="K36" s="2"/>
      <c r="L36" s="15" t="s">
        <v>66</v>
      </c>
      <c r="M36" s="13">
        <f>COUNTIFS(Report!$B:$B,'Control Panel'!M23,Report!$F:$F,3,Report!$AA:$AA,2)</f>
        <v>0</v>
      </c>
      <c r="N36" s="13">
        <f>COUNTIFS(Report!$B:$B,'Control Panel'!N23,Report!$F:$F,3,Report!$AA:$AA,2)</f>
        <v>0</v>
      </c>
      <c r="O36" s="13">
        <f>COUNTIFS(Report!$B:$B,'Control Panel'!O23,Report!$F:$F,3,Report!$AA:$AA,2)</f>
        <v>0</v>
      </c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x14ac:dyDescent="0.25">
      <c r="A37" s="2"/>
      <c r="B37" s="15" t="s">
        <v>67</v>
      </c>
      <c r="C37" s="13">
        <f>COUNTIFS(Report!$B:$B,'Control Panel'!C23,Report!$F:$F,1,Report!$AA:$AA,"&gt;=3",Report!$AA:$AA,"&lt;=5")</f>
        <v>14</v>
      </c>
      <c r="D37" s="13">
        <f>COUNTIFS(Report!$B:$B,'Control Panel'!D23,Report!$F:$F,1,Report!$AA:$AA,"&gt;=3",Report!$AA:$AA,"&lt;=5")</f>
        <v>1</v>
      </c>
      <c r="E37" s="13">
        <f>COUNTIFS(Report!$B:$B,'Control Panel'!E23,Report!$F:$F,1,Report!$AA:$AA,"&gt;=3",Report!$AA:$AA,"&lt;=5")</f>
        <v>4</v>
      </c>
      <c r="F37" s="2"/>
      <c r="G37" s="15" t="s">
        <v>67</v>
      </c>
      <c r="H37" s="13">
        <f>COUNTIFS(Report!$B:$B,'Control Panel'!H23,Report!$F:$F,2,Report!$AA:$AA,"&gt;=3",Report!$AA:$AA,"&lt;=5")</f>
        <v>0</v>
      </c>
      <c r="I37" s="13">
        <f>COUNTIFS(Report!$B:$B,'Control Panel'!I23,Report!$F:$F,2,Report!$AA:$AA,"&gt;=3",Report!$AA:$AA,"&lt;=5")</f>
        <v>0</v>
      </c>
      <c r="J37" s="13">
        <f>COUNTIFS(Report!$B:$B,'Control Panel'!J23,Report!$F:$F,2,Report!$AA:$AA,"&gt;=3",Report!$AA:$AA,"&lt;=5")</f>
        <v>0</v>
      </c>
      <c r="K37" s="2"/>
      <c r="L37" s="15" t="s">
        <v>67</v>
      </c>
      <c r="M37" s="13">
        <f>COUNTIFS(Report!$B:$B,'Control Panel'!M23,Report!$F:$F,3,Report!$AA:$AA,"&gt;=3",Report!$AA:$AA,"&lt;=5")</f>
        <v>0</v>
      </c>
      <c r="N37" s="13">
        <f>COUNTIFS(Report!$B:$B,'Control Panel'!N23,Report!$F:$F,3,Report!$AA:$AA,"&gt;=3",Report!$AA:$AA,"&lt;=5")</f>
        <v>0</v>
      </c>
      <c r="O37" s="13">
        <f>COUNTIFS(Report!$B:$B,'Control Panel'!O23,Report!$F:$F,3,Report!$AA:$AA,"&gt;=3",Report!$AA:$AA,"&lt;=5")</f>
        <v>0</v>
      </c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x14ac:dyDescent="0.25">
      <c r="A38" s="2"/>
      <c r="B38" s="15" t="s">
        <v>68</v>
      </c>
      <c r="C38" s="13">
        <f>COUNTIFS(Report!$B:$B,'Control Panel'!C23,Report!$F:$F,1,Report!$AA:$AA,"&gt;=6")</f>
        <v>1</v>
      </c>
      <c r="D38" s="13">
        <f>COUNTIFS(Report!$B:$B,'Control Panel'!D23,Report!$F:$F,1,Report!$AA:$AA,"&gt;=6")</f>
        <v>0</v>
      </c>
      <c r="E38" s="13">
        <f>COUNTIFS(Report!$B:$B,'Control Panel'!E23,Report!$F:$F,1,Report!$AA:$AA,"&gt;=6")</f>
        <v>2</v>
      </c>
      <c r="F38" s="2"/>
      <c r="G38" s="15" t="s">
        <v>68</v>
      </c>
      <c r="H38" s="13">
        <f>COUNTIFS(Report!$B:$B,'Control Panel'!H23,Report!$F:$F,2,Report!$AA:$AA,"&gt;=6")</f>
        <v>0</v>
      </c>
      <c r="I38" s="13">
        <f>COUNTIFS(Report!$B:$B,'Control Panel'!I23,Report!$F:$F,2,Report!$AA:$AA,"&gt;=6")</f>
        <v>0</v>
      </c>
      <c r="J38" s="13">
        <f>COUNTIFS(Report!$B:$B,'Control Panel'!J23,Report!$F:$F,2,Report!$AA:$AA,"&gt;=6")</f>
        <v>0</v>
      </c>
      <c r="K38" s="2"/>
      <c r="L38" s="15" t="s">
        <v>68</v>
      </c>
      <c r="M38" s="13">
        <f>COUNTIFS(Report!$B:$B,'Control Panel'!M23,Report!$F:$F,3,Report!$AA:$AA,"&gt;=6")</f>
        <v>0</v>
      </c>
      <c r="N38" s="13">
        <f>COUNTIFS(Report!$B:$B,'Control Panel'!N23,Report!$F:$F,3,Report!$AA:$AA,"&gt;=6")</f>
        <v>0</v>
      </c>
      <c r="O38" s="13">
        <f>COUNTIFS(Report!$B:$B,'Control Panel'!O23,Report!$F:$F,3,Report!$AA:$AA,"&gt;=6")</f>
        <v>0</v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ht="15.75" thickBot="1" x14ac:dyDescent="0.3">
      <c r="A39" s="2"/>
      <c r="B39" s="17"/>
      <c r="C39" s="18"/>
      <c r="D39" s="18"/>
      <c r="E39" s="19"/>
      <c r="F39" s="2"/>
      <c r="G39" s="17"/>
      <c r="H39" s="18"/>
      <c r="I39" s="18"/>
      <c r="J39" s="19"/>
      <c r="K39" s="2"/>
      <c r="L39" s="17"/>
      <c r="M39" s="18"/>
      <c r="N39" s="18"/>
      <c r="O39" s="19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 t="s">
        <v>91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 t="str" cm="1">
        <f t="array" ref="A44:S47">_xlfn.VSTACK(DailyCutsResults[#Headers],_xlfn._xlws.FILTER(DailyCutsResults[],(DailyCutsResults[Date]=C3)))</f>
        <v>Date</v>
      </c>
      <c r="B44" s="2" t="str">
        <v>Machine</v>
      </c>
      <c r="C44" s="2" t="str">
        <v>Shift</v>
      </c>
      <c r="D44" s="2" t="str">
        <v>Hours</v>
      </c>
      <c r="E44" s="2" t="str">
        <v>Rolls</v>
      </c>
      <c r="F44" s="2" t="str">
        <v>Cuts</v>
      </c>
      <c r="G44" s="2" t="str">
        <v>Cuts/Roll</v>
      </c>
      <c r="H44" s="2" t="str">
        <v>Earned Min</v>
      </c>
      <c r="I44" s="2" t="str">
        <v>Avail Min</v>
      </c>
      <c r="J44" s="2" t="str">
        <v>Effective %</v>
      </c>
      <c r="K44" s="2" t="str">
        <v>Cuts/Hour</v>
      </c>
      <c r="L44" s="2" t="str">
        <v>Cuts/Hour Max</v>
      </c>
      <c r="M44" s="2" t="str">
        <v>Single Cut</v>
      </c>
      <c r="N44" s="2" t="str">
        <v>2 Cuts</v>
      </c>
      <c r="O44" s="2" t="str">
        <v>3-5 Cuts</v>
      </c>
      <c r="P44" s="2" t="str">
        <v>6+ Cuts</v>
      </c>
      <c r="Q44" s="2" t="str">
        <v>Start</v>
      </c>
      <c r="R44" s="2" t="str">
        <v>End</v>
      </c>
      <c r="S44" s="2" t="str">
        <v>Override Hours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x14ac:dyDescent="0.25">
      <c r="A45" s="25">
        <v>46139</v>
      </c>
      <c r="B45" s="2" t="str">
        <v>AD1</v>
      </c>
      <c r="C45" s="2">
        <v>1</v>
      </c>
      <c r="D45" s="2">
        <v>8.9</v>
      </c>
      <c r="E45" s="2">
        <v>323</v>
      </c>
      <c r="F45" s="2">
        <v>393</v>
      </c>
      <c r="G45" s="2">
        <v>1.21671826625387</v>
      </c>
      <c r="H45" s="2">
        <v>506.35602222222229</v>
      </c>
      <c r="I45" s="2">
        <v>424.08499999999998</v>
      </c>
      <c r="J45" s="2">
        <v>1.1939965389538001</v>
      </c>
      <c r="K45" s="2">
        <v>44.157303370786515</v>
      </c>
      <c r="L45" s="2">
        <v>36.982773341602723</v>
      </c>
      <c r="M45" s="2">
        <v>281</v>
      </c>
      <c r="N45" s="2">
        <v>27</v>
      </c>
      <c r="O45" s="2">
        <v>14</v>
      </c>
      <c r="P45" s="2">
        <v>1</v>
      </c>
      <c r="Q45" s="26">
        <v>0.29166666666666669</v>
      </c>
      <c r="R45" s="26">
        <v>0.70833333333333337</v>
      </c>
      <c r="S45" s="2">
        <v>8.9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x14ac:dyDescent="0.25">
      <c r="A46" s="25">
        <v>46139</v>
      </c>
      <c r="B46" s="2" t="str">
        <v>AD2</v>
      </c>
      <c r="C46" s="2">
        <v>1</v>
      </c>
      <c r="D46" s="2">
        <v>8.9</v>
      </c>
      <c r="E46" s="2">
        <v>178</v>
      </c>
      <c r="F46" s="2">
        <v>194</v>
      </c>
      <c r="G46" s="2">
        <v>1.0898876404494382</v>
      </c>
      <c r="H46" s="2">
        <v>253.92524444444427</v>
      </c>
      <c r="I46" s="2">
        <v>424.08499999999998</v>
      </c>
      <c r="J46" s="2">
        <v>0.59876025901516039</v>
      </c>
      <c r="K46" s="2">
        <v>21.797752808988765</v>
      </c>
      <c r="L46" s="2">
        <v>36.404808904387984</v>
      </c>
      <c r="M46" s="2">
        <v>163</v>
      </c>
      <c r="N46" s="2">
        <v>14</v>
      </c>
      <c r="O46" s="2">
        <v>1</v>
      </c>
      <c r="P46" s="2">
        <v>0</v>
      </c>
      <c r="Q46" s="26">
        <v>0.29166666666666669</v>
      </c>
      <c r="R46" s="26">
        <v>0.70833333333333337</v>
      </c>
      <c r="S46" s="2">
        <v>8.9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 x14ac:dyDescent="0.25">
      <c r="A47" s="25">
        <v>46139</v>
      </c>
      <c r="B47" s="2" t="str">
        <v>AR3</v>
      </c>
      <c r="C47" s="2">
        <v>1</v>
      </c>
      <c r="D47" s="2">
        <v>7.2</v>
      </c>
      <c r="E47" s="2">
        <v>20</v>
      </c>
      <c r="F47" s="2">
        <v>45</v>
      </c>
      <c r="G47" s="2">
        <v>2.25</v>
      </c>
      <c r="H47" s="2">
        <v>42.875888888888895</v>
      </c>
      <c r="I47" s="2">
        <v>343.08</v>
      </c>
      <c r="J47" s="2">
        <v>0.12497344318785385</v>
      </c>
      <c r="K47" s="2">
        <v>6.25</v>
      </c>
      <c r="L47" s="2">
        <v>50.010624982183707</v>
      </c>
      <c r="M47" s="2">
        <v>11</v>
      </c>
      <c r="N47" s="2">
        <v>3</v>
      </c>
      <c r="O47" s="2">
        <v>4</v>
      </c>
      <c r="P47" s="2">
        <v>2</v>
      </c>
      <c r="Q47" s="26">
        <v>0.29166666666666669</v>
      </c>
      <c r="R47" s="26">
        <v>0.70833333333333337</v>
      </c>
      <c r="S47" s="2">
        <v>7.2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 x14ac:dyDescent="0.25">
      <c r="A48" s="25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6"/>
      <c r="R48" s="26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x14ac:dyDescent="0.25">
      <c r="A49" s="2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6"/>
      <c r="R49" s="26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5">
      <c r="A50" s="25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6"/>
      <c r="R50" s="26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5">
      <c r="A51" s="25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6"/>
      <c r="R51" s="26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5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6"/>
      <c r="R52" s="26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5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6"/>
      <c r="R53" s="26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A54" s="25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6"/>
      <c r="R54" s="26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mergeCells count="21">
    <mergeCell ref="F6:F7"/>
    <mergeCell ref="R4:T4"/>
    <mergeCell ref="B22:E22"/>
    <mergeCell ref="G22:J22"/>
    <mergeCell ref="L22:O22"/>
    <mergeCell ref="E12:F13"/>
    <mergeCell ref="F10:F11"/>
    <mergeCell ref="F8:F9"/>
    <mergeCell ref="L3:O3"/>
    <mergeCell ref="H12:H13"/>
    <mergeCell ref="G12:G13"/>
    <mergeCell ref="H10:H11"/>
    <mergeCell ref="G10:G11"/>
    <mergeCell ref="G8:G9"/>
    <mergeCell ref="H8:H9"/>
    <mergeCell ref="H6:H7"/>
    <mergeCell ref="G6:G7"/>
    <mergeCell ref="I12:I13"/>
    <mergeCell ref="I6:I7"/>
    <mergeCell ref="I8:I9"/>
    <mergeCell ref="I10:I11"/>
  </mergeCells>
  <pageMargins left="0.7" right="0.7" top="0.75" bottom="0.75" header="0.3" footer="0.3"/>
  <pageSetup scale="36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247650</xdr:colOff>
                <xdr:row>1</xdr:row>
                <xdr:rowOff>76200</xdr:rowOff>
              </from>
              <to>
                <xdr:col>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0</xdr:colOff>
                <xdr:row>1</xdr:row>
                <xdr:rowOff>85725</xdr:rowOff>
              </from>
              <to>
                <xdr:col>7</xdr:col>
                <xdr:colOff>161925</xdr:colOff>
                <xdr:row>3</xdr:row>
                <xdr:rowOff>95250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572A-0366-4AB9-A0E7-398D1201A8BD}">
  <sheetPr codeName="Sheet6"/>
  <dimension ref="A1:S5406"/>
  <sheetViews>
    <sheetView topLeftCell="A5379" workbookViewId="0">
      <selection activeCell="A5391" sqref="A5391:K5391"/>
    </sheetView>
  </sheetViews>
  <sheetFormatPr defaultRowHeight="15" x14ac:dyDescent="0.25"/>
  <cols>
    <col min="1" max="1" width="13.7109375" style="4" customWidth="1"/>
    <col min="2" max="11" width="13.7109375" customWidth="1"/>
    <col min="12" max="12" width="16.42578125" customWidth="1"/>
    <col min="13" max="16" width="13.7109375" customWidth="1"/>
    <col min="17" max="17" width="14.28515625" style="5" bestFit="1" customWidth="1"/>
    <col min="18" max="18" width="14.140625" style="5" bestFit="1" customWidth="1"/>
  </cols>
  <sheetData>
    <row r="1" spans="1:19" x14ac:dyDescent="0.25">
      <c r="A1" s="4" t="s">
        <v>1</v>
      </c>
      <c r="B1" t="s">
        <v>5</v>
      </c>
      <c r="C1" t="s">
        <v>6</v>
      </c>
      <c r="D1" t="s">
        <v>39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65</v>
      </c>
      <c r="N1" t="s">
        <v>66</v>
      </c>
      <c r="O1" t="s">
        <v>67</v>
      </c>
      <c r="P1" t="s">
        <v>68</v>
      </c>
      <c r="Q1" s="5" t="s">
        <v>88</v>
      </c>
      <c r="R1" s="5" t="s">
        <v>89</v>
      </c>
      <c r="S1" t="s">
        <v>90</v>
      </c>
    </row>
    <row r="2" spans="1:19" x14ac:dyDescent="0.25">
      <c r="A2" s="4">
        <v>43467</v>
      </c>
      <c r="B2" t="s">
        <v>9</v>
      </c>
      <c r="C2">
        <v>1</v>
      </c>
      <c r="F2">
        <v>221</v>
      </c>
      <c r="J2">
        <v>0.72399999999999998</v>
      </c>
      <c r="K2">
        <v>27.9</v>
      </c>
      <c r="L2">
        <v>38.5</v>
      </c>
      <c r="M2">
        <v>128</v>
      </c>
      <c r="N2">
        <v>27</v>
      </c>
      <c r="O2">
        <v>9</v>
      </c>
    </row>
    <row r="3" spans="1:19" x14ac:dyDescent="0.25">
      <c r="A3" s="4">
        <v>43467</v>
      </c>
      <c r="B3" t="s">
        <v>10</v>
      </c>
      <c r="C3">
        <v>2</v>
      </c>
      <c r="F3">
        <v>273</v>
      </c>
      <c r="J3">
        <v>1.0629999999999999</v>
      </c>
      <c r="K3">
        <v>32.1</v>
      </c>
      <c r="L3">
        <v>30.2</v>
      </c>
      <c r="M3">
        <v>223</v>
      </c>
      <c r="N3">
        <v>15</v>
      </c>
      <c r="O3">
        <v>1</v>
      </c>
    </row>
    <row r="4" spans="1:19" x14ac:dyDescent="0.25">
      <c r="A4" s="4">
        <v>43467</v>
      </c>
      <c r="B4" t="s">
        <v>9</v>
      </c>
      <c r="C4">
        <v>2</v>
      </c>
      <c r="F4">
        <v>234</v>
      </c>
      <c r="J4">
        <v>0.84499999999999997</v>
      </c>
      <c r="K4">
        <v>28.8</v>
      </c>
      <c r="L4">
        <v>34</v>
      </c>
      <c r="M4">
        <v>196</v>
      </c>
      <c r="N4">
        <v>15</v>
      </c>
      <c r="O4">
        <v>1</v>
      </c>
    </row>
    <row r="5" spans="1:19" x14ac:dyDescent="0.25">
      <c r="A5" s="4">
        <v>43467</v>
      </c>
      <c r="B5" t="s">
        <v>10</v>
      </c>
      <c r="C5" t="s">
        <v>78</v>
      </c>
      <c r="F5">
        <v>273</v>
      </c>
      <c r="J5">
        <v>1.083</v>
      </c>
      <c r="K5">
        <v>34.1</v>
      </c>
      <c r="L5">
        <v>31.5</v>
      </c>
      <c r="M5">
        <v>223</v>
      </c>
      <c r="N5">
        <v>15</v>
      </c>
      <c r="O5">
        <v>1</v>
      </c>
    </row>
    <row r="6" spans="1:19" x14ac:dyDescent="0.25">
      <c r="A6" s="4">
        <v>43467</v>
      </c>
      <c r="B6" t="s">
        <v>9</v>
      </c>
      <c r="C6" t="s">
        <v>78</v>
      </c>
      <c r="F6">
        <v>453</v>
      </c>
      <c r="J6">
        <v>0.78400000000000003</v>
      </c>
      <c r="K6">
        <v>28.3</v>
      </c>
      <c r="L6">
        <v>36.1</v>
      </c>
      <c r="M6">
        <v>324</v>
      </c>
      <c r="N6">
        <v>42</v>
      </c>
      <c r="O6">
        <v>10</v>
      </c>
    </row>
    <row r="7" spans="1:19" x14ac:dyDescent="0.25">
      <c r="A7" s="4">
        <v>43468</v>
      </c>
      <c r="B7" t="s">
        <v>9</v>
      </c>
      <c r="C7">
        <v>1</v>
      </c>
      <c r="F7">
        <v>252</v>
      </c>
      <c r="J7">
        <v>0.84499999999999997</v>
      </c>
      <c r="K7">
        <v>31.9</v>
      </c>
      <c r="L7">
        <v>37.700000000000003</v>
      </c>
      <c r="M7">
        <v>186</v>
      </c>
      <c r="N7">
        <v>18</v>
      </c>
      <c r="O7">
        <v>4</v>
      </c>
      <c r="P7">
        <v>1</v>
      </c>
    </row>
    <row r="8" spans="1:19" x14ac:dyDescent="0.25">
      <c r="A8" s="4">
        <v>43468</v>
      </c>
      <c r="B8" t="s">
        <v>10</v>
      </c>
      <c r="C8">
        <v>2</v>
      </c>
      <c r="F8">
        <v>286</v>
      </c>
      <c r="J8">
        <v>1.0369999999999999</v>
      </c>
      <c r="K8">
        <v>31.8</v>
      </c>
      <c r="L8">
        <v>30.6</v>
      </c>
      <c r="M8">
        <v>218</v>
      </c>
      <c r="N8">
        <v>11</v>
      </c>
      <c r="O8">
        <v>4</v>
      </c>
    </row>
    <row r="9" spans="1:19" x14ac:dyDescent="0.25">
      <c r="A9" s="4">
        <v>43468</v>
      </c>
      <c r="B9" t="s">
        <v>9</v>
      </c>
      <c r="C9">
        <v>2</v>
      </c>
      <c r="F9">
        <v>274</v>
      </c>
      <c r="J9">
        <v>0.95799999999999996</v>
      </c>
      <c r="K9">
        <v>33.6</v>
      </c>
      <c r="L9">
        <v>35.1</v>
      </c>
      <c r="M9">
        <v>226</v>
      </c>
      <c r="N9">
        <v>14</v>
      </c>
      <c r="O9">
        <v>5</v>
      </c>
    </row>
    <row r="10" spans="1:19" x14ac:dyDescent="0.25">
      <c r="A10" s="4">
        <v>43468</v>
      </c>
      <c r="B10" t="s">
        <v>10</v>
      </c>
      <c r="C10" t="s">
        <v>78</v>
      </c>
      <c r="F10">
        <v>286</v>
      </c>
      <c r="J10">
        <v>1.0760000000000001</v>
      </c>
      <c r="K10">
        <v>35.799999999999997</v>
      </c>
      <c r="L10">
        <v>33.200000000000003</v>
      </c>
      <c r="M10">
        <v>218</v>
      </c>
      <c r="N10">
        <v>11</v>
      </c>
      <c r="O10">
        <v>4</v>
      </c>
    </row>
    <row r="11" spans="1:19" x14ac:dyDescent="0.25">
      <c r="A11" s="4">
        <v>43468</v>
      </c>
      <c r="B11" t="s">
        <v>9</v>
      </c>
      <c r="C11" t="s">
        <v>78</v>
      </c>
      <c r="F11">
        <v>524</v>
      </c>
      <c r="J11">
        <v>0.90200000000000002</v>
      </c>
      <c r="K11">
        <v>32.799999999999997</v>
      </c>
      <c r="L11">
        <v>36.299999999999997</v>
      </c>
      <c r="M11">
        <v>412</v>
      </c>
      <c r="N11">
        <v>32</v>
      </c>
      <c r="O11">
        <v>9</v>
      </c>
      <c r="P11">
        <v>1</v>
      </c>
    </row>
    <row r="12" spans="1:19" x14ac:dyDescent="0.25">
      <c r="A12" s="4">
        <v>43469</v>
      </c>
      <c r="B12" t="s">
        <v>9</v>
      </c>
      <c r="C12">
        <v>1</v>
      </c>
      <c r="F12">
        <v>238</v>
      </c>
      <c r="J12">
        <v>0.81699999999999995</v>
      </c>
      <c r="K12">
        <v>30.1</v>
      </c>
      <c r="L12">
        <v>36.9</v>
      </c>
      <c r="M12">
        <v>180</v>
      </c>
      <c r="N12">
        <v>21</v>
      </c>
      <c r="O12">
        <v>2</v>
      </c>
    </row>
    <row r="13" spans="1:19" x14ac:dyDescent="0.25">
      <c r="A13" s="4">
        <v>43469</v>
      </c>
      <c r="B13" t="s">
        <v>10</v>
      </c>
      <c r="C13">
        <v>2</v>
      </c>
      <c r="F13">
        <v>131</v>
      </c>
      <c r="J13">
        <v>1.014</v>
      </c>
      <c r="K13">
        <v>31.5</v>
      </c>
      <c r="L13">
        <v>31.1</v>
      </c>
      <c r="M13">
        <v>95</v>
      </c>
      <c r="N13">
        <v>9</v>
      </c>
      <c r="O13">
        <v>4</v>
      </c>
    </row>
    <row r="14" spans="1:19" x14ac:dyDescent="0.25">
      <c r="A14" s="4">
        <v>43469</v>
      </c>
      <c r="B14" t="s">
        <v>9</v>
      </c>
      <c r="C14">
        <v>2</v>
      </c>
      <c r="F14">
        <v>200</v>
      </c>
      <c r="J14">
        <v>0.98599999999999999</v>
      </c>
      <c r="K14">
        <v>32.700000000000003</v>
      </c>
      <c r="L14">
        <v>33.200000000000003</v>
      </c>
      <c r="M14">
        <v>180</v>
      </c>
      <c r="N14">
        <v>8</v>
      </c>
    </row>
    <row r="15" spans="1:19" x14ac:dyDescent="0.25">
      <c r="A15" s="4">
        <v>43469</v>
      </c>
      <c r="B15" t="s">
        <v>10</v>
      </c>
      <c r="C15" t="s">
        <v>78</v>
      </c>
      <c r="F15">
        <v>131</v>
      </c>
      <c r="J15">
        <v>1.026</v>
      </c>
      <c r="K15">
        <v>32.799999999999997</v>
      </c>
      <c r="L15">
        <v>31.9</v>
      </c>
      <c r="M15">
        <v>95</v>
      </c>
      <c r="N15">
        <v>9</v>
      </c>
      <c r="O15">
        <v>4</v>
      </c>
    </row>
    <row r="16" spans="1:19" x14ac:dyDescent="0.25">
      <c r="A16" s="4">
        <v>43469</v>
      </c>
      <c r="B16" t="s">
        <v>9</v>
      </c>
      <c r="C16" t="s">
        <v>78</v>
      </c>
      <c r="F16">
        <v>437</v>
      </c>
      <c r="J16">
        <v>0.89</v>
      </c>
      <c r="K16">
        <v>31.2</v>
      </c>
      <c r="L16">
        <v>35.1</v>
      </c>
      <c r="M16">
        <v>360</v>
      </c>
      <c r="N16">
        <v>29</v>
      </c>
      <c r="O16">
        <v>2</v>
      </c>
    </row>
    <row r="17" spans="1:16" x14ac:dyDescent="0.25">
      <c r="A17" s="4">
        <v>43472</v>
      </c>
      <c r="B17" t="s">
        <v>10</v>
      </c>
      <c r="C17">
        <v>1</v>
      </c>
      <c r="F17">
        <v>169</v>
      </c>
      <c r="J17">
        <v>0.69899999999999995</v>
      </c>
      <c r="K17">
        <v>22.9</v>
      </c>
      <c r="L17">
        <v>32.799999999999997</v>
      </c>
      <c r="M17">
        <v>122</v>
      </c>
      <c r="N17">
        <v>16</v>
      </c>
      <c r="O17">
        <v>2</v>
      </c>
    </row>
    <row r="18" spans="1:16" x14ac:dyDescent="0.25">
      <c r="A18" s="4">
        <v>43472</v>
      </c>
      <c r="B18" t="s">
        <v>10</v>
      </c>
      <c r="C18">
        <v>2</v>
      </c>
      <c r="F18">
        <v>209</v>
      </c>
      <c r="J18">
        <v>1.165</v>
      </c>
      <c r="K18">
        <v>33.4</v>
      </c>
      <c r="L18">
        <v>28.7</v>
      </c>
      <c r="M18">
        <v>167</v>
      </c>
      <c r="N18">
        <v>6</v>
      </c>
      <c r="O18">
        <v>4</v>
      </c>
    </row>
    <row r="19" spans="1:16" x14ac:dyDescent="0.25">
      <c r="A19" s="4">
        <v>43472</v>
      </c>
      <c r="B19" t="s">
        <v>10</v>
      </c>
      <c r="C19" t="s">
        <v>78</v>
      </c>
      <c r="F19">
        <v>375</v>
      </c>
      <c r="J19">
        <v>0.89400000000000002</v>
      </c>
      <c r="K19">
        <v>27.3</v>
      </c>
      <c r="L19">
        <v>30.5</v>
      </c>
      <c r="M19">
        <v>289</v>
      </c>
      <c r="N19">
        <v>22</v>
      </c>
      <c r="O19">
        <v>6</v>
      </c>
    </row>
    <row r="20" spans="1:16" x14ac:dyDescent="0.25">
      <c r="A20" s="4">
        <v>43472</v>
      </c>
      <c r="B20" t="s">
        <v>9</v>
      </c>
      <c r="C20" t="s">
        <v>78</v>
      </c>
      <c r="F20">
        <v>276</v>
      </c>
      <c r="J20">
        <v>0.93</v>
      </c>
      <c r="K20">
        <v>34.5</v>
      </c>
      <c r="L20">
        <v>37.1</v>
      </c>
      <c r="M20">
        <v>194</v>
      </c>
      <c r="N20">
        <v>23</v>
      </c>
      <c r="O20">
        <v>7</v>
      </c>
    </row>
    <row r="21" spans="1:16" x14ac:dyDescent="0.25">
      <c r="A21" s="4">
        <v>43472</v>
      </c>
      <c r="B21" t="s">
        <v>9</v>
      </c>
      <c r="C21">
        <v>1</v>
      </c>
      <c r="F21">
        <v>277</v>
      </c>
      <c r="J21">
        <v>0.93</v>
      </c>
      <c r="K21">
        <v>34.5</v>
      </c>
      <c r="L21">
        <v>37.1</v>
      </c>
      <c r="M21">
        <v>194</v>
      </c>
      <c r="N21">
        <v>23</v>
      </c>
      <c r="O21">
        <v>7</v>
      </c>
    </row>
    <row r="22" spans="1:16" x14ac:dyDescent="0.25">
      <c r="A22" s="4">
        <v>43473</v>
      </c>
      <c r="B22" t="s">
        <v>10</v>
      </c>
      <c r="C22">
        <v>1</v>
      </c>
      <c r="F22">
        <v>138</v>
      </c>
      <c r="J22">
        <v>0.79900000000000004</v>
      </c>
      <c r="K22">
        <v>25.5</v>
      </c>
      <c r="L22">
        <v>31.9</v>
      </c>
      <c r="M22">
        <v>124</v>
      </c>
      <c r="N22">
        <v>3</v>
      </c>
      <c r="O22">
        <v>1</v>
      </c>
    </row>
    <row r="23" spans="1:16" x14ac:dyDescent="0.25">
      <c r="A23" s="4">
        <v>43473</v>
      </c>
      <c r="B23" t="s">
        <v>10</v>
      </c>
      <c r="C23">
        <v>2</v>
      </c>
      <c r="F23">
        <v>229</v>
      </c>
      <c r="J23">
        <v>1.1830000000000001</v>
      </c>
      <c r="K23">
        <v>35.700000000000003</v>
      </c>
      <c r="L23">
        <v>30.2</v>
      </c>
      <c r="M23">
        <v>182</v>
      </c>
      <c r="N23">
        <v>11</v>
      </c>
      <c r="O23">
        <v>1</v>
      </c>
      <c r="P23">
        <v>1</v>
      </c>
    </row>
    <row r="24" spans="1:16" x14ac:dyDescent="0.25">
      <c r="A24" s="4">
        <v>43473</v>
      </c>
      <c r="B24" t="s">
        <v>10</v>
      </c>
      <c r="C24" t="s">
        <v>78</v>
      </c>
      <c r="F24">
        <v>367</v>
      </c>
      <c r="J24">
        <v>0.99099999999999999</v>
      </c>
      <c r="K24">
        <v>30.6</v>
      </c>
      <c r="L24">
        <v>30.9</v>
      </c>
      <c r="M24">
        <v>306</v>
      </c>
      <c r="N24">
        <v>14</v>
      </c>
      <c r="O24">
        <v>2</v>
      </c>
      <c r="P24">
        <v>1</v>
      </c>
    </row>
    <row r="25" spans="1:16" x14ac:dyDescent="0.25">
      <c r="A25" s="4">
        <v>43473</v>
      </c>
      <c r="B25" t="s">
        <v>9</v>
      </c>
      <c r="C25" t="s">
        <v>78</v>
      </c>
      <c r="F25">
        <v>131</v>
      </c>
      <c r="J25">
        <v>0.89200000000000002</v>
      </c>
      <c r="K25">
        <v>32.799999999999997</v>
      </c>
      <c r="L25">
        <v>36.700000000000003</v>
      </c>
      <c r="M25">
        <v>98</v>
      </c>
      <c r="N25">
        <v>13</v>
      </c>
    </row>
    <row r="26" spans="1:16" x14ac:dyDescent="0.25">
      <c r="A26" s="4">
        <v>43473</v>
      </c>
      <c r="B26" t="s">
        <v>9</v>
      </c>
      <c r="C26">
        <v>1</v>
      </c>
      <c r="F26">
        <v>132</v>
      </c>
      <c r="J26">
        <v>0.89200000000000002</v>
      </c>
      <c r="K26">
        <v>32.799999999999997</v>
      </c>
      <c r="L26">
        <v>36.700000000000003</v>
      </c>
      <c r="M26">
        <v>98</v>
      </c>
      <c r="N26">
        <v>13</v>
      </c>
    </row>
    <row r="27" spans="1:16" x14ac:dyDescent="0.25">
      <c r="A27" s="4">
        <v>43474</v>
      </c>
      <c r="B27" t="s">
        <v>10</v>
      </c>
      <c r="C27">
        <v>1</v>
      </c>
      <c r="F27">
        <v>206</v>
      </c>
      <c r="J27">
        <v>0.86299999999999999</v>
      </c>
      <c r="K27">
        <v>29.3</v>
      </c>
      <c r="L27">
        <v>33.9</v>
      </c>
      <c r="M27">
        <v>132</v>
      </c>
      <c r="N27">
        <v>24</v>
      </c>
      <c r="O27">
        <v>5</v>
      </c>
      <c r="P27">
        <v>1</v>
      </c>
    </row>
    <row r="28" spans="1:16" x14ac:dyDescent="0.25">
      <c r="A28" s="4">
        <v>43474</v>
      </c>
      <c r="B28" t="s">
        <v>10</v>
      </c>
      <c r="C28">
        <v>2</v>
      </c>
      <c r="F28">
        <v>279</v>
      </c>
      <c r="J28">
        <v>1.06</v>
      </c>
      <c r="K28">
        <v>31.4</v>
      </c>
      <c r="L28">
        <v>29.6</v>
      </c>
      <c r="M28">
        <v>210</v>
      </c>
      <c r="N28">
        <v>19</v>
      </c>
      <c r="O28">
        <v>1</v>
      </c>
    </row>
    <row r="29" spans="1:16" x14ac:dyDescent="0.25">
      <c r="A29" s="4">
        <v>43474</v>
      </c>
      <c r="B29" t="s">
        <v>10</v>
      </c>
      <c r="C29" t="s">
        <v>78</v>
      </c>
      <c r="F29">
        <v>485</v>
      </c>
      <c r="J29">
        <v>0.96099999999999997</v>
      </c>
      <c r="K29">
        <v>30.3</v>
      </c>
      <c r="L29">
        <v>31.5</v>
      </c>
      <c r="M29">
        <v>342</v>
      </c>
      <c r="N29">
        <v>43</v>
      </c>
      <c r="O29">
        <v>6</v>
      </c>
      <c r="P29">
        <v>1</v>
      </c>
    </row>
    <row r="30" spans="1:16" x14ac:dyDescent="0.25">
      <c r="A30" s="4">
        <v>43474</v>
      </c>
      <c r="B30" t="s">
        <v>9</v>
      </c>
      <c r="C30" t="s">
        <v>78</v>
      </c>
      <c r="F30">
        <v>105</v>
      </c>
      <c r="J30">
        <v>0.68600000000000005</v>
      </c>
      <c r="K30">
        <v>26.3</v>
      </c>
      <c r="L30">
        <v>38.299999999999997</v>
      </c>
      <c r="M30">
        <v>71</v>
      </c>
      <c r="N30">
        <v>7</v>
      </c>
      <c r="O30">
        <v>4</v>
      </c>
    </row>
    <row r="31" spans="1:16" x14ac:dyDescent="0.25">
      <c r="A31" s="4">
        <v>43474</v>
      </c>
      <c r="B31" t="s">
        <v>9</v>
      </c>
      <c r="C31">
        <v>1</v>
      </c>
      <c r="F31">
        <v>106</v>
      </c>
      <c r="J31">
        <v>0.68600000000000005</v>
      </c>
      <c r="K31">
        <v>26.3</v>
      </c>
      <c r="L31">
        <v>38.299999999999997</v>
      </c>
      <c r="M31">
        <v>71</v>
      </c>
      <c r="N31">
        <v>7</v>
      </c>
      <c r="O31">
        <v>4</v>
      </c>
    </row>
    <row r="32" spans="1:16" x14ac:dyDescent="0.25">
      <c r="A32" s="4">
        <v>43475</v>
      </c>
      <c r="B32" t="s">
        <v>10</v>
      </c>
      <c r="C32">
        <v>1</v>
      </c>
      <c r="F32">
        <v>239</v>
      </c>
      <c r="J32">
        <v>1.014</v>
      </c>
      <c r="K32">
        <v>32</v>
      </c>
      <c r="L32">
        <v>31.6</v>
      </c>
      <c r="M32">
        <v>190</v>
      </c>
      <c r="N32">
        <v>13</v>
      </c>
      <c r="O32">
        <v>6</v>
      </c>
    </row>
    <row r="33" spans="1:16" x14ac:dyDescent="0.25">
      <c r="A33" s="4">
        <v>43475</v>
      </c>
      <c r="B33" t="s">
        <v>10</v>
      </c>
      <c r="C33">
        <v>2</v>
      </c>
      <c r="F33">
        <v>266</v>
      </c>
      <c r="J33">
        <v>1.0409999999999999</v>
      </c>
      <c r="K33">
        <v>31.1</v>
      </c>
      <c r="L33">
        <v>29.9</v>
      </c>
      <c r="M33">
        <v>198</v>
      </c>
      <c r="N33">
        <v>16</v>
      </c>
      <c r="O33">
        <v>6</v>
      </c>
    </row>
    <row r="34" spans="1:16" x14ac:dyDescent="0.25">
      <c r="A34" s="4">
        <v>43475</v>
      </c>
      <c r="B34" t="s">
        <v>10</v>
      </c>
      <c r="C34" t="s">
        <v>78</v>
      </c>
      <c r="F34">
        <v>505</v>
      </c>
      <c r="J34">
        <v>1.028</v>
      </c>
      <c r="K34">
        <v>31.6</v>
      </c>
      <c r="L34">
        <v>30.7</v>
      </c>
      <c r="M34">
        <v>388</v>
      </c>
      <c r="N34">
        <v>29</v>
      </c>
      <c r="O34">
        <v>12</v>
      </c>
    </row>
    <row r="35" spans="1:16" x14ac:dyDescent="0.25">
      <c r="A35" s="4">
        <v>43475</v>
      </c>
      <c r="B35" t="s">
        <v>9</v>
      </c>
      <c r="C35" t="s">
        <v>78</v>
      </c>
      <c r="F35">
        <v>128</v>
      </c>
      <c r="J35">
        <v>0.85499999999999998</v>
      </c>
      <c r="K35">
        <v>32</v>
      </c>
      <c r="L35">
        <v>37.4</v>
      </c>
      <c r="M35">
        <v>83</v>
      </c>
      <c r="N35">
        <v>7</v>
      </c>
      <c r="O35">
        <v>6</v>
      </c>
      <c r="P35">
        <v>1</v>
      </c>
    </row>
    <row r="36" spans="1:16" x14ac:dyDescent="0.25">
      <c r="A36" s="4">
        <v>43475</v>
      </c>
      <c r="B36" t="s">
        <v>9</v>
      </c>
      <c r="C36">
        <v>1</v>
      </c>
      <c r="F36">
        <v>129</v>
      </c>
      <c r="J36">
        <v>0.85499999999999998</v>
      </c>
      <c r="K36">
        <v>32</v>
      </c>
      <c r="L36">
        <v>37.4</v>
      </c>
      <c r="M36">
        <v>83</v>
      </c>
      <c r="N36">
        <v>7</v>
      </c>
      <c r="O36">
        <v>6</v>
      </c>
      <c r="P36">
        <v>1</v>
      </c>
    </row>
    <row r="37" spans="1:16" x14ac:dyDescent="0.25">
      <c r="A37" s="4">
        <v>43476</v>
      </c>
      <c r="B37" t="s">
        <v>10</v>
      </c>
      <c r="C37">
        <v>1</v>
      </c>
      <c r="F37">
        <v>172</v>
      </c>
      <c r="J37">
        <v>0.73499999999999999</v>
      </c>
      <c r="K37">
        <v>22.8</v>
      </c>
      <c r="L37">
        <v>31</v>
      </c>
      <c r="M37">
        <v>143</v>
      </c>
      <c r="N37">
        <v>10</v>
      </c>
      <c r="O37">
        <v>2</v>
      </c>
    </row>
    <row r="38" spans="1:16" x14ac:dyDescent="0.25">
      <c r="A38" s="4">
        <v>43476</v>
      </c>
      <c r="B38" t="s">
        <v>10</v>
      </c>
      <c r="C38">
        <v>2</v>
      </c>
      <c r="F38">
        <v>332</v>
      </c>
      <c r="J38">
        <v>1.3540000000000001</v>
      </c>
      <c r="K38">
        <v>40.299999999999997</v>
      </c>
      <c r="L38">
        <v>29.7</v>
      </c>
      <c r="M38">
        <v>268</v>
      </c>
      <c r="N38">
        <v>19</v>
      </c>
      <c r="O38">
        <v>2</v>
      </c>
      <c r="P38">
        <v>1</v>
      </c>
    </row>
    <row r="39" spans="1:16" x14ac:dyDescent="0.25">
      <c r="A39" s="4">
        <v>43476</v>
      </c>
      <c r="B39" t="s">
        <v>10</v>
      </c>
      <c r="C39" t="s">
        <v>78</v>
      </c>
      <c r="F39">
        <v>504</v>
      </c>
      <c r="J39">
        <v>1.044</v>
      </c>
      <c r="K39">
        <v>31.5</v>
      </c>
      <c r="L39">
        <v>30.2</v>
      </c>
      <c r="M39">
        <v>411</v>
      </c>
      <c r="N39">
        <v>29</v>
      </c>
      <c r="O39">
        <v>4</v>
      </c>
      <c r="P39">
        <v>1</v>
      </c>
    </row>
    <row r="40" spans="1:16" x14ac:dyDescent="0.25">
      <c r="A40" s="4">
        <v>43476</v>
      </c>
      <c r="B40" t="s">
        <v>9</v>
      </c>
      <c r="C40" t="s">
        <v>78</v>
      </c>
      <c r="F40">
        <v>97</v>
      </c>
      <c r="J40">
        <v>0.59699999999999998</v>
      </c>
      <c r="K40">
        <v>24.3</v>
      </c>
      <c r="L40">
        <v>40.6</v>
      </c>
      <c r="M40">
        <v>61</v>
      </c>
      <c r="N40">
        <v>6</v>
      </c>
      <c r="O40">
        <v>5</v>
      </c>
    </row>
    <row r="41" spans="1:16" x14ac:dyDescent="0.25">
      <c r="A41" s="4">
        <v>43476</v>
      </c>
      <c r="B41" t="s">
        <v>9</v>
      </c>
      <c r="C41">
        <v>1</v>
      </c>
      <c r="F41">
        <v>97</v>
      </c>
      <c r="J41">
        <v>0.59699999999999998</v>
      </c>
      <c r="K41">
        <v>24.3</v>
      </c>
      <c r="L41">
        <v>40.6</v>
      </c>
      <c r="M41">
        <v>61</v>
      </c>
      <c r="N41">
        <v>6</v>
      </c>
      <c r="O41">
        <v>5</v>
      </c>
    </row>
    <row r="42" spans="1:16" x14ac:dyDescent="0.25">
      <c r="A42" s="4">
        <v>43479</v>
      </c>
      <c r="B42" t="s">
        <v>10</v>
      </c>
      <c r="C42">
        <v>1</v>
      </c>
      <c r="F42">
        <v>285</v>
      </c>
      <c r="J42">
        <v>1.1160000000000001</v>
      </c>
      <c r="K42">
        <v>37.5</v>
      </c>
      <c r="L42">
        <v>33.6</v>
      </c>
      <c r="M42">
        <v>195</v>
      </c>
      <c r="N42">
        <v>22</v>
      </c>
      <c r="O42">
        <v>10</v>
      </c>
      <c r="P42">
        <v>1</v>
      </c>
    </row>
    <row r="43" spans="1:16" x14ac:dyDescent="0.25">
      <c r="A43" s="4">
        <v>43479</v>
      </c>
      <c r="B43" t="s">
        <v>10</v>
      </c>
      <c r="C43">
        <v>2</v>
      </c>
      <c r="F43">
        <v>275</v>
      </c>
      <c r="J43">
        <v>1.0680000000000001</v>
      </c>
      <c r="K43">
        <v>32.4</v>
      </c>
      <c r="L43">
        <v>30.3</v>
      </c>
      <c r="M43">
        <v>209</v>
      </c>
      <c r="N43">
        <v>16</v>
      </c>
      <c r="O43">
        <v>1</v>
      </c>
      <c r="P43">
        <v>2</v>
      </c>
    </row>
    <row r="44" spans="1:16" x14ac:dyDescent="0.25">
      <c r="A44" s="4">
        <v>43479</v>
      </c>
      <c r="B44" t="s">
        <v>9</v>
      </c>
      <c r="C44">
        <v>2</v>
      </c>
      <c r="F44">
        <v>250</v>
      </c>
      <c r="J44">
        <v>0.85799999999999998</v>
      </c>
      <c r="K44">
        <v>31</v>
      </c>
      <c r="L44">
        <v>36.1</v>
      </c>
      <c r="M44">
        <v>178</v>
      </c>
      <c r="N44">
        <v>24</v>
      </c>
      <c r="O44">
        <v>6</v>
      </c>
    </row>
    <row r="45" spans="1:16" x14ac:dyDescent="0.25">
      <c r="A45" s="4">
        <v>43479</v>
      </c>
      <c r="B45" t="s">
        <v>10</v>
      </c>
      <c r="C45" t="s">
        <v>78</v>
      </c>
      <c r="F45">
        <v>559</v>
      </c>
      <c r="J45">
        <v>1.0920000000000001</v>
      </c>
      <c r="K45">
        <v>34.9</v>
      </c>
      <c r="L45">
        <v>32</v>
      </c>
      <c r="M45">
        <v>404</v>
      </c>
      <c r="N45">
        <v>38</v>
      </c>
      <c r="O45">
        <v>11</v>
      </c>
      <c r="P45">
        <v>3</v>
      </c>
    </row>
    <row r="46" spans="1:16" x14ac:dyDescent="0.25">
      <c r="A46" s="4">
        <v>43479</v>
      </c>
      <c r="B46" t="s">
        <v>9</v>
      </c>
      <c r="C46" t="s">
        <v>78</v>
      </c>
      <c r="F46">
        <v>249</v>
      </c>
      <c r="J46">
        <v>0.85899999999999999</v>
      </c>
      <c r="K46">
        <v>31.1</v>
      </c>
      <c r="L46">
        <v>36.200000000000003</v>
      </c>
      <c r="M46">
        <v>178</v>
      </c>
      <c r="N46">
        <v>24</v>
      </c>
      <c r="O46">
        <v>6</v>
      </c>
    </row>
    <row r="47" spans="1:16" x14ac:dyDescent="0.25">
      <c r="A47" s="4">
        <v>43480</v>
      </c>
      <c r="B47" t="s">
        <v>10</v>
      </c>
      <c r="C47">
        <v>1</v>
      </c>
      <c r="F47">
        <v>250</v>
      </c>
      <c r="J47">
        <v>0.99099999999999999</v>
      </c>
      <c r="K47">
        <v>33.9</v>
      </c>
      <c r="L47">
        <v>34.200000000000003</v>
      </c>
      <c r="M47">
        <v>179</v>
      </c>
      <c r="N47">
        <v>18</v>
      </c>
      <c r="O47">
        <v>6</v>
      </c>
      <c r="P47">
        <v>1</v>
      </c>
    </row>
    <row r="48" spans="1:16" x14ac:dyDescent="0.25">
      <c r="A48" s="4">
        <v>43480</v>
      </c>
      <c r="B48" t="s">
        <v>10</v>
      </c>
      <c r="C48">
        <v>2</v>
      </c>
      <c r="F48">
        <v>247</v>
      </c>
      <c r="J48">
        <v>0.97</v>
      </c>
      <c r="K48">
        <v>28.1</v>
      </c>
      <c r="L48">
        <v>29</v>
      </c>
      <c r="M48">
        <v>207</v>
      </c>
      <c r="N48">
        <v>9</v>
      </c>
    </row>
    <row r="49" spans="1:16" x14ac:dyDescent="0.25">
      <c r="A49" s="4">
        <v>43480</v>
      </c>
      <c r="B49" t="s">
        <v>9</v>
      </c>
      <c r="C49">
        <v>2</v>
      </c>
      <c r="F49">
        <v>238</v>
      </c>
      <c r="J49">
        <v>0.78100000000000003</v>
      </c>
      <c r="K49">
        <v>28.6</v>
      </c>
      <c r="L49">
        <v>36.700000000000003</v>
      </c>
      <c r="M49">
        <v>174</v>
      </c>
      <c r="N49">
        <v>18</v>
      </c>
      <c r="O49">
        <v>3</v>
      </c>
      <c r="P49">
        <v>1</v>
      </c>
    </row>
    <row r="50" spans="1:16" x14ac:dyDescent="0.25">
      <c r="A50" s="4">
        <v>43480</v>
      </c>
      <c r="B50" t="s">
        <v>10</v>
      </c>
      <c r="C50" t="s">
        <v>78</v>
      </c>
      <c r="F50">
        <v>496</v>
      </c>
      <c r="J50">
        <v>0.98099999999999998</v>
      </c>
      <c r="K50">
        <v>31</v>
      </c>
      <c r="L50">
        <v>31.6</v>
      </c>
      <c r="M50">
        <v>386</v>
      </c>
      <c r="N50">
        <v>27</v>
      </c>
      <c r="O50">
        <v>6</v>
      </c>
      <c r="P50">
        <v>1</v>
      </c>
    </row>
    <row r="51" spans="1:16" x14ac:dyDescent="0.25">
      <c r="A51" s="4">
        <v>43480</v>
      </c>
      <c r="B51" t="s">
        <v>9</v>
      </c>
      <c r="C51" t="s">
        <v>78</v>
      </c>
      <c r="F51">
        <v>237</v>
      </c>
      <c r="J51">
        <v>0.79</v>
      </c>
      <c r="K51">
        <v>29.6</v>
      </c>
      <c r="L51">
        <v>37.5</v>
      </c>
      <c r="M51">
        <v>174</v>
      </c>
      <c r="N51">
        <v>18</v>
      </c>
      <c r="O51">
        <v>3</v>
      </c>
      <c r="P51">
        <v>1</v>
      </c>
    </row>
    <row r="52" spans="1:16" x14ac:dyDescent="0.25">
      <c r="A52" s="4">
        <v>43481</v>
      </c>
      <c r="B52" t="s">
        <v>10</v>
      </c>
      <c r="C52">
        <v>1</v>
      </c>
      <c r="F52">
        <v>263</v>
      </c>
      <c r="J52">
        <v>0.96799999999999997</v>
      </c>
      <c r="K52">
        <v>33</v>
      </c>
      <c r="L52">
        <v>34.1</v>
      </c>
      <c r="M52">
        <v>154</v>
      </c>
      <c r="N52">
        <v>21</v>
      </c>
      <c r="O52">
        <v>12</v>
      </c>
      <c r="P52">
        <v>2</v>
      </c>
    </row>
    <row r="53" spans="1:16" x14ac:dyDescent="0.25">
      <c r="A53" s="4">
        <v>43481</v>
      </c>
      <c r="B53" t="s">
        <v>10</v>
      </c>
      <c r="C53">
        <v>2</v>
      </c>
      <c r="F53">
        <v>268</v>
      </c>
      <c r="J53">
        <v>1.0980000000000001</v>
      </c>
      <c r="K53">
        <v>32.799999999999997</v>
      </c>
      <c r="L53">
        <v>29.8</v>
      </c>
      <c r="M53">
        <v>222</v>
      </c>
      <c r="N53">
        <v>14</v>
      </c>
      <c r="O53">
        <v>4</v>
      </c>
    </row>
    <row r="54" spans="1:16" x14ac:dyDescent="0.25">
      <c r="A54" s="4">
        <v>43481</v>
      </c>
      <c r="B54" t="s">
        <v>10</v>
      </c>
      <c r="C54" t="s">
        <v>78</v>
      </c>
      <c r="F54">
        <v>526</v>
      </c>
      <c r="J54">
        <v>1.0329999999999999</v>
      </c>
      <c r="K54">
        <v>32.9</v>
      </c>
      <c r="L54">
        <v>31.8</v>
      </c>
      <c r="M54">
        <v>376</v>
      </c>
      <c r="N54">
        <v>35</v>
      </c>
      <c r="O54">
        <v>16</v>
      </c>
      <c r="P54">
        <v>2</v>
      </c>
    </row>
    <row r="55" spans="1:16" x14ac:dyDescent="0.25">
      <c r="A55" s="4">
        <v>43482</v>
      </c>
      <c r="B55" t="s">
        <v>10</v>
      </c>
      <c r="C55">
        <v>1</v>
      </c>
      <c r="F55">
        <v>252</v>
      </c>
      <c r="J55">
        <v>1.014</v>
      </c>
      <c r="K55">
        <v>32.799999999999997</v>
      </c>
      <c r="L55">
        <v>32.299999999999997</v>
      </c>
      <c r="M55">
        <v>184</v>
      </c>
      <c r="N55">
        <v>20</v>
      </c>
      <c r="O55">
        <v>4</v>
      </c>
      <c r="P55">
        <v>1</v>
      </c>
    </row>
    <row r="56" spans="1:16" x14ac:dyDescent="0.25">
      <c r="A56" s="4">
        <v>43482</v>
      </c>
      <c r="B56" t="s">
        <v>10</v>
      </c>
      <c r="C56">
        <v>2</v>
      </c>
      <c r="F56">
        <v>182</v>
      </c>
      <c r="J56">
        <v>0.92900000000000005</v>
      </c>
      <c r="K56">
        <v>28.2</v>
      </c>
      <c r="L56">
        <v>30.3</v>
      </c>
      <c r="M56">
        <v>155</v>
      </c>
      <c r="N56">
        <v>5</v>
      </c>
      <c r="O56">
        <v>1</v>
      </c>
    </row>
    <row r="57" spans="1:16" x14ac:dyDescent="0.25">
      <c r="A57" s="4">
        <v>43482</v>
      </c>
      <c r="B57" t="s">
        <v>9</v>
      </c>
      <c r="C57">
        <v>2</v>
      </c>
      <c r="F57">
        <v>211</v>
      </c>
      <c r="J57">
        <v>0.71699999999999997</v>
      </c>
      <c r="K57">
        <v>26</v>
      </c>
      <c r="L57">
        <v>36.299999999999997</v>
      </c>
      <c r="M57">
        <v>176</v>
      </c>
      <c r="N57">
        <v>16</v>
      </c>
    </row>
    <row r="58" spans="1:16" x14ac:dyDescent="0.25">
      <c r="A58" s="4">
        <v>43482</v>
      </c>
      <c r="B58" t="s">
        <v>10</v>
      </c>
      <c r="C58" t="s">
        <v>78</v>
      </c>
      <c r="F58">
        <v>431</v>
      </c>
      <c r="J58">
        <v>0.97699999999999998</v>
      </c>
      <c r="K58">
        <v>30.8</v>
      </c>
      <c r="L58">
        <v>31.5</v>
      </c>
      <c r="M58">
        <v>339</v>
      </c>
      <c r="N58">
        <v>25</v>
      </c>
      <c r="O58">
        <v>5</v>
      </c>
      <c r="P58">
        <v>1</v>
      </c>
    </row>
    <row r="59" spans="1:16" x14ac:dyDescent="0.25">
      <c r="A59" s="4">
        <v>43482</v>
      </c>
      <c r="B59" t="s">
        <v>9</v>
      </c>
      <c r="C59" t="s">
        <v>78</v>
      </c>
      <c r="F59">
        <v>210</v>
      </c>
      <c r="J59">
        <v>0.71899999999999997</v>
      </c>
      <c r="K59">
        <v>26.3</v>
      </c>
      <c r="L59">
        <v>36.5</v>
      </c>
      <c r="M59">
        <v>176</v>
      </c>
      <c r="N59">
        <v>16</v>
      </c>
    </row>
    <row r="60" spans="1:16" x14ac:dyDescent="0.25">
      <c r="A60" s="4">
        <v>43483</v>
      </c>
      <c r="B60" t="s">
        <v>10</v>
      </c>
      <c r="C60">
        <v>1</v>
      </c>
      <c r="F60">
        <v>246</v>
      </c>
      <c r="J60">
        <v>0.93</v>
      </c>
      <c r="K60">
        <v>30.8</v>
      </c>
      <c r="L60">
        <v>33.1</v>
      </c>
      <c r="M60">
        <v>161</v>
      </c>
      <c r="N60">
        <v>22</v>
      </c>
      <c r="O60">
        <v>8</v>
      </c>
    </row>
    <row r="61" spans="1:16" x14ac:dyDescent="0.25">
      <c r="A61" s="4">
        <v>43483</v>
      </c>
      <c r="B61" t="s">
        <v>10</v>
      </c>
      <c r="C61">
        <v>2</v>
      </c>
      <c r="F61">
        <v>250</v>
      </c>
      <c r="J61">
        <v>1.0329999999999999</v>
      </c>
      <c r="K61">
        <v>31.3</v>
      </c>
      <c r="L61">
        <v>30.3</v>
      </c>
      <c r="M61">
        <v>226</v>
      </c>
      <c r="N61">
        <v>12</v>
      </c>
    </row>
    <row r="62" spans="1:16" x14ac:dyDescent="0.25">
      <c r="A62" s="4">
        <v>43483</v>
      </c>
      <c r="B62" t="s">
        <v>9</v>
      </c>
      <c r="C62">
        <v>2</v>
      </c>
      <c r="F62">
        <v>227</v>
      </c>
      <c r="J62">
        <v>0.84299999999999997</v>
      </c>
      <c r="K62">
        <v>28.4</v>
      </c>
      <c r="L62">
        <v>33.700000000000003</v>
      </c>
      <c r="M62">
        <v>207</v>
      </c>
      <c r="N62">
        <v>10</v>
      </c>
    </row>
    <row r="63" spans="1:16" x14ac:dyDescent="0.25">
      <c r="A63" s="4">
        <v>43483</v>
      </c>
      <c r="B63" t="s">
        <v>10</v>
      </c>
      <c r="C63" t="s">
        <v>78</v>
      </c>
      <c r="F63">
        <v>496</v>
      </c>
      <c r="J63">
        <v>0.98199999999999998</v>
      </c>
      <c r="K63">
        <v>31</v>
      </c>
      <c r="L63">
        <v>31.6</v>
      </c>
      <c r="M63">
        <v>387</v>
      </c>
      <c r="N63">
        <v>34</v>
      </c>
      <c r="O63">
        <v>8</v>
      </c>
    </row>
    <row r="64" spans="1:16" x14ac:dyDescent="0.25">
      <c r="A64" s="4">
        <v>43483</v>
      </c>
      <c r="B64" t="s">
        <v>9</v>
      </c>
      <c r="C64" t="s">
        <v>78</v>
      </c>
      <c r="F64">
        <v>227</v>
      </c>
      <c r="J64">
        <v>0.84299999999999997</v>
      </c>
      <c r="K64">
        <v>28.4</v>
      </c>
      <c r="L64">
        <v>33.700000000000003</v>
      </c>
      <c r="M64">
        <v>207</v>
      </c>
      <c r="N64">
        <v>10</v>
      </c>
    </row>
    <row r="65" spans="1:16" x14ac:dyDescent="0.25">
      <c r="A65" s="4">
        <v>43486</v>
      </c>
      <c r="B65" t="s">
        <v>10</v>
      </c>
      <c r="C65">
        <v>1</v>
      </c>
      <c r="F65">
        <v>232</v>
      </c>
      <c r="J65">
        <v>0.88400000000000001</v>
      </c>
      <c r="K65">
        <v>29</v>
      </c>
      <c r="L65">
        <v>32.799999999999997</v>
      </c>
      <c r="M65">
        <v>159</v>
      </c>
      <c r="N65">
        <v>25</v>
      </c>
      <c r="O65">
        <v>3</v>
      </c>
      <c r="P65">
        <v>1</v>
      </c>
    </row>
    <row r="66" spans="1:16" x14ac:dyDescent="0.25">
      <c r="A66" s="4">
        <v>43486</v>
      </c>
      <c r="B66" t="s">
        <v>9</v>
      </c>
      <c r="C66">
        <v>2</v>
      </c>
      <c r="F66">
        <v>261</v>
      </c>
      <c r="J66">
        <v>0.90500000000000003</v>
      </c>
      <c r="K66">
        <v>32.6</v>
      </c>
      <c r="L66">
        <v>36.1</v>
      </c>
      <c r="M66">
        <v>193</v>
      </c>
      <c r="N66">
        <v>20</v>
      </c>
      <c r="O66">
        <v>3</v>
      </c>
      <c r="P66">
        <v>2</v>
      </c>
    </row>
    <row r="67" spans="1:16" x14ac:dyDescent="0.25">
      <c r="A67" s="4">
        <v>43486</v>
      </c>
      <c r="B67" t="s">
        <v>10</v>
      </c>
      <c r="C67" t="s">
        <v>78</v>
      </c>
      <c r="F67">
        <v>232</v>
      </c>
      <c r="J67">
        <v>0.88400000000000001</v>
      </c>
      <c r="K67">
        <v>29</v>
      </c>
      <c r="L67">
        <v>32.799999999999997</v>
      </c>
      <c r="M67">
        <v>159</v>
      </c>
      <c r="N67">
        <v>25</v>
      </c>
      <c r="O67">
        <v>3</v>
      </c>
      <c r="P67">
        <v>1</v>
      </c>
    </row>
    <row r="68" spans="1:16" x14ac:dyDescent="0.25">
      <c r="A68" s="4">
        <v>43486</v>
      </c>
      <c r="B68" t="s">
        <v>9</v>
      </c>
      <c r="C68" t="s">
        <v>78</v>
      </c>
      <c r="F68">
        <v>451</v>
      </c>
      <c r="J68">
        <v>0.76900000000000002</v>
      </c>
      <c r="K68">
        <v>28.2</v>
      </c>
      <c r="L68">
        <v>36.700000000000003</v>
      </c>
      <c r="M68">
        <v>325</v>
      </c>
      <c r="N68">
        <v>36</v>
      </c>
      <c r="O68">
        <v>5</v>
      </c>
      <c r="P68">
        <v>3</v>
      </c>
    </row>
    <row r="69" spans="1:16" x14ac:dyDescent="0.25">
      <c r="A69" s="4">
        <v>43486</v>
      </c>
      <c r="B69" t="s">
        <v>9</v>
      </c>
      <c r="C69">
        <v>1</v>
      </c>
      <c r="F69">
        <v>190</v>
      </c>
      <c r="J69">
        <v>0.63300000000000001</v>
      </c>
      <c r="K69">
        <v>23.8</v>
      </c>
      <c r="L69">
        <v>37.5</v>
      </c>
      <c r="M69">
        <v>132</v>
      </c>
      <c r="N69">
        <v>16</v>
      </c>
      <c r="O69">
        <v>2</v>
      </c>
    </row>
    <row r="70" spans="1:16" x14ac:dyDescent="0.25">
      <c r="A70" s="4">
        <v>43487</v>
      </c>
      <c r="B70" t="s">
        <v>10</v>
      </c>
      <c r="C70">
        <v>1</v>
      </c>
      <c r="F70">
        <v>212</v>
      </c>
      <c r="J70">
        <v>0.9</v>
      </c>
      <c r="K70">
        <v>26.5</v>
      </c>
      <c r="L70">
        <v>29.4</v>
      </c>
      <c r="M70">
        <v>160</v>
      </c>
      <c r="N70">
        <v>19</v>
      </c>
      <c r="O70">
        <v>3</v>
      </c>
    </row>
    <row r="71" spans="1:16" x14ac:dyDescent="0.25">
      <c r="A71" s="4">
        <v>43487</v>
      </c>
      <c r="B71" t="s">
        <v>9</v>
      </c>
      <c r="C71">
        <v>2</v>
      </c>
      <c r="F71">
        <v>271</v>
      </c>
      <c r="J71">
        <v>0.96899999999999997</v>
      </c>
      <c r="K71">
        <v>33.9</v>
      </c>
      <c r="L71">
        <v>35</v>
      </c>
      <c r="M71">
        <v>216</v>
      </c>
      <c r="N71">
        <v>19</v>
      </c>
      <c r="O71">
        <v>4</v>
      </c>
    </row>
    <row r="72" spans="1:16" x14ac:dyDescent="0.25">
      <c r="A72" s="4">
        <v>43487</v>
      </c>
      <c r="B72" t="s">
        <v>10</v>
      </c>
      <c r="C72" t="s">
        <v>78</v>
      </c>
      <c r="F72">
        <v>213</v>
      </c>
      <c r="J72">
        <v>0.90100000000000002</v>
      </c>
      <c r="K72">
        <v>26.6</v>
      </c>
      <c r="L72">
        <v>29.5</v>
      </c>
      <c r="M72">
        <v>160</v>
      </c>
      <c r="N72">
        <v>19</v>
      </c>
      <c r="O72">
        <v>3</v>
      </c>
    </row>
    <row r="73" spans="1:16" x14ac:dyDescent="0.25">
      <c r="A73" s="4">
        <v>43487</v>
      </c>
      <c r="B73" t="s">
        <v>9</v>
      </c>
      <c r="C73" t="s">
        <v>78</v>
      </c>
      <c r="F73">
        <v>484</v>
      </c>
      <c r="J73">
        <v>0.84499999999999997</v>
      </c>
      <c r="K73">
        <v>30.3</v>
      </c>
      <c r="L73">
        <v>35.799999999999997</v>
      </c>
      <c r="M73">
        <v>370</v>
      </c>
      <c r="N73">
        <v>37</v>
      </c>
      <c r="O73">
        <v>8</v>
      </c>
    </row>
    <row r="74" spans="1:16" x14ac:dyDescent="0.25">
      <c r="A74" s="4">
        <v>43487</v>
      </c>
      <c r="B74" t="s">
        <v>9</v>
      </c>
      <c r="C74">
        <v>1</v>
      </c>
      <c r="F74">
        <v>212</v>
      </c>
      <c r="J74">
        <v>0.71699999999999997</v>
      </c>
      <c r="K74">
        <v>26.5</v>
      </c>
      <c r="L74">
        <v>37</v>
      </c>
      <c r="M74">
        <v>153</v>
      </c>
      <c r="N74">
        <v>18</v>
      </c>
      <c r="O74">
        <v>4</v>
      </c>
    </row>
    <row r="75" spans="1:16" x14ac:dyDescent="0.25">
      <c r="A75" s="4">
        <v>43488</v>
      </c>
      <c r="B75" t="s">
        <v>10</v>
      </c>
      <c r="C75">
        <v>1</v>
      </c>
      <c r="F75">
        <v>222</v>
      </c>
      <c r="J75">
        <v>0.92100000000000004</v>
      </c>
      <c r="K75">
        <v>27.8</v>
      </c>
      <c r="L75">
        <v>30.1</v>
      </c>
      <c r="M75">
        <v>168</v>
      </c>
      <c r="N75">
        <v>19</v>
      </c>
      <c r="O75">
        <v>2</v>
      </c>
      <c r="P75">
        <v>1</v>
      </c>
    </row>
    <row r="76" spans="1:16" x14ac:dyDescent="0.25">
      <c r="A76" s="4">
        <v>43488</v>
      </c>
      <c r="B76" t="s">
        <v>9</v>
      </c>
      <c r="C76">
        <v>2</v>
      </c>
      <c r="F76">
        <v>254</v>
      </c>
      <c r="J76">
        <v>0.90400000000000003</v>
      </c>
      <c r="K76">
        <v>31.8</v>
      </c>
      <c r="L76">
        <v>35.1</v>
      </c>
      <c r="M76">
        <v>201</v>
      </c>
      <c r="N76">
        <v>12</v>
      </c>
      <c r="O76">
        <v>8</v>
      </c>
    </row>
    <row r="77" spans="1:16" x14ac:dyDescent="0.25">
      <c r="A77" s="4">
        <v>43488</v>
      </c>
      <c r="B77" t="s">
        <v>10</v>
      </c>
      <c r="C77" t="s">
        <v>78</v>
      </c>
      <c r="F77">
        <v>222</v>
      </c>
      <c r="J77">
        <v>0.92100000000000004</v>
      </c>
      <c r="K77">
        <v>27.8</v>
      </c>
      <c r="L77">
        <v>30.1</v>
      </c>
      <c r="M77">
        <v>168</v>
      </c>
      <c r="N77">
        <v>19</v>
      </c>
      <c r="O77">
        <v>2</v>
      </c>
      <c r="P77">
        <v>1</v>
      </c>
    </row>
    <row r="78" spans="1:16" x14ac:dyDescent="0.25">
      <c r="A78" s="4">
        <v>43488</v>
      </c>
      <c r="B78" t="s">
        <v>9</v>
      </c>
      <c r="C78" t="s">
        <v>78</v>
      </c>
      <c r="F78">
        <v>367</v>
      </c>
      <c r="J78">
        <v>0.85799999999999998</v>
      </c>
      <c r="K78">
        <v>30.6</v>
      </c>
      <c r="L78">
        <v>35.6</v>
      </c>
      <c r="M78">
        <v>280</v>
      </c>
      <c r="N78">
        <v>18</v>
      </c>
      <c r="O78">
        <v>13</v>
      </c>
    </row>
    <row r="79" spans="1:16" x14ac:dyDescent="0.25">
      <c r="A79" s="4">
        <v>43488</v>
      </c>
      <c r="B79" t="s">
        <v>9</v>
      </c>
      <c r="C79">
        <v>1</v>
      </c>
      <c r="F79">
        <v>113</v>
      </c>
      <c r="J79">
        <v>0.76500000000000001</v>
      </c>
      <c r="K79">
        <v>28.3</v>
      </c>
      <c r="L79">
        <v>36.9</v>
      </c>
      <c r="M79">
        <v>79</v>
      </c>
      <c r="N79">
        <v>6</v>
      </c>
      <c r="O79">
        <v>5</v>
      </c>
    </row>
    <row r="80" spans="1:16" x14ac:dyDescent="0.25">
      <c r="A80" s="4">
        <v>43489</v>
      </c>
      <c r="B80" t="s">
        <v>10</v>
      </c>
      <c r="C80">
        <v>1</v>
      </c>
      <c r="F80">
        <v>152</v>
      </c>
      <c r="J80">
        <v>0.60599999999999998</v>
      </c>
      <c r="K80">
        <v>19</v>
      </c>
      <c r="L80">
        <v>31.4</v>
      </c>
      <c r="M80">
        <v>111</v>
      </c>
      <c r="N80">
        <v>11</v>
      </c>
      <c r="O80">
        <v>3</v>
      </c>
    </row>
    <row r="81" spans="1:16" x14ac:dyDescent="0.25">
      <c r="A81" s="4">
        <v>43489</v>
      </c>
      <c r="B81" t="s">
        <v>9</v>
      </c>
      <c r="C81">
        <v>2</v>
      </c>
      <c r="F81">
        <v>203</v>
      </c>
      <c r="J81">
        <v>0.76</v>
      </c>
      <c r="K81">
        <v>25.4</v>
      </c>
      <c r="L81">
        <v>33.4</v>
      </c>
      <c r="M81">
        <v>173</v>
      </c>
      <c r="N81">
        <v>12</v>
      </c>
      <c r="O81">
        <v>1</v>
      </c>
    </row>
    <row r="82" spans="1:16" x14ac:dyDescent="0.25">
      <c r="A82" s="4">
        <v>43489</v>
      </c>
      <c r="B82" t="s">
        <v>10</v>
      </c>
      <c r="C82" t="s">
        <v>78</v>
      </c>
      <c r="F82">
        <v>152</v>
      </c>
      <c r="J82">
        <v>0.60599999999999998</v>
      </c>
      <c r="K82">
        <v>19</v>
      </c>
      <c r="L82">
        <v>31.4</v>
      </c>
      <c r="M82">
        <v>111</v>
      </c>
      <c r="N82">
        <v>11</v>
      </c>
      <c r="O82">
        <v>3</v>
      </c>
    </row>
    <row r="83" spans="1:16" x14ac:dyDescent="0.25">
      <c r="A83" s="4">
        <v>43489</v>
      </c>
      <c r="B83" t="s">
        <v>9</v>
      </c>
      <c r="C83" t="s">
        <v>78</v>
      </c>
      <c r="F83">
        <v>313</v>
      </c>
      <c r="J83">
        <v>0.76500000000000001</v>
      </c>
      <c r="K83">
        <v>26.1</v>
      </c>
      <c r="L83">
        <v>34.1</v>
      </c>
      <c r="M83">
        <v>256</v>
      </c>
      <c r="N83">
        <v>21</v>
      </c>
      <c r="O83">
        <v>2</v>
      </c>
    </row>
    <row r="84" spans="1:16" x14ac:dyDescent="0.25">
      <c r="A84" s="4">
        <v>43489</v>
      </c>
      <c r="B84" t="s">
        <v>9</v>
      </c>
      <c r="C84">
        <v>1</v>
      </c>
      <c r="F84">
        <v>110</v>
      </c>
      <c r="J84">
        <v>0.77400000000000002</v>
      </c>
      <c r="K84">
        <v>27.5</v>
      </c>
      <c r="L84">
        <v>35.5</v>
      </c>
      <c r="M84">
        <v>83</v>
      </c>
      <c r="N84">
        <v>9</v>
      </c>
      <c r="O84">
        <v>1</v>
      </c>
    </row>
    <row r="85" spans="1:16" x14ac:dyDescent="0.25">
      <c r="A85" s="4">
        <v>43490</v>
      </c>
      <c r="B85" t="s">
        <v>10</v>
      </c>
      <c r="C85">
        <v>1</v>
      </c>
      <c r="F85">
        <v>162</v>
      </c>
      <c r="J85">
        <v>0.63300000000000001</v>
      </c>
      <c r="K85">
        <v>20.3</v>
      </c>
      <c r="L85">
        <v>32</v>
      </c>
      <c r="M85">
        <v>109</v>
      </c>
      <c r="N85">
        <v>12</v>
      </c>
      <c r="O85">
        <v>5</v>
      </c>
      <c r="P85">
        <v>1</v>
      </c>
    </row>
    <row r="86" spans="1:16" x14ac:dyDescent="0.25">
      <c r="A86" s="4">
        <v>43490</v>
      </c>
      <c r="B86" t="s">
        <v>9</v>
      </c>
      <c r="C86">
        <v>2</v>
      </c>
      <c r="F86">
        <v>283</v>
      </c>
      <c r="J86">
        <v>1.034</v>
      </c>
      <c r="K86">
        <v>35.4</v>
      </c>
      <c r="L86">
        <v>34.200000000000003</v>
      </c>
      <c r="M86">
        <v>234</v>
      </c>
      <c r="N86">
        <v>19</v>
      </c>
      <c r="O86">
        <v>1</v>
      </c>
    </row>
    <row r="87" spans="1:16" x14ac:dyDescent="0.25">
      <c r="A87" s="4">
        <v>43490</v>
      </c>
      <c r="B87" t="s">
        <v>10</v>
      </c>
      <c r="C87" t="s">
        <v>78</v>
      </c>
      <c r="F87">
        <v>162</v>
      </c>
      <c r="J87">
        <v>0.63300000000000001</v>
      </c>
      <c r="K87">
        <v>20.3</v>
      </c>
      <c r="L87">
        <v>32</v>
      </c>
      <c r="M87">
        <v>109</v>
      </c>
      <c r="N87">
        <v>12</v>
      </c>
      <c r="O87">
        <v>5</v>
      </c>
      <c r="P87">
        <v>1</v>
      </c>
    </row>
    <row r="88" spans="1:16" x14ac:dyDescent="0.25">
      <c r="A88" s="4">
        <v>43490</v>
      </c>
      <c r="B88" t="s">
        <v>9</v>
      </c>
      <c r="C88" t="s">
        <v>78</v>
      </c>
      <c r="F88">
        <v>387</v>
      </c>
      <c r="J88">
        <v>0.92700000000000005</v>
      </c>
      <c r="K88">
        <v>32.299999999999997</v>
      </c>
      <c r="L88">
        <v>34.799999999999997</v>
      </c>
      <c r="M88">
        <v>310</v>
      </c>
      <c r="N88">
        <v>27</v>
      </c>
      <c r="O88">
        <v>2</v>
      </c>
    </row>
    <row r="89" spans="1:16" x14ac:dyDescent="0.25">
      <c r="A89" s="4">
        <v>43490</v>
      </c>
      <c r="B89" t="s">
        <v>9</v>
      </c>
      <c r="C89">
        <v>1</v>
      </c>
      <c r="F89">
        <v>104</v>
      </c>
      <c r="J89">
        <v>0.71299999999999997</v>
      </c>
      <c r="K89">
        <v>26</v>
      </c>
      <c r="L89">
        <v>36.5</v>
      </c>
      <c r="M89">
        <v>76</v>
      </c>
      <c r="N89">
        <v>8</v>
      </c>
      <c r="O89">
        <v>1</v>
      </c>
    </row>
    <row r="90" spans="1:16" x14ac:dyDescent="0.25">
      <c r="A90" s="4">
        <v>43493</v>
      </c>
      <c r="B90" t="s">
        <v>9</v>
      </c>
      <c r="C90">
        <v>1</v>
      </c>
      <c r="F90">
        <v>272</v>
      </c>
      <c r="J90">
        <v>0.95199999999999996</v>
      </c>
      <c r="K90">
        <v>34</v>
      </c>
      <c r="L90">
        <v>35.700000000000003</v>
      </c>
      <c r="M90">
        <v>179</v>
      </c>
      <c r="N90">
        <v>29</v>
      </c>
      <c r="O90">
        <v>8</v>
      </c>
    </row>
    <row r="91" spans="1:16" x14ac:dyDescent="0.25">
      <c r="A91" s="4">
        <v>43493</v>
      </c>
      <c r="B91" t="s">
        <v>10</v>
      </c>
      <c r="C91">
        <v>2</v>
      </c>
      <c r="F91">
        <v>222</v>
      </c>
      <c r="J91">
        <v>0.86</v>
      </c>
      <c r="K91">
        <v>27.8</v>
      </c>
      <c r="L91">
        <v>32.299999999999997</v>
      </c>
      <c r="M91">
        <v>156</v>
      </c>
      <c r="N91">
        <v>19</v>
      </c>
      <c r="O91">
        <v>3</v>
      </c>
    </row>
    <row r="92" spans="1:16" x14ac:dyDescent="0.25">
      <c r="A92" s="4">
        <v>43493</v>
      </c>
      <c r="B92" t="s">
        <v>9</v>
      </c>
      <c r="C92">
        <v>2</v>
      </c>
      <c r="F92">
        <v>246</v>
      </c>
      <c r="J92">
        <v>0.81</v>
      </c>
      <c r="K92">
        <v>30.8</v>
      </c>
      <c r="L92">
        <v>37.9</v>
      </c>
      <c r="M92">
        <v>159</v>
      </c>
      <c r="N92">
        <v>33</v>
      </c>
      <c r="O92">
        <v>4</v>
      </c>
    </row>
    <row r="93" spans="1:16" x14ac:dyDescent="0.25">
      <c r="A93" s="4">
        <v>43493</v>
      </c>
      <c r="B93" t="s">
        <v>10</v>
      </c>
      <c r="C93" t="s">
        <v>78</v>
      </c>
      <c r="F93">
        <v>222</v>
      </c>
      <c r="J93">
        <v>0.86</v>
      </c>
      <c r="K93">
        <v>27.8</v>
      </c>
      <c r="L93">
        <v>32.299999999999997</v>
      </c>
      <c r="M93">
        <v>156</v>
      </c>
      <c r="N93">
        <v>19</v>
      </c>
      <c r="O93">
        <v>3</v>
      </c>
    </row>
    <row r="94" spans="1:16" x14ac:dyDescent="0.25">
      <c r="A94" s="4">
        <v>43493</v>
      </c>
      <c r="B94" t="s">
        <v>9</v>
      </c>
      <c r="C94" t="s">
        <v>78</v>
      </c>
      <c r="F94">
        <v>518</v>
      </c>
      <c r="J94">
        <v>0.88100000000000001</v>
      </c>
      <c r="K94">
        <v>32.4</v>
      </c>
      <c r="L94">
        <v>36.700000000000003</v>
      </c>
      <c r="M94">
        <v>338</v>
      </c>
      <c r="N94">
        <v>62</v>
      </c>
      <c r="O94">
        <v>12</v>
      </c>
    </row>
    <row r="95" spans="1:16" x14ac:dyDescent="0.25">
      <c r="A95" s="4">
        <v>43494</v>
      </c>
      <c r="B95" t="s">
        <v>9</v>
      </c>
      <c r="C95">
        <v>1</v>
      </c>
      <c r="F95">
        <v>267</v>
      </c>
      <c r="J95">
        <v>0.89900000000000002</v>
      </c>
      <c r="K95">
        <v>33.4</v>
      </c>
      <c r="L95">
        <v>37.1</v>
      </c>
      <c r="M95">
        <v>194</v>
      </c>
      <c r="N95">
        <v>20</v>
      </c>
      <c r="O95">
        <v>5</v>
      </c>
      <c r="P95">
        <v>1</v>
      </c>
    </row>
    <row r="96" spans="1:16" x14ac:dyDescent="0.25">
      <c r="A96" s="4">
        <v>43494</v>
      </c>
      <c r="B96" t="s">
        <v>10</v>
      </c>
      <c r="C96">
        <v>2</v>
      </c>
      <c r="F96">
        <v>119</v>
      </c>
      <c r="J96">
        <v>0.81100000000000005</v>
      </c>
      <c r="K96">
        <v>23.8</v>
      </c>
      <c r="L96">
        <v>29.4</v>
      </c>
      <c r="M96">
        <v>101</v>
      </c>
      <c r="N96">
        <v>7</v>
      </c>
    </row>
    <row r="97" spans="1:16" x14ac:dyDescent="0.25">
      <c r="A97" s="4">
        <v>43494</v>
      </c>
      <c r="B97" t="s">
        <v>9</v>
      </c>
      <c r="C97">
        <v>2</v>
      </c>
      <c r="F97">
        <v>248</v>
      </c>
      <c r="J97">
        <v>0.872</v>
      </c>
      <c r="K97">
        <v>31</v>
      </c>
      <c r="L97">
        <v>35.6</v>
      </c>
      <c r="M97">
        <v>196</v>
      </c>
      <c r="N97">
        <v>16</v>
      </c>
      <c r="O97">
        <v>4</v>
      </c>
    </row>
    <row r="98" spans="1:16" x14ac:dyDescent="0.25">
      <c r="A98" s="4">
        <v>43494</v>
      </c>
      <c r="B98" t="s">
        <v>10</v>
      </c>
      <c r="C98" t="s">
        <v>78</v>
      </c>
      <c r="F98">
        <v>119</v>
      </c>
      <c r="J98">
        <v>0.81100000000000005</v>
      </c>
      <c r="K98">
        <v>23.8</v>
      </c>
      <c r="L98">
        <v>29.4</v>
      </c>
      <c r="M98">
        <v>101</v>
      </c>
      <c r="N98">
        <v>7</v>
      </c>
    </row>
    <row r="99" spans="1:16" x14ac:dyDescent="0.25">
      <c r="A99" s="4">
        <v>43494</v>
      </c>
      <c r="B99" t="s">
        <v>9</v>
      </c>
      <c r="C99" t="s">
        <v>78</v>
      </c>
      <c r="F99">
        <v>515</v>
      </c>
      <c r="J99">
        <v>0.88500000000000001</v>
      </c>
      <c r="K99">
        <v>32.200000000000003</v>
      </c>
      <c r="L99">
        <v>36.4</v>
      </c>
      <c r="M99">
        <v>390</v>
      </c>
      <c r="N99">
        <v>36</v>
      </c>
      <c r="O99">
        <v>9</v>
      </c>
      <c r="P99">
        <v>1</v>
      </c>
    </row>
    <row r="100" spans="1:16" x14ac:dyDescent="0.25">
      <c r="A100" s="4">
        <v>43495</v>
      </c>
      <c r="B100" t="s">
        <v>9</v>
      </c>
      <c r="C100">
        <v>1</v>
      </c>
      <c r="F100">
        <v>262</v>
      </c>
      <c r="J100">
        <v>0.88700000000000001</v>
      </c>
      <c r="K100">
        <v>32.6</v>
      </c>
      <c r="L100">
        <v>36.799999999999997</v>
      </c>
      <c r="M100">
        <v>151</v>
      </c>
      <c r="N100">
        <v>39</v>
      </c>
      <c r="O100">
        <v>7</v>
      </c>
    </row>
    <row r="101" spans="1:16" x14ac:dyDescent="0.25">
      <c r="A101" s="4">
        <v>43495</v>
      </c>
      <c r="B101" t="s">
        <v>10</v>
      </c>
      <c r="C101">
        <v>2</v>
      </c>
      <c r="F101">
        <v>274</v>
      </c>
      <c r="J101">
        <v>1.161</v>
      </c>
      <c r="K101">
        <v>34.299999999999997</v>
      </c>
      <c r="L101">
        <v>29.5</v>
      </c>
      <c r="M101">
        <v>226</v>
      </c>
      <c r="N101">
        <v>18</v>
      </c>
      <c r="O101">
        <v>3</v>
      </c>
    </row>
    <row r="102" spans="1:16" x14ac:dyDescent="0.25">
      <c r="A102" s="4">
        <v>43495</v>
      </c>
      <c r="B102" t="s">
        <v>9</v>
      </c>
      <c r="C102">
        <v>2</v>
      </c>
      <c r="F102">
        <v>282</v>
      </c>
      <c r="J102">
        <v>1</v>
      </c>
      <c r="K102">
        <v>35.299999999999997</v>
      </c>
      <c r="L102">
        <v>35.200000000000003</v>
      </c>
      <c r="M102">
        <v>218</v>
      </c>
      <c r="N102">
        <v>24</v>
      </c>
      <c r="O102">
        <v>4</v>
      </c>
    </row>
    <row r="103" spans="1:16" x14ac:dyDescent="0.25">
      <c r="A103" s="4">
        <v>43495</v>
      </c>
      <c r="B103" t="s">
        <v>10</v>
      </c>
      <c r="C103" t="s">
        <v>78</v>
      </c>
      <c r="F103">
        <v>274</v>
      </c>
      <c r="J103">
        <v>1.161</v>
      </c>
      <c r="K103">
        <v>34.299999999999997</v>
      </c>
      <c r="L103">
        <v>29.5</v>
      </c>
      <c r="M103">
        <v>226</v>
      </c>
      <c r="N103">
        <v>18</v>
      </c>
      <c r="O103">
        <v>3</v>
      </c>
    </row>
    <row r="104" spans="1:16" x14ac:dyDescent="0.25">
      <c r="A104" s="4">
        <v>43495</v>
      </c>
      <c r="B104" t="s">
        <v>9</v>
      </c>
      <c r="C104" t="s">
        <v>78</v>
      </c>
      <c r="F104">
        <v>543</v>
      </c>
      <c r="J104">
        <v>0.94399999999999995</v>
      </c>
      <c r="K104">
        <v>33.9</v>
      </c>
      <c r="L104">
        <v>36</v>
      </c>
      <c r="M104">
        <v>36</v>
      </c>
      <c r="N104">
        <v>369</v>
      </c>
      <c r="O104">
        <v>63</v>
      </c>
      <c r="P104">
        <v>11</v>
      </c>
    </row>
    <row r="105" spans="1:16" x14ac:dyDescent="0.25">
      <c r="A105" s="4">
        <v>43496</v>
      </c>
      <c r="B105" t="s">
        <v>9</v>
      </c>
      <c r="C105">
        <v>1</v>
      </c>
      <c r="F105">
        <v>300</v>
      </c>
      <c r="J105">
        <v>1.036</v>
      </c>
      <c r="K105">
        <v>37.5</v>
      </c>
      <c r="L105">
        <v>36.200000000000003</v>
      </c>
      <c r="M105">
        <v>228</v>
      </c>
      <c r="N105">
        <v>19</v>
      </c>
      <c r="O105">
        <v>5</v>
      </c>
      <c r="P105">
        <v>1</v>
      </c>
    </row>
    <row r="106" spans="1:16" x14ac:dyDescent="0.25">
      <c r="A106" s="4">
        <v>43496</v>
      </c>
      <c r="B106" t="s">
        <v>10</v>
      </c>
      <c r="C106">
        <v>2</v>
      </c>
      <c r="F106">
        <v>253</v>
      </c>
      <c r="J106">
        <v>1.0860000000000001</v>
      </c>
      <c r="K106">
        <v>31.6</v>
      </c>
      <c r="L106">
        <v>29.1</v>
      </c>
      <c r="M106">
        <v>218</v>
      </c>
      <c r="N106">
        <v>13</v>
      </c>
      <c r="O106">
        <v>1</v>
      </c>
    </row>
    <row r="107" spans="1:16" x14ac:dyDescent="0.25">
      <c r="A107" s="4">
        <v>43496</v>
      </c>
      <c r="B107" t="s">
        <v>9</v>
      </c>
      <c r="C107">
        <v>2</v>
      </c>
      <c r="F107">
        <v>261</v>
      </c>
      <c r="J107">
        <v>0.93300000000000005</v>
      </c>
      <c r="K107">
        <v>32.6</v>
      </c>
      <c r="L107">
        <v>35</v>
      </c>
      <c r="M107">
        <v>212</v>
      </c>
      <c r="N107">
        <v>15</v>
      </c>
      <c r="O107">
        <v>3</v>
      </c>
    </row>
    <row r="108" spans="1:16" x14ac:dyDescent="0.25">
      <c r="A108" s="4">
        <v>43496</v>
      </c>
      <c r="B108" t="s">
        <v>10</v>
      </c>
      <c r="C108" t="s">
        <v>78</v>
      </c>
      <c r="F108">
        <v>253</v>
      </c>
      <c r="J108">
        <v>1.0860000000000001</v>
      </c>
      <c r="K108">
        <v>31.6</v>
      </c>
      <c r="L108">
        <v>29.1</v>
      </c>
      <c r="M108">
        <v>218</v>
      </c>
      <c r="N108">
        <v>13</v>
      </c>
      <c r="O108">
        <v>1</v>
      </c>
    </row>
    <row r="109" spans="1:16" x14ac:dyDescent="0.25">
      <c r="A109" s="4">
        <v>43496</v>
      </c>
      <c r="B109" t="s">
        <v>9</v>
      </c>
      <c r="C109" t="s">
        <v>78</v>
      </c>
      <c r="F109">
        <v>561</v>
      </c>
      <c r="J109">
        <v>0.98399999999999999</v>
      </c>
      <c r="K109">
        <v>35.1</v>
      </c>
      <c r="L109">
        <v>35.6</v>
      </c>
      <c r="M109">
        <v>440</v>
      </c>
      <c r="N109">
        <v>34</v>
      </c>
      <c r="O109">
        <v>8</v>
      </c>
      <c r="P109">
        <v>1</v>
      </c>
    </row>
    <row r="110" spans="1:16" x14ac:dyDescent="0.25">
      <c r="A110" s="4">
        <v>43497</v>
      </c>
      <c r="B110" t="s">
        <v>9</v>
      </c>
      <c r="C110">
        <v>1</v>
      </c>
      <c r="F110">
        <v>282</v>
      </c>
      <c r="J110">
        <v>0.96299999999999997</v>
      </c>
      <c r="K110">
        <v>35.299999999999997</v>
      </c>
      <c r="L110">
        <v>36.6</v>
      </c>
      <c r="M110">
        <v>214</v>
      </c>
      <c r="N110">
        <v>16</v>
      </c>
      <c r="O110">
        <v>7</v>
      </c>
      <c r="P110">
        <v>1</v>
      </c>
    </row>
    <row r="111" spans="1:16" x14ac:dyDescent="0.25">
      <c r="A111" s="4">
        <v>43497</v>
      </c>
      <c r="B111" t="s">
        <v>10</v>
      </c>
      <c r="C111">
        <v>2</v>
      </c>
      <c r="F111">
        <v>190</v>
      </c>
      <c r="J111">
        <v>0.88600000000000001</v>
      </c>
      <c r="K111">
        <v>27.1</v>
      </c>
      <c r="L111">
        <v>30.7</v>
      </c>
      <c r="M111">
        <v>169</v>
      </c>
      <c r="N111">
        <v>7</v>
      </c>
      <c r="O111">
        <v>1</v>
      </c>
    </row>
    <row r="112" spans="1:16" x14ac:dyDescent="0.25">
      <c r="A112" s="4">
        <v>43497</v>
      </c>
      <c r="B112" t="s">
        <v>9</v>
      </c>
      <c r="C112">
        <v>2</v>
      </c>
      <c r="F112">
        <v>222</v>
      </c>
      <c r="J112">
        <v>0.89500000000000002</v>
      </c>
      <c r="K112">
        <v>31.7</v>
      </c>
      <c r="L112">
        <v>35.4</v>
      </c>
      <c r="M112">
        <v>188</v>
      </c>
      <c r="N112">
        <v>12</v>
      </c>
      <c r="O112">
        <v>1</v>
      </c>
    </row>
    <row r="113" spans="1:16" x14ac:dyDescent="0.25">
      <c r="A113" s="4">
        <v>43497</v>
      </c>
      <c r="B113" t="s">
        <v>10</v>
      </c>
      <c r="C113" t="s">
        <v>78</v>
      </c>
      <c r="F113">
        <v>190</v>
      </c>
      <c r="J113">
        <v>0.88600000000000001</v>
      </c>
      <c r="K113">
        <v>27.1</v>
      </c>
      <c r="L113">
        <v>30.7</v>
      </c>
      <c r="M113">
        <v>169</v>
      </c>
      <c r="N113">
        <v>7</v>
      </c>
      <c r="O113">
        <v>1</v>
      </c>
    </row>
    <row r="114" spans="1:16" x14ac:dyDescent="0.25">
      <c r="A114" s="4">
        <v>43497</v>
      </c>
      <c r="B114" t="s">
        <v>9</v>
      </c>
      <c r="C114" t="s">
        <v>78</v>
      </c>
      <c r="F114">
        <v>504</v>
      </c>
      <c r="J114">
        <v>0.93100000000000005</v>
      </c>
      <c r="K114">
        <v>33.6</v>
      </c>
      <c r="L114">
        <v>36.1</v>
      </c>
      <c r="M114">
        <v>402</v>
      </c>
      <c r="N114">
        <v>28</v>
      </c>
      <c r="O114">
        <v>8</v>
      </c>
      <c r="P114">
        <v>1</v>
      </c>
    </row>
    <row r="115" spans="1:16" x14ac:dyDescent="0.25">
      <c r="A115" s="4">
        <v>43497</v>
      </c>
      <c r="B115" t="s">
        <v>9</v>
      </c>
      <c r="C115">
        <v>1</v>
      </c>
      <c r="F115">
        <v>282</v>
      </c>
      <c r="J115">
        <v>0.96299999999999997</v>
      </c>
      <c r="K115">
        <v>35.299999999999997</v>
      </c>
      <c r="L115">
        <v>36.6</v>
      </c>
      <c r="M115">
        <v>214</v>
      </c>
      <c r="N115">
        <v>16</v>
      </c>
      <c r="O115">
        <v>7</v>
      </c>
      <c r="P115">
        <v>1</v>
      </c>
    </row>
    <row r="116" spans="1:16" x14ac:dyDescent="0.25">
      <c r="A116" s="4">
        <v>43500</v>
      </c>
      <c r="B116" t="s">
        <v>10</v>
      </c>
      <c r="C116">
        <v>1</v>
      </c>
      <c r="F116">
        <v>208</v>
      </c>
      <c r="J116">
        <v>0.75</v>
      </c>
      <c r="K116">
        <v>26</v>
      </c>
      <c r="L116">
        <v>34.700000000000003</v>
      </c>
      <c r="M116">
        <v>114</v>
      </c>
      <c r="N116">
        <v>16</v>
      </c>
      <c r="O116">
        <v>12</v>
      </c>
      <c r="P116">
        <v>2</v>
      </c>
    </row>
    <row r="117" spans="1:16" x14ac:dyDescent="0.25">
      <c r="A117" s="4">
        <v>43500</v>
      </c>
      <c r="B117" t="s">
        <v>9</v>
      </c>
      <c r="C117">
        <v>2</v>
      </c>
      <c r="F117">
        <v>279</v>
      </c>
      <c r="J117">
        <v>1.0009999999999999</v>
      </c>
      <c r="K117">
        <v>34.9</v>
      </c>
      <c r="L117">
        <v>34.799999999999997</v>
      </c>
      <c r="M117">
        <v>237</v>
      </c>
      <c r="N117">
        <v>14</v>
      </c>
      <c r="O117">
        <v>1</v>
      </c>
      <c r="P117">
        <v>1</v>
      </c>
    </row>
    <row r="118" spans="1:16" x14ac:dyDescent="0.25">
      <c r="A118" s="4">
        <v>43500</v>
      </c>
      <c r="B118" t="s">
        <v>10</v>
      </c>
      <c r="C118" t="s">
        <v>78</v>
      </c>
      <c r="F118">
        <v>208</v>
      </c>
      <c r="J118">
        <v>0.75</v>
      </c>
      <c r="K118">
        <v>26</v>
      </c>
      <c r="L118">
        <v>34.700000000000003</v>
      </c>
      <c r="M118">
        <v>114</v>
      </c>
      <c r="N118">
        <v>16</v>
      </c>
      <c r="O118">
        <v>12</v>
      </c>
      <c r="P118">
        <v>2</v>
      </c>
    </row>
    <row r="119" spans="1:16" x14ac:dyDescent="0.25">
      <c r="A119" s="4">
        <v>43500</v>
      </c>
      <c r="B119" t="s">
        <v>9</v>
      </c>
      <c r="C119" t="s">
        <v>78</v>
      </c>
      <c r="F119">
        <v>544</v>
      </c>
      <c r="J119">
        <v>0.94799999999999995</v>
      </c>
      <c r="K119">
        <v>34</v>
      </c>
      <c r="L119">
        <v>35.9</v>
      </c>
      <c r="M119">
        <v>419</v>
      </c>
      <c r="N119">
        <v>39</v>
      </c>
      <c r="O119">
        <v>6</v>
      </c>
      <c r="P119">
        <v>1</v>
      </c>
    </row>
    <row r="120" spans="1:16" x14ac:dyDescent="0.25">
      <c r="A120" s="4">
        <v>43500</v>
      </c>
      <c r="B120" t="s">
        <v>9</v>
      </c>
      <c r="C120">
        <v>1</v>
      </c>
      <c r="F120">
        <v>265</v>
      </c>
      <c r="J120">
        <v>0.89400000000000002</v>
      </c>
      <c r="K120">
        <v>33.1</v>
      </c>
      <c r="L120">
        <v>37</v>
      </c>
      <c r="M120">
        <v>182</v>
      </c>
      <c r="N120">
        <v>25</v>
      </c>
      <c r="O120">
        <v>5</v>
      </c>
    </row>
    <row r="121" spans="1:16" x14ac:dyDescent="0.25">
      <c r="A121" s="4">
        <v>43501</v>
      </c>
      <c r="B121" t="s">
        <v>10</v>
      </c>
      <c r="C121">
        <v>1</v>
      </c>
      <c r="F121">
        <v>112</v>
      </c>
      <c r="J121">
        <v>0.84799999999999998</v>
      </c>
      <c r="K121">
        <v>28</v>
      </c>
      <c r="L121">
        <v>33.020000000000003</v>
      </c>
      <c r="M121">
        <v>71</v>
      </c>
      <c r="N121">
        <v>13</v>
      </c>
      <c r="O121">
        <v>1</v>
      </c>
    </row>
    <row r="122" spans="1:16" x14ac:dyDescent="0.25">
      <c r="A122" s="4">
        <v>43501</v>
      </c>
      <c r="B122" t="s">
        <v>9</v>
      </c>
      <c r="C122">
        <v>2</v>
      </c>
      <c r="F122">
        <v>277</v>
      </c>
      <c r="J122">
        <v>0.998</v>
      </c>
      <c r="K122">
        <v>34.6</v>
      </c>
      <c r="L122">
        <v>34.700000000000003</v>
      </c>
      <c r="M122">
        <v>225</v>
      </c>
      <c r="N122">
        <v>17</v>
      </c>
      <c r="O122">
        <v>3</v>
      </c>
    </row>
    <row r="123" spans="1:16" x14ac:dyDescent="0.25">
      <c r="A123" s="4">
        <v>43501</v>
      </c>
      <c r="B123" t="s">
        <v>10</v>
      </c>
      <c r="C123" t="s">
        <v>78</v>
      </c>
      <c r="F123">
        <v>112</v>
      </c>
      <c r="J123">
        <v>0.84799999999999998</v>
      </c>
      <c r="K123">
        <v>28</v>
      </c>
      <c r="L123">
        <v>33</v>
      </c>
      <c r="M123">
        <v>71</v>
      </c>
      <c r="N123">
        <v>13</v>
      </c>
      <c r="O123">
        <v>1</v>
      </c>
      <c r="P123">
        <v>1</v>
      </c>
    </row>
    <row r="124" spans="1:16" x14ac:dyDescent="0.25">
      <c r="A124" s="4">
        <v>43501</v>
      </c>
      <c r="B124" t="s">
        <v>9</v>
      </c>
      <c r="C124" t="s">
        <v>78</v>
      </c>
      <c r="F124">
        <v>546</v>
      </c>
      <c r="J124">
        <v>0.95499999999999996</v>
      </c>
      <c r="K124">
        <v>34.1</v>
      </c>
      <c r="L124">
        <v>35.700000000000003</v>
      </c>
      <c r="M124">
        <v>401</v>
      </c>
      <c r="N124">
        <v>49</v>
      </c>
      <c r="O124">
        <v>11</v>
      </c>
    </row>
    <row r="125" spans="1:16" x14ac:dyDescent="0.25">
      <c r="A125" s="4">
        <v>43501</v>
      </c>
      <c r="B125" t="s">
        <v>9</v>
      </c>
      <c r="C125">
        <v>1</v>
      </c>
      <c r="F125">
        <v>269</v>
      </c>
      <c r="J125">
        <v>0.91100000000000003</v>
      </c>
      <c r="K125">
        <v>33.6</v>
      </c>
      <c r="L125">
        <v>36.9</v>
      </c>
      <c r="M125">
        <v>176</v>
      </c>
      <c r="N125">
        <v>32</v>
      </c>
      <c r="O125">
        <v>8</v>
      </c>
    </row>
    <row r="126" spans="1:16" x14ac:dyDescent="0.25">
      <c r="A126" s="4">
        <v>43502</v>
      </c>
      <c r="B126" t="s">
        <v>10</v>
      </c>
      <c r="C126">
        <v>1</v>
      </c>
      <c r="F126">
        <v>231</v>
      </c>
      <c r="J126">
        <v>0.88200000000000001</v>
      </c>
      <c r="K126">
        <v>28.9</v>
      </c>
      <c r="L126">
        <v>32.700000000000003</v>
      </c>
      <c r="M126">
        <v>149</v>
      </c>
      <c r="N126">
        <v>11</v>
      </c>
      <c r="O126">
        <v>11</v>
      </c>
      <c r="P126">
        <v>2</v>
      </c>
    </row>
    <row r="127" spans="1:16" x14ac:dyDescent="0.25">
      <c r="A127" s="4">
        <v>43502</v>
      </c>
      <c r="B127" t="s">
        <v>9</v>
      </c>
      <c r="C127">
        <v>2</v>
      </c>
      <c r="F127">
        <v>301</v>
      </c>
      <c r="J127">
        <v>1.044</v>
      </c>
      <c r="K127">
        <v>37.6</v>
      </c>
      <c r="L127">
        <v>36</v>
      </c>
      <c r="M127">
        <v>222</v>
      </c>
      <c r="N127">
        <v>19</v>
      </c>
      <c r="O127">
        <v>10</v>
      </c>
    </row>
    <row r="128" spans="1:16" x14ac:dyDescent="0.25">
      <c r="A128" s="4">
        <v>43502</v>
      </c>
      <c r="B128" t="s">
        <v>10</v>
      </c>
      <c r="C128" t="s">
        <v>78</v>
      </c>
      <c r="F128">
        <v>231</v>
      </c>
      <c r="J128">
        <v>0.88200000000000001</v>
      </c>
      <c r="K128">
        <v>28.9</v>
      </c>
      <c r="L128">
        <v>32.700000000000003</v>
      </c>
      <c r="M128">
        <v>149</v>
      </c>
      <c r="N128">
        <v>11</v>
      </c>
      <c r="O128">
        <v>11</v>
      </c>
      <c r="P128">
        <v>2</v>
      </c>
    </row>
    <row r="129" spans="1:16" x14ac:dyDescent="0.25">
      <c r="A129" s="4">
        <v>43502</v>
      </c>
      <c r="B129" t="s">
        <v>9</v>
      </c>
      <c r="C129" t="s">
        <v>78</v>
      </c>
      <c r="F129">
        <v>403</v>
      </c>
      <c r="J129">
        <v>0.93799999999999994</v>
      </c>
      <c r="K129">
        <v>33.6</v>
      </c>
      <c r="L129">
        <v>35.799999999999997</v>
      </c>
      <c r="M129">
        <v>298</v>
      </c>
      <c r="N129">
        <v>28</v>
      </c>
      <c r="O129">
        <v>12</v>
      </c>
    </row>
    <row r="130" spans="1:16" x14ac:dyDescent="0.25">
      <c r="A130" s="4">
        <v>43502</v>
      </c>
      <c r="B130" t="s">
        <v>9</v>
      </c>
      <c r="C130">
        <v>1</v>
      </c>
      <c r="F130">
        <v>102</v>
      </c>
      <c r="J130">
        <v>0.72699999999999998</v>
      </c>
      <c r="K130">
        <v>25.5</v>
      </c>
      <c r="L130">
        <v>35.1</v>
      </c>
      <c r="M130">
        <v>76</v>
      </c>
      <c r="N130">
        <v>9</v>
      </c>
      <c r="O130">
        <v>2</v>
      </c>
    </row>
    <row r="131" spans="1:16" x14ac:dyDescent="0.25">
      <c r="A131" s="4">
        <v>43503</v>
      </c>
      <c r="B131" t="s">
        <v>10</v>
      </c>
      <c r="C131">
        <v>1</v>
      </c>
      <c r="F131">
        <v>212</v>
      </c>
      <c r="J131">
        <v>0.88</v>
      </c>
      <c r="K131">
        <v>26.5</v>
      </c>
      <c r="L131">
        <v>30.1</v>
      </c>
      <c r="M131">
        <v>178</v>
      </c>
      <c r="N131">
        <v>10</v>
      </c>
      <c r="O131">
        <v>1</v>
      </c>
    </row>
    <row r="132" spans="1:16" x14ac:dyDescent="0.25">
      <c r="A132" s="4">
        <v>43503</v>
      </c>
      <c r="B132" t="s">
        <v>9</v>
      </c>
      <c r="C132">
        <v>1</v>
      </c>
      <c r="F132">
        <v>234</v>
      </c>
      <c r="J132">
        <v>0.83399999999999996</v>
      </c>
      <c r="K132">
        <v>29.3</v>
      </c>
      <c r="L132">
        <v>35.1</v>
      </c>
      <c r="M132">
        <v>176</v>
      </c>
      <c r="N132">
        <v>22</v>
      </c>
      <c r="O132">
        <v>3</v>
      </c>
    </row>
    <row r="133" spans="1:16" x14ac:dyDescent="0.25">
      <c r="A133" s="4">
        <v>43503</v>
      </c>
      <c r="B133" t="s">
        <v>9</v>
      </c>
      <c r="C133">
        <v>2</v>
      </c>
      <c r="F133">
        <v>288</v>
      </c>
      <c r="J133">
        <v>1.0549999999999999</v>
      </c>
      <c r="K133">
        <v>36</v>
      </c>
      <c r="L133">
        <v>34.1</v>
      </c>
      <c r="M133">
        <v>257</v>
      </c>
      <c r="N133">
        <v>11</v>
      </c>
      <c r="O133">
        <v>1</v>
      </c>
    </row>
    <row r="134" spans="1:16" x14ac:dyDescent="0.25">
      <c r="A134" s="4">
        <v>43503</v>
      </c>
      <c r="B134" t="s">
        <v>10</v>
      </c>
      <c r="C134" t="s">
        <v>78</v>
      </c>
      <c r="F134">
        <v>212</v>
      </c>
      <c r="J134">
        <v>0.88</v>
      </c>
      <c r="K134">
        <v>26.5</v>
      </c>
      <c r="L134">
        <v>30.1</v>
      </c>
      <c r="M134">
        <v>178</v>
      </c>
      <c r="N134">
        <v>10</v>
      </c>
      <c r="O134">
        <v>1</v>
      </c>
    </row>
    <row r="135" spans="1:16" x14ac:dyDescent="0.25">
      <c r="A135" s="4">
        <v>43503</v>
      </c>
      <c r="B135" t="s">
        <v>9</v>
      </c>
      <c r="C135" t="s">
        <v>78</v>
      </c>
      <c r="F135">
        <v>522</v>
      </c>
      <c r="J135">
        <v>0.94399999999999995</v>
      </c>
      <c r="K135">
        <v>32.6</v>
      </c>
      <c r="L135">
        <v>34.5</v>
      </c>
      <c r="M135">
        <v>433</v>
      </c>
      <c r="N135">
        <v>33</v>
      </c>
      <c r="O135">
        <v>4</v>
      </c>
    </row>
    <row r="136" spans="1:16" x14ac:dyDescent="0.25">
      <c r="A136" s="4">
        <v>43504</v>
      </c>
      <c r="B136" t="s">
        <v>10</v>
      </c>
      <c r="C136">
        <v>1</v>
      </c>
      <c r="F136">
        <v>96</v>
      </c>
      <c r="J136">
        <v>0.84899999999999998</v>
      </c>
      <c r="K136">
        <v>24</v>
      </c>
      <c r="L136">
        <v>28.3</v>
      </c>
      <c r="M136">
        <v>90</v>
      </c>
      <c r="N136">
        <v>3</v>
      </c>
    </row>
    <row r="137" spans="1:16" x14ac:dyDescent="0.25">
      <c r="A137" s="4">
        <v>43504</v>
      </c>
      <c r="B137" t="s">
        <v>9</v>
      </c>
      <c r="C137">
        <v>1</v>
      </c>
      <c r="F137">
        <v>190</v>
      </c>
      <c r="J137">
        <v>0.67100000000000004</v>
      </c>
      <c r="K137">
        <v>23.8</v>
      </c>
      <c r="L137">
        <v>35.4</v>
      </c>
      <c r="M137">
        <v>130</v>
      </c>
      <c r="N137">
        <v>20</v>
      </c>
      <c r="O137">
        <v>4</v>
      </c>
      <c r="P137">
        <v>1</v>
      </c>
    </row>
    <row r="138" spans="1:16" x14ac:dyDescent="0.25">
      <c r="A138" s="4">
        <v>43504</v>
      </c>
      <c r="B138" t="s">
        <v>9</v>
      </c>
      <c r="C138">
        <v>2</v>
      </c>
      <c r="F138">
        <v>293</v>
      </c>
      <c r="J138">
        <v>1.04</v>
      </c>
      <c r="K138">
        <v>36.6</v>
      </c>
      <c r="L138">
        <v>35.200000000000003</v>
      </c>
      <c r="M138">
        <v>234</v>
      </c>
      <c r="N138">
        <v>16</v>
      </c>
      <c r="O138">
        <v>7</v>
      </c>
    </row>
    <row r="139" spans="1:16" x14ac:dyDescent="0.25">
      <c r="A139" s="4">
        <v>43504</v>
      </c>
      <c r="B139" t="s">
        <v>10</v>
      </c>
      <c r="C139" t="s">
        <v>78</v>
      </c>
      <c r="F139">
        <v>96</v>
      </c>
      <c r="J139">
        <v>0.84899999999999998</v>
      </c>
      <c r="K139">
        <v>24</v>
      </c>
      <c r="L139">
        <v>28.3</v>
      </c>
      <c r="M139">
        <v>90</v>
      </c>
      <c r="N139">
        <v>3</v>
      </c>
    </row>
    <row r="140" spans="1:16" x14ac:dyDescent="0.25">
      <c r="A140" s="4">
        <v>43504</v>
      </c>
      <c r="B140" t="s">
        <v>10</v>
      </c>
      <c r="C140" t="s">
        <v>78</v>
      </c>
      <c r="F140">
        <v>483</v>
      </c>
      <c r="J140">
        <v>0.85599999999999998</v>
      </c>
      <c r="K140">
        <v>30.2</v>
      </c>
      <c r="L140">
        <v>35.299999999999997</v>
      </c>
      <c r="M140">
        <v>364</v>
      </c>
      <c r="N140">
        <v>36</v>
      </c>
      <c r="O140">
        <v>11</v>
      </c>
      <c r="P140">
        <v>1</v>
      </c>
    </row>
    <row r="141" spans="1:16" x14ac:dyDescent="0.25">
      <c r="A141" s="4">
        <v>43507</v>
      </c>
      <c r="B141" t="s">
        <v>10</v>
      </c>
      <c r="C141">
        <v>1</v>
      </c>
      <c r="F141">
        <v>102</v>
      </c>
      <c r="J141">
        <v>0.84899999999999998</v>
      </c>
      <c r="K141">
        <v>27.8</v>
      </c>
      <c r="L141">
        <v>32.799999999999997</v>
      </c>
      <c r="M141">
        <v>71</v>
      </c>
      <c r="N141">
        <v>6</v>
      </c>
      <c r="O141">
        <v>3</v>
      </c>
    </row>
    <row r="142" spans="1:16" x14ac:dyDescent="0.25">
      <c r="A142" s="4">
        <v>43507</v>
      </c>
      <c r="B142" t="s">
        <v>9</v>
      </c>
      <c r="C142">
        <v>1</v>
      </c>
      <c r="F142">
        <v>286</v>
      </c>
      <c r="J142">
        <v>0.79</v>
      </c>
      <c r="K142">
        <v>35.799999999999997</v>
      </c>
      <c r="L142">
        <v>45.2</v>
      </c>
      <c r="M142">
        <v>115</v>
      </c>
      <c r="N142">
        <v>18</v>
      </c>
      <c r="O142">
        <v>28</v>
      </c>
      <c r="P142">
        <v>1</v>
      </c>
    </row>
    <row r="143" spans="1:16" x14ac:dyDescent="0.25">
      <c r="A143" s="4">
        <v>43507</v>
      </c>
      <c r="B143" t="s">
        <v>9</v>
      </c>
      <c r="C143">
        <v>2</v>
      </c>
      <c r="F143">
        <v>282</v>
      </c>
      <c r="J143">
        <v>0.96399999999999997</v>
      </c>
      <c r="K143">
        <v>35.299999999999997</v>
      </c>
      <c r="L143">
        <v>36.6</v>
      </c>
      <c r="M143">
        <v>225</v>
      </c>
      <c r="N143">
        <v>13</v>
      </c>
      <c r="O143">
        <v>2</v>
      </c>
      <c r="P143">
        <v>2</v>
      </c>
    </row>
    <row r="144" spans="1:16" x14ac:dyDescent="0.25">
      <c r="A144" s="4">
        <v>43507</v>
      </c>
      <c r="B144" t="s">
        <v>10</v>
      </c>
      <c r="C144" t="s">
        <v>78</v>
      </c>
      <c r="F144">
        <v>102</v>
      </c>
      <c r="J144">
        <v>0.84899999999999998</v>
      </c>
      <c r="K144">
        <v>27.8</v>
      </c>
      <c r="L144">
        <v>32.799999999999997</v>
      </c>
      <c r="M144">
        <v>71</v>
      </c>
      <c r="N144">
        <v>6</v>
      </c>
      <c r="O144">
        <v>3</v>
      </c>
    </row>
    <row r="145" spans="1:16" x14ac:dyDescent="0.25">
      <c r="A145" s="4">
        <v>43507</v>
      </c>
      <c r="B145" t="s">
        <v>9</v>
      </c>
      <c r="C145" t="s">
        <v>78</v>
      </c>
      <c r="F145">
        <v>568</v>
      </c>
      <c r="J145">
        <v>0.877</v>
      </c>
      <c r="K145">
        <v>35.5</v>
      </c>
      <c r="L145">
        <v>40.9</v>
      </c>
      <c r="M145">
        <v>340</v>
      </c>
      <c r="N145">
        <v>31</v>
      </c>
      <c r="O145">
        <v>30</v>
      </c>
      <c r="P145">
        <v>3</v>
      </c>
    </row>
    <row r="146" spans="1:16" x14ac:dyDescent="0.25">
      <c r="A146" s="4">
        <v>43508</v>
      </c>
      <c r="B146" t="s">
        <v>10</v>
      </c>
      <c r="C146">
        <v>1</v>
      </c>
      <c r="F146">
        <v>211</v>
      </c>
      <c r="J146">
        <v>0.86099999999999999</v>
      </c>
      <c r="K146">
        <v>26.4</v>
      </c>
      <c r="L146">
        <v>30.7</v>
      </c>
      <c r="M146">
        <v>174</v>
      </c>
      <c r="N146">
        <v>6</v>
      </c>
      <c r="O146">
        <v>2</v>
      </c>
      <c r="P146">
        <v>1</v>
      </c>
    </row>
    <row r="147" spans="1:16" x14ac:dyDescent="0.25">
      <c r="A147" s="4">
        <v>43508</v>
      </c>
      <c r="B147" t="s">
        <v>9</v>
      </c>
      <c r="C147">
        <v>1</v>
      </c>
      <c r="F147">
        <v>262</v>
      </c>
      <c r="J147">
        <v>0.91400000000000003</v>
      </c>
      <c r="K147">
        <v>32.799999999999997</v>
      </c>
      <c r="L147">
        <v>35.799999999999997</v>
      </c>
      <c r="M147">
        <v>175</v>
      </c>
      <c r="N147">
        <v>31</v>
      </c>
      <c r="O147">
        <v>5</v>
      </c>
      <c r="P147">
        <v>1</v>
      </c>
    </row>
    <row r="148" spans="1:16" x14ac:dyDescent="0.25">
      <c r="A148" s="4">
        <v>43508</v>
      </c>
      <c r="B148" t="s">
        <v>9</v>
      </c>
      <c r="C148">
        <v>2</v>
      </c>
      <c r="F148">
        <v>295</v>
      </c>
      <c r="J148">
        <v>1.0429999999999999</v>
      </c>
      <c r="K148">
        <v>36.9</v>
      </c>
      <c r="L148">
        <v>35.4</v>
      </c>
      <c r="M148">
        <v>247</v>
      </c>
      <c r="N148">
        <v>16</v>
      </c>
      <c r="O148">
        <v>3</v>
      </c>
    </row>
    <row r="149" spans="1:16" x14ac:dyDescent="0.25">
      <c r="A149" s="4">
        <v>43508</v>
      </c>
      <c r="B149" t="s">
        <v>10</v>
      </c>
      <c r="C149" t="s">
        <v>78</v>
      </c>
      <c r="F149">
        <v>211</v>
      </c>
      <c r="J149">
        <v>0.86099999999999999</v>
      </c>
      <c r="K149">
        <v>26.4</v>
      </c>
      <c r="L149">
        <v>30.7</v>
      </c>
      <c r="M149">
        <v>174</v>
      </c>
      <c r="N149">
        <v>6</v>
      </c>
      <c r="O149">
        <v>2</v>
      </c>
      <c r="P149">
        <v>1</v>
      </c>
    </row>
    <row r="150" spans="1:16" x14ac:dyDescent="0.25">
      <c r="A150" s="4">
        <v>43508</v>
      </c>
      <c r="B150" t="s">
        <v>9</v>
      </c>
      <c r="C150" t="s">
        <v>78</v>
      </c>
      <c r="F150">
        <v>557</v>
      </c>
      <c r="J150">
        <v>0.97899999999999998</v>
      </c>
      <c r="K150">
        <v>34.799999999999997</v>
      </c>
      <c r="L150">
        <v>35.6</v>
      </c>
      <c r="M150">
        <v>422</v>
      </c>
      <c r="N150">
        <v>47</v>
      </c>
      <c r="O150">
        <v>8</v>
      </c>
      <c r="P150">
        <v>1</v>
      </c>
    </row>
    <row r="151" spans="1:16" x14ac:dyDescent="0.25">
      <c r="A151" s="4">
        <v>43509</v>
      </c>
      <c r="B151" t="s">
        <v>10</v>
      </c>
      <c r="C151">
        <v>1</v>
      </c>
      <c r="F151">
        <v>190</v>
      </c>
      <c r="J151">
        <v>0.76</v>
      </c>
      <c r="K151">
        <v>23.8</v>
      </c>
      <c r="L151">
        <v>31.3</v>
      </c>
      <c r="M151">
        <v>145</v>
      </c>
      <c r="N151">
        <v>10</v>
      </c>
      <c r="O151">
        <v>4</v>
      </c>
      <c r="P151">
        <v>1</v>
      </c>
    </row>
    <row r="152" spans="1:16" x14ac:dyDescent="0.25">
      <c r="A152" s="4">
        <v>43509</v>
      </c>
      <c r="B152" t="s">
        <v>9</v>
      </c>
      <c r="C152">
        <v>1</v>
      </c>
      <c r="F152">
        <v>193</v>
      </c>
      <c r="J152">
        <v>0.68700000000000006</v>
      </c>
      <c r="K152">
        <v>24.1</v>
      </c>
      <c r="L152">
        <v>35.1</v>
      </c>
      <c r="M152">
        <v>150</v>
      </c>
      <c r="N152">
        <v>11</v>
      </c>
      <c r="O152">
        <v>5</v>
      </c>
    </row>
    <row r="153" spans="1:16" x14ac:dyDescent="0.25">
      <c r="A153" s="4">
        <v>43509</v>
      </c>
      <c r="B153" t="s">
        <v>10</v>
      </c>
      <c r="C153">
        <v>2</v>
      </c>
      <c r="F153">
        <v>272</v>
      </c>
      <c r="J153">
        <v>1.115</v>
      </c>
      <c r="K153">
        <v>34</v>
      </c>
      <c r="L153">
        <v>30.5</v>
      </c>
      <c r="M153">
        <v>211</v>
      </c>
      <c r="N153">
        <v>19</v>
      </c>
      <c r="O153">
        <v>6</v>
      </c>
    </row>
    <row r="154" spans="1:16" x14ac:dyDescent="0.25">
      <c r="A154" s="4">
        <v>43509</v>
      </c>
      <c r="B154" t="s">
        <v>10</v>
      </c>
      <c r="C154" t="s">
        <v>78</v>
      </c>
      <c r="F154">
        <v>462</v>
      </c>
      <c r="J154">
        <v>0.93700000000000006</v>
      </c>
      <c r="K154">
        <v>28.9</v>
      </c>
      <c r="L154">
        <v>30.8</v>
      </c>
      <c r="M154">
        <v>356</v>
      </c>
      <c r="N154">
        <v>29</v>
      </c>
      <c r="O154">
        <v>10</v>
      </c>
      <c r="P154">
        <v>1</v>
      </c>
    </row>
    <row r="155" spans="1:16" x14ac:dyDescent="0.25">
      <c r="A155" s="4">
        <v>43509</v>
      </c>
      <c r="B155" t="s">
        <v>9</v>
      </c>
      <c r="C155" t="s">
        <v>78</v>
      </c>
      <c r="F155">
        <v>193</v>
      </c>
      <c r="J155">
        <v>0.68700000000000006</v>
      </c>
      <c r="K155">
        <v>24.1</v>
      </c>
      <c r="L155">
        <v>35.1</v>
      </c>
      <c r="M155">
        <v>150</v>
      </c>
      <c r="N155">
        <v>11</v>
      </c>
      <c r="O155">
        <v>5</v>
      </c>
    </row>
    <row r="156" spans="1:16" x14ac:dyDescent="0.25">
      <c r="A156" s="4">
        <v>43510</v>
      </c>
      <c r="B156" t="s">
        <v>10</v>
      </c>
      <c r="C156">
        <v>1</v>
      </c>
      <c r="F156">
        <v>87</v>
      </c>
      <c r="J156">
        <v>0.72699999999999998</v>
      </c>
      <c r="K156">
        <v>21.8</v>
      </c>
      <c r="L156">
        <v>29.9</v>
      </c>
      <c r="M156">
        <v>65</v>
      </c>
      <c r="N156">
        <v>9</v>
      </c>
      <c r="O156">
        <v>1</v>
      </c>
    </row>
    <row r="157" spans="1:16" x14ac:dyDescent="0.25">
      <c r="A157" s="4">
        <v>43510</v>
      </c>
      <c r="B157" t="s">
        <v>9</v>
      </c>
      <c r="C157">
        <v>1</v>
      </c>
      <c r="F157">
        <v>202</v>
      </c>
      <c r="J157">
        <v>0.66500000000000004</v>
      </c>
      <c r="K157">
        <v>25.3</v>
      </c>
      <c r="L157">
        <v>38</v>
      </c>
      <c r="M157">
        <v>117</v>
      </c>
      <c r="N157">
        <v>28</v>
      </c>
      <c r="O157">
        <v>8</v>
      </c>
    </row>
    <row r="158" spans="1:16" x14ac:dyDescent="0.25">
      <c r="A158" s="4">
        <v>43510</v>
      </c>
      <c r="B158" t="s">
        <v>9</v>
      </c>
      <c r="C158">
        <v>2</v>
      </c>
      <c r="F158">
        <v>270</v>
      </c>
      <c r="J158">
        <v>0.95499999999999996</v>
      </c>
      <c r="K158">
        <v>33.799999999999997</v>
      </c>
      <c r="L158">
        <v>35.4</v>
      </c>
      <c r="M158">
        <v>211</v>
      </c>
      <c r="N158">
        <v>13</v>
      </c>
      <c r="O158">
        <v>5</v>
      </c>
      <c r="P158">
        <v>2</v>
      </c>
    </row>
    <row r="159" spans="1:16" x14ac:dyDescent="0.25">
      <c r="A159" s="4">
        <v>43510</v>
      </c>
      <c r="B159" t="s">
        <v>10</v>
      </c>
      <c r="C159" t="s">
        <v>78</v>
      </c>
      <c r="F159">
        <v>87</v>
      </c>
      <c r="J159">
        <v>0.72699999999999998</v>
      </c>
      <c r="K159">
        <v>21.8</v>
      </c>
      <c r="L159">
        <v>29.9</v>
      </c>
      <c r="M159">
        <v>65</v>
      </c>
      <c r="N159">
        <v>9</v>
      </c>
      <c r="O159">
        <v>1</v>
      </c>
    </row>
    <row r="160" spans="1:16" x14ac:dyDescent="0.25">
      <c r="A160" s="4">
        <v>43510</v>
      </c>
      <c r="B160" t="s">
        <v>9</v>
      </c>
      <c r="C160" t="s">
        <v>78</v>
      </c>
      <c r="F160">
        <v>472</v>
      </c>
      <c r="J160">
        <v>0.81</v>
      </c>
      <c r="K160">
        <v>29.5</v>
      </c>
      <c r="L160">
        <v>36.4</v>
      </c>
      <c r="M160">
        <v>328</v>
      </c>
      <c r="N160">
        <v>41</v>
      </c>
      <c r="O160">
        <v>13</v>
      </c>
      <c r="P160">
        <v>2</v>
      </c>
    </row>
    <row r="161" spans="1:16" x14ac:dyDescent="0.25">
      <c r="A161" s="4">
        <v>43511</v>
      </c>
      <c r="B161" t="s">
        <v>10</v>
      </c>
      <c r="C161">
        <v>1</v>
      </c>
      <c r="F161">
        <v>243</v>
      </c>
      <c r="J161">
        <v>0.97799999999999998</v>
      </c>
      <c r="K161">
        <v>30.4</v>
      </c>
      <c r="L161">
        <v>31.1</v>
      </c>
      <c r="M161">
        <v>170</v>
      </c>
      <c r="N161">
        <v>21</v>
      </c>
      <c r="O161">
        <v>8</v>
      </c>
    </row>
    <row r="162" spans="1:16" x14ac:dyDescent="0.25">
      <c r="A162" s="4">
        <v>43511</v>
      </c>
      <c r="B162" t="s">
        <v>9</v>
      </c>
      <c r="C162">
        <v>1</v>
      </c>
      <c r="F162">
        <v>233</v>
      </c>
      <c r="J162">
        <v>0.82699999999999996</v>
      </c>
      <c r="K162">
        <v>29.1</v>
      </c>
      <c r="L162">
        <v>35.200000000000003</v>
      </c>
      <c r="M162">
        <v>166</v>
      </c>
      <c r="N162">
        <v>25</v>
      </c>
      <c r="O162">
        <v>5</v>
      </c>
    </row>
    <row r="163" spans="1:16" x14ac:dyDescent="0.25">
      <c r="A163" s="4">
        <v>43511</v>
      </c>
      <c r="B163" t="s">
        <v>9</v>
      </c>
      <c r="C163">
        <v>2</v>
      </c>
      <c r="F163">
        <v>244</v>
      </c>
      <c r="J163">
        <v>1.01</v>
      </c>
      <c r="K163">
        <v>34.9</v>
      </c>
      <c r="L163">
        <v>34.5</v>
      </c>
      <c r="M163">
        <v>219</v>
      </c>
      <c r="N163">
        <v>10</v>
      </c>
    </row>
    <row r="164" spans="1:16" x14ac:dyDescent="0.25">
      <c r="A164" s="4">
        <v>43511</v>
      </c>
      <c r="B164" t="s">
        <v>10</v>
      </c>
      <c r="C164" t="s">
        <v>78</v>
      </c>
      <c r="F164">
        <v>243</v>
      </c>
      <c r="J164">
        <v>0.97799999999999998</v>
      </c>
      <c r="K164">
        <v>30.4</v>
      </c>
      <c r="L164">
        <v>31.1</v>
      </c>
      <c r="M164">
        <v>170</v>
      </c>
      <c r="N164">
        <v>21</v>
      </c>
      <c r="O164">
        <v>8</v>
      </c>
    </row>
    <row r="165" spans="1:16" x14ac:dyDescent="0.25">
      <c r="A165" s="4">
        <v>43511</v>
      </c>
      <c r="B165" t="s">
        <v>9</v>
      </c>
      <c r="C165" t="s">
        <v>78</v>
      </c>
      <c r="F165">
        <v>477</v>
      </c>
      <c r="J165">
        <v>0.91200000000000003</v>
      </c>
      <c r="K165">
        <v>31.8</v>
      </c>
      <c r="L165">
        <v>34.9</v>
      </c>
      <c r="M165">
        <v>385</v>
      </c>
      <c r="N165">
        <v>35</v>
      </c>
      <c r="O165">
        <v>5</v>
      </c>
    </row>
    <row r="166" spans="1:16" x14ac:dyDescent="0.25">
      <c r="A166" s="4">
        <v>43514</v>
      </c>
      <c r="B166" t="s">
        <v>10</v>
      </c>
      <c r="C166">
        <v>1</v>
      </c>
      <c r="F166">
        <v>218</v>
      </c>
      <c r="J166">
        <v>0.92700000000000005</v>
      </c>
      <c r="K166">
        <v>27.3</v>
      </c>
      <c r="L166">
        <v>29.4</v>
      </c>
      <c r="M166">
        <v>181</v>
      </c>
      <c r="N166">
        <v>10</v>
      </c>
      <c r="O166">
        <v>5</v>
      </c>
    </row>
    <row r="167" spans="1:16" x14ac:dyDescent="0.25">
      <c r="A167" s="4">
        <v>43514</v>
      </c>
      <c r="B167" t="s">
        <v>9</v>
      </c>
      <c r="C167">
        <v>1</v>
      </c>
      <c r="F167">
        <v>253</v>
      </c>
      <c r="J167">
        <v>0.83699999999999997</v>
      </c>
      <c r="K167">
        <v>31.6</v>
      </c>
      <c r="L167">
        <v>37.799999999999997</v>
      </c>
      <c r="M167">
        <v>158</v>
      </c>
      <c r="N167">
        <v>25</v>
      </c>
      <c r="O167">
        <v>10</v>
      </c>
    </row>
    <row r="168" spans="1:16" x14ac:dyDescent="0.25">
      <c r="A168" s="4">
        <v>43514</v>
      </c>
      <c r="B168" t="s">
        <v>9</v>
      </c>
      <c r="C168">
        <v>2</v>
      </c>
      <c r="F168">
        <v>295</v>
      </c>
      <c r="J168">
        <v>1.032</v>
      </c>
      <c r="K168">
        <v>36.9</v>
      </c>
      <c r="L168">
        <v>35.799999999999997</v>
      </c>
      <c r="M168">
        <v>242</v>
      </c>
      <c r="N168">
        <v>11</v>
      </c>
      <c r="O168">
        <v>2</v>
      </c>
      <c r="P168">
        <v>2</v>
      </c>
    </row>
    <row r="169" spans="1:16" x14ac:dyDescent="0.25">
      <c r="A169" s="4">
        <v>43514</v>
      </c>
      <c r="B169" t="s">
        <v>10</v>
      </c>
      <c r="C169" t="s">
        <v>78</v>
      </c>
      <c r="F169">
        <v>218</v>
      </c>
      <c r="J169">
        <v>0.92700000000000005</v>
      </c>
      <c r="K169">
        <v>27.3</v>
      </c>
      <c r="L169">
        <v>29.4</v>
      </c>
      <c r="M169">
        <v>181</v>
      </c>
      <c r="N169">
        <v>10</v>
      </c>
      <c r="O169">
        <v>5</v>
      </c>
    </row>
    <row r="170" spans="1:16" x14ac:dyDescent="0.25">
      <c r="A170" s="4">
        <v>43514</v>
      </c>
      <c r="B170" t="s">
        <v>9</v>
      </c>
      <c r="C170" t="s">
        <v>78</v>
      </c>
      <c r="F170">
        <v>548</v>
      </c>
      <c r="J170">
        <v>0.93400000000000005</v>
      </c>
      <c r="K170">
        <v>34.299999999999997</v>
      </c>
      <c r="L170">
        <v>36.700000000000003</v>
      </c>
      <c r="M170">
        <v>400</v>
      </c>
      <c r="N170">
        <v>36</v>
      </c>
      <c r="O170">
        <v>12</v>
      </c>
      <c r="P170">
        <v>2</v>
      </c>
    </row>
    <row r="171" spans="1:16" x14ac:dyDescent="0.25">
      <c r="A171" s="4">
        <v>43515</v>
      </c>
      <c r="B171" t="s">
        <v>10</v>
      </c>
      <c r="C171">
        <v>1</v>
      </c>
      <c r="F171">
        <v>225</v>
      </c>
      <c r="J171">
        <v>0.85</v>
      </c>
      <c r="K171">
        <v>28.1</v>
      </c>
      <c r="L171">
        <v>33.1</v>
      </c>
      <c r="M171">
        <v>157</v>
      </c>
      <c r="N171">
        <v>26</v>
      </c>
      <c r="O171">
        <v>4</v>
      </c>
    </row>
    <row r="172" spans="1:16" x14ac:dyDescent="0.25">
      <c r="A172" s="4">
        <v>43515</v>
      </c>
      <c r="B172" t="s">
        <v>9</v>
      </c>
      <c r="C172">
        <v>1</v>
      </c>
      <c r="F172">
        <v>225</v>
      </c>
      <c r="J172">
        <v>0.79400000000000004</v>
      </c>
      <c r="K172">
        <v>28.1</v>
      </c>
      <c r="L172">
        <v>35.4</v>
      </c>
      <c r="M172">
        <v>172</v>
      </c>
      <c r="N172">
        <v>16</v>
      </c>
      <c r="O172">
        <v>3</v>
      </c>
    </row>
    <row r="173" spans="1:16" x14ac:dyDescent="0.25">
      <c r="A173" s="4">
        <v>43515</v>
      </c>
      <c r="B173" t="s">
        <v>9</v>
      </c>
      <c r="C173">
        <v>2</v>
      </c>
      <c r="F173">
        <v>260</v>
      </c>
      <c r="J173">
        <v>0.91200000000000003</v>
      </c>
      <c r="K173">
        <v>32.5</v>
      </c>
      <c r="L173">
        <v>35.6</v>
      </c>
      <c r="M173">
        <v>210</v>
      </c>
      <c r="N173">
        <v>13</v>
      </c>
      <c r="O173">
        <v>4</v>
      </c>
      <c r="P173">
        <v>1</v>
      </c>
    </row>
    <row r="174" spans="1:16" x14ac:dyDescent="0.25">
      <c r="A174" s="4">
        <v>43515</v>
      </c>
      <c r="B174" t="s">
        <v>10</v>
      </c>
      <c r="C174" t="s">
        <v>78</v>
      </c>
      <c r="F174">
        <v>225</v>
      </c>
      <c r="J174">
        <v>0.85</v>
      </c>
      <c r="K174">
        <v>28.1</v>
      </c>
      <c r="L174">
        <v>33.1</v>
      </c>
      <c r="M174">
        <v>157</v>
      </c>
      <c r="N174">
        <v>26</v>
      </c>
      <c r="O174">
        <v>4</v>
      </c>
    </row>
    <row r="175" spans="1:16" x14ac:dyDescent="0.25">
      <c r="A175" s="4">
        <v>43515</v>
      </c>
      <c r="B175" t="s">
        <v>9</v>
      </c>
      <c r="C175" t="s">
        <v>78</v>
      </c>
      <c r="F175">
        <v>485</v>
      </c>
      <c r="J175">
        <v>0.85299999999999998</v>
      </c>
      <c r="K175">
        <v>30.3</v>
      </c>
      <c r="L175">
        <v>35.5</v>
      </c>
      <c r="M175">
        <v>382</v>
      </c>
      <c r="N175">
        <v>29</v>
      </c>
      <c r="O175">
        <v>7</v>
      </c>
      <c r="P175">
        <v>1</v>
      </c>
    </row>
    <row r="176" spans="1:16" x14ac:dyDescent="0.25">
      <c r="A176" s="4">
        <v>43516</v>
      </c>
      <c r="B176" t="s">
        <v>10</v>
      </c>
      <c r="C176">
        <v>1</v>
      </c>
      <c r="F176">
        <v>238</v>
      </c>
      <c r="J176">
        <v>0.91100000000000003</v>
      </c>
      <c r="K176">
        <v>29.8</v>
      </c>
      <c r="L176">
        <v>32.700000000000003</v>
      </c>
      <c r="M176">
        <v>175</v>
      </c>
      <c r="N176">
        <v>20</v>
      </c>
      <c r="O176">
        <v>7</v>
      </c>
    </row>
    <row r="177" spans="1:16" x14ac:dyDescent="0.25">
      <c r="A177" s="4">
        <v>43516</v>
      </c>
      <c r="B177" t="s">
        <v>9</v>
      </c>
      <c r="C177">
        <v>1</v>
      </c>
      <c r="F177">
        <v>186</v>
      </c>
      <c r="J177">
        <v>0.70099999999999996</v>
      </c>
      <c r="K177">
        <v>23.4</v>
      </c>
      <c r="L177">
        <v>33.200000000000003</v>
      </c>
      <c r="M177">
        <v>160</v>
      </c>
      <c r="N177">
        <v>11</v>
      </c>
      <c r="O177">
        <v>1</v>
      </c>
    </row>
    <row r="178" spans="1:16" x14ac:dyDescent="0.25">
      <c r="A178" s="4">
        <v>43516</v>
      </c>
      <c r="B178" t="s">
        <v>9</v>
      </c>
      <c r="C178">
        <v>2</v>
      </c>
      <c r="F178">
        <v>282</v>
      </c>
      <c r="J178">
        <v>0.97399999999999998</v>
      </c>
      <c r="K178">
        <v>35.299999999999997</v>
      </c>
      <c r="L178">
        <v>36.200000000000003</v>
      </c>
      <c r="M178">
        <v>199</v>
      </c>
      <c r="N178">
        <v>26</v>
      </c>
      <c r="O178">
        <v>5</v>
      </c>
      <c r="P178">
        <v>1</v>
      </c>
    </row>
    <row r="179" spans="1:16" x14ac:dyDescent="0.25">
      <c r="A179" s="4">
        <v>43516</v>
      </c>
      <c r="B179" t="s">
        <v>10</v>
      </c>
      <c r="C179" t="s">
        <v>78</v>
      </c>
      <c r="F179">
        <v>238</v>
      </c>
      <c r="J179">
        <v>0.91100000000000003</v>
      </c>
      <c r="K179">
        <v>29.8</v>
      </c>
      <c r="L179">
        <v>32.700000000000003</v>
      </c>
      <c r="M179">
        <v>175</v>
      </c>
      <c r="N179">
        <v>20</v>
      </c>
      <c r="O179">
        <v>7</v>
      </c>
    </row>
    <row r="180" spans="1:16" x14ac:dyDescent="0.25">
      <c r="A180" s="4">
        <v>43516</v>
      </c>
      <c r="B180" t="s">
        <v>9</v>
      </c>
      <c r="C180" t="s">
        <v>78</v>
      </c>
      <c r="F180">
        <v>468</v>
      </c>
      <c r="J180">
        <v>0.83799999999999997</v>
      </c>
      <c r="K180">
        <v>29.3</v>
      </c>
      <c r="L180">
        <v>34.9</v>
      </c>
      <c r="M180">
        <v>359</v>
      </c>
      <c r="N180">
        <v>37</v>
      </c>
      <c r="O180">
        <v>6</v>
      </c>
      <c r="P180">
        <v>1</v>
      </c>
    </row>
    <row r="181" spans="1:16" x14ac:dyDescent="0.25">
      <c r="A181" s="4">
        <v>43517</v>
      </c>
      <c r="B181" t="s">
        <v>10</v>
      </c>
      <c r="C181">
        <v>1</v>
      </c>
      <c r="F181">
        <v>223</v>
      </c>
      <c r="J181">
        <v>0.84599999999999997</v>
      </c>
      <c r="K181">
        <v>27.9</v>
      </c>
      <c r="L181">
        <v>33</v>
      </c>
      <c r="M181">
        <v>180</v>
      </c>
      <c r="N181">
        <v>11</v>
      </c>
      <c r="O181">
        <v>5</v>
      </c>
    </row>
    <row r="182" spans="1:16" x14ac:dyDescent="0.25">
      <c r="A182" s="4">
        <v>43517</v>
      </c>
      <c r="B182" t="s">
        <v>9</v>
      </c>
      <c r="C182">
        <v>1</v>
      </c>
      <c r="F182">
        <v>196</v>
      </c>
      <c r="J182">
        <v>0.70399999999999996</v>
      </c>
      <c r="K182">
        <v>24.5</v>
      </c>
      <c r="L182">
        <v>34.799999999999997</v>
      </c>
      <c r="M182">
        <v>169</v>
      </c>
      <c r="N182">
        <v>10</v>
      </c>
    </row>
    <row r="183" spans="1:16" x14ac:dyDescent="0.25">
      <c r="A183" s="4">
        <v>43517</v>
      </c>
      <c r="B183" t="s">
        <v>9</v>
      </c>
      <c r="C183">
        <v>2</v>
      </c>
      <c r="F183">
        <v>148</v>
      </c>
      <c r="J183">
        <v>1.0840000000000001</v>
      </c>
      <c r="K183">
        <v>37</v>
      </c>
      <c r="L183">
        <v>34.1</v>
      </c>
      <c r="M183">
        <v>131</v>
      </c>
      <c r="N183">
        <v>8</v>
      </c>
    </row>
    <row r="184" spans="1:16" x14ac:dyDescent="0.25">
      <c r="A184" s="4">
        <v>43517</v>
      </c>
      <c r="B184" t="s">
        <v>10</v>
      </c>
      <c r="C184" t="s">
        <v>78</v>
      </c>
      <c r="F184">
        <v>223</v>
      </c>
      <c r="J184">
        <v>0.84599999999999997</v>
      </c>
      <c r="K184">
        <v>27.9</v>
      </c>
      <c r="L184">
        <v>33</v>
      </c>
      <c r="M184">
        <v>180</v>
      </c>
      <c r="N184">
        <v>11</v>
      </c>
      <c r="O184">
        <v>5</v>
      </c>
    </row>
    <row r="185" spans="1:16" x14ac:dyDescent="0.25">
      <c r="A185" s="4">
        <v>43517</v>
      </c>
      <c r="B185" t="s">
        <v>9</v>
      </c>
      <c r="C185" t="s">
        <v>78</v>
      </c>
      <c r="F185">
        <v>344</v>
      </c>
      <c r="J185">
        <v>0.83099999999999996</v>
      </c>
      <c r="K185">
        <v>28.7</v>
      </c>
      <c r="L185">
        <v>34.5</v>
      </c>
      <c r="M185">
        <v>300</v>
      </c>
      <c r="N185">
        <v>18</v>
      </c>
    </row>
    <row r="186" spans="1:16" x14ac:dyDescent="0.25">
      <c r="A186" s="4">
        <v>43518</v>
      </c>
      <c r="B186" t="s">
        <v>10</v>
      </c>
      <c r="C186">
        <v>1</v>
      </c>
      <c r="F186">
        <v>96</v>
      </c>
      <c r="J186">
        <v>0.65800000000000003</v>
      </c>
      <c r="K186">
        <v>24</v>
      </c>
      <c r="L186">
        <v>36.5</v>
      </c>
      <c r="M186">
        <v>64</v>
      </c>
      <c r="N186">
        <v>8</v>
      </c>
      <c r="O186">
        <v>2</v>
      </c>
      <c r="P186">
        <v>1</v>
      </c>
    </row>
    <row r="187" spans="1:16" x14ac:dyDescent="0.25">
      <c r="A187" s="4">
        <v>43518</v>
      </c>
      <c r="B187" t="s">
        <v>9</v>
      </c>
      <c r="C187">
        <v>1</v>
      </c>
      <c r="F187">
        <v>201</v>
      </c>
      <c r="J187">
        <v>0.67900000000000005</v>
      </c>
      <c r="K187">
        <v>25.1</v>
      </c>
      <c r="L187">
        <v>37</v>
      </c>
      <c r="M187">
        <v>124</v>
      </c>
      <c r="N187">
        <v>24</v>
      </c>
      <c r="O187">
        <v>6</v>
      </c>
      <c r="P187">
        <v>1</v>
      </c>
    </row>
    <row r="188" spans="1:16" x14ac:dyDescent="0.25">
      <c r="A188" s="4">
        <v>43518</v>
      </c>
      <c r="B188" t="s">
        <v>9</v>
      </c>
      <c r="C188">
        <v>2</v>
      </c>
      <c r="F188">
        <v>313</v>
      </c>
      <c r="J188">
        <v>1.1160000000000001</v>
      </c>
      <c r="K188">
        <v>39.1</v>
      </c>
      <c r="L188">
        <v>35.1</v>
      </c>
      <c r="M188">
        <v>257</v>
      </c>
      <c r="N188">
        <v>15</v>
      </c>
      <c r="O188">
        <v>7</v>
      </c>
    </row>
    <row r="189" spans="1:16" x14ac:dyDescent="0.25">
      <c r="A189" s="4">
        <v>43518</v>
      </c>
      <c r="B189" t="s">
        <v>10</v>
      </c>
      <c r="C189" t="s">
        <v>78</v>
      </c>
      <c r="F189">
        <v>96</v>
      </c>
      <c r="J189">
        <v>0.65800000000000003</v>
      </c>
      <c r="K189">
        <v>24</v>
      </c>
      <c r="L189">
        <v>36.5</v>
      </c>
      <c r="M189">
        <v>64</v>
      </c>
      <c r="N189">
        <v>8</v>
      </c>
      <c r="O189">
        <v>2</v>
      </c>
      <c r="P189">
        <v>1</v>
      </c>
    </row>
    <row r="190" spans="1:16" x14ac:dyDescent="0.25">
      <c r="A190" s="4">
        <v>43518</v>
      </c>
      <c r="B190" t="s">
        <v>9</v>
      </c>
      <c r="C190" t="s">
        <v>78</v>
      </c>
      <c r="F190">
        <v>514</v>
      </c>
      <c r="J190">
        <v>0.89800000000000002</v>
      </c>
      <c r="K190">
        <v>32.1</v>
      </c>
      <c r="L190">
        <v>35.799999999999997</v>
      </c>
      <c r="M190">
        <v>381</v>
      </c>
      <c r="N190">
        <v>39</v>
      </c>
      <c r="O190">
        <v>13</v>
      </c>
      <c r="P190">
        <v>1</v>
      </c>
    </row>
    <row r="191" spans="1:16" x14ac:dyDescent="0.25">
      <c r="A191" s="4">
        <v>43521</v>
      </c>
      <c r="B191" t="s">
        <v>10</v>
      </c>
      <c r="C191">
        <v>1</v>
      </c>
      <c r="F191">
        <v>218</v>
      </c>
      <c r="J191">
        <v>0.84</v>
      </c>
      <c r="K191">
        <v>27.3</v>
      </c>
      <c r="L191">
        <v>32.5</v>
      </c>
      <c r="M191">
        <v>173</v>
      </c>
      <c r="N191">
        <v>17</v>
      </c>
      <c r="O191">
        <v>3</v>
      </c>
    </row>
    <row r="192" spans="1:16" x14ac:dyDescent="0.25">
      <c r="A192" s="4">
        <v>43521</v>
      </c>
      <c r="B192" t="s">
        <v>9</v>
      </c>
      <c r="C192">
        <v>1</v>
      </c>
      <c r="F192">
        <v>207</v>
      </c>
      <c r="J192">
        <v>0.67400000000000004</v>
      </c>
      <c r="K192">
        <v>25.9</v>
      </c>
      <c r="L192">
        <v>38.4</v>
      </c>
      <c r="M192">
        <v>130</v>
      </c>
      <c r="N192">
        <v>13</v>
      </c>
      <c r="O192">
        <v>8</v>
      </c>
      <c r="P192">
        <v>3</v>
      </c>
    </row>
    <row r="193" spans="1:16" x14ac:dyDescent="0.25">
      <c r="A193" s="4">
        <v>43521</v>
      </c>
      <c r="B193" t="s">
        <v>9</v>
      </c>
      <c r="C193">
        <v>2</v>
      </c>
      <c r="F193">
        <v>300</v>
      </c>
      <c r="J193">
        <v>1.02</v>
      </c>
      <c r="K193">
        <v>37.5</v>
      </c>
      <c r="L193">
        <v>36.799999999999997</v>
      </c>
      <c r="M193">
        <v>192</v>
      </c>
      <c r="N193">
        <v>36</v>
      </c>
      <c r="O193">
        <v>8</v>
      </c>
      <c r="P193">
        <v>1</v>
      </c>
    </row>
    <row r="194" spans="1:16" x14ac:dyDescent="0.25">
      <c r="A194" s="4">
        <v>43521</v>
      </c>
      <c r="B194" t="s">
        <v>10</v>
      </c>
      <c r="C194" t="s">
        <v>78</v>
      </c>
      <c r="F194">
        <v>218</v>
      </c>
      <c r="J194">
        <v>0.84</v>
      </c>
      <c r="K194">
        <v>27.3</v>
      </c>
      <c r="L194">
        <v>32.5</v>
      </c>
      <c r="M194">
        <v>173</v>
      </c>
      <c r="N194">
        <v>17</v>
      </c>
      <c r="O194">
        <v>3</v>
      </c>
    </row>
    <row r="195" spans="1:16" x14ac:dyDescent="0.25">
      <c r="A195" s="4">
        <v>43521</v>
      </c>
      <c r="B195" t="s">
        <v>9</v>
      </c>
      <c r="C195" t="s">
        <v>78</v>
      </c>
      <c r="F195">
        <v>507</v>
      </c>
      <c r="J195">
        <v>0.84699999999999998</v>
      </c>
      <c r="K195">
        <v>31.7</v>
      </c>
      <c r="L195">
        <v>37.4</v>
      </c>
      <c r="M195">
        <v>322</v>
      </c>
      <c r="N195">
        <v>49</v>
      </c>
      <c r="O195">
        <v>16</v>
      </c>
      <c r="P195">
        <v>4</v>
      </c>
    </row>
    <row r="196" spans="1:16" x14ac:dyDescent="0.25">
      <c r="A196" s="4">
        <v>43522</v>
      </c>
      <c r="B196" t="s">
        <v>10</v>
      </c>
      <c r="C196">
        <v>1</v>
      </c>
      <c r="F196">
        <v>237</v>
      </c>
      <c r="J196">
        <v>0.872</v>
      </c>
      <c r="K196">
        <v>29.6</v>
      </c>
      <c r="L196">
        <v>34</v>
      </c>
      <c r="M196">
        <v>183</v>
      </c>
      <c r="N196">
        <v>12</v>
      </c>
      <c r="O196">
        <v>3</v>
      </c>
      <c r="P196">
        <v>2</v>
      </c>
    </row>
    <row r="197" spans="1:16" x14ac:dyDescent="0.25">
      <c r="A197" s="4">
        <v>43522</v>
      </c>
      <c r="B197" t="s">
        <v>9</v>
      </c>
      <c r="C197">
        <v>1</v>
      </c>
      <c r="F197">
        <v>234</v>
      </c>
      <c r="J197">
        <v>0.80800000000000005</v>
      </c>
      <c r="K197">
        <v>29.3</v>
      </c>
      <c r="L197">
        <v>36.200000000000003</v>
      </c>
      <c r="M197">
        <v>168</v>
      </c>
      <c r="N197">
        <v>19</v>
      </c>
      <c r="O197">
        <v>6</v>
      </c>
    </row>
    <row r="198" spans="1:16" x14ac:dyDescent="0.25">
      <c r="A198" s="4">
        <v>43522</v>
      </c>
      <c r="B198" t="s">
        <v>9</v>
      </c>
      <c r="C198">
        <v>2</v>
      </c>
      <c r="F198">
        <v>282</v>
      </c>
      <c r="J198">
        <v>1.01</v>
      </c>
      <c r="K198">
        <v>35.299999999999997</v>
      </c>
      <c r="L198">
        <v>34.9</v>
      </c>
      <c r="M198">
        <v>238</v>
      </c>
      <c r="N198">
        <v>13</v>
      </c>
      <c r="O198">
        <v>2</v>
      </c>
      <c r="P198">
        <v>1</v>
      </c>
    </row>
    <row r="199" spans="1:16" x14ac:dyDescent="0.25">
      <c r="A199" s="4">
        <v>43522</v>
      </c>
      <c r="B199" t="s">
        <v>10</v>
      </c>
      <c r="C199" t="s">
        <v>78</v>
      </c>
      <c r="F199">
        <v>237</v>
      </c>
      <c r="J199">
        <v>0.872</v>
      </c>
      <c r="K199">
        <v>29.6</v>
      </c>
      <c r="L199">
        <v>34</v>
      </c>
      <c r="M199">
        <v>183</v>
      </c>
      <c r="N199">
        <v>12</v>
      </c>
      <c r="O199">
        <v>3</v>
      </c>
      <c r="P199">
        <v>2</v>
      </c>
    </row>
    <row r="200" spans="1:16" x14ac:dyDescent="0.25">
      <c r="A200" s="4">
        <v>43522</v>
      </c>
      <c r="B200" t="s">
        <v>9</v>
      </c>
      <c r="C200" t="s">
        <v>78</v>
      </c>
      <c r="F200">
        <v>516</v>
      </c>
      <c r="J200">
        <v>0.90900000000000003</v>
      </c>
      <c r="K200">
        <v>32.299999999999997</v>
      </c>
      <c r="L200">
        <v>35.5</v>
      </c>
      <c r="M200">
        <v>406</v>
      </c>
      <c r="N200">
        <v>32</v>
      </c>
      <c r="O200">
        <v>8</v>
      </c>
      <c r="P200">
        <v>1</v>
      </c>
    </row>
    <row r="201" spans="1:16" x14ac:dyDescent="0.25">
      <c r="A201" s="4">
        <v>43523</v>
      </c>
      <c r="B201" t="s">
        <v>10</v>
      </c>
      <c r="C201">
        <v>1</v>
      </c>
      <c r="F201">
        <v>222</v>
      </c>
      <c r="J201">
        <v>0.85599999999999998</v>
      </c>
      <c r="K201">
        <v>27.8</v>
      </c>
      <c r="L201">
        <v>32.4</v>
      </c>
      <c r="M201">
        <v>170</v>
      </c>
      <c r="N201">
        <v>13</v>
      </c>
      <c r="O201">
        <v>7</v>
      </c>
    </row>
    <row r="202" spans="1:16" x14ac:dyDescent="0.25">
      <c r="A202" s="4">
        <v>43523</v>
      </c>
      <c r="B202" t="s">
        <v>9</v>
      </c>
      <c r="C202">
        <v>1</v>
      </c>
      <c r="F202">
        <v>244</v>
      </c>
      <c r="J202">
        <v>0.86199999999999999</v>
      </c>
      <c r="K202">
        <v>30.5</v>
      </c>
      <c r="L202">
        <v>35.4</v>
      </c>
      <c r="M202">
        <v>190</v>
      </c>
      <c r="N202">
        <v>17</v>
      </c>
      <c r="O202">
        <v>2</v>
      </c>
      <c r="P202">
        <v>1</v>
      </c>
    </row>
    <row r="203" spans="1:16" x14ac:dyDescent="0.25">
      <c r="A203" s="4">
        <v>43523</v>
      </c>
      <c r="B203" t="s">
        <v>9</v>
      </c>
      <c r="C203">
        <v>1</v>
      </c>
      <c r="F203">
        <v>284</v>
      </c>
      <c r="J203">
        <v>1.1240000000000001</v>
      </c>
      <c r="K203">
        <v>40.6</v>
      </c>
      <c r="L203">
        <v>36.1</v>
      </c>
      <c r="M203">
        <v>239</v>
      </c>
      <c r="N203">
        <v>7</v>
      </c>
      <c r="O203">
        <v>3</v>
      </c>
      <c r="P203">
        <v>2</v>
      </c>
    </row>
    <row r="204" spans="1:16" x14ac:dyDescent="0.25">
      <c r="A204" s="4">
        <v>43523</v>
      </c>
      <c r="B204" t="s">
        <v>10</v>
      </c>
      <c r="C204" t="s">
        <v>78</v>
      </c>
      <c r="F204">
        <v>222</v>
      </c>
      <c r="J204">
        <v>0.85599999999999998</v>
      </c>
      <c r="K204">
        <v>27.8</v>
      </c>
      <c r="L204">
        <v>32.4</v>
      </c>
      <c r="M204">
        <v>170</v>
      </c>
      <c r="N204">
        <v>13</v>
      </c>
      <c r="O204">
        <v>7</v>
      </c>
    </row>
    <row r="205" spans="1:16" x14ac:dyDescent="0.25">
      <c r="A205" s="4">
        <v>43523</v>
      </c>
      <c r="B205" t="s">
        <v>9</v>
      </c>
      <c r="C205" t="s">
        <v>78</v>
      </c>
      <c r="F205">
        <v>528</v>
      </c>
      <c r="J205">
        <v>0.98499999999999999</v>
      </c>
      <c r="K205">
        <v>35.200000000000003</v>
      </c>
      <c r="L205">
        <v>35.799999999999997</v>
      </c>
      <c r="M205">
        <v>429</v>
      </c>
      <c r="N205">
        <v>24</v>
      </c>
      <c r="O205">
        <v>5</v>
      </c>
      <c r="P205">
        <v>3</v>
      </c>
    </row>
    <row r="206" spans="1:16" x14ac:dyDescent="0.25">
      <c r="A206" s="4">
        <v>43524</v>
      </c>
      <c r="B206" t="s">
        <v>10</v>
      </c>
      <c r="C206">
        <v>1</v>
      </c>
      <c r="F206">
        <v>223</v>
      </c>
      <c r="J206">
        <v>0.88400000000000001</v>
      </c>
      <c r="K206">
        <v>27.9</v>
      </c>
      <c r="L206">
        <v>31.5</v>
      </c>
      <c r="M206">
        <v>184</v>
      </c>
      <c r="N206">
        <v>11</v>
      </c>
      <c r="O206">
        <v>3</v>
      </c>
      <c r="P206">
        <v>1</v>
      </c>
    </row>
    <row r="207" spans="1:16" x14ac:dyDescent="0.25">
      <c r="A207" s="4">
        <v>43524</v>
      </c>
      <c r="B207" t="s">
        <v>9</v>
      </c>
      <c r="C207">
        <v>1</v>
      </c>
      <c r="F207">
        <v>160</v>
      </c>
      <c r="J207">
        <v>0.74</v>
      </c>
      <c r="K207">
        <v>26.7</v>
      </c>
      <c r="L207">
        <v>36</v>
      </c>
      <c r="M207">
        <v>119</v>
      </c>
      <c r="N207">
        <v>11</v>
      </c>
      <c r="O207">
        <v>5</v>
      </c>
    </row>
    <row r="208" spans="1:16" x14ac:dyDescent="0.25">
      <c r="A208" s="4">
        <v>43524</v>
      </c>
      <c r="B208" t="s">
        <v>9</v>
      </c>
      <c r="C208">
        <v>2</v>
      </c>
      <c r="F208">
        <v>237</v>
      </c>
      <c r="J208">
        <v>0.97</v>
      </c>
      <c r="K208">
        <v>33.9</v>
      </c>
      <c r="L208">
        <v>34.9</v>
      </c>
      <c r="M208">
        <v>205</v>
      </c>
      <c r="N208">
        <v>10</v>
      </c>
      <c r="O208">
        <v>3</v>
      </c>
    </row>
    <row r="209" spans="1:16" x14ac:dyDescent="0.25">
      <c r="A209" s="4">
        <v>43524</v>
      </c>
      <c r="B209" t="s">
        <v>10</v>
      </c>
      <c r="C209" t="s">
        <v>78</v>
      </c>
      <c r="F209">
        <v>223</v>
      </c>
      <c r="J209">
        <v>0.88400000000000001</v>
      </c>
      <c r="K209">
        <v>27.9</v>
      </c>
      <c r="L209">
        <v>31.5</v>
      </c>
      <c r="M209">
        <v>184</v>
      </c>
      <c r="N209">
        <v>11</v>
      </c>
      <c r="O209">
        <v>3</v>
      </c>
      <c r="P209">
        <v>1</v>
      </c>
    </row>
    <row r="210" spans="1:16" x14ac:dyDescent="0.25">
      <c r="A210" s="4">
        <v>43524</v>
      </c>
      <c r="B210" t="s">
        <v>9</v>
      </c>
      <c r="C210" t="s">
        <v>78</v>
      </c>
      <c r="F210">
        <v>160</v>
      </c>
      <c r="J210">
        <v>1.111</v>
      </c>
      <c r="K210">
        <v>40</v>
      </c>
      <c r="L210">
        <v>36</v>
      </c>
      <c r="M210">
        <v>119</v>
      </c>
      <c r="N210">
        <v>11</v>
      </c>
      <c r="O210">
        <v>5</v>
      </c>
    </row>
    <row r="211" spans="1:16" x14ac:dyDescent="0.25">
      <c r="A211" s="4">
        <v>43525</v>
      </c>
      <c r="B211" t="s">
        <v>10</v>
      </c>
      <c r="C211">
        <v>1</v>
      </c>
      <c r="F211">
        <v>107</v>
      </c>
      <c r="J211">
        <v>0.81899999999999995</v>
      </c>
      <c r="K211">
        <v>26.8</v>
      </c>
      <c r="L211">
        <v>32.700000000000003</v>
      </c>
      <c r="M211">
        <v>83</v>
      </c>
      <c r="N211">
        <v>7</v>
      </c>
      <c r="O211">
        <v>2</v>
      </c>
    </row>
    <row r="212" spans="1:16" x14ac:dyDescent="0.25">
      <c r="A212" s="4">
        <v>43525</v>
      </c>
      <c r="B212" t="s">
        <v>9</v>
      </c>
      <c r="C212">
        <v>1</v>
      </c>
      <c r="F212">
        <v>188</v>
      </c>
      <c r="J212">
        <v>0.64</v>
      </c>
      <c r="K212">
        <v>23.5</v>
      </c>
      <c r="L212">
        <v>36.799999999999997</v>
      </c>
      <c r="M212">
        <v>132</v>
      </c>
      <c r="N212">
        <v>12</v>
      </c>
      <c r="O212">
        <v>5</v>
      </c>
      <c r="P212">
        <v>2</v>
      </c>
    </row>
    <row r="213" spans="1:16" x14ac:dyDescent="0.25">
      <c r="A213" s="4">
        <v>43525</v>
      </c>
      <c r="B213" t="s">
        <v>9</v>
      </c>
      <c r="C213">
        <v>2</v>
      </c>
      <c r="F213">
        <v>282</v>
      </c>
      <c r="J213">
        <v>1.0189999999999999</v>
      </c>
      <c r="K213">
        <v>35.299999999999997</v>
      </c>
      <c r="L213">
        <v>34.6</v>
      </c>
      <c r="M213">
        <v>248</v>
      </c>
      <c r="N213">
        <v>15</v>
      </c>
    </row>
    <row r="214" spans="1:16" x14ac:dyDescent="0.25">
      <c r="A214" s="4">
        <v>43525</v>
      </c>
      <c r="B214" t="s">
        <v>10</v>
      </c>
      <c r="C214" t="s">
        <v>78</v>
      </c>
      <c r="F214">
        <v>107</v>
      </c>
      <c r="J214">
        <v>0.81899999999999995</v>
      </c>
      <c r="K214">
        <v>26.8</v>
      </c>
      <c r="L214">
        <v>32.700000000000003</v>
      </c>
      <c r="M214">
        <v>83</v>
      </c>
      <c r="N214">
        <v>7</v>
      </c>
      <c r="O214">
        <v>2</v>
      </c>
    </row>
    <row r="215" spans="1:16" x14ac:dyDescent="0.25">
      <c r="A215" s="4">
        <v>43525</v>
      </c>
      <c r="B215" t="s">
        <v>10</v>
      </c>
      <c r="C215" t="s">
        <v>78</v>
      </c>
      <c r="F215">
        <v>470</v>
      </c>
      <c r="J215">
        <v>0.82899999999999996</v>
      </c>
      <c r="K215">
        <v>29.4</v>
      </c>
      <c r="L215">
        <v>35.4</v>
      </c>
      <c r="M215">
        <v>380</v>
      </c>
      <c r="N215">
        <v>27</v>
      </c>
      <c r="O215">
        <v>5</v>
      </c>
      <c r="P215">
        <v>2</v>
      </c>
    </row>
    <row r="216" spans="1:16" x14ac:dyDescent="0.25">
      <c r="A216" s="4">
        <v>43528</v>
      </c>
      <c r="B216" t="s">
        <v>10</v>
      </c>
      <c r="C216">
        <v>1</v>
      </c>
      <c r="F216">
        <v>273</v>
      </c>
      <c r="J216">
        <v>0.95499999999999996</v>
      </c>
      <c r="K216">
        <v>34.1</v>
      </c>
      <c r="L216">
        <v>35.700000000000003</v>
      </c>
      <c r="M216">
        <v>164</v>
      </c>
      <c r="N216">
        <v>30</v>
      </c>
      <c r="O216">
        <v>5</v>
      </c>
      <c r="P216">
        <v>4</v>
      </c>
    </row>
    <row r="217" spans="1:16" x14ac:dyDescent="0.25">
      <c r="A217" s="4">
        <v>43528</v>
      </c>
      <c r="B217" t="s">
        <v>9</v>
      </c>
      <c r="C217">
        <v>1</v>
      </c>
      <c r="F217">
        <v>244</v>
      </c>
      <c r="J217">
        <v>0.80300000000000005</v>
      </c>
      <c r="K217">
        <v>30.5</v>
      </c>
      <c r="L217">
        <v>38</v>
      </c>
      <c r="M217">
        <v>145</v>
      </c>
      <c r="N217">
        <v>31</v>
      </c>
      <c r="O217">
        <v>8</v>
      </c>
    </row>
    <row r="218" spans="1:16" x14ac:dyDescent="0.25">
      <c r="A218" s="4">
        <v>43528</v>
      </c>
      <c r="B218" t="s">
        <v>9</v>
      </c>
      <c r="C218">
        <v>2</v>
      </c>
      <c r="F218">
        <v>264</v>
      </c>
      <c r="J218">
        <v>0.93500000000000005</v>
      </c>
      <c r="K218">
        <v>33</v>
      </c>
      <c r="L218">
        <v>35.299999999999997</v>
      </c>
      <c r="M218">
        <v>224</v>
      </c>
      <c r="N218">
        <v>15</v>
      </c>
      <c r="O218">
        <v>2</v>
      </c>
    </row>
    <row r="219" spans="1:16" x14ac:dyDescent="0.25">
      <c r="A219" s="4">
        <v>43528</v>
      </c>
      <c r="B219" t="s">
        <v>10</v>
      </c>
      <c r="C219" t="s">
        <v>78</v>
      </c>
      <c r="F219">
        <v>273</v>
      </c>
      <c r="J219">
        <v>0.95499999999999996</v>
      </c>
      <c r="K219">
        <v>34.1</v>
      </c>
      <c r="L219">
        <v>35.700000000000003</v>
      </c>
      <c r="M219">
        <v>164</v>
      </c>
      <c r="N219">
        <v>30</v>
      </c>
      <c r="O219">
        <v>5</v>
      </c>
      <c r="P219">
        <v>4</v>
      </c>
    </row>
    <row r="220" spans="1:16" x14ac:dyDescent="0.25">
      <c r="A220" s="4">
        <v>43528</v>
      </c>
      <c r="B220" t="s">
        <v>9</v>
      </c>
      <c r="C220" t="s">
        <v>78</v>
      </c>
      <c r="F220">
        <v>508</v>
      </c>
      <c r="J220">
        <v>0.86899999999999999</v>
      </c>
      <c r="K220">
        <v>31.8</v>
      </c>
      <c r="L220">
        <v>36.5</v>
      </c>
      <c r="M220">
        <v>369</v>
      </c>
      <c r="N220">
        <v>46</v>
      </c>
      <c r="O220">
        <v>10</v>
      </c>
    </row>
    <row r="221" spans="1:16" x14ac:dyDescent="0.25">
      <c r="A221" s="4">
        <v>43529</v>
      </c>
      <c r="B221" t="s">
        <v>10</v>
      </c>
      <c r="C221">
        <v>1</v>
      </c>
      <c r="F221">
        <v>265</v>
      </c>
      <c r="J221">
        <v>0.95799999999999996</v>
      </c>
      <c r="K221">
        <v>33.1</v>
      </c>
      <c r="L221">
        <v>34.6</v>
      </c>
      <c r="M221">
        <v>185</v>
      </c>
      <c r="N221">
        <v>18</v>
      </c>
      <c r="O221">
        <v>9</v>
      </c>
      <c r="P221">
        <v>1</v>
      </c>
    </row>
    <row r="222" spans="1:16" x14ac:dyDescent="0.25">
      <c r="A222" s="4">
        <v>43529</v>
      </c>
      <c r="B222" t="s">
        <v>9</v>
      </c>
      <c r="C222">
        <v>1</v>
      </c>
      <c r="F222">
        <v>226</v>
      </c>
      <c r="J222">
        <v>0.78400000000000003</v>
      </c>
      <c r="K222">
        <v>28.3</v>
      </c>
      <c r="L222">
        <v>36.1</v>
      </c>
      <c r="M222">
        <v>173</v>
      </c>
      <c r="N222">
        <v>14</v>
      </c>
      <c r="O222">
        <v>3</v>
      </c>
      <c r="P222">
        <v>1</v>
      </c>
    </row>
    <row r="223" spans="1:16" x14ac:dyDescent="0.25">
      <c r="A223" s="4">
        <v>43529</v>
      </c>
      <c r="B223" t="s">
        <v>9</v>
      </c>
      <c r="C223">
        <v>2</v>
      </c>
      <c r="F223">
        <v>279</v>
      </c>
      <c r="J223">
        <v>0.96199999999999997</v>
      </c>
      <c r="K223">
        <v>34.9</v>
      </c>
      <c r="L223">
        <v>36.299999999999997</v>
      </c>
      <c r="M223">
        <v>210</v>
      </c>
      <c r="N223">
        <v>22</v>
      </c>
      <c r="O223">
        <v>7</v>
      </c>
    </row>
    <row r="224" spans="1:16" x14ac:dyDescent="0.25">
      <c r="A224" s="4">
        <v>43529</v>
      </c>
      <c r="B224" t="s">
        <v>10</v>
      </c>
      <c r="C224" t="s">
        <v>78</v>
      </c>
      <c r="F224">
        <v>265</v>
      </c>
      <c r="J224">
        <v>0.95799999999999996</v>
      </c>
      <c r="K224">
        <v>33.1</v>
      </c>
      <c r="L224">
        <v>34.6</v>
      </c>
      <c r="M224">
        <v>185</v>
      </c>
      <c r="N224">
        <v>18</v>
      </c>
      <c r="O224">
        <v>9</v>
      </c>
      <c r="P224">
        <v>1</v>
      </c>
    </row>
    <row r="225" spans="1:16" x14ac:dyDescent="0.25">
      <c r="A225" s="4">
        <v>43529</v>
      </c>
      <c r="B225" t="s">
        <v>9</v>
      </c>
      <c r="C225" t="s">
        <v>78</v>
      </c>
      <c r="F225">
        <v>506</v>
      </c>
      <c r="J225">
        <v>0.874</v>
      </c>
      <c r="K225">
        <v>31.6</v>
      </c>
      <c r="L225">
        <v>36.200000000000003</v>
      </c>
      <c r="M225">
        <v>383</v>
      </c>
      <c r="N225">
        <v>36</v>
      </c>
      <c r="O225">
        <v>10</v>
      </c>
      <c r="P225">
        <v>1</v>
      </c>
    </row>
    <row r="226" spans="1:16" x14ac:dyDescent="0.25">
      <c r="A226" s="4">
        <v>43530</v>
      </c>
      <c r="B226" t="s">
        <v>10</v>
      </c>
      <c r="C226">
        <v>1</v>
      </c>
      <c r="F226">
        <v>251</v>
      </c>
      <c r="J226">
        <v>0.95299999999999996</v>
      </c>
      <c r="K226">
        <v>31.4</v>
      </c>
      <c r="L226">
        <v>32.9</v>
      </c>
      <c r="M226">
        <v>186</v>
      </c>
      <c r="N226">
        <v>26</v>
      </c>
      <c r="O226">
        <v>3</v>
      </c>
    </row>
    <row r="227" spans="1:16" x14ac:dyDescent="0.25">
      <c r="A227" s="4">
        <v>43530</v>
      </c>
      <c r="B227" t="s">
        <v>9</v>
      </c>
      <c r="C227">
        <v>1</v>
      </c>
      <c r="F227">
        <v>266</v>
      </c>
      <c r="J227">
        <v>0.91500000000000004</v>
      </c>
      <c r="K227">
        <v>33.299999999999997</v>
      </c>
      <c r="L227">
        <v>36.4</v>
      </c>
      <c r="M227">
        <v>203</v>
      </c>
      <c r="N227">
        <v>14</v>
      </c>
      <c r="O227">
        <v>8</v>
      </c>
    </row>
    <row r="228" spans="1:16" x14ac:dyDescent="0.25">
      <c r="A228" s="4">
        <v>43530</v>
      </c>
      <c r="B228" t="s">
        <v>9</v>
      </c>
      <c r="C228">
        <v>2</v>
      </c>
      <c r="F228">
        <v>256</v>
      </c>
      <c r="J228">
        <v>0.89200000000000002</v>
      </c>
      <c r="K228">
        <v>32</v>
      </c>
      <c r="L228">
        <v>35.9</v>
      </c>
      <c r="M228">
        <v>218</v>
      </c>
      <c r="N228">
        <v>14</v>
      </c>
      <c r="O228">
        <v>2</v>
      </c>
    </row>
    <row r="229" spans="1:16" x14ac:dyDescent="0.25">
      <c r="A229" s="4">
        <v>43530</v>
      </c>
      <c r="B229" t="s">
        <v>10</v>
      </c>
      <c r="C229" t="s">
        <v>78</v>
      </c>
      <c r="F229">
        <v>251</v>
      </c>
      <c r="J229">
        <v>0.95299999999999996</v>
      </c>
      <c r="K229">
        <v>31.4</v>
      </c>
      <c r="L229">
        <v>32.9</v>
      </c>
      <c r="M229">
        <v>186</v>
      </c>
      <c r="N229">
        <v>26</v>
      </c>
      <c r="O229">
        <v>3</v>
      </c>
    </row>
    <row r="230" spans="1:16" x14ac:dyDescent="0.25">
      <c r="A230" s="4">
        <v>43530</v>
      </c>
      <c r="B230" t="s">
        <v>9</v>
      </c>
      <c r="C230" t="s">
        <v>78</v>
      </c>
      <c r="F230">
        <v>522</v>
      </c>
      <c r="J230">
        <v>0.90400000000000003</v>
      </c>
      <c r="K230">
        <v>32.6</v>
      </c>
      <c r="L230">
        <v>36.1</v>
      </c>
      <c r="M230">
        <v>421</v>
      </c>
      <c r="N230">
        <v>28</v>
      </c>
      <c r="O230">
        <v>10</v>
      </c>
    </row>
    <row r="231" spans="1:16" x14ac:dyDescent="0.25">
      <c r="A231" s="4">
        <v>43531</v>
      </c>
      <c r="B231" t="s">
        <v>10</v>
      </c>
      <c r="C231">
        <v>1</v>
      </c>
      <c r="F231">
        <v>236</v>
      </c>
      <c r="J231">
        <v>0.86</v>
      </c>
      <c r="K231">
        <v>29.5</v>
      </c>
      <c r="L231">
        <v>34.299999999999997</v>
      </c>
      <c r="M231">
        <v>166</v>
      </c>
      <c r="N231">
        <v>20</v>
      </c>
      <c r="O231">
        <v>4</v>
      </c>
      <c r="P231">
        <v>2</v>
      </c>
    </row>
    <row r="232" spans="1:16" x14ac:dyDescent="0.25">
      <c r="A232" s="4">
        <v>43531</v>
      </c>
      <c r="B232" t="s">
        <v>9</v>
      </c>
      <c r="C232">
        <v>1</v>
      </c>
      <c r="F232">
        <v>220</v>
      </c>
      <c r="J232">
        <v>0.77800000000000002</v>
      </c>
      <c r="K232">
        <v>27.5</v>
      </c>
      <c r="L232">
        <v>35.4</v>
      </c>
      <c r="M232">
        <v>184</v>
      </c>
      <c r="N232">
        <v>13</v>
      </c>
      <c r="O232">
        <v>2</v>
      </c>
    </row>
    <row r="233" spans="1:16" x14ac:dyDescent="0.25">
      <c r="A233" s="4">
        <v>43531</v>
      </c>
      <c r="B233" t="s">
        <v>9</v>
      </c>
      <c r="C233">
        <v>2</v>
      </c>
      <c r="F233">
        <v>268</v>
      </c>
      <c r="J233">
        <v>0.92500000000000004</v>
      </c>
      <c r="K233">
        <v>33.5</v>
      </c>
      <c r="L233">
        <v>36.200000000000003</v>
      </c>
      <c r="M233">
        <v>204</v>
      </c>
      <c r="N233">
        <v>21</v>
      </c>
      <c r="O233">
        <v>3</v>
      </c>
      <c r="P233">
        <v>1</v>
      </c>
    </row>
    <row r="234" spans="1:16" x14ac:dyDescent="0.25">
      <c r="A234" s="4">
        <v>43531</v>
      </c>
      <c r="B234" t="s">
        <v>10</v>
      </c>
      <c r="C234" t="s">
        <v>78</v>
      </c>
      <c r="F234">
        <v>236</v>
      </c>
      <c r="J234">
        <v>0.86</v>
      </c>
      <c r="K234">
        <v>29.5</v>
      </c>
      <c r="L234">
        <v>34.299999999999997</v>
      </c>
      <c r="M234">
        <v>166</v>
      </c>
      <c r="N234">
        <v>20</v>
      </c>
      <c r="O234">
        <v>4</v>
      </c>
      <c r="P234">
        <v>2</v>
      </c>
    </row>
    <row r="235" spans="1:16" x14ac:dyDescent="0.25">
      <c r="A235" s="4">
        <v>43531</v>
      </c>
      <c r="B235" t="s">
        <v>9</v>
      </c>
      <c r="C235" t="s">
        <v>78</v>
      </c>
      <c r="F235">
        <v>488</v>
      </c>
      <c r="J235">
        <v>0.85099999999999998</v>
      </c>
      <c r="K235">
        <v>30.5</v>
      </c>
      <c r="L235">
        <v>35.799999999999997</v>
      </c>
      <c r="M235">
        <v>388</v>
      </c>
      <c r="N235">
        <v>34</v>
      </c>
      <c r="O235">
        <v>5</v>
      </c>
      <c r="P235">
        <v>1</v>
      </c>
    </row>
    <row r="236" spans="1:16" x14ac:dyDescent="0.25">
      <c r="A236" s="4">
        <v>43532</v>
      </c>
      <c r="B236" t="s">
        <v>10</v>
      </c>
      <c r="C236">
        <v>1</v>
      </c>
      <c r="F236">
        <v>153</v>
      </c>
      <c r="J236">
        <v>0.58599999999999997</v>
      </c>
      <c r="K236">
        <v>19.100000000000001</v>
      </c>
      <c r="L236">
        <v>32.6</v>
      </c>
      <c r="M236">
        <v>109</v>
      </c>
      <c r="N236">
        <v>16</v>
      </c>
      <c r="O236">
        <v>3</v>
      </c>
    </row>
    <row r="237" spans="1:16" x14ac:dyDescent="0.25">
      <c r="A237" s="4">
        <v>43532</v>
      </c>
      <c r="B237" t="s">
        <v>9</v>
      </c>
      <c r="C237">
        <v>1</v>
      </c>
      <c r="F237">
        <v>214</v>
      </c>
      <c r="J237">
        <v>0.70199999999999996</v>
      </c>
      <c r="K237">
        <v>26.8</v>
      </c>
      <c r="L237">
        <v>38.1</v>
      </c>
      <c r="M237">
        <v>123</v>
      </c>
      <c r="N237">
        <v>25</v>
      </c>
      <c r="O237">
        <v>8</v>
      </c>
      <c r="P237">
        <v>2</v>
      </c>
    </row>
    <row r="238" spans="1:16" x14ac:dyDescent="0.25">
      <c r="A238" s="4">
        <v>43532</v>
      </c>
      <c r="B238" t="s">
        <v>9</v>
      </c>
      <c r="C238">
        <v>2</v>
      </c>
      <c r="F238">
        <v>255</v>
      </c>
      <c r="J238">
        <v>0.86399999999999999</v>
      </c>
      <c r="K238">
        <v>31.9</v>
      </c>
      <c r="L238">
        <v>36.9</v>
      </c>
      <c r="M238">
        <v>182</v>
      </c>
      <c r="N238">
        <v>22</v>
      </c>
      <c r="O238">
        <v>8</v>
      </c>
    </row>
    <row r="239" spans="1:16" x14ac:dyDescent="0.25">
      <c r="A239" s="4">
        <v>43532</v>
      </c>
      <c r="B239" t="s">
        <v>10</v>
      </c>
      <c r="C239" t="s">
        <v>78</v>
      </c>
      <c r="F239">
        <v>153</v>
      </c>
      <c r="J239">
        <v>0.58599999999999997</v>
      </c>
      <c r="K239">
        <v>19.3</v>
      </c>
      <c r="L239">
        <v>32.700000000000003</v>
      </c>
      <c r="M239">
        <v>109</v>
      </c>
      <c r="N239">
        <v>16</v>
      </c>
      <c r="O239">
        <v>3</v>
      </c>
    </row>
    <row r="240" spans="1:16" x14ac:dyDescent="0.25">
      <c r="A240" s="4">
        <v>43532</v>
      </c>
      <c r="B240" t="s">
        <v>9</v>
      </c>
      <c r="C240" t="s">
        <v>78</v>
      </c>
      <c r="F240">
        <v>469</v>
      </c>
      <c r="J240">
        <v>0.78300000000000003</v>
      </c>
      <c r="K240">
        <v>29.3</v>
      </c>
      <c r="L240">
        <v>37.4</v>
      </c>
      <c r="M240">
        <v>305</v>
      </c>
      <c r="N240">
        <v>47</v>
      </c>
      <c r="O240">
        <v>16</v>
      </c>
      <c r="P240">
        <v>2</v>
      </c>
    </row>
    <row r="241" spans="1:16" x14ac:dyDescent="0.25">
      <c r="A241" s="4">
        <v>43535</v>
      </c>
      <c r="B241" t="s">
        <v>10</v>
      </c>
      <c r="C241">
        <v>1</v>
      </c>
      <c r="F241">
        <v>236</v>
      </c>
      <c r="J241">
        <v>0.77600000000000002</v>
      </c>
      <c r="K241">
        <v>29.5</v>
      </c>
      <c r="L241">
        <v>38</v>
      </c>
      <c r="M241">
        <v>122</v>
      </c>
      <c r="N241">
        <v>36</v>
      </c>
      <c r="O241">
        <v>9</v>
      </c>
    </row>
    <row r="242" spans="1:16" x14ac:dyDescent="0.25">
      <c r="A242" s="4">
        <v>43535</v>
      </c>
      <c r="B242" t="s">
        <v>9</v>
      </c>
      <c r="C242">
        <v>1</v>
      </c>
      <c r="F242">
        <v>266</v>
      </c>
      <c r="J242">
        <v>0.82299999999999995</v>
      </c>
      <c r="K242">
        <v>33.299999999999997</v>
      </c>
      <c r="L242">
        <v>40.4</v>
      </c>
      <c r="M242">
        <v>150</v>
      </c>
      <c r="N242">
        <v>42</v>
      </c>
      <c r="O242">
        <v>7</v>
      </c>
    </row>
    <row r="243" spans="1:16" x14ac:dyDescent="0.25">
      <c r="A243" s="4">
        <v>43535</v>
      </c>
      <c r="B243" t="s">
        <v>9</v>
      </c>
      <c r="C243">
        <v>2</v>
      </c>
      <c r="F243">
        <v>319</v>
      </c>
      <c r="J243">
        <v>1.0760000000000001</v>
      </c>
      <c r="K243">
        <v>39.9</v>
      </c>
      <c r="L243">
        <v>37.1</v>
      </c>
      <c r="M243">
        <v>226</v>
      </c>
      <c r="N243">
        <v>29</v>
      </c>
      <c r="O243">
        <v>9</v>
      </c>
    </row>
    <row r="244" spans="1:16" x14ac:dyDescent="0.25">
      <c r="A244" s="4">
        <v>43535</v>
      </c>
      <c r="B244" t="s">
        <v>10</v>
      </c>
      <c r="C244" t="s">
        <v>78</v>
      </c>
      <c r="F244">
        <v>236</v>
      </c>
      <c r="J244">
        <v>0.77600000000000002</v>
      </c>
      <c r="K244">
        <v>29.5</v>
      </c>
      <c r="L244">
        <v>38</v>
      </c>
      <c r="M244">
        <v>122</v>
      </c>
      <c r="N244">
        <v>36</v>
      </c>
      <c r="O244">
        <v>9</v>
      </c>
    </row>
    <row r="245" spans="1:16" x14ac:dyDescent="0.25">
      <c r="A245" s="4">
        <v>43535</v>
      </c>
      <c r="B245" t="s">
        <v>9</v>
      </c>
      <c r="C245" t="s">
        <v>78</v>
      </c>
      <c r="F245">
        <v>585</v>
      </c>
      <c r="J245">
        <v>0.94899999999999995</v>
      </c>
      <c r="K245">
        <v>36.6</v>
      </c>
      <c r="L245">
        <v>38.5</v>
      </c>
      <c r="M245">
        <v>376</v>
      </c>
      <c r="N245">
        <v>71</v>
      </c>
      <c r="O245">
        <v>16</v>
      </c>
    </row>
    <row r="246" spans="1:16" x14ac:dyDescent="0.25">
      <c r="A246" s="4">
        <v>43536</v>
      </c>
      <c r="B246" t="s">
        <v>10</v>
      </c>
      <c r="C246">
        <v>1</v>
      </c>
      <c r="F246">
        <v>225</v>
      </c>
      <c r="J246">
        <v>0.81200000000000006</v>
      </c>
      <c r="K246">
        <v>28.1</v>
      </c>
      <c r="L246">
        <v>34.700000000000003</v>
      </c>
      <c r="M246">
        <v>158</v>
      </c>
      <c r="N246">
        <v>14</v>
      </c>
      <c r="O246">
        <v>6</v>
      </c>
      <c r="P246">
        <v>2</v>
      </c>
    </row>
    <row r="247" spans="1:16" x14ac:dyDescent="0.25">
      <c r="A247" s="4">
        <v>43536</v>
      </c>
      <c r="B247" t="s">
        <v>9</v>
      </c>
      <c r="C247">
        <v>1</v>
      </c>
      <c r="F247">
        <v>202</v>
      </c>
      <c r="J247">
        <v>0.71499999999999997</v>
      </c>
      <c r="K247">
        <v>25.3</v>
      </c>
      <c r="L247">
        <v>35.299999999999997</v>
      </c>
      <c r="M247">
        <v>161</v>
      </c>
      <c r="N247">
        <v>8</v>
      </c>
      <c r="O247">
        <v>6</v>
      </c>
    </row>
    <row r="248" spans="1:16" x14ac:dyDescent="0.25">
      <c r="A248" s="4">
        <v>43536</v>
      </c>
      <c r="B248" t="s">
        <v>10</v>
      </c>
      <c r="C248">
        <v>2</v>
      </c>
      <c r="F248">
        <v>146</v>
      </c>
      <c r="J248">
        <v>1.05</v>
      </c>
      <c r="K248">
        <v>36.5</v>
      </c>
      <c r="L248">
        <v>34.799999999999997</v>
      </c>
      <c r="M248">
        <v>136</v>
      </c>
      <c r="N248">
        <v>5</v>
      </c>
    </row>
    <row r="249" spans="1:16" x14ac:dyDescent="0.25">
      <c r="A249" s="4">
        <v>43536</v>
      </c>
      <c r="B249" t="s">
        <v>9</v>
      </c>
      <c r="C249">
        <v>2</v>
      </c>
      <c r="F249">
        <v>292</v>
      </c>
      <c r="J249">
        <v>0.94099999999999995</v>
      </c>
      <c r="K249">
        <v>36.5</v>
      </c>
      <c r="L249">
        <v>38.799999999999997</v>
      </c>
      <c r="M249">
        <v>188</v>
      </c>
      <c r="N249">
        <v>25</v>
      </c>
      <c r="O249">
        <v>12</v>
      </c>
      <c r="P249">
        <v>2</v>
      </c>
    </row>
    <row r="250" spans="1:16" x14ac:dyDescent="0.25">
      <c r="A250" s="4">
        <v>43536</v>
      </c>
      <c r="B250" t="s">
        <v>10</v>
      </c>
      <c r="C250" t="s">
        <v>78</v>
      </c>
      <c r="F250">
        <v>371</v>
      </c>
      <c r="J250">
        <v>0.89100000000000001</v>
      </c>
      <c r="K250">
        <v>30.9</v>
      </c>
      <c r="L250">
        <v>34.700000000000003</v>
      </c>
      <c r="M250">
        <v>294</v>
      </c>
      <c r="N250">
        <v>19</v>
      </c>
      <c r="O250">
        <v>6</v>
      </c>
      <c r="P250">
        <v>2</v>
      </c>
    </row>
    <row r="251" spans="1:16" x14ac:dyDescent="0.25">
      <c r="A251" s="4">
        <v>43536</v>
      </c>
      <c r="B251" t="s">
        <v>9</v>
      </c>
      <c r="C251" t="s">
        <v>78</v>
      </c>
      <c r="F251">
        <v>494</v>
      </c>
      <c r="J251">
        <v>0.82799999999999996</v>
      </c>
      <c r="K251">
        <v>30.9</v>
      </c>
      <c r="L251">
        <v>37.299999999999997</v>
      </c>
      <c r="M251">
        <v>349</v>
      </c>
      <c r="N251">
        <v>33</v>
      </c>
      <c r="O251">
        <v>18</v>
      </c>
      <c r="P251">
        <v>2</v>
      </c>
    </row>
    <row r="252" spans="1:16" x14ac:dyDescent="0.25">
      <c r="A252" s="4">
        <v>43537</v>
      </c>
      <c r="B252" t="s">
        <v>10</v>
      </c>
      <c r="C252">
        <v>1</v>
      </c>
      <c r="F252">
        <v>217</v>
      </c>
      <c r="J252">
        <v>0.80400000000000005</v>
      </c>
      <c r="K252">
        <v>27.1</v>
      </c>
      <c r="L252">
        <v>33.700000000000003</v>
      </c>
      <c r="M252">
        <v>166</v>
      </c>
      <c r="N252">
        <v>18</v>
      </c>
      <c r="O252">
        <v>2</v>
      </c>
      <c r="P252">
        <v>1</v>
      </c>
    </row>
    <row r="253" spans="1:16" x14ac:dyDescent="0.25">
      <c r="A253" s="4">
        <v>43537</v>
      </c>
      <c r="B253" t="s">
        <v>9</v>
      </c>
      <c r="C253">
        <v>1</v>
      </c>
      <c r="F253">
        <v>247</v>
      </c>
      <c r="J253">
        <v>0.83499999999999996</v>
      </c>
      <c r="K253">
        <v>30.9</v>
      </c>
      <c r="L253">
        <v>37</v>
      </c>
      <c r="M253">
        <v>167</v>
      </c>
      <c r="N253">
        <v>29</v>
      </c>
      <c r="O253">
        <v>5</v>
      </c>
    </row>
    <row r="254" spans="1:16" x14ac:dyDescent="0.25">
      <c r="A254" s="4">
        <v>43537</v>
      </c>
      <c r="B254" t="s">
        <v>10</v>
      </c>
      <c r="C254">
        <v>2</v>
      </c>
      <c r="F254">
        <v>95</v>
      </c>
      <c r="J254">
        <v>0.68700000000000006</v>
      </c>
      <c r="K254">
        <v>23.8</v>
      </c>
      <c r="L254">
        <v>34.6</v>
      </c>
      <c r="M254">
        <v>79</v>
      </c>
      <c r="N254">
        <v>8</v>
      </c>
    </row>
    <row r="255" spans="1:16" x14ac:dyDescent="0.25">
      <c r="A255" s="4">
        <v>43537</v>
      </c>
      <c r="B255" t="s">
        <v>9</v>
      </c>
      <c r="C255">
        <v>2</v>
      </c>
      <c r="F255">
        <v>290</v>
      </c>
      <c r="J255">
        <v>1.02</v>
      </c>
      <c r="K255">
        <v>36.299999999999997</v>
      </c>
      <c r="L255">
        <v>35.6</v>
      </c>
      <c r="M255">
        <v>213</v>
      </c>
      <c r="N255">
        <v>34</v>
      </c>
      <c r="O255">
        <v>2</v>
      </c>
    </row>
    <row r="256" spans="1:16" x14ac:dyDescent="0.25">
      <c r="A256" s="4">
        <v>43537</v>
      </c>
      <c r="B256" t="s">
        <v>10</v>
      </c>
      <c r="C256" t="s">
        <v>78</v>
      </c>
      <c r="F256">
        <v>312</v>
      </c>
      <c r="J256">
        <v>0.76500000000000001</v>
      </c>
      <c r="K256">
        <v>26</v>
      </c>
      <c r="L256">
        <v>34</v>
      </c>
      <c r="M256">
        <v>245</v>
      </c>
      <c r="N256">
        <v>26</v>
      </c>
      <c r="O256">
        <v>2</v>
      </c>
      <c r="P256">
        <v>1</v>
      </c>
    </row>
    <row r="257" spans="1:16" x14ac:dyDescent="0.25">
      <c r="A257" s="4">
        <v>43537</v>
      </c>
      <c r="B257" t="s">
        <v>9</v>
      </c>
      <c r="C257" t="s">
        <v>78</v>
      </c>
      <c r="F257">
        <v>537</v>
      </c>
      <c r="J257">
        <v>0.92700000000000005</v>
      </c>
      <c r="K257">
        <v>33.6</v>
      </c>
      <c r="L257">
        <v>36.200000000000003</v>
      </c>
      <c r="M257">
        <v>380</v>
      </c>
      <c r="N257">
        <v>63</v>
      </c>
      <c r="O257">
        <v>7</v>
      </c>
    </row>
    <row r="258" spans="1:16" x14ac:dyDescent="0.25">
      <c r="A258" s="4">
        <v>43538</v>
      </c>
      <c r="B258" t="s">
        <v>10</v>
      </c>
      <c r="C258">
        <v>1</v>
      </c>
      <c r="F258">
        <v>364</v>
      </c>
      <c r="J258">
        <v>0.90700000000000003</v>
      </c>
      <c r="K258">
        <v>30.3</v>
      </c>
      <c r="L258">
        <v>33.4</v>
      </c>
      <c r="M258">
        <v>285</v>
      </c>
      <c r="N258">
        <v>26</v>
      </c>
      <c r="O258">
        <v>4</v>
      </c>
      <c r="P258">
        <v>2</v>
      </c>
    </row>
    <row r="259" spans="1:16" x14ac:dyDescent="0.25">
      <c r="A259" s="4">
        <v>43538</v>
      </c>
      <c r="B259" t="s">
        <v>9</v>
      </c>
      <c r="C259">
        <v>1</v>
      </c>
      <c r="F259">
        <v>260</v>
      </c>
      <c r="J259">
        <v>0.876</v>
      </c>
      <c r="K259">
        <v>32.5</v>
      </c>
      <c r="L259">
        <v>37.1</v>
      </c>
      <c r="M259">
        <v>204</v>
      </c>
      <c r="N259">
        <v>20</v>
      </c>
      <c r="O259">
        <v>3</v>
      </c>
    </row>
    <row r="260" spans="1:16" x14ac:dyDescent="0.25">
      <c r="A260" s="4">
        <v>43538</v>
      </c>
      <c r="B260" t="s">
        <v>9</v>
      </c>
      <c r="C260">
        <v>2</v>
      </c>
      <c r="F260">
        <v>274</v>
      </c>
      <c r="J260">
        <v>0.95799999999999996</v>
      </c>
      <c r="K260">
        <v>34.299999999999997</v>
      </c>
      <c r="L260">
        <v>35.700000000000003</v>
      </c>
      <c r="M260">
        <v>193</v>
      </c>
      <c r="N260">
        <v>25</v>
      </c>
      <c r="O260">
        <v>9</v>
      </c>
    </row>
    <row r="261" spans="1:16" x14ac:dyDescent="0.25">
      <c r="A261" s="4">
        <v>43538</v>
      </c>
      <c r="B261" t="s">
        <v>10</v>
      </c>
      <c r="C261" t="s">
        <v>78</v>
      </c>
      <c r="F261">
        <v>364</v>
      </c>
      <c r="J261">
        <v>0.90700000000000003</v>
      </c>
      <c r="K261">
        <v>30.3</v>
      </c>
      <c r="L261">
        <v>33.4</v>
      </c>
      <c r="M261">
        <v>285</v>
      </c>
      <c r="N261">
        <v>26</v>
      </c>
      <c r="O261">
        <v>4</v>
      </c>
      <c r="P261">
        <v>2</v>
      </c>
    </row>
    <row r="262" spans="1:16" x14ac:dyDescent="0.25">
      <c r="A262" s="4">
        <v>43538</v>
      </c>
      <c r="B262" t="s">
        <v>9</v>
      </c>
      <c r="C262" t="s">
        <v>78</v>
      </c>
      <c r="F262">
        <v>534</v>
      </c>
      <c r="J262">
        <v>0.91700000000000004</v>
      </c>
      <c r="K262">
        <v>33.4</v>
      </c>
      <c r="L262">
        <v>36.4</v>
      </c>
      <c r="M262">
        <v>397</v>
      </c>
      <c r="N262">
        <v>45</v>
      </c>
      <c r="O262">
        <v>12</v>
      </c>
    </row>
    <row r="263" spans="1:16" x14ac:dyDescent="0.25">
      <c r="A263" s="4">
        <v>43539</v>
      </c>
      <c r="B263" t="s">
        <v>10</v>
      </c>
      <c r="C263">
        <v>1</v>
      </c>
      <c r="F263">
        <v>326</v>
      </c>
      <c r="J263">
        <v>1.0740000000000001</v>
      </c>
      <c r="K263">
        <v>40.799999999999997</v>
      </c>
      <c r="L263">
        <v>37.9</v>
      </c>
      <c r="M263">
        <v>171</v>
      </c>
      <c r="N263">
        <v>22</v>
      </c>
      <c r="O263">
        <v>27</v>
      </c>
      <c r="P263">
        <v>1</v>
      </c>
    </row>
    <row r="264" spans="1:16" x14ac:dyDescent="0.25">
      <c r="A264" s="4">
        <v>43539</v>
      </c>
      <c r="B264" t="s">
        <v>9</v>
      </c>
      <c r="C264">
        <v>1</v>
      </c>
      <c r="F264">
        <v>235</v>
      </c>
      <c r="J264">
        <v>0.80400000000000005</v>
      </c>
      <c r="K264">
        <v>29.4</v>
      </c>
      <c r="L264">
        <v>36.6</v>
      </c>
      <c r="M264">
        <v>163</v>
      </c>
      <c r="N264">
        <v>19</v>
      </c>
      <c r="O264">
        <v>9</v>
      </c>
    </row>
    <row r="265" spans="1:16" x14ac:dyDescent="0.25">
      <c r="A265" s="4">
        <v>43539</v>
      </c>
      <c r="B265" t="s">
        <v>9</v>
      </c>
      <c r="C265">
        <v>2</v>
      </c>
      <c r="F265">
        <v>280</v>
      </c>
      <c r="J265">
        <v>1.0089999999999999</v>
      </c>
      <c r="K265">
        <v>35</v>
      </c>
      <c r="L265">
        <v>34.700000000000003</v>
      </c>
      <c r="M265">
        <v>235</v>
      </c>
      <c r="N265">
        <v>12</v>
      </c>
      <c r="O265">
        <v>4</v>
      </c>
    </row>
    <row r="266" spans="1:16" x14ac:dyDescent="0.25">
      <c r="A266" s="4">
        <v>43539</v>
      </c>
      <c r="B266" t="s">
        <v>10</v>
      </c>
      <c r="C266" t="s">
        <v>78</v>
      </c>
      <c r="F266">
        <v>326</v>
      </c>
      <c r="J266">
        <v>1.0740000000000001</v>
      </c>
      <c r="K266">
        <v>40.799999999999997</v>
      </c>
      <c r="L266">
        <v>37.9</v>
      </c>
      <c r="M266">
        <v>171</v>
      </c>
      <c r="N266">
        <v>22</v>
      </c>
      <c r="O266">
        <v>27</v>
      </c>
      <c r="P266">
        <v>1</v>
      </c>
    </row>
    <row r="267" spans="1:16" x14ac:dyDescent="0.25">
      <c r="A267" s="4">
        <v>43539</v>
      </c>
      <c r="B267" t="s">
        <v>9</v>
      </c>
      <c r="C267" t="s">
        <v>78</v>
      </c>
      <c r="F267">
        <v>515</v>
      </c>
      <c r="J267">
        <v>0.90600000000000003</v>
      </c>
      <c r="K267">
        <v>32.200000000000003</v>
      </c>
      <c r="L267">
        <v>35.5</v>
      </c>
      <c r="M267">
        <v>398</v>
      </c>
      <c r="N267">
        <v>31</v>
      </c>
      <c r="O267">
        <v>13</v>
      </c>
    </row>
    <row r="268" spans="1:16" x14ac:dyDescent="0.25">
      <c r="A268" s="4">
        <v>43542</v>
      </c>
      <c r="B268" t="s">
        <v>10</v>
      </c>
      <c r="C268">
        <v>1</v>
      </c>
      <c r="F268">
        <v>308</v>
      </c>
      <c r="J268">
        <v>0.94399999999999995</v>
      </c>
      <c r="K268">
        <v>38.5</v>
      </c>
      <c r="L268">
        <v>40.799999999999997</v>
      </c>
      <c r="M268">
        <v>103</v>
      </c>
      <c r="N268">
        <v>38</v>
      </c>
      <c r="O268">
        <v>26</v>
      </c>
      <c r="P268">
        <v>3</v>
      </c>
    </row>
    <row r="269" spans="1:16" x14ac:dyDescent="0.25">
      <c r="A269" s="4">
        <v>43542</v>
      </c>
      <c r="B269" t="s">
        <v>9</v>
      </c>
      <c r="C269">
        <v>1</v>
      </c>
      <c r="F269">
        <v>318</v>
      </c>
      <c r="J269">
        <v>0.86899999999999999</v>
      </c>
      <c r="K269">
        <v>39.799999999999997</v>
      </c>
      <c r="L269">
        <v>45.8</v>
      </c>
      <c r="M269">
        <v>115</v>
      </c>
      <c r="N269">
        <v>35</v>
      </c>
      <c r="O269">
        <v>29</v>
      </c>
      <c r="P269">
        <v>3</v>
      </c>
    </row>
    <row r="270" spans="1:16" x14ac:dyDescent="0.25">
      <c r="A270" s="4">
        <v>43542</v>
      </c>
      <c r="B270" t="s">
        <v>9</v>
      </c>
      <c r="C270">
        <v>2</v>
      </c>
      <c r="F270">
        <v>312</v>
      </c>
      <c r="J270">
        <v>1.016</v>
      </c>
      <c r="K270">
        <v>39</v>
      </c>
      <c r="L270">
        <v>38.4</v>
      </c>
      <c r="M270">
        <v>196</v>
      </c>
      <c r="N270">
        <v>46</v>
      </c>
      <c r="O270">
        <v>6</v>
      </c>
    </row>
    <row r="271" spans="1:16" x14ac:dyDescent="0.25">
      <c r="A271" s="4">
        <v>43542</v>
      </c>
      <c r="B271" t="s">
        <v>10</v>
      </c>
      <c r="C271" t="s">
        <v>78</v>
      </c>
      <c r="F271">
        <v>308</v>
      </c>
      <c r="J271">
        <v>0.94399999999999995</v>
      </c>
      <c r="K271">
        <v>38.5</v>
      </c>
      <c r="L271">
        <v>40.799999999999997</v>
      </c>
      <c r="M271">
        <v>103</v>
      </c>
      <c r="N271">
        <v>38</v>
      </c>
      <c r="O271">
        <v>26</v>
      </c>
      <c r="P271">
        <v>3</v>
      </c>
    </row>
    <row r="272" spans="1:16" x14ac:dyDescent="0.25">
      <c r="A272" s="4">
        <v>43542</v>
      </c>
      <c r="B272" t="s">
        <v>9</v>
      </c>
      <c r="C272" t="s">
        <v>78</v>
      </c>
      <c r="F272">
        <v>630</v>
      </c>
      <c r="J272">
        <v>0.94299999999999995</v>
      </c>
      <c r="K272">
        <v>39.4</v>
      </c>
      <c r="L272">
        <v>41.8</v>
      </c>
      <c r="M272">
        <v>311</v>
      </c>
      <c r="N272">
        <v>81</v>
      </c>
      <c r="O272">
        <v>35</v>
      </c>
      <c r="P272">
        <v>3</v>
      </c>
    </row>
    <row r="273" spans="1:16" x14ac:dyDescent="0.25">
      <c r="A273" s="4">
        <v>43543</v>
      </c>
      <c r="B273" t="s">
        <v>10</v>
      </c>
      <c r="C273">
        <v>1</v>
      </c>
      <c r="F273">
        <v>371</v>
      </c>
      <c r="J273">
        <v>0.86899999999999999</v>
      </c>
      <c r="K273">
        <v>30.9</v>
      </c>
      <c r="L273">
        <v>35.6</v>
      </c>
      <c r="M273">
        <v>277</v>
      </c>
      <c r="N273">
        <v>27</v>
      </c>
      <c r="O273">
        <v>8</v>
      </c>
      <c r="P273">
        <v>1</v>
      </c>
    </row>
    <row r="274" spans="1:16" x14ac:dyDescent="0.25">
      <c r="A274" s="4">
        <v>43543</v>
      </c>
      <c r="B274" t="s">
        <v>9</v>
      </c>
      <c r="C274">
        <v>1</v>
      </c>
      <c r="F274">
        <v>221</v>
      </c>
      <c r="J274">
        <v>0.73</v>
      </c>
      <c r="K274">
        <v>27.6</v>
      </c>
      <c r="L274">
        <v>37.799999999999997</v>
      </c>
      <c r="M274">
        <v>162</v>
      </c>
      <c r="N274">
        <v>15</v>
      </c>
      <c r="O274">
        <v>5</v>
      </c>
    </row>
    <row r="275" spans="1:16" x14ac:dyDescent="0.25">
      <c r="A275" s="4">
        <v>43543</v>
      </c>
      <c r="B275" t="s">
        <v>9</v>
      </c>
      <c r="C275">
        <v>2</v>
      </c>
      <c r="F275">
        <v>358</v>
      </c>
      <c r="J275">
        <v>1.0149999999999999</v>
      </c>
      <c r="K275">
        <v>35.799999999999997</v>
      </c>
      <c r="L275">
        <v>35.299999999999997</v>
      </c>
      <c r="M275">
        <v>285</v>
      </c>
      <c r="N275">
        <v>26</v>
      </c>
      <c r="O275">
        <v>5</v>
      </c>
    </row>
    <row r="276" spans="1:16" x14ac:dyDescent="0.25">
      <c r="A276" s="4">
        <v>43543</v>
      </c>
      <c r="B276" t="s">
        <v>10</v>
      </c>
      <c r="C276" t="s">
        <v>78</v>
      </c>
      <c r="F276">
        <v>371</v>
      </c>
      <c r="J276">
        <v>0.86899999999999999</v>
      </c>
      <c r="K276">
        <v>30.9</v>
      </c>
      <c r="L276">
        <v>35.6</v>
      </c>
      <c r="M276">
        <v>277</v>
      </c>
      <c r="N276">
        <v>27</v>
      </c>
      <c r="O276">
        <v>8</v>
      </c>
      <c r="P276">
        <v>1</v>
      </c>
    </row>
    <row r="277" spans="1:16" x14ac:dyDescent="0.25">
      <c r="A277" s="4">
        <v>43543</v>
      </c>
      <c r="B277" t="s">
        <v>9</v>
      </c>
      <c r="C277" t="s">
        <v>78</v>
      </c>
      <c r="F277">
        <v>579</v>
      </c>
      <c r="J277">
        <v>0.88800000000000001</v>
      </c>
      <c r="K277">
        <v>32.200000000000003</v>
      </c>
      <c r="L277">
        <v>36.200000000000003</v>
      </c>
      <c r="M277">
        <v>447</v>
      </c>
      <c r="N277">
        <v>41</v>
      </c>
      <c r="O277">
        <v>10</v>
      </c>
    </row>
    <row r="278" spans="1:16" x14ac:dyDescent="0.25">
      <c r="A278" s="4">
        <v>43544</v>
      </c>
      <c r="B278" t="s">
        <v>10</v>
      </c>
      <c r="C278">
        <v>1</v>
      </c>
      <c r="F278">
        <v>331</v>
      </c>
      <c r="J278">
        <v>0.78600000000000003</v>
      </c>
      <c r="K278">
        <v>27.6</v>
      </c>
      <c r="L278">
        <v>35.1</v>
      </c>
      <c r="M278">
        <v>224</v>
      </c>
      <c r="N278">
        <v>21</v>
      </c>
      <c r="O278">
        <v>9</v>
      </c>
      <c r="P278">
        <v>4</v>
      </c>
    </row>
    <row r="279" spans="1:16" x14ac:dyDescent="0.25">
      <c r="A279" s="4">
        <v>43544</v>
      </c>
      <c r="B279" t="s">
        <v>9</v>
      </c>
      <c r="C279">
        <v>2</v>
      </c>
      <c r="F279">
        <v>360</v>
      </c>
      <c r="J279">
        <v>1.032</v>
      </c>
      <c r="K279">
        <v>36</v>
      </c>
      <c r="L279">
        <v>34.9</v>
      </c>
      <c r="M279">
        <v>282</v>
      </c>
      <c r="N279">
        <v>30</v>
      </c>
      <c r="O279">
        <v>5</v>
      </c>
    </row>
    <row r="280" spans="1:16" x14ac:dyDescent="0.25">
      <c r="A280" s="4">
        <v>43544</v>
      </c>
      <c r="B280" t="s">
        <v>10</v>
      </c>
      <c r="C280" t="s">
        <v>78</v>
      </c>
      <c r="F280">
        <v>331</v>
      </c>
      <c r="J280">
        <v>0.78600000000000003</v>
      </c>
      <c r="K280">
        <v>224</v>
      </c>
      <c r="L280">
        <v>21</v>
      </c>
      <c r="M280">
        <v>9</v>
      </c>
      <c r="N280">
        <v>4</v>
      </c>
    </row>
    <row r="281" spans="1:16" x14ac:dyDescent="0.25">
      <c r="A281" s="4">
        <v>43544</v>
      </c>
      <c r="B281" t="s">
        <v>9</v>
      </c>
      <c r="C281" t="s">
        <v>78</v>
      </c>
      <c r="F281">
        <v>360</v>
      </c>
      <c r="J281">
        <v>1.032</v>
      </c>
      <c r="K281">
        <v>36</v>
      </c>
      <c r="L281">
        <v>34.9</v>
      </c>
      <c r="M281">
        <v>282</v>
      </c>
      <c r="N281">
        <v>30</v>
      </c>
      <c r="O281">
        <v>5</v>
      </c>
    </row>
    <row r="282" spans="1:16" x14ac:dyDescent="0.25">
      <c r="A282" s="4">
        <v>43545</v>
      </c>
      <c r="B282" t="s">
        <v>10</v>
      </c>
      <c r="C282">
        <v>1</v>
      </c>
      <c r="F282">
        <v>373</v>
      </c>
      <c r="J282">
        <v>0.91100000000000003</v>
      </c>
      <c r="K282">
        <v>31.1</v>
      </c>
      <c r="L282">
        <v>34.1</v>
      </c>
      <c r="M282">
        <v>280</v>
      </c>
      <c r="N282">
        <v>25</v>
      </c>
      <c r="O282">
        <v>9</v>
      </c>
      <c r="P282">
        <v>1</v>
      </c>
    </row>
    <row r="283" spans="1:16" x14ac:dyDescent="0.25">
      <c r="A283" s="4">
        <v>43545</v>
      </c>
      <c r="B283" t="s">
        <v>9</v>
      </c>
      <c r="C283">
        <v>1</v>
      </c>
      <c r="F283">
        <v>210</v>
      </c>
      <c r="J283">
        <v>0.71399999999999997</v>
      </c>
      <c r="K283">
        <v>26.3</v>
      </c>
      <c r="L283">
        <v>36.799999999999997</v>
      </c>
      <c r="M283">
        <v>145</v>
      </c>
      <c r="N283">
        <v>22</v>
      </c>
      <c r="O283">
        <v>6</v>
      </c>
    </row>
    <row r="284" spans="1:16" x14ac:dyDescent="0.25">
      <c r="A284" s="4">
        <v>43545</v>
      </c>
      <c r="B284" t="s">
        <v>9</v>
      </c>
      <c r="C284">
        <v>2</v>
      </c>
      <c r="F284">
        <v>384</v>
      </c>
      <c r="J284">
        <v>1.0920000000000001</v>
      </c>
      <c r="K284">
        <v>38.4</v>
      </c>
      <c r="L284">
        <v>35.200000000000003</v>
      </c>
      <c r="M284">
        <v>293</v>
      </c>
      <c r="N284">
        <v>35</v>
      </c>
      <c r="O284">
        <v>6</v>
      </c>
    </row>
    <row r="285" spans="1:16" x14ac:dyDescent="0.25">
      <c r="A285" s="4">
        <v>43545</v>
      </c>
      <c r="B285" t="s">
        <v>10</v>
      </c>
      <c r="C285" t="s">
        <v>78</v>
      </c>
      <c r="F285">
        <v>373</v>
      </c>
      <c r="J285">
        <v>0.91100000000000003</v>
      </c>
      <c r="K285">
        <v>31.1</v>
      </c>
      <c r="L285">
        <v>34.1</v>
      </c>
      <c r="M285">
        <v>280</v>
      </c>
      <c r="N285">
        <v>25</v>
      </c>
      <c r="O285">
        <v>9</v>
      </c>
      <c r="P285">
        <v>1</v>
      </c>
    </row>
    <row r="286" spans="1:16" x14ac:dyDescent="0.25">
      <c r="A286" s="4">
        <v>43545</v>
      </c>
      <c r="B286" t="s">
        <v>9</v>
      </c>
      <c r="C286" t="s">
        <v>78</v>
      </c>
      <c r="F286">
        <v>594</v>
      </c>
      <c r="J286">
        <v>0.92400000000000004</v>
      </c>
      <c r="K286">
        <v>33</v>
      </c>
      <c r="L286">
        <v>35.700000000000003</v>
      </c>
      <c r="M286">
        <v>438</v>
      </c>
      <c r="N286">
        <v>57</v>
      </c>
      <c r="O286">
        <v>12</v>
      </c>
    </row>
    <row r="287" spans="1:16" x14ac:dyDescent="0.25">
      <c r="A287" s="4">
        <v>43546</v>
      </c>
      <c r="B287" t="s">
        <v>10</v>
      </c>
      <c r="C287">
        <v>1</v>
      </c>
      <c r="F287">
        <v>250</v>
      </c>
      <c r="J287">
        <v>0.92</v>
      </c>
      <c r="K287">
        <v>31.3</v>
      </c>
      <c r="L287">
        <v>34</v>
      </c>
      <c r="M287">
        <v>175</v>
      </c>
      <c r="N287">
        <v>22</v>
      </c>
      <c r="O287">
        <v>9</v>
      </c>
    </row>
    <row r="288" spans="1:16" x14ac:dyDescent="0.25">
      <c r="A288" s="4">
        <v>43546</v>
      </c>
      <c r="B288" t="s">
        <v>9</v>
      </c>
      <c r="C288">
        <v>1</v>
      </c>
      <c r="F288">
        <v>202</v>
      </c>
      <c r="J288">
        <v>0.69099999999999995</v>
      </c>
      <c r="K288">
        <v>25.3</v>
      </c>
      <c r="L288">
        <v>36.5</v>
      </c>
      <c r="M288">
        <v>131</v>
      </c>
      <c r="N288">
        <v>20</v>
      </c>
      <c r="O288">
        <v>8</v>
      </c>
    </row>
    <row r="289" spans="1:16" x14ac:dyDescent="0.25">
      <c r="A289" s="4">
        <v>43546</v>
      </c>
      <c r="B289" t="s">
        <v>9</v>
      </c>
      <c r="C289">
        <v>2</v>
      </c>
      <c r="F289">
        <v>263</v>
      </c>
      <c r="J289">
        <v>0.95</v>
      </c>
      <c r="K289">
        <v>32.9</v>
      </c>
      <c r="L289">
        <v>34.6</v>
      </c>
      <c r="M289">
        <v>239</v>
      </c>
      <c r="N289">
        <v>9</v>
      </c>
      <c r="O289">
        <v>1</v>
      </c>
    </row>
    <row r="290" spans="1:16" x14ac:dyDescent="0.25">
      <c r="A290" s="4">
        <v>43546</v>
      </c>
      <c r="B290" t="s">
        <v>10</v>
      </c>
      <c r="C290" t="s">
        <v>78</v>
      </c>
      <c r="F290">
        <v>250</v>
      </c>
      <c r="J290">
        <v>0.92</v>
      </c>
      <c r="K290">
        <v>31.3</v>
      </c>
      <c r="L290">
        <v>34</v>
      </c>
      <c r="M290">
        <v>175</v>
      </c>
      <c r="N290">
        <v>22</v>
      </c>
      <c r="O290">
        <v>9</v>
      </c>
    </row>
    <row r="291" spans="1:16" x14ac:dyDescent="0.25">
      <c r="A291" s="4">
        <v>43546</v>
      </c>
      <c r="B291" t="s">
        <v>9</v>
      </c>
      <c r="C291" t="s">
        <v>78</v>
      </c>
      <c r="F291">
        <v>465</v>
      </c>
      <c r="J291">
        <v>0.82099999999999995</v>
      </c>
      <c r="K291">
        <v>29.1</v>
      </c>
      <c r="L291">
        <v>35.4</v>
      </c>
      <c r="M291">
        <v>370</v>
      </c>
      <c r="N291">
        <v>29</v>
      </c>
      <c r="O291">
        <v>9</v>
      </c>
    </row>
    <row r="292" spans="1:16" x14ac:dyDescent="0.25">
      <c r="A292" s="4">
        <v>43549</v>
      </c>
      <c r="B292" t="s">
        <v>10</v>
      </c>
      <c r="C292">
        <v>1</v>
      </c>
      <c r="F292">
        <v>362</v>
      </c>
      <c r="J292">
        <v>0.81799999999999995</v>
      </c>
      <c r="K292">
        <v>30.2</v>
      </c>
      <c r="L292">
        <v>36.9</v>
      </c>
      <c r="M292">
        <v>240</v>
      </c>
      <c r="N292">
        <v>39</v>
      </c>
      <c r="O292">
        <v>10</v>
      </c>
      <c r="P292">
        <v>1</v>
      </c>
    </row>
    <row r="293" spans="1:16" x14ac:dyDescent="0.25">
      <c r="A293" s="4">
        <v>43549</v>
      </c>
      <c r="B293" t="s">
        <v>9</v>
      </c>
      <c r="C293">
        <v>1</v>
      </c>
      <c r="F293">
        <v>223</v>
      </c>
      <c r="J293">
        <v>0.68899999999999995</v>
      </c>
      <c r="K293">
        <v>27.9</v>
      </c>
      <c r="L293">
        <v>40.5</v>
      </c>
      <c r="M293">
        <v>133</v>
      </c>
      <c r="N293">
        <v>19</v>
      </c>
      <c r="O293">
        <v>12</v>
      </c>
    </row>
    <row r="294" spans="1:16" x14ac:dyDescent="0.25">
      <c r="A294" s="4">
        <v>43549</v>
      </c>
      <c r="B294" t="s">
        <v>9</v>
      </c>
      <c r="C294">
        <v>2</v>
      </c>
      <c r="F294">
        <v>408</v>
      </c>
      <c r="J294">
        <v>1.159</v>
      </c>
      <c r="K294">
        <v>40.799999999999997</v>
      </c>
      <c r="L294">
        <v>35.200000000000003</v>
      </c>
      <c r="M294">
        <v>327</v>
      </c>
      <c r="N294">
        <v>29</v>
      </c>
      <c r="O294">
        <v>6</v>
      </c>
    </row>
    <row r="295" spans="1:16" x14ac:dyDescent="0.25">
      <c r="A295" s="4">
        <v>43549</v>
      </c>
      <c r="B295" t="s">
        <v>10</v>
      </c>
      <c r="C295" t="s">
        <v>78</v>
      </c>
      <c r="F295">
        <v>362</v>
      </c>
      <c r="J295">
        <v>0.81799999999999995</v>
      </c>
      <c r="K295">
        <v>30.2</v>
      </c>
      <c r="L295">
        <v>36.9</v>
      </c>
      <c r="M295">
        <v>240</v>
      </c>
      <c r="N295">
        <v>39</v>
      </c>
      <c r="O295">
        <v>10</v>
      </c>
      <c r="P295">
        <v>1</v>
      </c>
    </row>
    <row r="296" spans="1:16" x14ac:dyDescent="0.25">
      <c r="A296" s="4">
        <v>43549</v>
      </c>
      <c r="B296" t="s">
        <v>9</v>
      </c>
      <c r="C296" t="s">
        <v>78</v>
      </c>
      <c r="F296">
        <v>631</v>
      </c>
      <c r="J296">
        <v>0.95</v>
      </c>
      <c r="K296">
        <v>35.1</v>
      </c>
      <c r="L296">
        <v>36.9</v>
      </c>
      <c r="M296">
        <v>460</v>
      </c>
      <c r="N296">
        <v>48</v>
      </c>
      <c r="O296">
        <v>18</v>
      </c>
    </row>
    <row r="297" spans="1:16" x14ac:dyDescent="0.25">
      <c r="A297" s="4">
        <v>43550</v>
      </c>
      <c r="B297" t="s">
        <v>10</v>
      </c>
      <c r="C297">
        <v>1</v>
      </c>
      <c r="F297">
        <v>414</v>
      </c>
      <c r="J297">
        <v>0.92700000000000005</v>
      </c>
      <c r="K297">
        <v>34.5</v>
      </c>
      <c r="L297">
        <v>37.200000000000003</v>
      </c>
      <c r="M297">
        <v>267</v>
      </c>
      <c r="N297">
        <v>58</v>
      </c>
      <c r="O297">
        <v>7</v>
      </c>
      <c r="P297">
        <v>1</v>
      </c>
    </row>
    <row r="298" spans="1:16" x14ac:dyDescent="0.25">
      <c r="A298" s="4">
        <v>43550</v>
      </c>
      <c r="B298" t="s">
        <v>9</v>
      </c>
      <c r="C298">
        <v>1</v>
      </c>
      <c r="F298">
        <v>254</v>
      </c>
      <c r="J298">
        <v>0.82499999999999996</v>
      </c>
      <c r="K298">
        <v>31.8</v>
      </c>
      <c r="L298">
        <v>38.5</v>
      </c>
      <c r="M298">
        <v>164</v>
      </c>
      <c r="N298">
        <v>25</v>
      </c>
      <c r="O298">
        <v>5</v>
      </c>
      <c r="P298">
        <v>2</v>
      </c>
    </row>
    <row r="299" spans="1:16" x14ac:dyDescent="0.25">
      <c r="A299" s="4">
        <v>43550</v>
      </c>
      <c r="B299" t="s">
        <v>9</v>
      </c>
      <c r="C299">
        <v>2</v>
      </c>
      <c r="F299">
        <v>368</v>
      </c>
      <c r="J299">
        <v>1.018</v>
      </c>
      <c r="K299">
        <v>36.799999999999997</v>
      </c>
      <c r="L299">
        <v>36.200000000000003</v>
      </c>
      <c r="M299">
        <v>280</v>
      </c>
      <c r="N299">
        <v>29</v>
      </c>
      <c r="O299">
        <v>2</v>
      </c>
      <c r="P299">
        <v>2</v>
      </c>
    </row>
    <row r="300" spans="1:16" x14ac:dyDescent="0.25">
      <c r="A300" s="4">
        <v>43550</v>
      </c>
      <c r="B300" t="s">
        <v>10</v>
      </c>
      <c r="C300" t="s">
        <v>78</v>
      </c>
      <c r="F300">
        <v>414</v>
      </c>
      <c r="J300">
        <v>0.92700000000000005</v>
      </c>
      <c r="K300">
        <v>34.5</v>
      </c>
      <c r="L300">
        <v>37.200000000000003</v>
      </c>
      <c r="M300">
        <v>267</v>
      </c>
      <c r="N300">
        <v>58</v>
      </c>
      <c r="O300">
        <v>7</v>
      </c>
      <c r="P300">
        <v>1</v>
      </c>
    </row>
    <row r="301" spans="1:16" x14ac:dyDescent="0.25">
      <c r="A301" s="4">
        <v>43550</v>
      </c>
      <c r="B301" t="s">
        <v>9</v>
      </c>
      <c r="C301" t="s">
        <v>78</v>
      </c>
      <c r="F301">
        <v>622</v>
      </c>
      <c r="J301">
        <v>0.93200000000000005</v>
      </c>
      <c r="K301">
        <v>34.6</v>
      </c>
      <c r="L301">
        <v>37.1</v>
      </c>
      <c r="M301">
        <v>444</v>
      </c>
      <c r="N301">
        <v>54</v>
      </c>
      <c r="O301">
        <v>7</v>
      </c>
      <c r="P301">
        <v>4</v>
      </c>
    </row>
    <row r="302" spans="1:16" x14ac:dyDescent="0.25">
      <c r="A302" s="4">
        <v>43551</v>
      </c>
      <c r="B302" t="s">
        <v>10</v>
      </c>
      <c r="C302">
        <v>1</v>
      </c>
      <c r="F302">
        <v>308</v>
      </c>
      <c r="J302">
        <v>0.71299999999999997</v>
      </c>
      <c r="K302">
        <v>25.7</v>
      </c>
      <c r="L302">
        <v>36</v>
      </c>
      <c r="M302">
        <v>214</v>
      </c>
      <c r="N302">
        <v>29</v>
      </c>
      <c r="O302">
        <v>9</v>
      </c>
      <c r="P302">
        <v>1</v>
      </c>
    </row>
    <row r="303" spans="1:16" x14ac:dyDescent="0.25">
      <c r="A303" s="4">
        <v>43551</v>
      </c>
      <c r="B303" t="s">
        <v>9</v>
      </c>
      <c r="C303">
        <v>1</v>
      </c>
      <c r="F303">
        <v>202</v>
      </c>
      <c r="J303">
        <v>0.69299999999999995</v>
      </c>
      <c r="K303">
        <v>25.3</v>
      </c>
      <c r="L303">
        <v>36.5</v>
      </c>
      <c r="M303">
        <v>139</v>
      </c>
      <c r="N303">
        <v>17</v>
      </c>
      <c r="O303">
        <v>7</v>
      </c>
    </row>
    <row r="304" spans="1:16" x14ac:dyDescent="0.25">
      <c r="A304" s="4">
        <v>43551</v>
      </c>
      <c r="B304" t="s">
        <v>9</v>
      </c>
      <c r="C304">
        <v>2</v>
      </c>
      <c r="F304">
        <v>336</v>
      </c>
      <c r="J304">
        <v>0.92400000000000004</v>
      </c>
      <c r="K304">
        <v>33.6</v>
      </c>
      <c r="L304">
        <v>36.4</v>
      </c>
      <c r="M304">
        <v>257</v>
      </c>
      <c r="N304">
        <v>18</v>
      </c>
      <c r="O304">
        <v>10</v>
      </c>
      <c r="P304">
        <v>1</v>
      </c>
    </row>
    <row r="305" spans="1:16" x14ac:dyDescent="0.25">
      <c r="A305" s="4">
        <v>43551</v>
      </c>
      <c r="B305" t="s">
        <v>10</v>
      </c>
      <c r="C305" t="s">
        <v>78</v>
      </c>
      <c r="F305">
        <v>308</v>
      </c>
      <c r="J305">
        <v>0.71299999999999997</v>
      </c>
      <c r="K305">
        <v>25.7</v>
      </c>
      <c r="L305">
        <v>0.6</v>
      </c>
      <c r="M305">
        <v>214</v>
      </c>
      <c r="N305">
        <v>29</v>
      </c>
      <c r="O305">
        <v>9</v>
      </c>
      <c r="P305">
        <v>1</v>
      </c>
    </row>
    <row r="306" spans="1:16" x14ac:dyDescent="0.25">
      <c r="A306" s="4">
        <v>43551</v>
      </c>
      <c r="B306" t="s">
        <v>9</v>
      </c>
      <c r="C306" t="s">
        <v>78</v>
      </c>
      <c r="F306">
        <v>538</v>
      </c>
      <c r="J306">
        <v>0.82099999999999995</v>
      </c>
      <c r="K306">
        <v>28.9</v>
      </c>
      <c r="L306">
        <v>36.4</v>
      </c>
      <c r="M306">
        <v>396</v>
      </c>
      <c r="N306">
        <v>35</v>
      </c>
      <c r="O306">
        <v>17</v>
      </c>
      <c r="P306">
        <v>1</v>
      </c>
    </row>
    <row r="307" spans="1:16" x14ac:dyDescent="0.25">
      <c r="A307" s="4">
        <v>43552</v>
      </c>
      <c r="B307" t="s">
        <v>10</v>
      </c>
      <c r="C307">
        <v>1</v>
      </c>
      <c r="F307">
        <v>331</v>
      </c>
      <c r="J307">
        <v>0.77300000000000002</v>
      </c>
      <c r="K307">
        <v>27.6</v>
      </c>
      <c r="L307">
        <v>35.700000000000003</v>
      </c>
      <c r="M307">
        <v>231</v>
      </c>
      <c r="N307">
        <v>34</v>
      </c>
      <c r="O307">
        <v>9</v>
      </c>
    </row>
    <row r="308" spans="1:16" x14ac:dyDescent="0.25">
      <c r="A308" s="4">
        <v>43552</v>
      </c>
      <c r="B308" t="s">
        <v>9</v>
      </c>
      <c r="C308">
        <v>1</v>
      </c>
      <c r="F308">
        <v>266</v>
      </c>
      <c r="J308">
        <v>0.89700000000000002</v>
      </c>
      <c r="K308">
        <v>33.299999999999997</v>
      </c>
      <c r="L308">
        <v>37.1</v>
      </c>
      <c r="M308">
        <v>187</v>
      </c>
      <c r="N308">
        <v>20</v>
      </c>
      <c r="O308">
        <v>9</v>
      </c>
      <c r="P308">
        <v>1</v>
      </c>
    </row>
    <row r="309" spans="1:16" x14ac:dyDescent="0.25">
      <c r="A309" s="4">
        <v>43552</v>
      </c>
      <c r="B309" t="s">
        <v>9</v>
      </c>
      <c r="C309">
        <v>2</v>
      </c>
      <c r="F309">
        <v>357</v>
      </c>
      <c r="J309">
        <v>0.98399999999999999</v>
      </c>
      <c r="K309">
        <v>35.700000000000003</v>
      </c>
      <c r="L309">
        <v>36.299999999999997</v>
      </c>
      <c r="M309">
        <v>266</v>
      </c>
      <c r="N309">
        <v>24</v>
      </c>
      <c r="O309">
        <v>7</v>
      </c>
      <c r="P309">
        <v>1</v>
      </c>
    </row>
    <row r="310" spans="1:16" x14ac:dyDescent="0.25">
      <c r="A310" s="4">
        <v>43552</v>
      </c>
      <c r="B310" t="s">
        <v>10</v>
      </c>
      <c r="C310" t="s">
        <v>78</v>
      </c>
      <c r="F310">
        <v>331</v>
      </c>
      <c r="J310">
        <v>0.77300000000000002</v>
      </c>
      <c r="K310">
        <v>27.6</v>
      </c>
      <c r="L310">
        <v>35.700000000000003</v>
      </c>
      <c r="M310">
        <v>231</v>
      </c>
      <c r="N310">
        <v>34</v>
      </c>
      <c r="O310">
        <v>9</v>
      </c>
    </row>
    <row r="311" spans="1:16" x14ac:dyDescent="0.25">
      <c r="A311" s="4">
        <v>43552</v>
      </c>
      <c r="B311" t="s">
        <v>9</v>
      </c>
      <c r="C311" t="s">
        <v>78</v>
      </c>
      <c r="F311">
        <v>623</v>
      </c>
      <c r="J311">
        <v>0.94499999999999995</v>
      </c>
      <c r="K311">
        <v>34.6</v>
      </c>
      <c r="L311">
        <v>36.6</v>
      </c>
      <c r="M311">
        <v>453</v>
      </c>
      <c r="N311">
        <v>44</v>
      </c>
      <c r="O311">
        <v>16</v>
      </c>
      <c r="P311">
        <v>2</v>
      </c>
    </row>
    <row r="312" spans="1:16" x14ac:dyDescent="0.25">
      <c r="A312" s="4">
        <v>43553</v>
      </c>
      <c r="B312" t="s">
        <v>10</v>
      </c>
      <c r="C312">
        <v>1</v>
      </c>
      <c r="F312">
        <v>244</v>
      </c>
      <c r="J312">
        <v>0.91800000000000004</v>
      </c>
      <c r="K312">
        <v>30.5</v>
      </c>
      <c r="L312">
        <v>33.200000000000003</v>
      </c>
      <c r="M312">
        <v>181</v>
      </c>
      <c r="N312">
        <v>24</v>
      </c>
      <c r="O312">
        <v>5</v>
      </c>
    </row>
    <row r="313" spans="1:16" x14ac:dyDescent="0.25">
      <c r="A313" s="4">
        <v>43553</v>
      </c>
      <c r="B313" t="s">
        <v>9</v>
      </c>
      <c r="C313">
        <v>1</v>
      </c>
      <c r="F313">
        <v>273</v>
      </c>
      <c r="J313">
        <v>0.91100000000000003</v>
      </c>
      <c r="K313">
        <v>34.1</v>
      </c>
      <c r="L313">
        <v>37.5</v>
      </c>
      <c r="M313">
        <v>182</v>
      </c>
      <c r="N313">
        <v>31</v>
      </c>
      <c r="O313">
        <v>5</v>
      </c>
      <c r="P313">
        <v>1</v>
      </c>
    </row>
    <row r="314" spans="1:16" x14ac:dyDescent="0.25">
      <c r="A314" s="4">
        <v>43553</v>
      </c>
      <c r="B314" t="s">
        <v>9</v>
      </c>
      <c r="C314">
        <v>2</v>
      </c>
      <c r="F314">
        <v>285</v>
      </c>
      <c r="J314">
        <v>1.0109999999999999</v>
      </c>
      <c r="K314">
        <v>35.6</v>
      </c>
      <c r="L314">
        <v>35.200000000000003</v>
      </c>
      <c r="M314">
        <v>232</v>
      </c>
      <c r="N314">
        <v>20</v>
      </c>
      <c r="O314">
        <v>3</v>
      </c>
    </row>
    <row r="315" spans="1:16" x14ac:dyDescent="0.25">
      <c r="A315" s="4">
        <v>43553</v>
      </c>
      <c r="B315" t="s">
        <v>10</v>
      </c>
      <c r="C315" t="s">
        <v>78</v>
      </c>
      <c r="F315">
        <v>244</v>
      </c>
      <c r="J315">
        <v>0.91800000000000004</v>
      </c>
      <c r="K315">
        <v>30.5</v>
      </c>
      <c r="L315">
        <v>33.200000000000003</v>
      </c>
      <c r="M315">
        <v>181</v>
      </c>
      <c r="N315">
        <v>24</v>
      </c>
      <c r="O315">
        <v>5</v>
      </c>
    </row>
    <row r="316" spans="1:16" x14ac:dyDescent="0.25">
      <c r="A316" s="4">
        <v>43553</v>
      </c>
      <c r="B316" t="s">
        <v>9</v>
      </c>
      <c r="C316" t="s">
        <v>78</v>
      </c>
      <c r="F316">
        <v>558</v>
      </c>
      <c r="J316">
        <v>0.96099999999999997</v>
      </c>
      <c r="K316">
        <v>34.9</v>
      </c>
      <c r="L316">
        <v>36.299999999999997</v>
      </c>
      <c r="M316">
        <v>414</v>
      </c>
      <c r="N316">
        <v>51</v>
      </c>
      <c r="O316">
        <v>8</v>
      </c>
      <c r="P316">
        <v>1</v>
      </c>
    </row>
    <row r="317" spans="1:16" x14ac:dyDescent="0.25">
      <c r="A317" s="4">
        <v>43556</v>
      </c>
      <c r="B317" t="s">
        <v>10</v>
      </c>
      <c r="C317">
        <v>1</v>
      </c>
      <c r="F317">
        <v>258</v>
      </c>
      <c r="J317">
        <v>0.90200000000000002</v>
      </c>
      <c r="K317">
        <v>32.299999999999997</v>
      </c>
      <c r="L317">
        <v>35.700000000000003</v>
      </c>
      <c r="M317">
        <v>160</v>
      </c>
      <c r="N317">
        <v>32</v>
      </c>
      <c r="O317">
        <v>8</v>
      </c>
      <c r="P317">
        <v>1</v>
      </c>
    </row>
    <row r="318" spans="1:16" x14ac:dyDescent="0.25">
      <c r="A318" s="4">
        <v>43556</v>
      </c>
      <c r="B318" t="s">
        <v>9</v>
      </c>
      <c r="C318">
        <v>1</v>
      </c>
      <c r="F318">
        <v>251</v>
      </c>
      <c r="J318">
        <v>0.78900000000000003</v>
      </c>
      <c r="K318">
        <v>31.4</v>
      </c>
      <c r="L318">
        <v>39.799999999999997</v>
      </c>
      <c r="M318">
        <v>149</v>
      </c>
      <c r="N318">
        <v>29</v>
      </c>
      <c r="O318">
        <v>11</v>
      </c>
      <c r="P318">
        <v>1</v>
      </c>
    </row>
    <row r="319" spans="1:16" x14ac:dyDescent="0.25">
      <c r="A319" s="4">
        <v>43556</v>
      </c>
      <c r="B319" t="s">
        <v>9</v>
      </c>
      <c r="C319">
        <v>2</v>
      </c>
      <c r="F319">
        <v>281</v>
      </c>
      <c r="J319">
        <v>0.97199999999999998</v>
      </c>
      <c r="K319">
        <v>35.1</v>
      </c>
      <c r="L319">
        <v>36.1</v>
      </c>
      <c r="M319">
        <v>223</v>
      </c>
      <c r="N319">
        <v>14</v>
      </c>
      <c r="O319">
        <v>5</v>
      </c>
      <c r="P319">
        <v>1</v>
      </c>
    </row>
    <row r="320" spans="1:16" x14ac:dyDescent="0.25">
      <c r="A320" s="4">
        <v>43556</v>
      </c>
      <c r="B320" t="s">
        <v>10</v>
      </c>
      <c r="C320" t="s">
        <v>78</v>
      </c>
      <c r="F320">
        <v>258</v>
      </c>
      <c r="J320">
        <v>0.90200000000000002</v>
      </c>
      <c r="K320">
        <v>32.299999999999997</v>
      </c>
      <c r="L320">
        <v>35.700000000000003</v>
      </c>
      <c r="M320">
        <v>160</v>
      </c>
      <c r="N320">
        <v>32</v>
      </c>
      <c r="O320">
        <v>8</v>
      </c>
      <c r="P320">
        <v>1</v>
      </c>
    </row>
    <row r="321" spans="1:16" x14ac:dyDescent="0.25">
      <c r="A321" s="4">
        <v>43556</v>
      </c>
      <c r="B321" t="s">
        <v>9</v>
      </c>
      <c r="C321" t="s">
        <v>78</v>
      </c>
      <c r="F321">
        <v>532</v>
      </c>
      <c r="J321">
        <v>0.88</v>
      </c>
      <c r="K321">
        <v>33.299999999999997</v>
      </c>
      <c r="L321">
        <v>37.799999999999997</v>
      </c>
      <c r="M321">
        <v>372</v>
      </c>
      <c r="N321">
        <v>43</v>
      </c>
      <c r="O321">
        <v>16</v>
      </c>
      <c r="P321">
        <v>2</v>
      </c>
    </row>
    <row r="322" spans="1:16" x14ac:dyDescent="0.25">
      <c r="A322" s="4">
        <v>43557</v>
      </c>
      <c r="B322" t="s">
        <v>10</v>
      </c>
      <c r="C322">
        <v>1</v>
      </c>
      <c r="F322">
        <v>396</v>
      </c>
      <c r="J322">
        <v>0.97199999999999998</v>
      </c>
      <c r="K322">
        <v>33</v>
      </c>
      <c r="L322">
        <v>34</v>
      </c>
      <c r="M322">
        <v>311</v>
      </c>
      <c r="N322">
        <v>24</v>
      </c>
      <c r="O322">
        <v>9</v>
      </c>
      <c r="P322">
        <v>1</v>
      </c>
    </row>
    <row r="323" spans="1:16" x14ac:dyDescent="0.25">
      <c r="A323" s="4">
        <v>43557</v>
      </c>
      <c r="B323" t="s">
        <v>9</v>
      </c>
      <c r="C323">
        <v>1</v>
      </c>
      <c r="F323">
        <v>234</v>
      </c>
      <c r="J323">
        <v>0.75</v>
      </c>
      <c r="K323">
        <v>29.3</v>
      </c>
      <c r="L323">
        <v>39</v>
      </c>
      <c r="M323">
        <v>145</v>
      </c>
      <c r="N323">
        <v>30</v>
      </c>
      <c r="O323">
        <v>5</v>
      </c>
      <c r="P323">
        <v>1</v>
      </c>
    </row>
    <row r="324" spans="1:16" x14ac:dyDescent="0.25">
      <c r="A324" s="4">
        <v>43557</v>
      </c>
      <c r="B324" t="s">
        <v>9</v>
      </c>
      <c r="C324">
        <v>2</v>
      </c>
      <c r="F324">
        <v>379</v>
      </c>
      <c r="J324">
        <v>1.034</v>
      </c>
      <c r="K324">
        <v>37.9</v>
      </c>
      <c r="L324">
        <v>36.700000000000003</v>
      </c>
      <c r="M324">
        <v>281</v>
      </c>
      <c r="N324">
        <v>34</v>
      </c>
      <c r="O324">
        <v>6</v>
      </c>
      <c r="P324">
        <v>1</v>
      </c>
    </row>
    <row r="325" spans="1:16" x14ac:dyDescent="0.25">
      <c r="A325" s="4">
        <v>43557</v>
      </c>
      <c r="B325" t="s">
        <v>10</v>
      </c>
      <c r="C325" t="s">
        <v>78</v>
      </c>
      <c r="F325">
        <v>396</v>
      </c>
      <c r="J325">
        <v>0.97199999999999998</v>
      </c>
      <c r="K325">
        <v>33</v>
      </c>
      <c r="L325">
        <v>34</v>
      </c>
      <c r="M325">
        <v>311</v>
      </c>
      <c r="N325">
        <v>24</v>
      </c>
      <c r="O325">
        <v>9</v>
      </c>
      <c r="P325">
        <v>1</v>
      </c>
    </row>
    <row r="326" spans="1:16" x14ac:dyDescent="0.25">
      <c r="A326" s="4">
        <v>43557</v>
      </c>
      <c r="B326" t="s">
        <v>9</v>
      </c>
      <c r="C326" t="s">
        <v>78</v>
      </c>
      <c r="F326">
        <v>613</v>
      </c>
      <c r="J326">
        <v>0.90800000000000003</v>
      </c>
      <c r="K326">
        <v>34.1</v>
      </c>
      <c r="L326">
        <v>37.5</v>
      </c>
      <c r="M326">
        <v>426</v>
      </c>
      <c r="N326">
        <v>64</v>
      </c>
      <c r="O326">
        <v>11</v>
      </c>
      <c r="P326">
        <v>2</v>
      </c>
    </row>
    <row r="327" spans="1:16" x14ac:dyDescent="0.25">
      <c r="A327" s="4">
        <v>43558</v>
      </c>
      <c r="B327" t="s">
        <v>10</v>
      </c>
      <c r="C327">
        <v>1</v>
      </c>
      <c r="F327">
        <v>401</v>
      </c>
      <c r="J327">
        <v>0.89800000000000002</v>
      </c>
      <c r="K327">
        <v>33.4</v>
      </c>
      <c r="L327">
        <v>37.200000000000003</v>
      </c>
      <c r="M327">
        <v>256</v>
      </c>
      <c r="N327">
        <v>52</v>
      </c>
      <c r="O327">
        <v>10</v>
      </c>
      <c r="P327">
        <v>1</v>
      </c>
    </row>
    <row r="328" spans="1:16" x14ac:dyDescent="0.25">
      <c r="A328" s="4">
        <v>43558</v>
      </c>
      <c r="B328" t="s">
        <v>9</v>
      </c>
      <c r="C328">
        <v>1</v>
      </c>
      <c r="F328">
        <v>238</v>
      </c>
      <c r="J328">
        <v>0.75800000000000001</v>
      </c>
      <c r="K328">
        <v>29.8</v>
      </c>
      <c r="L328">
        <v>39.200000000000003</v>
      </c>
      <c r="M328">
        <v>143</v>
      </c>
      <c r="N328">
        <v>26</v>
      </c>
      <c r="O328">
        <v>9</v>
      </c>
      <c r="P328">
        <v>1</v>
      </c>
    </row>
    <row r="329" spans="1:16" x14ac:dyDescent="0.25">
      <c r="A329" s="4">
        <v>43558</v>
      </c>
      <c r="B329" t="s">
        <v>9</v>
      </c>
      <c r="C329">
        <v>2</v>
      </c>
      <c r="F329">
        <v>393</v>
      </c>
      <c r="J329">
        <v>1.093</v>
      </c>
      <c r="K329">
        <v>39.299999999999997</v>
      </c>
      <c r="L329">
        <v>36</v>
      </c>
      <c r="M329">
        <v>307</v>
      </c>
      <c r="N329">
        <v>28</v>
      </c>
      <c r="O329">
        <v>5</v>
      </c>
    </row>
    <row r="330" spans="1:16" x14ac:dyDescent="0.25">
      <c r="A330" s="4">
        <v>43558</v>
      </c>
      <c r="B330" t="s">
        <v>10</v>
      </c>
      <c r="C330" t="s">
        <v>78</v>
      </c>
      <c r="F330">
        <v>401</v>
      </c>
      <c r="J330">
        <v>0.89800000000000002</v>
      </c>
      <c r="K330">
        <v>33.4</v>
      </c>
      <c r="L330">
        <v>37.200000000000003</v>
      </c>
      <c r="M330">
        <v>256</v>
      </c>
      <c r="N330">
        <v>52</v>
      </c>
      <c r="O330">
        <v>10</v>
      </c>
      <c r="P330">
        <v>1</v>
      </c>
    </row>
    <row r="331" spans="1:16" x14ac:dyDescent="0.25">
      <c r="A331" s="4">
        <v>43558</v>
      </c>
      <c r="B331" t="s">
        <v>9</v>
      </c>
      <c r="C331" t="s">
        <v>78</v>
      </c>
      <c r="F331">
        <v>631</v>
      </c>
      <c r="J331">
        <v>0.94399999999999995</v>
      </c>
      <c r="K331">
        <v>35.1</v>
      </c>
      <c r="L331">
        <v>37.1</v>
      </c>
      <c r="M331">
        <v>450</v>
      </c>
      <c r="N331">
        <v>54</v>
      </c>
      <c r="O331">
        <v>14</v>
      </c>
      <c r="P331">
        <v>1</v>
      </c>
    </row>
    <row r="332" spans="1:16" x14ac:dyDescent="0.25">
      <c r="A332" s="4">
        <v>43559</v>
      </c>
      <c r="B332" t="s">
        <v>10</v>
      </c>
      <c r="C332">
        <v>1</v>
      </c>
      <c r="F332">
        <v>455</v>
      </c>
      <c r="J332">
        <v>0.98699999999999999</v>
      </c>
      <c r="K332">
        <v>37.9</v>
      </c>
      <c r="L332">
        <v>38.4</v>
      </c>
      <c r="M332">
        <v>245</v>
      </c>
      <c r="N332">
        <v>43</v>
      </c>
      <c r="O332">
        <v>31</v>
      </c>
      <c r="P332">
        <v>3</v>
      </c>
    </row>
    <row r="333" spans="1:16" x14ac:dyDescent="0.25">
      <c r="A333" s="4">
        <v>43559</v>
      </c>
      <c r="B333" t="s">
        <v>9</v>
      </c>
      <c r="C333">
        <v>1</v>
      </c>
      <c r="F333">
        <v>254</v>
      </c>
      <c r="J333">
        <v>0.876</v>
      </c>
      <c r="K333">
        <v>31.8</v>
      </c>
      <c r="L333">
        <v>36.200000000000003</v>
      </c>
      <c r="M333">
        <v>182</v>
      </c>
      <c r="N333">
        <v>22</v>
      </c>
      <c r="O333">
        <v>7</v>
      </c>
    </row>
    <row r="334" spans="1:16" x14ac:dyDescent="0.25">
      <c r="A334" s="4">
        <v>43559</v>
      </c>
      <c r="B334" t="s">
        <v>9</v>
      </c>
      <c r="C334">
        <v>2</v>
      </c>
      <c r="F334">
        <v>310</v>
      </c>
      <c r="J334">
        <v>1.05</v>
      </c>
      <c r="K334">
        <v>38.799999999999997</v>
      </c>
      <c r="L334">
        <v>36.9</v>
      </c>
      <c r="M334">
        <v>227</v>
      </c>
      <c r="N334">
        <v>22</v>
      </c>
      <c r="O334">
        <v>9</v>
      </c>
      <c r="P334">
        <v>1</v>
      </c>
    </row>
    <row r="335" spans="1:16" x14ac:dyDescent="0.25">
      <c r="A335" s="4">
        <v>43559</v>
      </c>
      <c r="B335" t="s">
        <v>10</v>
      </c>
      <c r="C335" t="s">
        <v>78</v>
      </c>
      <c r="F335">
        <v>455</v>
      </c>
      <c r="J335">
        <v>0.98699999999999999</v>
      </c>
      <c r="K335">
        <v>37.9</v>
      </c>
      <c r="L335">
        <v>38.4</v>
      </c>
      <c r="M335">
        <v>245</v>
      </c>
      <c r="N335">
        <v>43</v>
      </c>
      <c r="O335">
        <v>31</v>
      </c>
      <c r="P335">
        <v>3</v>
      </c>
    </row>
    <row r="336" spans="1:16" x14ac:dyDescent="0.25">
      <c r="A336" s="4">
        <v>43559</v>
      </c>
      <c r="B336" t="s">
        <v>9</v>
      </c>
      <c r="C336" t="s">
        <v>78</v>
      </c>
      <c r="F336">
        <v>564</v>
      </c>
      <c r="J336">
        <v>0.96299999999999997</v>
      </c>
      <c r="K336">
        <v>35.299999999999997</v>
      </c>
      <c r="L336">
        <v>409</v>
      </c>
      <c r="M336">
        <v>44</v>
      </c>
      <c r="N336">
        <v>16</v>
      </c>
      <c r="O336">
        <v>1</v>
      </c>
    </row>
    <row r="337" spans="1:16" x14ac:dyDescent="0.25">
      <c r="A337" s="4">
        <v>43560</v>
      </c>
      <c r="B337" t="s">
        <v>10</v>
      </c>
      <c r="C337">
        <v>1</v>
      </c>
      <c r="F337">
        <v>235</v>
      </c>
      <c r="J337">
        <v>0.84599999999999997</v>
      </c>
      <c r="K337">
        <v>29.4</v>
      </c>
      <c r="L337">
        <v>34.700000000000003</v>
      </c>
      <c r="M337">
        <v>162</v>
      </c>
      <c r="N337">
        <v>17</v>
      </c>
      <c r="O337">
        <v>6</v>
      </c>
      <c r="P337">
        <v>2</v>
      </c>
    </row>
    <row r="338" spans="1:16" x14ac:dyDescent="0.25">
      <c r="A338" s="4">
        <v>43560</v>
      </c>
      <c r="B338" t="s">
        <v>9</v>
      </c>
      <c r="C338">
        <v>1</v>
      </c>
      <c r="F338">
        <v>255</v>
      </c>
      <c r="J338">
        <v>0.80500000000000005</v>
      </c>
      <c r="K338">
        <v>31.9</v>
      </c>
      <c r="L338">
        <v>39.6</v>
      </c>
      <c r="M338">
        <v>148</v>
      </c>
      <c r="N338">
        <v>35</v>
      </c>
      <c r="O338">
        <v>6</v>
      </c>
      <c r="P338">
        <v>1</v>
      </c>
    </row>
    <row r="339" spans="1:16" x14ac:dyDescent="0.25">
      <c r="A339" s="4">
        <v>43560</v>
      </c>
      <c r="B339" t="s">
        <v>9</v>
      </c>
      <c r="C339">
        <v>2</v>
      </c>
      <c r="F339">
        <v>236</v>
      </c>
      <c r="J339">
        <v>0.80500000000000005</v>
      </c>
      <c r="K339">
        <v>29.5</v>
      </c>
      <c r="L339">
        <v>36.6</v>
      </c>
      <c r="M339">
        <v>182</v>
      </c>
      <c r="N339">
        <v>10</v>
      </c>
      <c r="O339">
        <v>9</v>
      </c>
    </row>
    <row r="340" spans="1:16" x14ac:dyDescent="0.25">
      <c r="A340" s="4">
        <v>43560</v>
      </c>
      <c r="B340" t="s">
        <v>10</v>
      </c>
      <c r="C340" t="s">
        <v>78</v>
      </c>
      <c r="F340">
        <v>235</v>
      </c>
      <c r="J340">
        <v>0.84599999999999997</v>
      </c>
      <c r="K340">
        <v>29.4</v>
      </c>
      <c r="L340">
        <v>34.700000000000003</v>
      </c>
      <c r="M340">
        <v>162</v>
      </c>
      <c r="N340">
        <v>17</v>
      </c>
      <c r="O340">
        <v>6</v>
      </c>
      <c r="P340">
        <v>2</v>
      </c>
    </row>
    <row r="341" spans="1:16" x14ac:dyDescent="0.25">
      <c r="A341" s="4">
        <v>43560</v>
      </c>
      <c r="B341" t="s">
        <v>9</v>
      </c>
      <c r="C341" t="s">
        <v>78</v>
      </c>
      <c r="F341">
        <v>491</v>
      </c>
      <c r="J341">
        <v>0.80500000000000005</v>
      </c>
      <c r="K341">
        <v>30.7</v>
      </c>
      <c r="L341">
        <v>38.1</v>
      </c>
      <c r="M341">
        <v>330</v>
      </c>
      <c r="N341">
        <v>45</v>
      </c>
      <c r="O341">
        <v>15</v>
      </c>
      <c r="P341">
        <v>1</v>
      </c>
    </row>
    <row r="342" spans="1:16" x14ac:dyDescent="0.25">
      <c r="A342" s="4">
        <v>43563</v>
      </c>
      <c r="B342" t="s">
        <v>10</v>
      </c>
      <c r="C342">
        <v>1</v>
      </c>
      <c r="F342">
        <v>271</v>
      </c>
      <c r="J342">
        <v>0.89200000000000002</v>
      </c>
      <c r="K342">
        <v>33.9</v>
      </c>
      <c r="L342">
        <v>38</v>
      </c>
      <c r="M342">
        <v>131</v>
      </c>
      <c r="N342">
        <v>35</v>
      </c>
      <c r="O342">
        <v>15</v>
      </c>
      <c r="P342">
        <v>2</v>
      </c>
    </row>
    <row r="343" spans="1:16" x14ac:dyDescent="0.25">
      <c r="A343" s="4">
        <v>43563</v>
      </c>
      <c r="B343" t="s">
        <v>9</v>
      </c>
      <c r="C343">
        <v>2</v>
      </c>
      <c r="F343">
        <v>398</v>
      </c>
      <c r="J343">
        <v>0.86799999999999999</v>
      </c>
      <c r="K343">
        <v>33.200000000000003</v>
      </c>
      <c r="L343">
        <v>38.200000000000003</v>
      </c>
      <c r="M343">
        <v>258</v>
      </c>
      <c r="N343">
        <v>49</v>
      </c>
      <c r="O343">
        <v>9</v>
      </c>
    </row>
    <row r="344" spans="1:16" x14ac:dyDescent="0.25">
      <c r="A344" s="4">
        <v>43563</v>
      </c>
      <c r="B344" t="s">
        <v>10</v>
      </c>
      <c r="C344" t="s">
        <v>78</v>
      </c>
      <c r="F344">
        <v>272</v>
      </c>
      <c r="J344">
        <v>0.89400000000000002</v>
      </c>
      <c r="K344">
        <v>34</v>
      </c>
      <c r="L344">
        <v>38.1</v>
      </c>
      <c r="M344">
        <v>131</v>
      </c>
      <c r="N344">
        <v>35</v>
      </c>
      <c r="O344">
        <v>15</v>
      </c>
      <c r="P344">
        <v>2</v>
      </c>
    </row>
    <row r="345" spans="1:16" x14ac:dyDescent="0.25">
      <c r="A345" s="4">
        <v>43563</v>
      </c>
      <c r="B345" t="s">
        <v>9</v>
      </c>
      <c r="C345" t="s">
        <v>78</v>
      </c>
      <c r="F345">
        <v>398</v>
      </c>
      <c r="J345">
        <v>0.86799999999999999</v>
      </c>
      <c r="K345">
        <v>33.200000000000003</v>
      </c>
      <c r="L345">
        <v>38.4</v>
      </c>
      <c r="M345">
        <v>258</v>
      </c>
      <c r="N345">
        <v>49</v>
      </c>
      <c r="O345">
        <v>9</v>
      </c>
    </row>
    <row r="346" spans="1:16" x14ac:dyDescent="0.25">
      <c r="A346" s="4">
        <v>43564</v>
      </c>
      <c r="B346" t="s">
        <v>10</v>
      </c>
      <c r="C346">
        <v>1</v>
      </c>
      <c r="F346">
        <v>206</v>
      </c>
      <c r="J346">
        <v>0.76200000000000001</v>
      </c>
      <c r="K346">
        <v>25.8</v>
      </c>
      <c r="L346">
        <v>33.799999999999997</v>
      </c>
      <c r="M346">
        <v>147</v>
      </c>
      <c r="N346">
        <v>21</v>
      </c>
      <c r="O346">
        <v>5</v>
      </c>
    </row>
    <row r="347" spans="1:16" x14ac:dyDescent="0.25">
      <c r="A347" s="4">
        <v>43564</v>
      </c>
      <c r="B347" t="s">
        <v>9</v>
      </c>
      <c r="C347">
        <v>1</v>
      </c>
      <c r="F347">
        <v>252</v>
      </c>
      <c r="J347">
        <v>0.81899999999999995</v>
      </c>
      <c r="K347">
        <v>31.5</v>
      </c>
      <c r="L347">
        <v>38.5</v>
      </c>
      <c r="M347">
        <v>169</v>
      </c>
      <c r="N347">
        <v>21</v>
      </c>
      <c r="O347">
        <v>9</v>
      </c>
      <c r="P347">
        <v>1</v>
      </c>
    </row>
    <row r="348" spans="1:16" x14ac:dyDescent="0.25">
      <c r="A348" s="4">
        <v>43564</v>
      </c>
      <c r="B348" t="s">
        <v>9</v>
      </c>
      <c r="C348">
        <v>2</v>
      </c>
      <c r="F348">
        <v>337</v>
      </c>
      <c r="J348">
        <v>0.89700000000000002</v>
      </c>
      <c r="K348">
        <v>33.700000000000003</v>
      </c>
      <c r="L348">
        <v>37.6</v>
      </c>
      <c r="M348">
        <v>225</v>
      </c>
      <c r="N348">
        <v>38</v>
      </c>
      <c r="O348">
        <v>4</v>
      </c>
      <c r="P348">
        <v>2</v>
      </c>
    </row>
    <row r="349" spans="1:16" x14ac:dyDescent="0.25">
      <c r="A349" s="4">
        <v>43564</v>
      </c>
      <c r="B349" t="s">
        <v>10</v>
      </c>
      <c r="C349" t="s">
        <v>78</v>
      </c>
      <c r="F349">
        <v>206</v>
      </c>
      <c r="J349">
        <v>0.76200000000000001</v>
      </c>
      <c r="K349">
        <v>25.8</v>
      </c>
      <c r="L349">
        <v>33.799999999999997</v>
      </c>
      <c r="M349">
        <v>147</v>
      </c>
      <c r="N349">
        <v>21</v>
      </c>
      <c r="O349">
        <v>5</v>
      </c>
    </row>
    <row r="350" spans="1:16" x14ac:dyDescent="0.25">
      <c r="A350" s="4">
        <v>43564</v>
      </c>
      <c r="B350" t="s">
        <v>9</v>
      </c>
      <c r="C350" t="s">
        <v>78</v>
      </c>
      <c r="F350">
        <v>589</v>
      </c>
      <c r="J350">
        <v>0.86299999999999999</v>
      </c>
      <c r="K350">
        <v>32.700000000000003</v>
      </c>
      <c r="L350">
        <v>37.9</v>
      </c>
      <c r="M350">
        <v>394</v>
      </c>
      <c r="N350">
        <v>59</v>
      </c>
      <c r="O350">
        <v>13</v>
      </c>
      <c r="P350">
        <v>3</v>
      </c>
    </row>
    <row r="351" spans="1:16" x14ac:dyDescent="0.25">
      <c r="A351" s="4">
        <v>43565</v>
      </c>
      <c r="B351" t="s">
        <v>10</v>
      </c>
      <c r="C351">
        <v>1</v>
      </c>
      <c r="F351">
        <v>322</v>
      </c>
      <c r="J351">
        <v>0.79700000000000004</v>
      </c>
      <c r="K351">
        <v>26.8</v>
      </c>
      <c r="L351">
        <v>33.700000000000003</v>
      </c>
      <c r="M351">
        <v>236</v>
      </c>
      <c r="N351">
        <v>28</v>
      </c>
      <c r="O351">
        <v>6</v>
      </c>
      <c r="P351">
        <v>1</v>
      </c>
    </row>
    <row r="352" spans="1:16" x14ac:dyDescent="0.25">
      <c r="A352" s="4">
        <v>43565</v>
      </c>
      <c r="B352" t="s">
        <v>9</v>
      </c>
      <c r="C352">
        <v>1</v>
      </c>
      <c r="F352">
        <v>233</v>
      </c>
      <c r="J352">
        <v>0.75600000000000001</v>
      </c>
      <c r="K352">
        <v>29.1</v>
      </c>
      <c r="L352">
        <v>38.5</v>
      </c>
      <c r="M352">
        <v>158</v>
      </c>
      <c r="N352">
        <v>18</v>
      </c>
      <c r="O352">
        <v>9</v>
      </c>
    </row>
    <row r="353" spans="1:16" x14ac:dyDescent="0.25">
      <c r="A353" s="4">
        <v>43565</v>
      </c>
      <c r="B353" t="s">
        <v>9</v>
      </c>
      <c r="C353">
        <v>2</v>
      </c>
      <c r="F353">
        <v>309</v>
      </c>
      <c r="J353">
        <v>1.0189999999999999</v>
      </c>
      <c r="K353">
        <v>38.6</v>
      </c>
      <c r="L353">
        <v>37.9</v>
      </c>
      <c r="M353">
        <v>190</v>
      </c>
      <c r="N353">
        <v>37</v>
      </c>
      <c r="O353">
        <v>8</v>
      </c>
      <c r="P353">
        <v>1</v>
      </c>
    </row>
    <row r="354" spans="1:16" x14ac:dyDescent="0.25">
      <c r="A354" s="4">
        <v>43565</v>
      </c>
      <c r="B354" t="s">
        <v>10</v>
      </c>
      <c r="C354" t="s">
        <v>78</v>
      </c>
      <c r="F354">
        <v>322</v>
      </c>
      <c r="J354">
        <v>0.79700000000000004</v>
      </c>
      <c r="K354">
        <v>26.8</v>
      </c>
      <c r="L354">
        <v>33.700000000000003</v>
      </c>
      <c r="M354">
        <v>236</v>
      </c>
      <c r="N354">
        <v>28</v>
      </c>
      <c r="O354">
        <v>6</v>
      </c>
      <c r="P354">
        <v>1</v>
      </c>
    </row>
    <row r="355" spans="1:16" x14ac:dyDescent="0.25">
      <c r="A355" s="4">
        <v>43565</v>
      </c>
      <c r="B355" t="s">
        <v>9</v>
      </c>
      <c r="C355" t="s">
        <v>78</v>
      </c>
      <c r="F355">
        <v>542</v>
      </c>
      <c r="J355">
        <v>0.88800000000000001</v>
      </c>
      <c r="K355">
        <v>33.9</v>
      </c>
      <c r="L355">
        <v>38.200000000000003</v>
      </c>
      <c r="M355">
        <v>348</v>
      </c>
      <c r="N355">
        <v>55</v>
      </c>
      <c r="O355">
        <v>17</v>
      </c>
      <c r="P355">
        <v>1</v>
      </c>
    </row>
    <row r="356" spans="1:16" x14ac:dyDescent="0.25">
      <c r="A356" s="4">
        <v>43566</v>
      </c>
      <c r="B356" t="s">
        <v>10</v>
      </c>
      <c r="C356">
        <v>1</v>
      </c>
      <c r="F356">
        <v>244</v>
      </c>
      <c r="J356">
        <v>0.9</v>
      </c>
      <c r="K356">
        <v>30.5</v>
      </c>
      <c r="L356">
        <v>3.9</v>
      </c>
      <c r="M356">
        <v>176</v>
      </c>
      <c r="N356">
        <v>24</v>
      </c>
      <c r="O356">
        <v>6</v>
      </c>
    </row>
    <row r="357" spans="1:16" x14ac:dyDescent="0.25">
      <c r="A357" s="4">
        <v>43566</v>
      </c>
      <c r="B357" t="s">
        <v>9</v>
      </c>
      <c r="C357">
        <v>1</v>
      </c>
      <c r="F357">
        <v>225</v>
      </c>
      <c r="J357">
        <v>0.79300000000000004</v>
      </c>
      <c r="K357">
        <v>28.1</v>
      </c>
      <c r="L357">
        <v>35.5</v>
      </c>
      <c r="M357">
        <v>172</v>
      </c>
      <c r="N357">
        <v>14</v>
      </c>
      <c r="O357">
        <v>5</v>
      </c>
    </row>
    <row r="358" spans="1:16" x14ac:dyDescent="0.25">
      <c r="A358" s="4">
        <v>43566</v>
      </c>
      <c r="B358" t="s">
        <v>9</v>
      </c>
      <c r="C358">
        <v>2</v>
      </c>
      <c r="F358">
        <v>269</v>
      </c>
      <c r="J358">
        <v>0.88700000000000001</v>
      </c>
      <c r="K358">
        <v>33.6</v>
      </c>
      <c r="L358">
        <v>37.9</v>
      </c>
      <c r="M358">
        <v>167</v>
      </c>
      <c r="N358">
        <v>22</v>
      </c>
      <c r="O358">
        <v>13</v>
      </c>
      <c r="P358">
        <v>1</v>
      </c>
    </row>
    <row r="359" spans="1:16" x14ac:dyDescent="0.25">
      <c r="A359" s="4">
        <v>43566</v>
      </c>
      <c r="B359" t="s">
        <v>10</v>
      </c>
      <c r="C359" t="s">
        <v>78</v>
      </c>
      <c r="F359">
        <v>244</v>
      </c>
      <c r="J359">
        <v>0.9</v>
      </c>
      <c r="K359">
        <v>30.5</v>
      </c>
      <c r="L359">
        <v>33.9</v>
      </c>
      <c r="M359">
        <v>176</v>
      </c>
      <c r="N359">
        <v>24</v>
      </c>
      <c r="O359">
        <v>6</v>
      </c>
    </row>
    <row r="360" spans="1:16" x14ac:dyDescent="0.25">
      <c r="A360" s="4">
        <v>43566</v>
      </c>
      <c r="B360" t="s">
        <v>9</v>
      </c>
      <c r="C360" t="s">
        <v>78</v>
      </c>
      <c r="F360">
        <v>494</v>
      </c>
      <c r="J360">
        <v>0.84</v>
      </c>
      <c r="K360">
        <v>30.9</v>
      </c>
      <c r="L360">
        <v>36.799999999999997</v>
      </c>
      <c r="M360">
        <v>339</v>
      </c>
      <c r="N360">
        <v>36</v>
      </c>
      <c r="O360">
        <v>18</v>
      </c>
      <c r="P360">
        <v>1</v>
      </c>
    </row>
    <row r="361" spans="1:16" x14ac:dyDescent="0.25">
      <c r="A361" s="4">
        <v>43567</v>
      </c>
      <c r="B361" t="s">
        <v>10</v>
      </c>
      <c r="C361">
        <v>1</v>
      </c>
      <c r="F361">
        <v>203</v>
      </c>
      <c r="J361">
        <v>0.73599999999999999</v>
      </c>
      <c r="K361">
        <v>25.4</v>
      </c>
      <c r="L361">
        <v>34.5</v>
      </c>
      <c r="M361">
        <v>135</v>
      </c>
      <c r="N361">
        <v>23</v>
      </c>
      <c r="O361">
        <v>6</v>
      </c>
    </row>
    <row r="362" spans="1:16" x14ac:dyDescent="0.25">
      <c r="A362" s="4">
        <v>43567</v>
      </c>
      <c r="B362" t="s">
        <v>9</v>
      </c>
      <c r="C362">
        <v>1</v>
      </c>
      <c r="F362">
        <v>220</v>
      </c>
      <c r="J362">
        <v>0.71599999999999997</v>
      </c>
      <c r="K362">
        <v>27.5</v>
      </c>
      <c r="L362">
        <v>38.4</v>
      </c>
      <c r="M362">
        <v>147</v>
      </c>
      <c r="N362">
        <v>14</v>
      </c>
      <c r="O362">
        <v>4</v>
      </c>
      <c r="P362">
        <v>3</v>
      </c>
    </row>
    <row r="363" spans="1:16" x14ac:dyDescent="0.25">
      <c r="A363" s="4">
        <v>43567</v>
      </c>
      <c r="B363" t="s">
        <v>9</v>
      </c>
      <c r="C363">
        <v>2</v>
      </c>
      <c r="F363">
        <v>306</v>
      </c>
      <c r="J363">
        <v>1.05</v>
      </c>
      <c r="K363">
        <v>38.299999999999997</v>
      </c>
      <c r="L363">
        <v>36.4</v>
      </c>
      <c r="M363">
        <v>221</v>
      </c>
      <c r="N363">
        <v>27</v>
      </c>
      <c r="O363">
        <v>5</v>
      </c>
      <c r="P363">
        <v>1</v>
      </c>
    </row>
    <row r="364" spans="1:16" x14ac:dyDescent="0.25">
      <c r="A364" s="4">
        <v>43567</v>
      </c>
      <c r="B364" t="s">
        <v>10</v>
      </c>
      <c r="C364" t="s">
        <v>78</v>
      </c>
      <c r="F364">
        <v>203</v>
      </c>
      <c r="J364">
        <v>0.73599999999999999</v>
      </c>
      <c r="K364">
        <v>25.4</v>
      </c>
      <c r="L364">
        <v>34.5</v>
      </c>
      <c r="M364">
        <v>135</v>
      </c>
      <c r="N364">
        <v>23</v>
      </c>
      <c r="O364">
        <v>6</v>
      </c>
    </row>
    <row r="365" spans="1:16" x14ac:dyDescent="0.25">
      <c r="A365" s="4">
        <v>43567</v>
      </c>
      <c r="B365" t="s">
        <v>9</v>
      </c>
      <c r="C365" t="s">
        <v>78</v>
      </c>
      <c r="F365">
        <v>526</v>
      </c>
      <c r="J365">
        <v>0.88300000000000001</v>
      </c>
      <c r="K365">
        <v>32.9</v>
      </c>
      <c r="L365">
        <v>37.200000000000003</v>
      </c>
      <c r="M365">
        <v>368</v>
      </c>
      <c r="N365">
        <v>41</v>
      </c>
      <c r="O365">
        <v>9</v>
      </c>
      <c r="P365">
        <v>4</v>
      </c>
    </row>
    <row r="366" spans="1:16" x14ac:dyDescent="0.25">
      <c r="A366" s="4">
        <v>43570</v>
      </c>
      <c r="B366" t="s">
        <v>10</v>
      </c>
      <c r="C366">
        <v>1</v>
      </c>
      <c r="F366">
        <v>254</v>
      </c>
      <c r="J366">
        <v>0.84</v>
      </c>
      <c r="K366">
        <v>31.8</v>
      </c>
      <c r="L366">
        <v>37.799999999999997</v>
      </c>
      <c r="M366">
        <v>134</v>
      </c>
      <c r="N366">
        <v>36</v>
      </c>
      <c r="O366">
        <v>9</v>
      </c>
      <c r="P366">
        <v>2</v>
      </c>
    </row>
    <row r="367" spans="1:16" x14ac:dyDescent="0.25">
      <c r="A367" s="4">
        <v>43570</v>
      </c>
      <c r="B367" t="s">
        <v>9</v>
      </c>
      <c r="C367">
        <v>1</v>
      </c>
      <c r="F367">
        <v>286</v>
      </c>
      <c r="J367">
        <v>0.86699999999999999</v>
      </c>
      <c r="K367">
        <v>35.799999999999997</v>
      </c>
      <c r="L367">
        <v>41.2</v>
      </c>
      <c r="M367">
        <v>148</v>
      </c>
      <c r="N367">
        <v>36</v>
      </c>
      <c r="O367">
        <v>11</v>
      </c>
      <c r="P367">
        <v>2</v>
      </c>
    </row>
    <row r="368" spans="1:16" x14ac:dyDescent="0.25">
      <c r="A368" s="4">
        <v>43570</v>
      </c>
      <c r="B368" t="s">
        <v>9</v>
      </c>
      <c r="C368">
        <v>2</v>
      </c>
      <c r="F368">
        <v>280</v>
      </c>
      <c r="J368">
        <v>0.95499999999999996</v>
      </c>
      <c r="K368">
        <v>35</v>
      </c>
      <c r="L368">
        <v>36.700000000000003</v>
      </c>
      <c r="M368">
        <v>194</v>
      </c>
      <c r="N368">
        <v>32</v>
      </c>
      <c r="O368">
        <v>4</v>
      </c>
    </row>
    <row r="369" spans="1:16" x14ac:dyDescent="0.25">
      <c r="A369" s="4">
        <v>43570</v>
      </c>
      <c r="B369" t="s">
        <v>10</v>
      </c>
      <c r="C369" t="s">
        <v>78</v>
      </c>
      <c r="F369">
        <v>254</v>
      </c>
      <c r="J369">
        <v>0.84</v>
      </c>
      <c r="K369">
        <v>31.8</v>
      </c>
      <c r="L369">
        <v>37.799999999999997</v>
      </c>
      <c r="M369">
        <v>134</v>
      </c>
      <c r="N369">
        <v>36</v>
      </c>
      <c r="O369">
        <v>9</v>
      </c>
      <c r="P369">
        <v>2</v>
      </c>
    </row>
    <row r="370" spans="1:16" x14ac:dyDescent="0.25">
      <c r="A370" s="4">
        <v>43570</v>
      </c>
      <c r="B370" t="s">
        <v>9</v>
      </c>
      <c r="C370" t="s">
        <v>78</v>
      </c>
      <c r="F370">
        <v>566</v>
      </c>
      <c r="J370">
        <v>0.91100000000000003</v>
      </c>
      <c r="K370">
        <v>35.4</v>
      </c>
      <c r="L370">
        <v>38.799999999999997</v>
      </c>
      <c r="M370">
        <v>342</v>
      </c>
      <c r="N370">
        <v>68</v>
      </c>
      <c r="O370">
        <v>15</v>
      </c>
      <c r="P370">
        <v>2</v>
      </c>
    </row>
    <row r="371" spans="1:16" x14ac:dyDescent="0.25">
      <c r="A371" s="4">
        <v>43571</v>
      </c>
      <c r="B371" t="s">
        <v>10</v>
      </c>
      <c r="C371">
        <v>1</v>
      </c>
      <c r="F371">
        <v>352</v>
      </c>
      <c r="J371">
        <v>0.878</v>
      </c>
      <c r="K371">
        <v>29.3</v>
      </c>
      <c r="L371">
        <v>33.4</v>
      </c>
      <c r="M371">
        <v>271</v>
      </c>
      <c r="N371">
        <v>17</v>
      </c>
      <c r="O371">
        <v>12</v>
      </c>
    </row>
    <row r="372" spans="1:16" x14ac:dyDescent="0.25">
      <c r="A372" s="4">
        <v>43571</v>
      </c>
      <c r="B372" t="s">
        <v>9</v>
      </c>
      <c r="C372">
        <v>1</v>
      </c>
      <c r="F372">
        <v>240</v>
      </c>
      <c r="J372">
        <v>0.82599999999999996</v>
      </c>
      <c r="K372">
        <v>30</v>
      </c>
      <c r="L372">
        <v>36.299999999999997</v>
      </c>
      <c r="M372">
        <v>179</v>
      </c>
      <c r="N372">
        <v>23</v>
      </c>
      <c r="O372">
        <v>1</v>
      </c>
    </row>
    <row r="373" spans="1:16" x14ac:dyDescent="0.25">
      <c r="A373" s="4">
        <v>43571</v>
      </c>
      <c r="B373" t="s">
        <v>9</v>
      </c>
      <c r="C373">
        <v>2</v>
      </c>
      <c r="F373">
        <v>382</v>
      </c>
      <c r="J373">
        <v>1.0269999999999999</v>
      </c>
      <c r="K373">
        <v>38.200000000000003</v>
      </c>
      <c r="L373">
        <v>37.200000000000003</v>
      </c>
      <c r="M373">
        <v>260</v>
      </c>
      <c r="N373">
        <v>30</v>
      </c>
      <c r="O373">
        <v>11</v>
      </c>
      <c r="P373">
        <v>2</v>
      </c>
    </row>
    <row r="374" spans="1:16" x14ac:dyDescent="0.25">
      <c r="A374" s="4">
        <v>43571</v>
      </c>
      <c r="B374" t="s">
        <v>10</v>
      </c>
      <c r="C374" t="s">
        <v>78</v>
      </c>
      <c r="F374">
        <v>352</v>
      </c>
      <c r="J374">
        <v>0.878</v>
      </c>
      <c r="K374">
        <v>29.3</v>
      </c>
      <c r="L374">
        <v>33.4</v>
      </c>
      <c r="M374">
        <v>271</v>
      </c>
      <c r="N374">
        <v>17</v>
      </c>
      <c r="O374">
        <v>12</v>
      </c>
    </row>
    <row r="375" spans="1:16" x14ac:dyDescent="0.25">
      <c r="A375" s="4">
        <v>43571</v>
      </c>
      <c r="B375" t="s">
        <v>9</v>
      </c>
      <c r="C375" t="s">
        <v>78</v>
      </c>
      <c r="F375">
        <v>622</v>
      </c>
      <c r="J375">
        <v>0.93799999999999994</v>
      </c>
      <c r="K375">
        <v>34.6</v>
      </c>
      <c r="L375">
        <v>36.9</v>
      </c>
      <c r="M375">
        <v>439</v>
      </c>
      <c r="N375">
        <v>53</v>
      </c>
      <c r="O375">
        <v>12</v>
      </c>
      <c r="P375">
        <v>2</v>
      </c>
    </row>
    <row r="376" spans="1:16" x14ac:dyDescent="0.25">
      <c r="A376" s="4">
        <v>43572</v>
      </c>
      <c r="B376" t="s">
        <v>10</v>
      </c>
      <c r="C376">
        <v>1</v>
      </c>
      <c r="F376">
        <v>382</v>
      </c>
      <c r="J376">
        <v>0.88900000000000001</v>
      </c>
      <c r="K376">
        <v>31.8</v>
      </c>
      <c r="L376">
        <v>35.799999999999997</v>
      </c>
      <c r="M376">
        <v>286</v>
      </c>
      <c r="N376">
        <v>36</v>
      </c>
      <c r="O376">
        <v>7</v>
      </c>
    </row>
    <row r="377" spans="1:16" x14ac:dyDescent="0.25">
      <c r="A377" s="4">
        <v>43572</v>
      </c>
      <c r="B377" t="s">
        <v>9</v>
      </c>
      <c r="C377">
        <v>1</v>
      </c>
      <c r="F377">
        <v>260</v>
      </c>
      <c r="J377">
        <v>0.83099999999999996</v>
      </c>
      <c r="K377">
        <v>32.5</v>
      </c>
      <c r="L377">
        <v>39.1</v>
      </c>
      <c r="M377">
        <v>162</v>
      </c>
      <c r="N377">
        <v>26</v>
      </c>
      <c r="O377">
        <v>8</v>
      </c>
      <c r="P377">
        <v>1</v>
      </c>
    </row>
    <row r="378" spans="1:16" x14ac:dyDescent="0.25">
      <c r="A378" s="4">
        <v>43572</v>
      </c>
      <c r="B378" t="s">
        <v>9</v>
      </c>
      <c r="C378">
        <v>2</v>
      </c>
      <c r="F378">
        <v>283</v>
      </c>
      <c r="J378">
        <v>1</v>
      </c>
      <c r="K378">
        <v>35.4</v>
      </c>
      <c r="L378">
        <v>35.4</v>
      </c>
      <c r="M378">
        <v>194</v>
      </c>
      <c r="N378">
        <v>36</v>
      </c>
      <c r="O378">
        <v>4</v>
      </c>
    </row>
    <row r="379" spans="1:16" x14ac:dyDescent="0.25">
      <c r="A379" s="4">
        <v>43572</v>
      </c>
      <c r="B379" t="s">
        <v>10</v>
      </c>
      <c r="C379" t="s">
        <v>78</v>
      </c>
      <c r="F379">
        <v>382</v>
      </c>
      <c r="J379">
        <v>0.88900000000000001</v>
      </c>
      <c r="K379">
        <v>31.8</v>
      </c>
      <c r="L379">
        <v>35.799999999999997</v>
      </c>
      <c r="M379">
        <v>286</v>
      </c>
      <c r="N379">
        <v>36</v>
      </c>
      <c r="O379">
        <v>7</v>
      </c>
    </row>
    <row r="380" spans="1:16" x14ac:dyDescent="0.25">
      <c r="A380" s="4">
        <v>43572</v>
      </c>
      <c r="B380" t="s">
        <v>9</v>
      </c>
      <c r="C380" t="s">
        <v>78</v>
      </c>
      <c r="F380">
        <v>543</v>
      </c>
      <c r="J380">
        <v>0.91500000000000004</v>
      </c>
      <c r="K380">
        <v>33.9</v>
      </c>
      <c r="L380">
        <v>37.1</v>
      </c>
      <c r="M380">
        <v>356</v>
      </c>
      <c r="N380">
        <v>62</v>
      </c>
      <c r="O380">
        <v>12</v>
      </c>
      <c r="P380">
        <v>1</v>
      </c>
    </row>
    <row r="381" spans="1:16" x14ac:dyDescent="0.25">
      <c r="A381" s="4">
        <v>43573</v>
      </c>
      <c r="B381" t="s">
        <v>10</v>
      </c>
      <c r="C381">
        <v>1</v>
      </c>
      <c r="F381">
        <v>230</v>
      </c>
      <c r="J381">
        <v>0.87</v>
      </c>
      <c r="K381">
        <v>28.75</v>
      </c>
      <c r="L381">
        <v>33</v>
      </c>
      <c r="M381">
        <v>181</v>
      </c>
      <c r="N381">
        <v>14</v>
      </c>
      <c r="O381">
        <v>4</v>
      </c>
      <c r="P381">
        <v>1</v>
      </c>
    </row>
    <row r="382" spans="1:16" x14ac:dyDescent="0.25">
      <c r="A382" s="4">
        <v>43573</v>
      </c>
      <c r="B382" t="s">
        <v>9</v>
      </c>
      <c r="C382">
        <v>1</v>
      </c>
      <c r="F382">
        <v>236</v>
      </c>
      <c r="J382">
        <v>0.78900000000000003</v>
      </c>
      <c r="K382">
        <v>29.5</v>
      </c>
      <c r="L382">
        <v>37.4</v>
      </c>
      <c r="M382">
        <v>151</v>
      </c>
      <c r="N382">
        <v>21</v>
      </c>
      <c r="O382">
        <v>8</v>
      </c>
      <c r="P382">
        <v>1</v>
      </c>
    </row>
    <row r="383" spans="1:16" x14ac:dyDescent="0.25">
      <c r="A383" s="4">
        <v>43573</v>
      </c>
      <c r="B383" t="s">
        <v>9</v>
      </c>
      <c r="C383">
        <v>2</v>
      </c>
      <c r="F383">
        <v>301</v>
      </c>
      <c r="J383">
        <v>1.071</v>
      </c>
      <c r="K383">
        <v>37.6</v>
      </c>
      <c r="L383">
        <v>35.200000000000003</v>
      </c>
      <c r="M383">
        <v>230</v>
      </c>
      <c r="N383">
        <v>24</v>
      </c>
      <c r="O383">
        <v>5</v>
      </c>
    </row>
    <row r="384" spans="1:16" x14ac:dyDescent="0.25">
      <c r="A384" s="4">
        <v>43573</v>
      </c>
      <c r="B384" t="s">
        <v>10</v>
      </c>
      <c r="C384" t="s">
        <v>78</v>
      </c>
      <c r="F384">
        <v>230</v>
      </c>
      <c r="J384">
        <v>0.87</v>
      </c>
      <c r="K384">
        <v>28.8</v>
      </c>
      <c r="L384">
        <v>33</v>
      </c>
      <c r="M384">
        <v>181</v>
      </c>
      <c r="N384">
        <v>14</v>
      </c>
      <c r="O384">
        <v>4</v>
      </c>
      <c r="P384">
        <v>1</v>
      </c>
    </row>
    <row r="385" spans="1:16" x14ac:dyDescent="0.25">
      <c r="A385" s="4">
        <v>43573</v>
      </c>
      <c r="B385" t="s">
        <v>9</v>
      </c>
      <c r="C385" t="s">
        <v>78</v>
      </c>
      <c r="F385">
        <v>537</v>
      </c>
      <c r="J385">
        <v>0.93</v>
      </c>
      <c r="K385">
        <v>33.6</v>
      </c>
      <c r="L385">
        <v>36.1</v>
      </c>
      <c r="M385">
        <v>381</v>
      </c>
      <c r="N385">
        <v>45</v>
      </c>
      <c r="O385">
        <v>13</v>
      </c>
      <c r="P385">
        <v>1</v>
      </c>
    </row>
    <row r="386" spans="1:16" x14ac:dyDescent="0.25">
      <c r="A386" s="4">
        <v>43577</v>
      </c>
      <c r="B386" t="s">
        <v>10</v>
      </c>
      <c r="C386">
        <v>1</v>
      </c>
      <c r="F386">
        <v>372</v>
      </c>
      <c r="J386">
        <v>0.88900000000000001</v>
      </c>
      <c r="K386">
        <v>31</v>
      </c>
      <c r="L386">
        <v>34.9</v>
      </c>
      <c r="M386">
        <v>242</v>
      </c>
      <c r="N386">
        <v>44</v>
      </c>
      <c r="O386">
        <v>8</v>
      </c>
      <c r="P386">
        <v>2</v>
      </c>
    </row>
    <row r="387" spans="1:16" x14ac:dyDescent="0.25">
      <c r="A387" s="4">
        <v>43577</v>
      </c>
      <c r="B387" t="s">
        <v>9</v>
      </c>
      <c r="C387">
        <v>1</v>
      </c>
      <c r="F387">
        <v>268</v>
      </c>
      <c r="J387">
        <v>0.82399999999999995</v>
      </c>
      <c r="K387">
        <v>33.5</v>
      </c>
      <c r="L387">
        <v>40.6</v>
      </c>
      <c r="M387">
        <v>134</v>
      </c>
      <c r="N387">
        <v>39</v>
      </c>
      <c r="O387">
        <v>12</v>
      </c>
      <c r="P387">
        <v>1</v>
      </c>
    </row>
    <row r="388" spans="1:16" x14ac:dyDescent="0.25">
      <c r="A388" s="4">
        <v>43577</v>
      </c>
      <c r="B388" t="s">
        <v>9</v>
      </c>
      <c r="C388">
        <v>2</v>
      </c>
      <c r="F388">
        <v>381</v>
      </c>
      <c r="J388">
        <v>1.024</v>
      </c>
      <c r="K388">
        <v>38.1</v>
      </c>
      <c r="L388">
        <v>37.200000000000003</v>
      </c>
      <c r="M388">
        <v>259</v>
      </c>
      <c r="N388">
        <v>37</v>
      </c>
      <c r="O388">
        <v>7</v>
      </c>
      <c r="P388">
        <v>2</v>
      </c>
    </row>
    <row r="389" spans="1:16" x14ac:dyDescent="0.25">
      <c r="A389" s="4">
        <v>43577</v>
      </c>
      <c r="B389" t="s">
        <v>10</v>
      </c>
      <c r="C389" t="s">
        <v>78</v>
      </c>
      <c r="F389">
        <v>372</v>
      </c>
      <c r="J389">
        <v>0.88900000000000001</v>
      </c>
      <c r="K389">
        <v>31</v>
      </c>
      <c r="L389">
        <v>34.9</v>
      </c>
      <c r="M389">
        <v>242</v>
      </c>
      <c r="N389">
        <v>44</v>
      </c>
      <c r="O389">
        <v>8</v>
      </c>
      <c r="P389">
        <v>2</v>
      </c>
    </row>
    <row r="390" spans="1:16" x14ac:dyDescent="0.25">
      <c r="A390" s="4">
        <v>43577</v>
      </c>
      <c r="B390" t="s">
        <v>9</v>
      </c>
      <c r="C390" t="s">
        <v>78</v>
      </c>
      <c r="F390">
        <v>649</v>
      </c>
      <c r="J390">
        <v>0.93500000000000005</v>
      </c>
      <c r="K390">
        <v>36.1</v>
      </c>
      <c r="L390">
        <v>38.5</v>
      </c>
      <c r="M390">
        <v>393</v>
      </c>
      <c r="N390">
        <v>76</v>
      </c>
      <c r="O390">
        <v>19</v>
      </c>
      <c r="P390">
        <v>3</v>
      </c>
    </row>
    <row r="391" spans="1:16" x14ac:dyDescent="0.25">
      <c r="A391" s="4">
        <v>43578</v>
      </c>
      <c r="B391" t="s">
        <v>10</v>
      </c>
      <c r="C391">
        <v>1</v>
      </c>
      <c r="F391">
        <v>277</v>
      </c>
      <c r="J391">
        <v>0.67400000000000004</v>
      </c>
      <c r="K391">
        <v>23.1</v>
      </c>
      <c r="L391">
        <v>34.200000000000003</v>
      </c>
      <c r="M391">
        <v>199</v>
      </c>
      <c r="N391">
        <v>24</v>
      </c>
      <c r="O391">
        <v>5</v>
      </c>
      <c r="P391">
        <v>1</v>
      </c>
    </row>
    <row r="392" spans="1:16" x14ac:dyDescent="0.25">
      <c r="A392" s="4">
        <v>43578</v>
      </c>
      <c r="B392" t="s">
        <v>9</v>
      </c>
      <c r="C392">
        <v>1</v>
      </c>
      <c r="F392">
        <v>210</v>
      </c>
      <c r="J392">
        <v>0.72099999999999997</v>
      </c>
      <c r="K392">
        <v>26.3</v>
      </c>
      <c r="L392">
        <v>36.4</v>
      </c>
      <c r="M392">
        <v>157</v>
      </c>
      <c r="N392">
        <v>14</v>
      </c>
      <c r="O392">
        <v>3</v>
      </c>
      <c r="P392">
        <v>1</v>
      </c>
    </row>
    <row r="393" spans="1:16" x14ac:dyDescent="0.25">
      <c r="A393" s="4">
        <v>43578</v>
      </c>
      <c r="B393" t="s">
        <v>9</v>
      </c>
      <c r="C393">
        <v>2</v>
      </c>
      <c r="F393">
        <v>331</v>
      </c>
      <c r="J393">
        <v>0.92200000000000004</v>
      </c>
      <c r="K393">
        <v>33.1</v>
      </c>
      <c r="L393">
        <v>35.9</v>
      </c>
      <c r="M393">
        <v>251</v>
      </c>
      <c r="N393">
        <v>24</v>
      </c>
      <c r="O393">
        <v>7</v>
      </c>
    </row>
    <row r="394" spans="1:16" x14ac:dyDescent="0.25">
      <c r="A394" s="4">
        <v>43578</v>
      </c>
      <c r="B394" t="s">
        <v>10</v>
      </c>
      <c r="C394" t="s">
        <v>78</v>
      </c>
      <c r="F394">
        <v>277</v>
      </c>
      <c r="J394">
        <v>0.67400000000000004</v>
      </c>
      <c r="K394">
        <v>23.1</v>
      </c>
      <c r="L394">
        <v>34.200000000000003</v>
      </c>
      <c r="M394">
        <v>199</v>
      </c>
      <c r="N394">
        <v>24</v>
      </c>
      <c r="O394">
        <v>5</v>
      </c>
      <c r="P394">
        <v>1</v>
      </c>
    </row>
    <row r="395" spans="1:16" x14ac:dyDescent="0.25">
      <c r="A395" s="4">
        <v>43578</v>
      </c>
      <c r="B395" t="s">
        <v>9</v>
      </c>
      <c r="C395" t="s">
        <v>78</v>
      </c>
      <c r="F395">
        <v>541</v>
      </c>
      <c r="J395">
        <v>0.83299999999999996</v>
      </c>
      <c r="K395">
        <v>30.1</v>
      </c>
      <c r="L395">
        <v>36.1</v>
      </c>
      <c r="M395">
        <v>408</v>
      </c>
      <c r="N395">
        <v>38</v>
      </c>
      <c r="O395">
        <v>10</v>
      </c>
      <c r="P395">
        <v>1</v>
      </c>
    </row>
    <row r="396" spans="1:16" x14ac:dyDescent="0.25">
      <c r="A396" s="4">
        <v>43579</v>
      </c>
      <c r="B396" t="s">
        <v>10</v>
      </c>
      <c r="C396">
        <v>1</v>
      </c>
      <c r="F396">
        <v>217</v>
      </c>
      <c r="J396">
        <v>0.78</v>
      </c>
      <c r="K396">
        <v>27.1</v>
      </c>
      <c r="L396">
        <v>34.799999999999997</v>
      </c>
      <c r="M396">
        <v>171</v>
      </c>
      <c r="N396">
        <v>14</v>
      </c>
      <c r="O396">
        <v>5</v>
      </c>
    </row>
    <row r="397" spans="1:16" x14ac:dyDescent="0.25">
      <c r="A397" s="4">
        <v>43579</v>
      </c>
      <c r="B397" t="s">
        <v>9</v>
      </c>
      <c r="C397">
        <v>1</v>
      </c>
      <c r="F397">
        <v>214</v>
      </c>
      <c r="J397">
        <v>0.71799999999999997</v>
      </c>
      <c r="K397">
        <v>26.8</v>
      </c>
      <c r="L397">
        <v>37.299999999999997</v>
      </c>
      <c r="M397">
        <v>126</v>
      </c>
      <c r="N397">
        <v>26</v>
      </c>
      <c r="O397">
        <v>9</v>
      </c>
    </row>
    <row r="398" spans="1:16" x14ac:dyDescent="0.25">
      <c r="A398" s="4">
        <v>43579</v>
      </c>
      <c r="B398" t="s">
        <v>9</v>
      </c>
      <c r="C398">
        <v>2</v>
      </c>
      <c r="F398">
        <v>308</v>
      </c>
      <c r="J398">
        <v>1.0409999999999999</v>
      </c>
      <c r="K398">
        <v>38.5</v>
      </c>
      <c r="L398">
        <v>37</v>
      </c>
      <c r="M398">
        <v>226</v>
      </c>
      <c r="N398">
        <v>23</v>
      </c>
      <c r="O398">
        <v>8</v>
      </c>
    </row>
    <row r="399" spans="1:16" x14ac:dyDescent="0.25">
      <c r="A399" s="4">
        <v>43579</v>
      </c>
      <c r="B399" t="s">
        <v>10</v>
      </c>
      <c r="C399" t="s">
        <v>78</v>
      </c>
      <c r="F399">
        <v>217</v>
      </c>
      <c r="J399">
        <v>0.78</v>
      </c>
      <c r="K399">
        <v>27.1</v>
      </c>
      <c r="L399">
        <v>34.799999999999997</v>
      </c>
      <c r="M399">
        <v>171</v>
      </c>
      <c r="N399">
        <v>14</v>
      </c>
      <c r="O399">
        <v>5</v>
      </c>
    </row>
    <row r="400" spans="1:16" x14ac:dyDescent="0.25">
      <c r="A400" s="4">
        <v>43579</v>
      </c>
      <c r="B400" t="s">
        <v>9</v>
      </c>
      <c r="C400" t="s">
        <v>78</v>
      </c>
      <c r="F400">
        <v>522</v>
      </c>
      <c r="J400">
        <v>0.879</v>
      </c>
      <c r="K400">
        <v>32.6</v>
      </c>
      <c r="L400">
        <v>37.1</v>
      </c>
      <c r="M400">
        <v>352</v>
      </c>
      <c r="N400">
        <v>49</v>
      </c>
      <c r="O400">
        <v>17</v>
      </c>
    </row>
    <row r="401" spans="1:16" x14ac:dyDescent="0.25">
      <c r="A401" s="4">
        <v>43580</v>
      </c>
      <c r="B401" t="s">
        <v>10</v>
      </c>
      <c r="C401">
        <v>1</v>
      </c>
      <c r="F401">
        <v>209</v>
      </c>
      <c r="J401">
        <v>0.78400000000000003</v>
      </c>
      <c r="K401">
        <v>26.1</v>
      </c>
      <c r="L401">
        <v>33.299999999999997</v>
      </c>
      <c r="M401">
        <v>152</v>
      </c>
      <c r="N401">
        <v>25</v>
      </c>
      <c r="O401">
        <v>2</v>
      </c>
    </row>
    <row r="402" spans="1:16" x14ac:dyDescent="0.25">
      <c r="A402" s="4">
        <v>43580</v>
      </c>
      <c r="B402" t="s">
        <v>9</v>
      </c>
      <c r="C402">
        <v>1</v>
      </c>
      <c r="F402">
        <v>257</v>
      </c>
      <c r="J402">
        <v>0.89500000000000002</v>
      </c>
      <c r="K402">
        <v>32.1</v>
      </c>
      <c r="L402">
        <v>35.9</v>
      </c>
      <c r="M402">
        <v>179</v>
      </c>
      <c r="N402">
        <v>26</v>
      </c>
      <c r="O402">
        <v>6</v>
      </c>
    </row>
    <row r="403" spans="1:16" x14ac:dyDescent="0.25">
      <c r="A403" s="4">
        <v>43580</v>
      </c>
      <c r="B403" t="s">
        <v>9</v>
      </c>
      <c r="C403">
        <v>2</v>
      </c>
      <c r="F403">
        <v>269</v>
      </c>
      <c r="J403">
        <v>0.92900000000000005</v>
      </c>
      <c r="K403">
        <v>33.6</v>
      </c>
      <c r="L403">
        <v>36.200000000000003</v>
      </c>
      <c r="M403">
        <v>215</v>
      </c>
      <c r="N403">
        <v>11</v>
      </c>
      <c r="O403">
        <v>2</v>
      </c>
      <c r="P403">
        <v>2</v>
      </c>
    </row>
    <row r="404" spans="1:16" x14ac:dyDescent="0.25">
      <c r="A404" s="4">
        <v>43580</v>
      </c>
      <c r="B404" t="s">
        <v>10</v>
      </c>
      <c r="C404" t="s">
        <v>78</v>
      </c>
      <c r="F404">
        <v>209</v>
      </c>
      <c r="J404">
        <v>0.78400000000000003</v>
      </c>
      <c r="K404">
        <v>26.1</v>
      </c>
      <c r="L404">
        <v>33.299999999999997</v>
      </c>
      <c r="M404">
        <v>152</v>
      </c>
      <c r="N404">
        <v>25</v>
      </c>
      <c r="O404">
        <v>2</v>
      </c>
    </row>
    <row r="405" spans="1:16" x14ac:dyDescent="0.25">
      <c r="A405" s="4">
        <v>43580</v>
      </c>
      <c r="B405" t="s">
        <v>9</v>
      </c>
      <c r="C405" t="s">
        <v>78</v>
      </c>
      <c r="F405">
        <v>526</v>
      </c>
      <c r="J405">
        <v>0.91200000000000003</v>
      </c>
      <c r="K405">
        <v>32.9</v>
      </c>
      <c r="L405">
        <v>36.1</v>
      </c>
      <c r="M405">
        <v>394</v>
      </c>
      <c r="N405">
        <v>37</v>
      </c>
      <c r="O405">
        <v>8</v>
      </c>
      <c r="P405">
        <v>2</v>
      </c>
    </row>
    <row r="406" spans="1:16" x14ac:dyDescent="0.25">
      <c r="A406" s="4">
        <v>43581</v>
      </c>
      <c r="B406" t="s">
        <v>10</v>
      </c>
      <c r="C406">
        <v>1</v>
      </c>
      <c r="F406">
        <v>200</v>
      </c>
      <c r="J406">
        <v>0.73699999999999999</v>
      </c>
      <c r="K406">
        <v>25</v>
      </c>
      <c r="L406">
        <v>33.9</v>
      </c>
      <c r="M406">
        <v>143</v>
      </c>
      <c r="N406">
        <v>18</v>
      </c>
      <c r="O406">
        <v>4</v>
      </c>
      <c r="P406">
        <v>1</v>
      </c>
    </row>
    <row r="407" spans="1:16" x14ac:dyDescent="0.25">
      <c r="A407" s="4">
        <v>43581</v>
      </c>
      <c r="B407" t="s">
        <v>9</v>
      </c>
      <c r="C407">
        <v>1</v>
      </c>
      <c r="F407">
        <v>223</v>
      </c>
      <c r="J407">
        <v>0.76200000000000001</v>
      </c>
      <c r="K407">
        <v>27.9</v>
      </c>
      <c r="L407">
        <v>36.6</v>
      </c>
      <c r="M407">
        <v>157</v>
      </c>
      <c r="N407">
        <v>20</v>
      </c>
      <c r="O407">
        <v>6</v>
      </c>
    </row>
    <row r="408" spans="1:16" x14ac:dyDescent="0.25">
      <c r="A408" s="4">
        <v>43581</v>
      </c>
      <c r="B408" t="s">
        <v>9</v>
      </c>
      <c r="C408">
        <v>2</v>
      </c>
      <c r="F408">
        <v>285</v>
      </c>
      <c r="J408">
        <v>0.97199999999999998</v>
      </c>
      <c r="K408">
        <v>35.6</v>
      </c>
      <c r="L408">
        <v>36.6</v>
      </c>
      <c r="M408">
        <v>219</v>
      </c>
      <c r="N408">
        <v>25</v>
      </c>
      <c r="O408">
        <v>3</v>
      </c>
    </row>
    <row r="409" spans="1:16" x14ac:dyDescent="0.25">
      <c r="A409" s="4">
        <v>43581</v>
      </c>
      <c r="B409" t="s">
        <v>10</v>
      </c>
      <c r="C409" t="s">
        <v>78</v>
      </c>
      <c r="F409">
        <v>200</v>
      </c>
      <c r="J409">
        <v>0.73699999999999999</v>
      </c>
      <c r="K409">
        <v>25</v>
      </c>
      <c r="L409">
        <v>33.9</v>
      </c>
      <c r="M409">
        <v>143</v>
      </c>
      <c r="N409">
        <v>18</v>
      </c>
      <c r="O409">
        <v>4</v>
      </c>
      <c r="P409">
        <v>1</v>
      </c>
    </row>
    <row r="410" spans="1:16" x14ac:dyDescent="0.25">
      <c r="A410" s="4">
        <v>43581</v>
      </c>
      <c r="B410" t="s">
        <v>9</v>
      </c>
      <c r="C410" t="s">
        <v>78</v>
      </c>
      <c r="F410">
        <v>508</v>
      </c>
      <c r="J410">
        <v>0.86699999999999999</v>
      </c>
      <c r="K410">
        <v>31.8</v>
      </c>
      <c r="L410">
        <v>36.6</v>
      </c>
      <c r="M410">
        <v>376</v>
      </c>
      <c r="N410">
        <v>45</v>
      </c>
      <c r="O410">
        <v>9</v>
      </c>
    </row>
    <row r="411" spans="1:16" x14ac:dyDescent="0.25">
      <c r="A411" s="4">
        <v>43584</v>
      </c>
      <c r="B411" t="s">
        <v>10</v>
      </c>
      <c r="C411">
        <v>1</v>
      </c>
      <c r="F411">
        <v>228</v>
      </c>
      <c r="J411">
        <v>0.55100000000000005</v>
      </c>
      <c r="K411">
        <v>19</v>
      </c>
      <c r="L411">
        <v>34.5</v>
      </c>
      <c r="M411">
        <v>163</v>
      </c>
      <c r="N411">
        <v>21</v>
      </c>
      <c r="O411">
        <v>6</v>
      </c>
    </row>
    <row r="412" spans="1:16" x14ac:dyDescent="0.25">
      <c r="A412" s="4">
        <v>43584</v>
      </c>
      <c r="B412" t="s">
        <v>9</v>
      </c>
      <c r="C412">
        <v>1</v>
      </c>
      <c r="F412">
        <v>235</v>
      </c>
      <c r="J412">
        <v>0.70799999999999996</v>
      </c>
      <c r="K412">
        <v>29.4</v>
      </c>
      <c r="L412">
        <v>41.5</v>
      </c>
      <c r="M412">
        <v>109</v>
      </c>
      <c r="N412">
        <v>42</v>
      </c>
      <c r="O412">
        <v>11</v>
      </c>
    </row>
    <row r="413" spans="1:16" x14ac:dyDescent="0.25">
      <c r="A413" s="4">
        <v>43584</v>
      </c>
      <c r="B413" t="s">
        <v>9</v>
      </c>
      <c r="C413">
        <v>2</v>
      </c>
      <c r="F413">
        <v>317</v>
      </c>
      <c r="J413">
        <v>0.89700000000000002</v>
      </c>
      <c r="K413">
        <v>31.7</v>
      </c>
      <c r="L413">
        <v>35.299999999999997</v>
      </c>
      <c r="M413">
        <v>272</v>
      </c>
      <c r="N413">
        <v>11</v>
      </c>
      <c r="O413">
        <v>3</v>
      </c>
    </row>
    <row r="414" spans="1:16" x14ac:dyDescent="0.25">
      <c r="A414" s="4">
        <v>43584</v>
      </c>
      <c r="B414" t="s">
        <v>10</v>
      </c>
      <c r="C414" t="s">
        <v>78</v>
      </c>
      <c r="F414">
        <v>228</v>
      </c>
      <c r="J414">
        <v>0.55100000000000005</v>
      </c>
      <c r="K414">
        <v>19</v>
      </c>
      <c r="L414">
        <v>34.5</v>
      </c>
      <c r="M414">
        <v>163</v>
      </c>
      <c r="N414">
        <v>21</v>
      </c>
      <c r="O414">
        <v>6</v>
      </c>
    </row>
    <row r="415" spans="1:16" x14ac:dyDescent="0.25">
      <c r="A415" s="4">
        <v>43584</v>
      </c>
      <c r="B415" t="s">
        <v>9</v>
      </c>
      <c r="C415" t="s">
        <v>78</v>
      </c>
      <c r="F415">
        <v>552</v>
      </c>
      <c r="J415">
        <v>0.81299999999999994</v>
      </c>
      <c r="K415">
        <v>30.7</v>
      </c>
      <c r="L415">
        <v>37.700000000000003</v>
      </c>
      <c r="M415">
        <v>381</v>
      </c>
      <c r="N415">
        <v>53</v>
      </c>
      <c r="O415">
        <v>14</v>
      </c>
    </row>
    <row r="416" spans="1:16" x14ac:dyDescent="0.25">
      <c r="A416" s="4">
        <v>43585</v>
      </c>
      <c r="B416" t="s">
        <v>10</v>
      </c>
      <c r="C416">
        <v>1</v>
      </c>
      <c r="F416">
        <v>150</v>
      </c>
      <c r="J416">
        <v>0.93600000000000005</v>
      </c>
      <c r="K416">
        <v>37.5</v>
      </c>
      <c r="L416">
        <v>40.1</v>
      </c>
      <c r="M416">
        <v>75</v>
      </c>
      <c r="N416">
        <v>11</v>
      </c>
      <c r="O416">
        <v>14</v>
      </c>
      <c r="P416">
        <v>1</v>
      </c>
    </row>
    <row r="417" spans="1:16" x14ac:dyDescent="0.25">
      <c r="A417" s="4">
        <v>43585</v>
      </c>
      <c r="B417" t="s">
        <v>9</v>
      </c>
      <c r="C417">
        <v>1</v>
      </c>
      <c r="F417">
        <v>265</v>
      </c>
      <c r="J417">
        <v>0.79</v>
      </c>
      <c r="K417">
        <v>33.1</v>
      </c>
      <c r="L417">
        <v>41.9</v>
      </c>
      <c r="M417">
        <v>126</v>
      </c>
      <c r="N417">
        <v>16</v>
      </c>
      <c r="O417">
        <v>28</v>
      </c>
      <c r="P417">
        <v>1</v>
      </c>
    </row>
    <row r="418" spans="1:16" x14ac:dyDescent="0.25">
      <c r="A418" s="4">
        <v>43585</v>
      </c>
      <c r="B418" t="s">
        <v>9</v>
      </c>
      <c r="C418">
        <v>2</v>
      </c>
      <c r="F418">
        <v>378</v>
      </c>
      <c r="J418">
        <v>0.96499999999999997</v>
      </c>
      <c r="K418">
        <v>37.799999999999997</v>
      </c>
      <c r="L418">
        <v>39.200000000000003</v>
      </c>
      <c r="M418">
        <v>233</v>
      </c>
      <c r="N418">
        <v>27</v>
      </c>
      <c r="O418">
        <v>13</v>
      </c>
      <c r="P418">
        <v>5</v>
      </c>
    </row>
    <row r="419" spans="1:16" x14ac:dyDescent="0.25">
      <c r="A419" s="4">
        <v>43585</v>
      </c>
      <c r="B419" t="s">
        <v>10</v>
      </c>
      <c r="C419" t="s">
        <v>78</v>
      </c>
      <c r="F419">
        <v>150</v>
      </c>
      <c r="J419">
        <v>0.93600000000000005</v>
      </c>
      <c r="K419">
        <v>37.5</v>
      </c>
      <c r="L419">
        <v>40.1</v>
      </c>
      <c r="M419">
        <v>75</v>
      </c>
      <c r="N419">
        <v>11</v>
      </c>
      <c r="O419">
        <v>14</v>
      </c>
      <c r="P419">
        <v>1</v>
      </c>
    </row>
    <row r="420" spans="1:16" x14ac:dyDescent="0.25">
      <c r="A420" s="4">
        <v>43585</v>
      </c>
      <c r="B420" t="s">
        <v>9</v>
      </c>
      <c r="C420" t="s">
        <v>78</v>
      </c>
      <c r="F420">
        <v>643</v>
      </c>
      <c r="J420">
        <v>0.88700000000000001</v>
      </c>
      <c r="K420">
        <v>35.700000000000003</v>
      </c>
      <c r="L420">
        <v>40.299999999999997</v>
      </c>
      <c r="M420">
        <v>359</v>
      </c>
      <c r="N420">
        <v>43</v>
      </c>
      <c r="O420">
        <v>41</v>
      </c>
      <c r="P420">
        <v>6</v>
      </c>
    </row>
    <row r="421" spans="1:16" x14ac:dyDescent="0.25">
      <c r="A421" s="4">
        <v>43586</v>
      </c>
      <c r="B421" t="s">
        <v>10</v>
      </c>
      <c r="C421">
        <v>1</v>
      </c>
      <c r="F421">
        <v>339</v>
      </c>
      <c r="J421">
        <v>0.85699999999999998</v>
      </c>
      <c r="K421">
        <v>28.3</v>
      </c>
      <c r="L421">
        <v>33</v>
      </c>
      <c r="M421">
        <v>267</v>
      </c>
      <c r="N421">
        <v>28</v>
      </c>
      <c r="O421">
        <v>4</v>
      </c>
    </row>
    <row r="422" spans="1:16" x14ac:dyDescent="0.25">
      <c r="A422" s="4">
        <v>43586</v>
      </c>
      <c r="B422" t="s">
        <v>9</v>
      </c>
      <c r="C422">
        <v>1</v>
      </c>
      <c r="F422">
        <v>270</v>
      </c>
      <c r="J422">
        <v>0.83399999999999996</v>
      </c>
      <c r="K422">
        <v>33.799999999999997</v>
      </c>
      <c r="L422">
        <v>40.5</v>
      </c>
      <c r="M422">
        <v>146</v>
      </c>
      <c r="N422">
        <v>27</v>
      </c>
      <c r="O422">
        <v>9</v>
      </c>
      <c r="P422">
        <v>4</v>
      </c>
    </row>
    <row r="423" spans="1:16" x14ac:dyDescent="0.25">
      <c r="A423" s="4">
        <v>43586</v>
      </c>
      <c r="B423" t="s">
        <v>9</v>
      </c>
      <c r="C423">
        <v>2</v>
      </c>
      <c r="F423">
        <v>294</v>
      </c>
      <c r="J423">
        <v>1.006</v>
      </c>
      <c r="K423">
        <v>36.799999999999997</v>
      </c>
      <c r="L423">
        <v>36.5</v>
      </c>
      <c r="M423">
        <v>192</v>
      </c>
      <c r="N423">
        <v>37</v>
      </c>
      <c r="O423">
        <v>4</v>
      </c>
      <c r="P423">
        <v>1</v>
      </c>
    </row>
    <row r="424" spans="1:16" x14ac:dyDescent="0.25">
      <c r="A424" s="4">
        <v>43586</v>
      </c>
      <c r="B424" t="s">
        <v>10</v>
      </c>
      <c r="C424" t="s">
        <v>78</v>
      </c>
      <c r="F424">
        <v>339</v>
      </c>
      <c r="J424">
        <v>0.85699999999999998</v>
      </c>
      <c r="K424">
        <v>28.3</v>
      </c>
      <c r="L424">
        <v>33</v>
      </c>
      <c r="M424">
        <v>267</v>
      </c>
      <c r="N424">
        <v>28</v>
      </c>
      <c r="O424">
        <v>4</v>
      </c>
    </row>
    <row r="425" spans="1:16" x14ac:dyDescent="0.25">
      <c r="A425" s="4">
        <v>43586</v>
      </c>
      <c r="B425" t="s">
        <v>9</v>
      </c>
      <c r="C425" t="s">
        <v>78</v>
      </c>
      <c r="F425">
        <v>564</v>
      </c>
      <c r="J425">
        <v>0.92</v>
      </c>
      <c r="K425">
        <v>35.299999999999997</v>
      </c>
      <c r="L425">
        <v>38.299999999999997</v>
      </c>
      <c r="M425">
        <v>338</v>
      </c>
      <c r="N425">
        <v>64</v>
      </c>
      <c r="O425">
        <v>13</v>
      </c>
      <c r="P425">
        <v>5</v>
      </c>
    </row>
    <row r="426" spans="1:16" x14ac:dyDescent="0.25">
      <c r="A426" s="4">
        <v>43587</v>
      </c>
      <c r="B426" t="s">
        <v>10</v>
      </c>
      <c r="C426">
        <v>1</v>
      </c>
      <c r="F426">
        <v>344</v>
      </c>
      <c r="J426">
        <v>0.81399999999999995</v>
      </c>
      <c r="K426">
        <v>28.7</v>
      </c>
      <c r="L426">
        <v>35.200000000000003</v>
      </c>
      <c r="M426">
        <v>215</v>
      </c>
      <c r="N426">
        <v>33</v>
      </c>
      <c r="O426">
        <v>14</v>
      </c>
      <c r="P426">
        <v>2</v>
      </c>
    </row>
    <row r="427" spans="1:16" x14ac:dyDescent="0.25">
      <c r="A427" s="4">
        <v>43587</v>
      </c>
      <c r="B427" t="s">
        <v>9</v>
      </c>
      <c r="C427">
        <v>1</v>
      </c>
      <c r="F427">
        <v>243</v>
      </c>
      <c r="J427">
        <v>0.82299999999999995</v>
      </c>
      <c r="K427">
        <v>30.4</v>
      </c>
      <c r="L427">
        <v>36.9</v>
      </c>
      <c r="M427">
        <v>177</v>
      </c>
      <c r="N427">
        <v>8</v>
      </c>
      <c r="O427">
        <v>7</v>
      </c>
      <c r="P427">
        <v>2</v>
      </c>
    </row>
    <row r="428" spans="1:16" x14ac:dyDescent="0.25">
      <c r="A428" s="4">
        <v>43587</v>
      </c>
      <c r="B428" t="s">
        <v>9</v>
      </c>
      <c r="C428">
        <v>2</v>
      </c>
      <c r="F428">
        <v>297</v>
      </c>
      <c r="J428">
        <v>1.0089999999999999</v>
      </c>
      <c r="K428">
        <v>37.1</v>
      </c>
      <c r="L428">
        <v>36.799999999999997</v>
      </c>
      <c r="M428">
        <v>213</v>
      </c>
      <c r="N428">
        <v>21</v>
      </c>
      <c r="O428">
        <v>12</v>
      </c>
    </row>
    <row r="429" spans="1:16" x14ac:dyDescent="0.25">
      <c r="A429" s="4">
        <v>43587</v>
      </c>
      <c r="B429" t="s">
        <v>10</v>
      </c>
      <c r="C429" t="s">
        <v>78</v>
      </c>
      <c r="F429">
        <v>344</v>
      </c>
      <c r="J429">
        <v>0.81399999999999995</v>
      </c>
      <c r="K429">
        <v>28.7</v>
      </c>
      <c r="L429">
        <v>35.200000000000003</v>
      </c>
      <c r="M429">
        <v>215</v>
      </c>
      <c r="N429">
        <v>33</v>
      </c>
      <c r="O429">
        <v>14</v>
      </c>
      <c r="P429">
        <v>2</v>
      </c>
    </row>
    <row r="430" spans="1:16" x14ac:dyDescent="0.25">
      <c r="A430" s="4">
        <v>43587</v>
      </c>
      <c r="B430" t="s">
        <v>9</v>
      </c>
      <c r="C430" t="s">
        <v>78</v>
      </c>
      <c r="F430">
        <v>540</v>
      </c>
      <c r="J430">
        <v>0.91600000000000004</v>
      </c>
      <c r="K430">
        <v>33.799999999999997</v>
      </c>
      <c r="L430">
        <v>36.9</v>
      </c>
      <c r="M430">
        <v>390</v>
      </c>
      <c r="N430">
        <v>29</v>
      </c>
      <c r="O430">
        <v>19</v>
      </c>
      <c r="P430">
        <v>2</v>
      </c>
    </row>
    <row r="431" spans="1:16" x14ac:dyDescent="0.25">
      <c r="A431" s="4">
        <v>43588</v>
      </c>
      <c r="B431" t="s">
        <v>10</v>
      </c>
      <c r="C431">
        <v>1</v>
      </c>
      <c r="F431">
        <v>244</v>
      </c>
      <c r="J431">
        <v>0.872</v>
      </c>
      <c r="K431">
        <v>30.5</v>
      </c>
      <c r="L431">
        <v>35</v>
      </c>
      <c r="M431">
        <v>158</v>
      </c>
      <c r="N431">
        <v>24</v>
      </c>
      <c r="O431">
        <v>9</v>
      </c>
    </row>
    <row r="432" spans="1:16" x14ac:dyDescent="0.25">
      <c r="A432" s="4">
        <v>43588</v>
      </c>
      <c r="B432" t="s">
        <v>9</v>
      </c>
      <c r="C432">
        <v>1</v>
      </c>
      <c r="F432">
        <v>235</v>
      </c>
      <c r="J432">
        <v>0.74199999999999999</v>
      </c>
      <c r="K432">
        <v>29.4</v>
      </c>
      <c r="L432">
        <v>39.6</v>
      </c>
      <c r="M432">
        <v>138</v>
      </c>
      <c r="N432">
        <v>22</v>
      </c>
      <c r="O432">
        <v>10</v>
      </c>
      <c r="P432">
        <v>1</v>
      </c>
    </row>
    <row r="433" spans="1:16" x14ac:dyDescent="0.25">
      <c r="A433" s="4">
        <v>43588</v>
      </c>
      <c r="B433" t="s">
        <v>9</v>
      </c>
      <c r="C433">
        <v>2</v>
      </c>
      <c r="F433">
        <v>273</v>
      </c>
      <c r="J433">
        <v>0.90400000000000003</v>
      </c>
      <c r="K433">
        <v>34.1</v>
      </c>
      <c r="L433">
        <v>37.799999999999997</v>
      </c>
      <c r="M433">
        <v>197</v>
      </c>
      <c r="N433">
        <v>20</v>
      </c>
      <c r="O433">
        <v>4</v>
      </c>
      <c r="P433">
        <v>2</v>
      </c>
    </row>
    <row r="434" spans="1:16" x14ac:dyDescent="0.25">
      <c r="A434" s="4">
        <v>43588</v>
      </c>
      <c r="B434" t="s">
        <v>10</v>
      </c>
      <c r="C434" t="s">
        <v>78</v>
      </c>
      <c r="F434">
        <v>244</v>
      </c>
      <c r="J434">
        <v>0.872</v>
      </c>
      <c r="K434">
        <v>30.5</v>
      </c>
      <c r="L434">
        <v>35</v>
      </c>
      <c r="M434">
        <v>158</v>
      </c>
      <c r="N434">
        <v>24</v>
      </c>
      <c r="O434">
        <v>9</v>
      </c>
    </row>
    <row r="435" spans="1:16" x14ac:dyDescent="0.25">
      <c r="A435" s="4">
        <v>43588</v>
      </c>
      <c r="B435" t="s">
        <v>9</v>
      </c>
      <c r="C435" t="s">
        <v>78</v>
      </c>
      <c r="F435">
        <v>508</v>
      </c>
      <c r="J435">
        <v>0.82299999999999995</v>
      </c>
      <c r="K435">
        <v>31.8</v>
      </c>
      <c r="L435">
        <v>38.6</v>
      </c>
      <c r="M435">
        <v>335</v>
      </c>
      <c r="N435">
        <v>42</v>
      </c>
      <c r="O435">
        <v>14</v>
      </c>
      <c r="P435">
        <v>3</v>
      </c>
    </row>
    <row r="436" spans="1:16" x14ac:dyDescent="0.25">
      <c r="A436" s="4">
        <v>43589</v>
      </c>
      <c r="B436" t="s">
        <v>10</v>
      </c>
      <c r="C436">
        <v>1</v>
      </c>
      <c r="F436">
        <v>220</v>
      </c>
      <c r="J436">
        <v>0.86099999999999999</v>
      </c>
      <c r="K436">
        <v>27.5</v>
      </c>
      <c r="L436">
        <v>32</v>
      </c>
      <c r="M436">
        <v>173</v>
      </c>
      <c r="N436">
        <v>10</v>
      </c>
      <c r="O436">
        <v>7</v>
      </c>
      <c r="P436">
        <v>1</v>
      </c>
    </row>
    <row r="437" spans="1:16" x14ac:dyDescent="0.25">
      <c r="A437" s="4">
        <v>43589</v>
      </c>
      <c r="B437" t="s">
        <v>9</v>
      </c>
      <c r="C437">
        <v>1</v>
      </c>
      <c r="F437">
        <v>206</v>
      </c>
      <c r="J437">
        <v>0.76</v>
      </c>
      <c r="K437">
        <v>25.8</v>
      </c>
      <c r="L437">
        <v>33.9</v>
      </c>
      <c r="M437">
        <v>170</v>
      </c>
      <c r="N437">
        <v>12</v>
      </c>
      <c r="O437">
        <v>3</v>
      </c>
    </row>
    <row r="438" spans="1:16" x14ac:dyDescent="0.25">
      <c r="A438" s="4">
        <v>43589</v>
      </c>
      <c r="B438" t="s">
        <v>10</v>
      </c>
      <c r="C438">
        <v>1</v>
      </c>
      <c r="F438">
        <v>220</v>
      </c>
      <c r="J438">
        <v>0.86099999999999999</v>
      </c>
      <c r="K438">
        <v>27.5</v>
      </c>
      <c r="L438">
        <v>32</v>
      </c>
      <c r="M438">
        <v>173</v>
      </c>
      <c r="N438">
        <v>10</v>
      </c>
      <c r="O438">
        <v>7</v>
      </c>
      <c r="P438">
        <v>1</v>
      </c>
    </row>
    <row r="439" spans="1:16" x14ac:dyDescent="0.25">
      <c r="A439" s="4">
        <v>43589</v>
      </c>
      <c r="B439" t="s">
        <v>9</v>
      </c>
      <c r="C439">
        <v>1</v>
      </c>
      <c r="F439">
        <v>206</v>
      </c>
      <c r="J439">
        <v>0.76</v>
      </c>
      <c r="K439">
        <v>25.8</v>
      </c>
      <c r="L439">
        <v>33.9</v>
      </c>
      <c r="M439">
        <v>170</v>
      </c>
      <c r="N439">
        <v>12</v>
      </c>
      <c r="O439">
        <v>3</v>
      </c>
    </row>
    <row r="440" spans="1:16" x14ac:dyDescent="0.25">
      <c r="A440" s="4">
        <v>43591</v>
      </c>
      <c r="B440" t="s">
        <v>10</v>
      </c>
      <c r="C440">
        <v>1</v>
      </c>
      <c r="F440">
        <v>243</v>
      </c>
      <c r="J440">
        <v>0.93600000000000005</v>
      </c>
      <c r="K440">
        <v>30.4</v>
      </c>
      <c r="L440">
        <v>32.5</v>
      </c>
      <c r="M440">
        <v>195</v>
      </c>
      <c r="N440">
        <v>18</v>
      </c>
      <c r="O440">
        <v>3</v>
      </c>
    </row>
    <row r="441" spans="1:16" x14ac:dyDescent="0.25">
      <c r="A441" s="4">
        <v>43591</v>
      </c>
      <c r="B441" t="s">
        <v>9</v>
      </c>
      <c r="C441">
        <v>1</v>
      </c>
      <c r="F441">
        <v>222</v>
      </c>
      <c r="J441">
        <v>0.748</v>
      </c>
      <c r="K441">
        <v>27.8</v>
      </c>
      <c r="L441">
        <v>37.1</v>
      </c>
      <c r="M441">
        <v>141</v>
      </c>
      <c r="N441">
        <v>22</v>
      </c>
      <c r="O441">
        <v>9</v>
      </c>
      <c r="P441">
        <v>1</v>
      </c>
    </row>
    <row r="442" spans="1:16" x14ac:dyDescent="0.25">
      <c r="A442" s="4">
        <v>43591</v>
      </c>
      <c r="B442" t="s">
        <v>9</v>
      </c>
      <c r="C442">
        <v>2</v>
      </c>
      <c r="F442">
        <v>253</v>
      </c>
      <c r="J442">
        <v>0.88100000000000001</v>
      </c>
      <c r="K442">
        <v>31.6</v>
      </c>
      <c r="L442">
        <v>35.9</v>
      </c>
      <c r="M442">
        <v>219</v>
      </c>
      <c r="N442">
        <v>8</v>
      </c>
      <c r="O442">
        <v>4</v>
      </c>
    </row>
    <row r="443" spans="1:16" x14ac:dyDescent="0.25">
      <c r="A443" s="4">
        <v>43591</v>
      </c>
      <c r="B443" t="s">
        <v>10</v>
      </c>
      <c r="C443" t="s">
        <v>78</v>
      </c>
      <c r="F443">
        <v>243</v>
      </c>
      <c r="J443">
        <v>0.93600000000000005</v>
      </c>
      <c r="K443">
        <v>30.4</v>
      </c>
      <c r="L443">
        <v>32.5</v>
      </c>
      <c r="M443">
        <v>195</v>
      </c>
      <c r="N443">
        <v>18</v>
      </c>
      <c r="O443">
        <v>3</v>
      </c>
    </row>
    <row r="444" spans="1:16" x14ac:dyDescent="0.25">
      <c r="A444" s="4">
        <v>43591</v>
      </c>
      <c r="B444" t="s">
        <v>9</v>
      </c>
      <c r="C444" t="s">
        <v>78</v>
      </c>
      <c r="F444">
        <v>475</v>
      </c>
      <c r="J444">
        <v>0.81399999999999995</v>
      </c>
      <c r="K444">
        <v>29.7</v>
      </c>
      <c r="L444">
        <v>36.5</v>
      </c>
      <c r="M444">
        <v>360</v>
      </c>
      <c r="N444">
        <v>30</v>
      </c>
      <c r="O444">
        <v>13</v>
      </c>
      <c r="P444">
        <v>1</v>
      </c>
    </row>
    <row r="445" spans="1:16" x14ac:dyDescent="0.25">
      <c r="A445" s="4">
        <v>43592</v>
      </c>
      <c r="B445" t="s">
        <v>10</v>
      </c>
      <c r="C445">
        <v>1</v>
      </c>
      <c r="F445">
        <v>222</v>
      </c>
      <c r="J445">
        <v>0.82599999999999996</v>
      </c>
      <c r="K445">
        <v>27.8</v>
      </c>
      <c r="L445">
        <v>33.6</v>
      </c>
      <c r="M445">
        <v>147</v>
      </c>
      <c r="N445">
        <v>24</v>
      </c>
      <c r="O445">
        <v>8</v>
      </c>
    </row>
    <row r="446" spans="1:16" x14ac:dyDescent="0.25">
      <c r="A446" s="4">
        <v>43592</v>
      </c>
      <c r="B446" t="s">
        <v>9</v>
      </c>
      <c r="C446">
        <v>1</v>
      </c>
      <c r="F446">
        <v>260</v>
      </c>
      <c r="J446">
        <v>0.84499999999999997</v>
      </c>
      <c r="K446">
        <v>32.5</v>
      </c>
      <c r="L446">
        <v>38.5</v>
      </c>
      <c r="M446">
        <v>162</v>
      </c>
      <c r="N446">
        <v>29</v>
      </c>
      <c r="O446">
        <v>10</v>
      </c>
    </row>
    <row r="447" spans="1:16" x14ac:dyDescent="0.25">
      <c r="A447" s="4">
        <v>43592</v>
      </c>
      <c r="B447" t="s">
        <v>9</v>
      </c>
      <c r="C447">
        <v>2</v>
      </c>
      <c r="F447">
        <v>295</v>
      </c>
      <c r="J447">
        <v>1.0529999999999999</v>
      </c>
      <c r="K447">
        <v>36.9</v>
      </c>
      <c r="L447">
        <v>35</v>
      </c>
      <c r="M447">
        <v>235</v>
      </c>
      <c r="N447">
        <v>12</v>
      </c>
      <c r="O447">
        <v>7</v>
      </c>
      <c r="P447">
        <v>1</v>
      </c>
    </row>
    <row r="448" spans="1:16" x14ac:dyDescent="0.25">
      <c r="A448" s="4">
        <v>43592</v>
      </c>
      <c r="B448" t="s">
        <v>10</v>
      </c>
      <c r="C448" t="s">
        <v>78</v>
      </c>
      <c r="F448">
        <v>222</v>
      </c>
      <c r="J448">
        <v>0.82599999999999996</v>
      </c>
      <c r="K448">
        <v>27.8</v>
      </c>
      <c r="L448">
        <v>33.6</v>
      </c>
      <c r="M448">
        <v>147</v>
      </c>
      <c r="N448">
        <v>24</v>
      </c>
      <c r="O448">
        <v>8</v>
      </c>
    </row>
    <row r="449" spans="1:16" x14ac:dyDescent="0.25">
      <c r="A449" s="4">
        <v>43592</v>
      </c>
      <c r="B449" t="s">
        <v>9</v>
      </c>
      <c r="C449" t="s">
        <v>78</v>
      </c>
      <c r="F449">
        <v>555</v>
      </c>
      <c r="J449">
        <v>0.94899999999999995</v>
      </c>
      <c r="K449">
        <v>34.700000000000003</v>
      </c>
      <c r="L449">
        <v>36.6</v>
      </c>
      <c r="M449">
        <v>397</v>
      </c>
      <c r="N449">
        <v>41</v>
      </c>
      <c r="O449">
        <v>17</v>
      </c>
      <c r="P449">
        <v>1</v>
      </c>
    </row>
    <row r="450" spans="1:16" x14ac:dyDescent="0.25">
      <c r="A450" s="4">
        <v>43593</v>
      </c>
      <c r="B450" t="s">
        <v>10</v>
      </c>
      <c r="C450">
        <v>1</v>
      </c>
      <c r="F450">
        <v>245</v>
      </c>
      <c r="J450">
        <v>0.82599999999999996</v>
      </c>
      <c r="K450">
        <v>30.6</v>
      </c>
      <c r="L450">
        <v>37.1</v>
      </c>
      <c r="M450">
        <v>144</v>
      </c>
      <c r="N450">
        <v>22</v>
      </c>
      <c r="O450">
        <v>4</v>
      </c>
      <c r="P450">
        <v>7</v>
      </c>
    </row>
    <row r="451" spans="1:16" x14ac:dyDescent="0.25">
      <c r="A451" s="4">
        <v>43593</v>
      </c>
      <c r="B451" t="s">
        <v>9</v>
      </c>
      <c r="C451">
        <v>1</v>
      </c>
      <c r="F451">
        <v>262</v>
      </c>
      <c r="J451">
        <v>0.81499999999999995</v>
      </c>
      <c r="K451">
        <v>32.799999999999997</v>
      </c>
      <c r="L451">
        <v>40.200000000000003</v>
      </c>
      <c r="M451">
        <v>143</v>
      </c>
      <c r="N451">
        <v>37</v>
      </c>
      <c r="O451">
        <v>9</v>
      </c>
      <c r="P451">
        <v>1</v>
      </c>
    </row>
    <row r="452" spans="1:16" x14ac:dyDescent="0.25">
      <c r="A452" s="4">
        <v>43593</v>
      </c>
      <c r="B452" t="s">
        <v>9</v>
      </c>
      <c r="C452">
        <v>2</v>
      </c>
      <c r="F452">
        <v>263</v>
      </c>
      <c r="J452">
        <v>0.98899999999999999</v>
      </c>
      <c r="K452">
        <v>32.9</v>
      </c>
      <c r="L452">
        <v>33.299999999999997</v>
      </c>
      <c r="M452">
        <v>238</v>
      </c>
      <c r="N452">
        <v>10</v>
      </c>
    </row>
    <row r="453" spans="1:16" x14ac:dyDescent="0.25">
      <c r="A453" s="4">
        <v>43593</v>
      </c>
      <c r="B453" t="s">
        <v>10</v>
      </c>
      <c r="C453" t="s">
        <v>78</v>
      </c>
      <c r="F453">
        <v>245</v>
      </c>
      <c r="J453">
        <v>0.82599999999999996</v>
      </c>
      <c r="K453">
        <v>30.6</v>
      </c>
      <c r="L453">
        <v>37.1</v>
      </c>
      <c r="M453">
        <v>144</v>
      </c>
      <c r="N453">
        <v>22</v>
      </c>
      <c r="O453">
        <v>4</v>
      </c>
      <c r="P453">
        <v>7</v>
      </c>
    </row>
    <row r="454" spans="1:16" x14ac:dyDescent="0.25">
      <c r="A454" s="4">
        <v>43593</v>
      </c>
      <c r="B454" t="s">
        <v>9</v>
      </c>
      <c r="C454" t="s">
        <v>78</v>
      </c>
      <c r="F454">
        <v>525</v>
      </c>
      <c r="J454">
        <v>0.90200000000000002</v>
      </c>
      <c r="K454">
        <v>32.799999999999997</v>
      </c>
      <c r="L454">
        <v>36.4</v>
      </c>
      <c r="M454">
        <v>381</v>
      </c>
      <c r="N454">
        <v>47</v>
      </c>
      <c r="O454">
        <v>9</v>
      </c>
      <c r="P454">
        <v>1</v>
      </c>
    </row>
    <row r="455" spans="1:16" x14ac:dyDescent="0.25">
      <c r="A455" s="4">
        <v>43593</v>
      </c>
      <c r="B455" t="s">
        <v>10</v>
      </c>
      <c r="C455">
        <v>1</v>
      </c>
      <c r="F455">
        <v>231</v>
      </c>
      <c r="J455">
        <v>0.86099999999999999</v>
      </c>
      <c r="K455">
        <v>28.9</v>
      </c>
      <c r="L455">
        <v>33.5</v>
      </c>
      <c r="M455">
        <v>175</v>
      </c>
      <c r="N455">
        <v>12</v>
      </c>
      <c r="O455">
        <v>8</v>
      </c>
      <c r="P455">
        <v>1</v>
      </c>
    </row>
    <row r="456" spans="1:16" x14ac:dyDescent="0.25">
      <c r="A456" s="4">
        <v>43593</v>
      </c>
      <c r="B456" t="s">
        <v>9</v>
      </c>
      <c r="C456">
        <v>1</v>
      </c>
      <c r="F456">
        <v>268</v>
      </c>
      <c r="J456">
        <v>0.876</v>
      </c>
      <c r="K456">
        <v>33.5</v>
      </c>
      <c r="L456">
        <v>38.299999999999997</v>
      </c>
      <c r="M456">
        <v>174</v>
      </c>
      <c r="N456">
        <v>25</v>
      </c>
      <c r="O456">
        <v>9</v>
      </c>
      <c r="P456">
        <v>1</v>
      </c>
    </row>
    <row r="457" spans="1:16" x14ac:dyDescent="0.25">
      <c r="A457" s="4">
        <v>43593</v>
      </c>
      <c r="B457" t="s">
        <v>9</v>
      </c>
      <c r="C457">
        <v>2</v>
      </c>
      <c r="F457">
        <v>297</v>
      </c>
      <c r="J457">
        <v>1</v>
      </c>
      <c r="K457">
        <v>37.1</v>
      </c>
      <c r="L457">
        <v>37.1</v>
      </c>
      <c r="M457">
        <v>190</v>
      </c>
      <c r="N457">
        <v>35</v>
      </c>
      <c r="O457">
        <v>8</v>
      </c>
    </row>
    <row r="458" spans="1:16" x14ac:dyDescent="0.25">
      <c r="A458" s="4">
        <v>43593</v>
      </c>
      <c r="B458" t="s">
        <v>10</v>
      </c>
      <c r="C458" t="s">
        <v>78</v>
      </c>
      <c r="F458">
        <v>231</v>
      </c>
      <c r="J458">
        <v>0.86099999999999999</v>
      </c>
      <c r="K458">
        <v>28.9</v>
      </c>
      <c r="L458">
        <v>33.5</v>
      </c>
      <c r="M458">
        <v>175</v>
      </c>
      <c r="N458">
        <v>12</v>
      </c>
      <c r="O458">
        <v>8</v>
      </c>
      <c r="P458">
        <v>1</v>
      </c>
    </row>
    <row r="459" spans="1:16" x14ac:dyDescent="0.25">
      <c r="A459" s="4">
        <v>43593</v>
      </c>
      <c r="B459" t="s">
        <v>9</v>
      </c>
      <c r="C459" t="s">
        <v>78</v>
      </c>
      <c r="F459">
        <v>565</v>
      </c>
      <c r="J459">
        <v>0.93799999999999994</v>
      </c>
      <c r="K459">
        <v>35.299999999999997</v>
      </c>
      <c r="L459">
        <v>37.700000000000003</v>
      </c>
      <c r="M459">
        <v>364</v>
      </c>
      <c r="N459">
        <v>60</v>
      </c>
      <c r="O459">
        <v>17</v>
      </c>
      <c r="P459">
        <v>1</v>
      </c>
    </row>
    <row r="460" spans="1:16" x14ac:dyDescent="0.25">
      <c r="A460" s="4">
        <v>43594</v>
      </c>
      <c r="B460" t="s">
        <v>10</v>
      </c>
      <c r="C460">
        <v>1</v>
      </c>
      <c r="F460">
        <v>216</v>
      </c>
      <c r="J460">
        <v>0.85499999999999998</v>
      </c>
      <c r="K460">
        <v>27</v>
      </c>
      <c r="L460">
        <v>31.6</v>
      </c>
      <c r="M460">
        <v>185</v>
      </c>
      <c r="N460">
        <v>10</v>
      </c>
      <c r="O460">
        <v>2</v>
      </c>
    </row>
    <row r="461" spans="1:16" x14ac:dyDescent="0.25">
      <c r="A461" s="4">
        <v>43594</v>
      </c>
      <c r="B461" t="s">
        <v>9</v>
      </c>
      <c r="C461">
        <v>1</v>
      </c>
      <c r="F461">
        <v>301</v>
      </c>
      <c r="J461">
        <v>1.012</v>
      </c>
      <c r="K461">
        <v>37.6</v>
      </c>
      <c r="L461">
        <v>37.200000000000003</v>
      </c>
      <c r="M461">
        <v>227</v>
      </c>
      <c r="N461">
        <v>13</v>
      </c>
      <c r="O461">
        <v>5</v>
      </c>
      <c r="P461">
        <v>4</v>
      </c>
    </row>
    <row r="462" spans="1:16" x14ac:dyDescent="0.25">
      <c r="A462" s="4">
        <v>43594</v>
      </c>
      <c r="B462" t="s">
        <v>9</v>
      </c>
      <c r="C462">
        <v>2</v>
      </c>
      <c r="F462">
        <v>287</v>
      </c>
      <c r="J462">
        <v>1.0329999999999999</v>
      </c>
      <c r="K462">
        <v>35.9</v>
      </c>
      <c r="L462">
        <v>34.700000000000003</v>
      </c>
      <c r="M462">
        <v>236</v>
      </c>
      <c r="N462">
        <v>19</v>
      </c>
      <c r="O462">
        <v>2</v>
      </c>
    </row>
    <row r="463" spans="1:16" x14ac:dyDescent="0.25">
      <c r="A463" s="4">
        <v>43594</v>
      </c>
      <c r="B463" t="s">
        <v>10</v>
      </c>
      <c r="C463" t="s">
        <v>78</v>
      </c>
      <c r="F463">
        <v>216</v>
      </c>
      <c r="J463">
        <v>0.85499999999999998</v>
      </c>
      <c r="K463">
        <v>27</v>
      </c>
      <c r="L463">
        <v>31.6</v>
      </c>
      <c r="M463">
        <v>185</v>
      </c>
      <c r="N463">
        <v>10</v>
      </c>
      <c r="O463">
        <v>2</v>
      </c>
    </row>
    <row r="464" spans="1:16" x14ac:dyDescent="0.25">
      <c r="A464" s="4">
        <v>43594</v>
      </c>
      <c r="B464" t="s">
        <v>9</v>
      </c>
      <c r="C464" t="s">
        <v>78</v>
      </c>
      <c r="F464">
        <v>588</v>
      </c>
      <c r="J464">
        <v>1.022</v>
      </c>
      <c r="K464">
        <v>36.799999999999997</v>
      </c>
      <c r="L464">
        <v>36</v>
      </c>
      <c r="M464">
        <v>463</v>
      </c>
      <c r="N464">
        <v>32</v>
      </c>
      <c r="O464">
        <v>7</v>
      </c>
      <c r="P464">
        <v>4</v>
      </c>
    </row>
    <row r="465" spans="1:16" x14ac:dyDescent="0.25">
      <c r="A465" s="4">
        <v>43595</v>
      </c>
      <c r="B465" t="s">
        <v>10</v>
      </c>
      <c r="C465">
        <v>1</v>
      </c>
      <c r="F465">
        <v>230</v>
      </c>
      <c r="J465">
        <v>0.84499999999999997</v>
      </c>
      <c r="K465">
        <v>28.8</v>
      </c>
      <c r="L465">
        <v>34</v>
      </c>
      <c r="M465">
        <v>171</v>
      </c>
      <c r="N465">
        <v>15</v>
      </c>
      <c r="O465">
        <v>6</v>
      </c>
      <c r="P465">
        <v>1</v>
      </c>
    </row>
    <row r="466" spans="1:16" x14ac:dyDescent="0.25">
      <c r="A466" s="4">
        <v>43595</v>
      </c>
      <c r="B466" t="s">
        <v>9</v>
      </c>
      <c r="C466">
        <v>1</v>
      </c>
      <c r="F466">
        <v>247</v>
      </c>
      <c r="J466">
        <v>0.78600000000000003</v>
      </c>
      <c r="K466">
        <v>30.9</v>
      </c>
      <c r="L466">
        <v>39.299999999999997</v>
      </c>
      <c r="M466">
        <v>161</v>
      </c>
      <c r="N466">
        <v>29</v>
      </c>
      <c r="O466">
        <v>2</v>
      </c>
      <c r="P466">
        <v>2</v>
      </c>
    </row>
    <row r="467" spans="1:16" x14ac:dyDescent="0.25">
      <c r="A467" s="4">
        <v>43595</v>
      </c>
      <c r="B467" t="s">
        <v>9</v>
      </c>
      <c r="C467">
        <v>2</v>
      </c>
      <c r="F467">
        <v>114</v>
      </c>
      <c r="J467">
        <v>0.81799999999999995</v>
      </c>
      <c r="K467">
        <v>28.5</v>
      </c>
      <c r="L467">
        <v>34.799999999999997</v>
      </c>
      <c r="M467">
        <v>94</v>
      </c>
      <c r="N467">
        <v>4</v>
      </c>
      <c r="O467">
        <v>3</v>
      </c>
    </row>
    <row r="468" spans="1:16" x14ac:dyDescent="0.25">
      <c r="A468" s="4">
        <v>43595</v>
      </c>
      <c r="B468" t="s">
        <v>10</v>
      </c>
      <c r="C468" t="s">
        <v>78</v>
      </c>
      <c r="F468">
        <v>346</v>
      </c>
      <c r="J468">
        <v>0.85299999999999998</v>
      </c>
      <c r="K468">
        <v>28.9</v>
      </c>
      <c r="L468">
        <v>33.9</v>
      </c>
      <c r="M468">
        <v>267</v>
      </c>
      <c r="N468">
        <v>21</v>
      </c>
      <c r="O468">
        <v>8</v>
      </c>
    </row>
    <row r="469" spans="1:16" x14ac:dyDescent="0.25">
      <c r="A469" s="4">
        <v>43595</v>
      </c>
      <c r="B469" t="s">
        <v>9</v>
      </c>
      <c r="C469" t="s">
        <v>78</v>
      </c>
      <c r="F469">
        <v>361</v>
      </c>
      <c r="J469">
        <v>0.79700000000000004</v>
      </c>
      <c r="K469">
        <v>30.1</v>
      </c>
      <c r="L469">
        <v>37.799999999999997</v>
      </c>
      <c r="M469">
        <v>255</v>
      </c>
      <c r="N469">
        <v>33</v>
      </c>
      <c r="O469">
        <v>5</v>
      </c>
      <c r="P469">
        <v>2</v>
      </c>
    </row>
    <row r="470" spans="1:16" x14ac:dyDescent="0.25">
      <c r="A470" s="4">
        <v>43595</v>
      </c>
      <c r="B470" t="s">
        <v>10</v>
      </c>
      <c r="C470">
        <v>2</v>
      </c>
      <c r="F470">
        <v>116</v>
      </c>
      <c r="J470">
        <v>0.86</v>
      </c>
      <c r="K470">
        <v>29</v>
      </c>
      <c r="L470">
        <v>33.700000000000003</v>
      </c>
      <c r="M470">
        <v>96</v>
      </c>
      <c r="N470">
        <v>6</v>
      </c>
      <c r="O470">
        <v>2</v>
      </c>
    </row>
    <row r="471" spans="1:16" x14ac:dyDescent="0.25">
      <c r="A471" s="4">
        <v>43598</v>
      </c>
      <c r="B471" t="s">
        <v>10</v>
      </c>
      <c r="C471">
        <v>1</v>
      </c>
      <c r="F471">
        <v>231</v>
      </c>
      <c r="J471">
        <v>0.83899999999999997</v>
      </c>
      <c r="K471">
        <v>28.9</v>
      </c>
      <c r="L471">
        <v>34.4</v>
      </c>
      <c r="M471">
        <v>173</v>
      </c>
      <c r="N471">
        <v>13</v>
      </c>
      <c r="O471">
        <v>4</v>
      </c>
      <c r="P471">
        <v>3</v>
      </c>
    </row>
    <row r="472" spans="1:16" x14ac:dyDescent="0.25">
      <c r="A472" s="4">
        <v>43598</v>
      </c>
      <c r="B472" t="s">
        <v>9</v>
      </c>
      <c r="C472">
        <v>1</v>
      </c>
      <c r="F472">
        <v>267</v>
      </c>
      <c r="J472">
        <v>0.79700000000000004</v>
      </c>
      <c r="K472">
        <v>33.4</v>
      </c>
      <c r="L472">
        <v>41.9</v>
      </c>
      <c r="M472">
        <v>141</v>
      </c>
      <c r="N472">
        <v>30</v>
      </c>
      <c r="O472">
        <v>9</v>
      </c>
      <c r="P472">
        <v>4</v>
      </c>
    </row>
    <row r="473" spans="1:16" x14ac:dyDescent="0.25">
      <c r="A473" s="4">
        <v>43598</v>
      </c>
      <c r="B473" t="s">
        <v>9</v>
      </c>
      <c r="C473">
        <v>2</v>
      </c>
      <c r="F473">
        <v>313</v>
      </c>
      <c r="J473">
        <v>1.081</v>
      </c>
      <c r="K473">
        <v>39.1</v>
      </c>
      <c r="L473">
        <v>36.200000000000003</v>
      </c>
      <c r="M473">
        <v>242</v>
      </c>
      <c r="N473">
        <v>17</v>
      </c>
      <c r="O473">
        <v>6</v>
      </c>
      <c r="P473">
        <v>1</v>
      </c>
    </row>
    <row r="474" spans="1:16" x14ac:dyDescent="0.25">
      <c r="A474" s="4">
        <v>43598</v>
      </c>
      <c r="B474" t="s">
        <v>10</v>
      </c>
      <c r="C474" t="s">
        <v>78</v>
      </c>
      <c r="F474">
        <v>231</v>
      </c>
      <c r="J474">
        <v>0.83899999999999997</v>
      </c>
      <c r="K474">
        <v>28.9</v>
      </c>
      <c r="L474">
        <v>34.4</v>
      </c>
      <c r="M474">
        <v>173</v>
      </c>
      <c r="N474">
        <v>13</v>
      </c>
      <c r="O474">
        <v>4</v>
      </c>
      <c r="P474">
        <v>3</v>
      </c>
    </row>
    <row r="475" spans="1:16" x14ac:dyDescent="0.25">
      <c r="A475" s="4">
        <v>43598</v>
      </c>
      <c r="B475" t="s">
        <v>9</v>
      </c>
      <c r="C475" t="s">
        <v>78</v>
      </c>
      <c r="F475">
        <v>580</v>
      </c>
      <c r="J475">
        <v>9.39</v>
      </c>
      <c r="K475">
        <v>36.299999999999997</v>
      </c>
      <c r="L475">
        <v>38.6</v>
      </c>
      <c r="M475">
        <v>383</v>
      </c>
      <c r="N475">
        <v>47</v>
      </c>
      <c r="O475">
        <v>15</v>
      </c>
      <c r="P475">
        <v>5</v>
      </c>
    </row>
    <row r="476" spans="1:16" x14ac:dyDescent="0.25">
      <c r="A476" s="4">
        <v>43599</v>
      </c>
      <c r="B476" t="s">
        <v>10</v>
      </c>
      <c r="C476">
        <v>1</v>
      </c>
      <c r="F476">
        <v>231</v>
      </c>
      <c r="J476">
        <v>0.86099999999999999</v>
      </c>
      <c r="K476">
        <v>28.9</v>
      </c>
      <c r="L476">
        <v>33.5</v>
      </c>
      <c r="M476">
        <v>175</v>
      </c>
      <c r="N476">
        <v>12</v>
      </c>
      <c r="O476">
        <v>8</v>
      </c>
      <c r="P476">
        <v>1</v>
      </c>
    </row>
    <row r="477" spans="1:16" x14ac:dyDescent="0.25">
      <c r="A477" s="4">
        <v>43599</v>
      </c>
      <c r="B477" t="s">
        <v>9</v>
      </c>
      <c r="C477">
        <v>1</v>
      </c>
      <c r="F477">
        <v>268</v>
      </c>
      <c r="J477">
        <v>0.876</v>
      </c>
      <c r="K477">
        <v>33.5</v>
      </c>
      <c r="L477">
        <v>38.299999999999997</v>
      </c>
      <c r="M477">
        <v>174</v>
      </c>
      <c r="N477">
        <v>25</v>
      </c>
      <c r="O477">
        <v>9</v>
      </c>
      <c r="P477">
        <v>1</v>
      </c>
    </row>
    <row r="478" spans="1:16" x14ac:dyDescent="0.25">
      <c r="A478" s="4">
        <v>43599</v>
      </c>
      <c r="B478" t="s">
        <v>9</v>
      </c>
      <c r="C478">
        <v>2</v>
      </c>
      <c r="F478">
        <v>297</v>
      </c>
      <c r="J478">
        <v>1</v>
      </c>
      <c r="K478">
        <v>37.1</v>
      </c>
      <c r="L478">
        <v>37.1</v>
      </c>
      <c r="M478">
        <v>190</v>
      </c>
      <c r="N478">
        <v>35</v>
      </c>
      <c r="O478">
        <v>8</v>
      </c>
      <c r="P478">
        <v>0</v>
      </c>
    </row>
    <row r="479" spans="1:16" x14ac:dyDescent="0.25">
      <c r="A479" s="4">
        <v>43599</v>
      </c>
      <c r="B479" t="s">
        <v>10</v>
      </c>
      <c r="C479" t="s">
        <v>78</v>
      </c>
      <c r="F479">
        <v>231</v>
      </c>
      <c r="J479">
        <v>0.86099999999999999</v>
      </c>
      <c r="K479">
        <v>28.9</v>
      </c>
      <c r="L479">
        <v>33.5</v>
      </c>
      <c r="M479">
        <v>175</v>
      </c>
      <c r="N479">
        <v>12</v>
      </c>
      <c r="O479">
        <v>8</v>
      </c>
      <c r="P479">
        <v>1</v>
      </c>
    </row>
    <row r="480" spans="1:16" x14ac:dyDescent="0.25">
      <c r="A480" s="4">
        <v>43599</v>
      </c>
      <c r="B480" t="s">
        <v>9</v>
      </c>
      <c r="C480" t="s">
        <v>78</v>
      </c>
      <c r="F480">
        <v>565</v>
      </c>
      <c r="J480">
        <v>0.93799999999999994</v>
      </c>
      <c r="K480">
        <v>35.299999999999997</v>
      </c>
      <c r="L480">
        <v>37.700000000000003</v>
      </c>
      <c r="M480">
        <v>364</v>
      </c>
      <c r="N480">
        <v>60</v>
      </c>
      <c r="O480">
        <v>17</v>
      </c>
      <c r="P480">
        <v>1</v>
      </c>
    </row>
    <row r="481" spans="1:16" x14ac:dyDescent="0.25">
      <c r="A481" s="4">
        <v>43600</v>
      </c>
      <c r="B481" t="s">
        <v>10</v>
      </c>
      <c r="C481">
        <v>1</v>
      </c>
      <c r="F481">
        <v>222</v>
      </c>
      <c r="J481">
        <v>0.85599999999999998</v>
      </c>
      <c r="K481">
        <v>27.8</v>
      </c>
      <c r="L481">
        <v>32.4</v>
      </c>
      <c r="M481">
        <v>182</v>
      </c>
      <c r="N481">
        <v>11</v>
      </c>
      <c r="O481">
        <v>5</v>
      </c>
    </row>
    <row r="482" spans="1:16" x14ac:dyDescent="0.25">
      <c r="A482" s="4">
        <v>43600</v>
      </c>
      <c r="B482" t="s">
        <v>9</v>
      </c>
      <c r="C482">
        <v>1</v>
      </c>
      <c r="F482">
        <v>228</v>
      </c>
      <c r="J482">
        <v>0.80700000000000005</v>
      </c>
      <c r="K482">
        <v>28.5</v>
      </c>
      <c r="L482">
        <v>35.299999999999997</v>
      </c>
      <c r="M482">
        <v>166</v>
      </c>
      <c r="N482">
        <v>18</v>
      </c>
      <c r="O482">
        <v>4</v>
      </c>
    </row>
    <row r="483" spans="1:16" x14ac:dyDescent="0.25">
      <c r="A483" s="4">
        <v>43600</v>
      </c>
      <c r="B483" t="s">
        <v>9</v>
      </c>
      <c r="C483">
        <v>2</v>
      </c>
      <c r="F483">
        <v>304</v>
      </c>
      <c r="J483">
        <v>0.99099999999999999</v>
      </c>
      <c r="K483">
        <v>38</v>
      </c>
      <c r="L483">
        <v>38.4</v>
      </c>
      <c r="M483">
        <v>186</v>
      </c>
      <c r="N483">
        <v>43</v>
      </c>
      <c r="O483">
        <v>7</v>
      </c>
    </row>
    <row r="484" spans="1:16" x14ac:dyDescent="0.25">
      <c r="A484" s="4">
        <v>43600</v>
      </c>
      <c r="B484" t="s">
        <v>10</v>
      </c>
      <c r="C484" t="s">
        <v>78</v>
      </c>
      <c r="F484">
        <v>222</v>
      </c>
      <c r="J484">
        <v>0.85599999999999998</v>
      </c>
      <c r="K484">
        <v>27.8</v>
      </c>
      <c r="L484">
        <v>32.4</v>
      </c>
      <c r="M484">
        <v>182</v>
      </c>
      <c r="N484">
        <v>11</v>
      </c>
      <c r="O484">
        <v>5</v>
      </c>
    </row>
    <row r="485" spans="1:16" x14ac:dyDescent="0.25">
      <c r="A485" s="4">
        <v>43600</v>
      </c>
      <c r="B485" t="s">
        <v>9</v>
      </c>
      <c r="C485" t="s">
        <v>78</v>
      </c>
      <c r="F485">
        <v>532</v>
      </c>
      <c r="J485">
        <v>0.89900000000000002</v>
      </c>
      <c r="K485">
        <v>33.299999999999997</v>
      </c>
      <c r="L485">
        <v>37</v>
      </c>
      <c r="M485">
        <v>352</v>
      </c>
      <c r="N485">
        <v>61</v>
      </c>
      <c r="O485">
        <v>11</v>
      </c>
    </row>
    <row r="486" spans="1:16" x14ac:dyDescent="0.25">
      <c r="A486" s="4">
        <v>43601</v>
      </c>
      <c r="B486" t="s">
        <v>10</v>
      </c>
      <c r="C486">
        <v>1</v>
      </c>
      <c r="F486">
        <v>233</v>
      </c>
      <c r="J486">
        <v>0.85899999999999999</v>
      </c>
      <c r="K486">
        <v>29.1</v>
      </c>
      <c r="L486">
        <v>33.9</v>
      </c>
      <c r="M486">
        <v>162</v>
      </c>
      <c r="N486">
        <v>18</v>
      </c>
      <c r="O486">
        <v>7</v>
      </c>
      <c r="P486">
        <v>2</v>
      </c>
    </row>
    <row r="487" spans="1:16" x14ac:dyDescent="0.25">
      <c r="A487" s="4">
        <v>43601</v>
      </c>
      <c r="B487" t="s">
        <v>9</v>
      </c>
      <c r="C487">
        <v>1</v>
      </c>
      <c r="F487">
        <v>17</v>
      </c>
      <c r="J487">
        <v>0.47599999999999998</v>
      </c>
      <c r="K487">
        <v>17</v>
      </c>
      <c r="L487">
        <v>35.700000000000003</v>
      </c>
      <c r="M487">
        <v>15</v>
      </c>
      <c r="N487">
        <v>1</v>
      </c>
    </row>
    <row r="488" spans="1:16" x14ac:dyDescent="0.25">
      <c r="A488" s="4">
        <v>43601</v>
      </c>
      <c r="B488" t="s">
        <v>9</v>
      </c>
      <c r="C488">
        <v>2</v>
      </c>
      <c r="F488">
        <v>249</v>
      </c>
      <c r="J488">
        <v>0.86</v>
      </c>
      <c r="K488">
        <v>31.1</v>
      </c>
      <c r="L488">
        <v>36.200000000000003</v>
      </c>
      <c r="M488">
        <v>169</v>
      </c>
      <c r="N488">
        <v>25</v>
      </c>
      <c r="O488">
        <v>9</v>
      </c>
    </row>
    <row r="489" spans="1:16" x14ac:dyDescent="0.25">
      <c r="A489" s="4">
        <v>43601</v>
      </c>
      <c r="B489" t="s">
        <v>10</v>
      </c>
      <c r="C489" t="s">
        <v>78</v>
      </c>
      <c r="F489">
        <v>233</v>
      </c>
      <c r="J489">
        <v>0.85899999999999999</v>
      </c>
      <c r="K489">
        <v>29.1</v>
      </c>
      <c r="L489">
        <v>33.9</v>
      </c>
      <c r="M489">
        <v>162</v>
      </c>
      <c r="N489">
        <v>18</v>
      </c>
      <c r="O489">
        <v>7</v>
      </c>
      <c r="P489">
        <v>2</v>
      </c>
    </row>
    <row r="490" spans="1:16" x14ac:dyDescent="0.25">
      <c r="A490" s="4">
        <v>43601</v>
      </c>
      <c r="B490" t="s">
        <v>9</v>
      </c>
      <c r="C490" t="s">
        <v>78</v>
      </c>
      <c r="F490">
        <v>266</v>
      </c>
      <c r="J490">
        <v>0.81699999999999995</v>
      </c>
      <c r="K490">
        <v>29.6</v>
      </c>
      <c r="L490">
        <v>36.200000000000003</v>
      </c>
      <c r="M490">
        <v>184</v>
      </c>
      <c r="N490">
        <v>26</v>
      </c>
      <c r="O490">
        <v>9</v>
      </c>
    </row>
    <row r="491" spans="1:16" x14ac:dyDescent="0.25">
      <c r="A491" s="4">
        <v>43602</v>
      </c>
      <c r="B491" t="s">
        <v>10</v>
      </c>
      <c r="C491">
        <v>1</v>
      </c>
      <c r="F491">
        <v>319</v>
      </c>
      <c r="J491">
        <v>0.85599999999999998</v>
      </c>
      <c r="K491">
        <v>26.6</v>
      </c>
      <c r="L491">
        <v>31.1</v>
      </c>
      <c r="M491">
        <v>275</v>
      </c>
      <c r="N491">
        <v>15</v>
      </c>
      <c r="O491">
        <v>4</v>
      </c>
    </row>
    <row r="492" spans="1:16" x14ac:dyDescent="0.25">
      <c r="A492" s="4">
        <v>43602</v>
      </c>
      <c r="B492" t="s">
        <v>9</v>
      </c>
      <c r="C492">
        <v>1</v>
      </c>
      <c r="F492">
        <v>228</v>
      </c>
      <c r="J492">
        <v>0.77700000000000002</v>
      </c>
      <c r="K492">
        <v>28.5</v>
      </c>
      <c r="L492">
        <v>36.700000000000003</v>
      </c>
      <c r="M492">
        <v>152</v>
      </c>
      <c r="N492">
        <v>19</v>
      </c>
      <c r="O492">
        <v>7</v>
      </c>
      <c r="P492">
        <v>1</v>
      </c>
    </row>
    <row r="493" spans="1:16" x14ac:dyDescent="0.25">
      <c r="A493" s="4">
        <v>43602</v>
      </c>
      <c r="B493" t="s">
        <v>9</v>
      </c>
      <c r="C493">
        <v>2</v>
      </c>
      <c r="F493">
        <v>282</v>
      </c>
      <c r="J493">
        <v>1.0149999999999999</v>
      </c>
      <c r="K493">
        <v>35.299999999999997</v>
      </c>
      <c r="L493">
        <v>34.700000000000003</v>
      </c>
      <c r="M493">
        <v>222</v>
      </c>
      <c r="N493">
        <v>24</v>
      </c>
      <c r="O493">
        <v>2</v>
      </c>
    </row>
    <row r="494" spans="1:16" x14ac:dyDescent="0.25">
      <c r="A494" s="4">
        <v>43602</v>
      </c>
      <c r="B494" t="s">
        <v>10</v>
      </c>
      <c r="C494" t="s">
        <v>78</v>
      </c>
      <c r="F494">
        <v>319</v>
      </c>
      <c r="J494">
        <v>0.85599999999999998</v>
      </c>
      <c r="K494">
        <v>26.6</v>
      </c>
      <c r="L494">
        <v>31.1</v>
      </c>
      <c r="M494">
        <v>275</v>
      </c>
      <c r="N494">
        <v>15</v>
      </c>
      <c r="O494">
        <v>4</v>
      </c>
    </row>
    <row r="495" spans="1:16" x14ac:dyDescent="0.25">
      <c r="A495" s="4">
        <v>43602</v>
      </c>
      <c r="B495" t="s">
        <v>9</v>
      </c>
      <c r="C495" t="s">
        <v>78</v>
      </c>
      <c r="F495">
        <v>510</v>
      </c>
      <c r="J495">
        <v>0.89600000000000002</v>
      </c>
      <c r="K495">
        <v>31.9</v>
      </c>
      <c r="L495">
        <v>35.6</v>
      </c>
      <c r="M495">
        <v>374</v>
      </c>
      <c r="N495">
        <v>43</v>
      </c>
      <c r="O495">
        <v>9</v>
      </c>
      <c r="P495">
        <v>1</v>
      </c>
    </row>
    <row r="496" spans="1:16" x14ac:dyDescent="0.25">
      <c r="A496" s="4">
        <v>43605</v>
      </c>
      <c r="B496" t="s">
        <v>10</v>
      </c>
      <c r="C496">
        <v>1</v>
      </c>
      <c r="F496">
        <v>212</v>
      </c>
      <c r="J496">
        <v>0.755</v>
      </c>
      <c r="K496">
        <v>26.5</v>
      </c>
      <c r="L496">
        <v>35.1</v>
      </c>
      <c r="M496">
        <v>133</v>
      </c>
      <c r="N496">
        <v>12</v>
      </c>
      <c r="O496">
        <v>15</v>
      </c>
    </row>
    <row r="497" spans="1:16" x14ac:dyDescent="0.25">
      <c r="A497" s="4">
        <v>43605</v>
      </c>
      <c r="B497" t="s">
        <v>9</v>
      </c>
      <c r="C497">
        <v>1</v>
      </c>
      <c r="F497">
        <v>249</v>
      </c>
      <c r="J497">
        <v>0.76700000000000002</v>
      </c>
      <c r="K497">
        <v>31.1</v>
      </c>
      <c r="L497">
        <v>40.6</v>
      </c>
      <c r="M497">
        <v>118</v>
      </c>
      <c r="N497">
        <v>39</v>
      </c>
      <c r="O497">
        <v>11</v>
      </c>
      <c r="P497">
        <v>1</v>
      </c>
    </row>
    <row r="498" spans="1:16" x14ac:dyDescent="0.25">
      <c r="A498" s="4">
        <v>43605</v>
      </c>
      <c r="B498" t="s">
        <v>9</v>
      </c>
      <c r="C498">
        <v>2</v>
      </c>
      <c r="F498">
        <v>280</v>
      </c>
      <c r="J498">
        <v>0.97399999999999998</v>
      </c>
      <c r="K498">
        <v>35</v>
      </c>
      <c r="L498">
        <v>36</v>
      </c>
      <c r="M498">
        <v>219</v>
      </c>
      <c r="N498">
        <v>21</v>
      </c>
      <c r="O498">
        <v>4</v>
      </c>
    </row>
    <row r="499" spans="1:16" x14ac:dyDescent="0.25">
      <c r="A499" s="4">
        <v>43605</v>
      </c>
      <c r="B499" t="s">
        <v>10</v>
      </c>
      <c r="C499" t="s">
        <v>78</v>
      </c>
      <c r="F499">
        <v>212</v>
      </c>
      <c r="J499">
        <v>0.755</v>
      </c>
      <c r="K499">
        <v>26.5</v>
      </c>
      <c r="L499">
        <v>35.1</v>
      </c>
      <c r="M499">
        <v>133</v>
      </c>
      <c r="N499">
        <v>12</v>
      </c>
      <c r="O499">
        <v>15</v>
      </c>
    </row>
    <row r="500" spans="1:16" x14ac:dyDescent="0.25">
      <c r="A500" s="4">
        <v>43605</v>
      </c>
      <c r="B500" t="s">
        <v>9</v>
      </c>
      <c r="C500" t="s">
        <v>78</v>
      </c>
      <c r="F500">
        <v>529</v>
      </c>
      <c r="J500">
        <v>0.87</v>
      </c>
      <c r="K500">
        <v>33.1</v>
      </c>
      <c r="L500">
        <v>38</v>
      </c>
      <c r="M500">
        <v>337</v>
      </c>
      <c r="N500">
        <v>60</v>
      </c>
      <c r="O500">
        <v>15</v>
      </c>
      <c r="P500">
        <v>1</v>
      </c>
    </row>
    <row r="501" spans="1:16" x14ac:dyDescent="0.25">
      <c r="A501" s="4">
        <v>43606</v>
      </c>
      <c r="B501" t="s">
        <v>10</v>
      </c>
      <c r="C501">
        <v>1</v>
      </c>
      <c r="F501">
        <v>283</v>
      </c>
      <c r="J501">
        <v>0.79700000000000004</v>
      </c>
      <c r="K501">
        <v>28.3</v>
      </c>
      <c r="L501">
        <v>35.5</v>
      </c>
      <c r="M501">
        <v>182</v>
      </c>
      <c r="N501">
        <v>32</v>
      </c>
      <c r="O501">
        <v>9</v>
      </c>
      <c r="P501">
        <v>1</v>
      </c>
    </row>
    <row r="502" spans="1:16" x14ac:dyDescent="0.25">
      <c r="A502" s="4">
        <v>43606</v>
      </c>
      <c r="B502" t="s">
        <v>9</v>
      </c>
      <c r="C502">
        <v>1</v>
      </c>
      <c r="F502">
        <v>262</v>
      </c>
      <c r="J502">
        <v>0.878</v>
      </c>
      <c r="K502">
        <v>32.799999999999997</v>
      </c>
      <c r="L502">
        <v>37.299999999999997</v>
      </c>
      <c r="M502">
        <v>168</v>
      </c>
      <c r="N502">
        <v>33</v>
      </c>
      <c r="O502">
        <v>4</v>
      </c>
      <c r="P502">
        <v>1</v>
      </c>
    </row>
    <row r="503" spans="1:16" x14ac:dyDescent="0.25">
      <c r="A503" s="4">
        <v>43606</v>
      </c>
      <c r="B503" t="s">
        <v>9</v>
      </c>
      <c r="C503">
        <v>2</v>
      </c>
      <c r="F503">
        <v>264</v>
      </c>
      <c r="J503">
        <v>0.90400000000000003</v>
      </c>
      <c r="K503">
        <v>33</v>
      </c>
      <c r="L503">
        <v>36.5</v>
      </c>
      <c r="M503">
        <v>197</v>
      </c>
      <c r="N503">
        <v>25</v>
      </c>
      <c r="O503">
        <v>2</v>
      </c>
      <c r="P503">
        <v>1</v>
      </c>
    </row>
    <row r="504" spans="1:16" x14ac:dyDescent="0.25">
      <c r="A504" s="4">
        <v>43606</v>
      </c>
      <c r="B504" t="s">
        <v>10</v>
      </c>
      <c r="C504" t="s">
        <v>78</v>
      </c>
      <c r="F504">
        <v>283</v>
      </c>
      <c r="J504">
        <v>0.79700000000000004</v>
      </c>
      <c r="K504">
        <v>28.3</v>
      </c>
      <c r="L504">
        <v>35.5</v>
      </c>
      <c r="M504">
        <v>182</v>
      </c>
      <c r="N504">
        <v>32</v>
      </c>
      <c r="O504">
        <v>9</v>
      </c>
      <c r="P504">
        <v>1</v>
      </c>
    </row>
    <row r="505" spans="1:16" x14ac:dyDescent="0.25">
      <c r="A505" s="4">
        <v>43606</v>
      </c>
      <c r="B505" t="s">
        <v>9</v>
      </c>
      <c r="C505" t="s">
        <v>78</v>
      </c>
      <c r="F505">
        <v>526</v>
      </c>
      <c r="J505">
        <v>0.89100000000000001</v>
      </c>
      <c r="K505">
        <v>32.9</v>
      </c>
      <c r="L505">
        <v>36.9</v>
      </c>
      <c r="M505">
        <v>365</v>
      </c>
      <c r="N505">
        <v>58</v>
      </c>
      <c r="O505">
        <v>6</v>
      </c>
      <c r="P505">
        <v>2</v>
      </c>
    </row>
    <row r="506" spans="1:16" x14ac:dyDescent="0.25">
      <c r="A506" s="4">
        <v>43607</v>
      </c>
      <c r="B506" t="s">
        <v>10</v>
      </c>
      <c r="C506">
        <v>1</v>
      </c>
      <c r="F506">
        <v>284</v>
      </c>
      <c r="J506">
        <v>0.84699999999999998</v>
      </c>
      <c r="K506">
        <v>28.4</v>
      </c>
      <c r="L506">
        <v>33.5</v>
      </c>
      <c r="M506">
        <v>213</v>
      </c>
      <c r="N506">
        <v>30</v>
      </c>
      <c r="O506">
        <v>3</v>
      </c>
    </row>
    <row r="507" spans="1:16" x14ac:dyDescent="0.25">
      <c r="A507" s="4">
        <v>43607</v>
      </c>
      <c r="B507" t="s">
        <v>9</v>
      </c>
      <c r="C507">
        <v>1</v>
      </c>
      <c r="F507">
        <v>236</v>
      </c>
      <c r="J507">
        <v>0.77100000000000002</v>
      </c>
      <c r="K507">
        <v>29.5</v>
      </c>
      <c r="L507">
        <v>38.299999999999997</v>
      </c>
      <c r="M507">
        <v>161</v>
      </c>
      <c r="N507">
        <v>16</v>
      </c>
      <c r="O507">
        <v>7</v>
      </c>
      <c r="P507">
        <v>1</v>
      </c>
    </row>
    <row r="508" spans="1:16" x14ac:dyDescent="0.25">
      <c r="A508" s="4">
        <v>43607</v>
      </c>
      <c r="B508" t="s">
        <v>9</v>
      </c>
      <c r="C508">
        <v>2</v>
      </c>
      <c r="F508">
        <v>327</v>
      </c>
      <c r="J508">
        <v>1.121</v>
      </c>
      <c r="K508">
        <v>40.9</v>
      </c>
      <c r="L508">
        <v>36.5</v>
      </c>
      <c r="M508">
        <v>255</v>
      </c>
      <c r="N508">
        <v>21</v>
      </c>
      <c r="O508">
        <v>5</v>
      </c>
      <c r="P508">
        <v>1</v>
      </c>
    </row>
    <row r="509" spans="1:16" x14ac:dyDescent="0.25">
      <c r="A509" s="4">
        <v>43607</v>
      </c>
      <c r="B509" t="s">
        <v>10</v>
      </c>
      <c r="C509" t="s">
        <v>78</v>
      </c>
      <c r="F509">
        <v>284</v>
      </c>
      <c r="J509">
        <v>0.84699999999999998</v>
      </c>
      <c r="K509">
        <v>28.4</v>
      </c>
      <c r="L509">
        <v>33.5</v>
      </c>
      <c r="M509">
        <v>213</v>
      </c>
      <c r="N509">
        <v>30</v>
      </c>
      <c r="O509">
        <v>3</v>
      </c>
    </row>
    <row r="510" spans="1:16" x14ac:dyDescent="0.25">
      <c r="A510" s="4">
        <v>43607</v>
      </c>
      <c r="B510" t="s">
        <v>9</v>
      </c>
      <c r="C510" t="s">
        <v>78</v>
      </c>
      <c r="F510">
        <v>563</v>
      </c>
      <c r="J510">
        <v>0.94599999999999995</v>
      </c>
      <c r="K510">
        <v>35.200000000000003</v>
      </c>
      <c r="L510">
        <v>37.200000000000003</v>
      </c>
      <c r="M510">
        <v>416</v>
      </c>
      <c r="N510">
        <v>37</v>
      </c>
      <c r="O510">
        <v>12</v>
      </c>
      <c r="P510">
        <v>2</v>
      </c>
    </row>
    <row r="511" spans="1:16" x14ac:dyDescent="0.25">
      <c r="A511" s="4">
        <v>43608</v>
      </c>
      <c r="B511" t="s">
        <v>10</v>
      </c>
      <c r="C511">
        <v>1</v>
      </c>
      <c r="F511">
        <v>250</v>
      </c>
      <c r="J511">
        <v>0.75800000000000001</v>
      </c>
      <c r="K511">
        <v>25</v>
      </c>
      <c r="L511">
        <v>33</v>
      </c>
      <c r="M511">
        <v>196</v>
      </c>
      <c r="N511">
        <v>16</v>
      </c>
      <c r="O511">
        <v>6</v>
      </c>
    </row>
    <row r="512" spans="1:16" x14ac:dyDescent="0.25">
      <c r="A512" s="4">
        <v>43608</v>
      </c>
      <c r="B512" t="s">
        <v>9</v>
      </c>
      <c r="C512">
        <v>1</v>
      </c>
      <c r="F512">
        <v>212</v>
      </c>
      <c r="J512">
        <v>0.71599999999999997</v>
      </c>
      <c r="K512">
        <v>26.5</v>
      </c>
      <c r="L512">
        <v>37</v>
      </c>
      <c r="M512">
        <v>148</v>
      </c>
      <c r="N512">
        <v>17</v>
      </c>
      <c r="O512">
        <v>5</v>
      </c>
      <c r="P512">
        <v>1</v>
      </c>
    </row>
    <row r="513" spans="1:16" x14ac:dyDescent="0.25">
      <c r="A513" s="4">
        <v>43608</v>
      </c>
      <c r="B513" t="s">
        <v>9</v>
      </c>
      <c r="C513">
        <v>2</v>
      </c>
      <c r="F513">
        <v>291</v>
      </c>
      <c r="J513">
        <v>0.996</v>
      </c>
      <c r="K513">
        <v>36.4</v>
      </c>
      <c r="L513">
        <v>36.5</v>
      </c>
      <c r="M513">
        <v>217</v>
      </c>
      <c r="N513">
        <v>19</v>
      </c>
      <c r="O513">
        <v>6</v>
      </c>
      <c r="P513">
        <v>1</v>
      </c>
    </row>
    <row r="514" spans="1:16" x14ac:dyDescent="0.25">
      <c r="A514" s="4">
        <v>43608</v>
      </c>
      <c r="B514" t="s">
        <v>10</v>
      </c>
      <c r="C514" t="s">
        <v>78</v>
      </c>
      <c r="F514">
        <v>250</v>
      </c>
      <c r="J514">
        <v>0.75800000000000001</v>
      </c>
      <c r="K514">
        <v>25</v>
      </c>
      <c r="L514">
        <v>33</v>
      </c>
      <c r="M514">
        <v>196</v>
      </c>
      <c r="N514">
        <v>16</v>
      </c>
      <c r="O514">
        <v>6</v>
      </c>
    </row>
    <row r="515" spans="1:16" x14ac:dyDescent="0.25">
      <c r="A515" s="4">
        <v>43608</v>
      </c>
      <c r="B515" t="s">
        <v>9</v>
      </c>
      <c r="C515" t="s">
        <v>78</v>
      </c>
      <c r="F515">
        <v>503</v>
      </c>
      <c r="J515">
        <v>0.85599999999999998</v>
      </c>
      <c r="K515">
        <v>31.4</v>
      </c>
      <c r="L515">
        <v>36.700000000000003</v>
      </c>
      <c r="M515">
        <v>365</v>
      </c>
      <c r="N515">
        <v>36</v>
      </c>
      <c r="O515">
        <v>11</v>
      </c>
      <c r="P515">
        <v>2</v>
      </c>
    </row>
    <row r="516" spans="1:16" x14ac:dyDescent="0.25">
      <c r="A516" s="4">
        <v>43609</v>
      </c>
      <c r="B516" t="s">
        <v>10</v>
      </c>
      <c r="C516">
        <v>1</v>
      </c>
      <c r="F516">
        <v>194</v>
      </c>
      <c r="J516">
        <v>0.73099999999999998</v>
      </c>
      <c r="K516">
        <v>24.3</v>
      </c>
      <c r="L516">
        <v>33.200000000000003</v>
      </c>
      <c r="M516">
        <v>153</v>
      </c>
      <c r="N516">
        <v>14</v>
      </c>
      <c r="O516">
        <v>4</v>
      </c>
    </row>
    <row r="517" spans="1:16" x14ac:dyDescent="0.25">
      <c r="A517" s="4">
        <v>43609</v>
      </c>
      <c r="B517" t="s">
        <v>9</v>
      </c>
      <c r="C517">
        <v>1</v>
      </c>
      <c r="F517">
        <v>235</v>
      </c>
      <c r="J517">
        <v>0.77200000000000002</v>
      </c>
      <c r="K517">
        <v>29.4</v>
      </c>
      <c r="L517">
        <v>38</v>
      </c>
      <c r="M517">
        <v>145</v>
      </c>
      <c r="N517">
        <v>27</v>
      </c>
      <c r="O517">
        <v>7</v>
      </c>
      <c r="P517">
        <v>1</v>
      </c>
    </row>
    <row r="518" spans="1:16" x14ac:dyDescent="0.25">
      <c r="A518" s="4">
        <v>43609</v>
      </c>
      <c r="B518" t="s">
        <v>9</v>
      </c>
      <c r="C518">
        <v>2</v>
      </c>
      <c r="F518">
        <v>286</v>
      </c>
      <c r="J518">
        <v>1.0049999999999999</v>
      </c>
      <c r="K518">
        <v>35.799999999999997</v>
      </c>
      <c r="L518">
        <v>35.6</v>
      </c>
      <c r="M518">
        <v>217</v>
      </c>
      <c r="N518">
        <v>24</v>
      </c>
      <c r="O518">
        <v>3</v>
      </c>
    </row>
    <row r="519" spans="1:16" x14ac:dyDescent="0.25">
      <c r="A519" s="4">
        <v>43609</v>
      </c>
      <c r="B519" t="s">
        <v>10</v>
      </c>
      <c r="C519" t="s">
        <v>78</v>
      </c>
      <c r="F519">
        <v>194</v>
      </c>
      <c r="J519">
        <v>0.73099999999999998</v>
      </c>
      <c r="K519">
        <v>24.3</v>
      </c>
      <c r="L519">
        <v>33.200000000000003</v>
      </c>
      <c r="M519">
        <v>153</v>
      </c>
      <c r="N519">
        <v>14</v>
      </c>
      <c r="O519">
        <v>4</v>
      </c>
    </row>
    <row r="520" spans="1:16" x14ac:dyDescent="0.25">
      <c r="A520" s="4">
        <v>43609</v>
      </c>
      <c r="B520" t="s">
        <v>9</v>
      </c>
      <c r="C520" t="s">
        <v>78</v>
      </c>
      <c r="F520">
        <v>521</v>
      </c>
      <c r="J520">
        <v>0.88900000000000001</v>
      </c>
      <c r="K520">
        <v>32.6</v>
      </c>
      <c r="L520">
        <v>36.6</v>
      </c>
      <c r="M520">
        <v>362</v>
      </c>
      <c r="N520">
        <v>51</v>
      </c>
      <c r="O520">
        <v>10</v>
      </c>
      <c r="P520">
        <v>1</v>
      </c>
    </row>
    <row r="521" spans="1:16" x14ac:dyDescent="0.25">
      <c r="A521" s="4">
        <v>43613</v>
      </c>
      <c r="B521" t="s">
        <v>10</v>
      </c>
      <c r="C521">
        <v>1</v>
      </c>
      <c r="F521">
        <v>265</v>
      </c>
      <c r="J521">
        <v>0.78400000000000003</v>
      </c>
      <c r="K521">
        <v>26.5</v>
      </c>
      <c r="L521">
        <v>33.799999999999997</v>
      </c>
      <c r="M521">
        <v>210</v>
      </c>
      <c r="N521">
        <v>18</v>
      </c>
      <c r="O521">
        <v>5</v>
      </c>
    </row>
    <row r="522" spans="1:16" x14ac:dyDescent="0.25">
      <c r="A522" s="4">
        <v>43613</v>
      </c>
      <c r="B522" t="s">
        <v>9</v>
      </c>
      <c r="C522">
        <v>1</v>
      </c>
      <c r="F522">
        <v>290</v>
      </c>
      <c r="J522">
        <v>0.93899999999999995</v>
      </c>
      <c r="K522">
        <v>36.299999999999997</v>
      </c>
      <c r="L522">
        <v>38.6</v>
      </c>
      <c r="M522">
        <v>169</v>
      </c>
      <c r="N522">
        <v>36</v>
      </c>
      <c r="O522">
        <v>12</v>
      </c>
      <c r="P522">
        <v>1</v>
      </c>
    </row>
    <row r="523" spans="1:16" x14ac:dyDescent="0.25">
      <c r="A523" s="4">
        <v>43613</v>
      </c>
      <c r="B523" t="s">
        <v>9</v>
      </c>
      <c r="C523">
        <v>2</v>
      </c>
      <c r="F523">
        <v>279</v>
      </c>
      <c r="J523">
        <v>0.90900000000000003</v>
      </c>
      <c r="K523">
        <v>34.9</v>
      </c>
      <c r="L523">
        <v>38.4</v>
      </c>
      <c r="M523">
        <v>175</v>
      </c>
      <c r="N523">
        <v>26</v>
      </c>
      <c r="O523">
        <v>13</v>
      </c>
    </row>
    <row r="524" spans="1:16" x14ac:dyDescent="0.25">
      <c r="A524" s="4">
        <v>43613</v>
      </c>
      <c r="B524" t="s">
        <v>10</v>
      </c>
      <c r="C524" t="s">
        <v>78</v>
      </c>
      <c r="F524">
        <v>265</v>
      </c>
      <c r="J524">
        <v>0.78400000000000003</v>
      </c>
      <c r="K524">
        <v>26.5</v>
      </c>
      <c r="L524">
        <v>33.799999999999997</v>
      </c>
      <c r="M524">
        <v>210</v>
      </c>
      <c r="N524">
        <v>18</v>
      </c>
      <c r="O524">
        <v>5</v>
      </c>
    </row>
    <row r="525" spans="1:16" x14ac:dyDescent="0.25">
      <c r="A525" s="4">
        <v>43613</v>
      </c>
      <c r="B525" t="s">
        <v>9</v>
      </c>
      <c r="C525" t="s">
        <v>78</v>
      </c>
      <c r="F525">
        <v>569</v>
      </c>
      <c r="J525">
        <v>0.92400000000000004</v>
      </c>
      <c r="K525">
        <v>35.6</v>
      </c>
      <c r="L525">
        <v>38.5</v>
      </c>
      <c r="M525">
        <v>344</v>
      </c>
      <c r="N525">
        <v>62</v>
      </c>
      <c r="O525">
        <v>25</v>
      </c>
      <c r="P525">
        <v>1</v>
      </c>
    </row>
    <row r="526" spans="1:16" x14ac:dyDescent="0.25">
      <c r="A526" s="4">
        <v>43614</v>
      </c>
      <c r="B526" t="s">
        <v>10</v>
      </c>
      <c r="C526">
        <v>1</v>
      </c>
      <c r="F526">
        <v>284</v>
      </c>
      <c r="J526">
        <v>0.85</v>
      </c>
      <c r="K526">
        <v>28.4</v>
      </c>
      <c r="L526">
        <v>33.4</v>
      </c>
      <c r="M526">
        <v>203</v>
      </c>
      <c r="N526">
        <v>24</v>
      </c>
      <c r="O526">
        <v>10</v>
      </c>
    </row>
    <row r="527" spans="1:16" x14ac:dyDescent="0.25">
      <c r="A527" s="4">
        <v>43614</v>
      </c>
      <c r="B527" t="s">
        <v>9</v>
      </c>
      <c r="C527">
        <v>1</v>
      </c>
      <c r="F527">
        <v>284</v>
      </c>
      <c r="J527">
        <v>0.97899999999999998</v>
      </c>
      <c r="K527">
        <v>35.5</v>
      </c>
      <c r="L527">
        <v>36.299999999999997</v>
      </c>
      <c r="M527">
        <v>200</v>
      </c>
      <c r="N527">
        <v>22</v>
      </c>
      <c r="O527">
        <v>12</v>
      </c>
    </row>
    <row r="528" spans="1:16" x14ac:dyDescent="0.25">
      <c r="A528" s="4">
        <v>43614</v>
      </c>
      <c r="B528" t="s">
        <v>9</v>
      </c>
      <c r="C528">
        <v>2</v>
      </c>
      <c r="F528">
        <v>300</v>
      </c>
      <c r="J528">
        <v>1.034</v>
      </c>
      <c r="K528">
        <v>37.5</v>
      </c>
      <c r="L528">
        <v>36.299999999999997</v>
      </c>
      <c r="M528">
        <v>210</v>
      </c>
      <c r="N528">
        <v>26</v>
      </c>
      <c r="O528">
        <v>8</v>
      </c>
    </row>
    <row r="529" spans="1:16" x14ac:dyDescent="0.25">
      <c r="A529" s="4">
        <v>43614</v>
      </c>
      <c r="B529" t="s">
        <v>10</v>
      </c>
      <c r="C529" t="s">
        <v>78</v>
      </c>
      <c r="F529">
        <v>284</v>
      </c>
      <c r="J529">
        <v>0.85</v>
      </c>
      <c r="K529">
        <v>28.4</v>
      </c>
      <c r="L529">
        <v>33.4</v>
      </c>
      <c r="M529">
        <v>203</v>
      </c>
      <c r="N529">
        <v>24</v>
      </c>
      <c r="O529">
        <v>10</v>
      </c>
    </row>
    <row r="530" spans="1:16" x14ac:dyDescent="0.25">
      <c r="A530" s="4">
        <v>43614</v>
      </c>
      <c r="B530" t="s">
        <v>9</v>
      </c>
      <c r="C530" t="s">
        <v>78</v>
      </c>
      <c r="F530">
        <v>584</v>
      </c>
      <c r="J530">
        <v>1.006</v>
      </c>
      <c r="K530">
        <v>36.5</v>
      </c>
      <c r="L530">
        <v>36.299999999999997</v>
      </c>
      <c r="M530">
        <v>410</v>
      </c>
      <c r="N530">
        <v>48</v>
      </c>
      <c r="O530">
        <v>20</v>
      </c>
    </row>
    <row r="531" spans="1:16" x14ac:dyDescent="0.25">
      <c r="A531" s="4">
        <v>43615</v>
      </c>
      <c r="B531" t="s">
        <v>10</v>
      </c>
      <c r="C531">
        <v>1</v>
      </c>
      <c r="F531">
        <v>271</v>
      </c>
      <c r="J531">
        <v>0.86</v>
      </c>
      <c r="K531">
        <v>27.1</v>
      </c>
      <c r="L531">
        <v>31.5</v>
      </c>
      <c r="M531">
        <v>218</v>
      </c>
      <c r="N531">
        <v>20</v>
      </c>
      <c r="O531">
        <v>2</v>
      </c>
      <c r="P531">
        <v>1</v>
      </c>
    </row>
    <row r="532" spans="1:16" x14ac:dyDescent="0.25">
      <c r="A532" s="4">
        <v>43615</v>
      </c>
      <c r="B532" t="s">
        <v>9</v>
      </c>
      <c r="C532">
        <v>1</v>
      </c>
      <c r="F532">
        <v>290</v>
      </c>
      <c r="J532">
        <v>0.99299999999999999</v>
      </c>
      <c r="K532">
        <v>36.299999999999997</v>
      </c>
      <c r="L532">
        <v>36.5</v>
      </c>
      <c r="M532">
        <v>210</v>
      </c>
      <c r="N532">
        <v>20</v>
      </c>
      <c r="O532">
        <v>8</v>
      </c>
      <c r="P532">
        <v>1</v>
      </c>
    </row>
    <row r="533" spans="1:16" x14ac:dyDescent="0.25">
      <c r="A533" s="4">
        <v>43615</v>
      </c>
      <c r="B533" t="s">
        <v>9</v>
      </c>
      <c r="C533">
        <v>2</v>
      </c>
      <c r="F533">
        <v>301</v>
      </c>
      <c r="J533">
        <v>1.08</v>
      </c>
      <c r="K533">
        <v>37.6</v>
      </c>
      <c r="L533">
        <v>34.799999999999997</v>
      </c>
      <c r="M533">
        <v>252</v>
      </c>
      <c r="N533">
        <v>18</v>
      </c>
      <c r="O533">
        <v>1</v>
      </c>
    </row>
    <row r="534" spans="1:16" x14ac:dyDescent="0.25">
      <c r="A534" s="4">
        <v>43615</v>
      </c>
      <c r="B534" t="s">
        <v>10</v>
      </c>
      <c r="C534" t="s">
        <v>78</v>
      </c>
      <c r="F534">
        <v>271</v>
      </c>
      <c r="J534">
        <v>0.86</v>
      </c>
      <c r="K534">
        <v>27.1</v>
      </c>
      <c r="L534">
        <v>31.5</v>
      </c>
      <c r="M534">
        <v>218</v>
      </c>
      <c r="N534">
        <v>20</v>
      </c>
      <c r="O534">
        <v>2</v>
      </c>
      <c r="P534">
        <v>1</v>
      </c>
    </row>
    <row r="535" spans="1:16" x14ac:dyDescent="0.25">
      <c r="A535" s="4">
        <v>43615</v>
      </c>
      <c r="B535" t="s">
        <v>9</v>
      </c>
      <c r="C535" t="s">
        <v>78</v>
      </c>
      <c r="F535">
        <v>591</v>
      </c>
      <c r="J535">
        <v>1.036</v>
      </c>
      <c r="K535">
        <v>36.9</v>
      </c>
      <c r="L535">
        <v>35.6</v>
      </c>
      <c r="M535">
        <v>462</v>
      </c>
      <c r="N535">
        <v>38</v>
      </c>
      <c r="O535">
        <v>9</v>
      </c>
      <c r="P535">
        <v>1</v>
      </c>
    </row>
    <row r="536" spans="1:16" x14ac:dyDescent="0.25">
      <c r="A536" s="4">
        <v>43616</v>
      </c>
      <c r="B536" t="s">
        <v>10</v>
      </c>
      <c r="C536">
        <v>1</v>
      </c>
      <c r="F536">
        <v>282</v>
      </c>
      <c r="J536">
        <v>0.88100000000000001</v>
      </c>
      <c r="K536">
        <v>28.2</v>
      </c>
      <c r="L536">
        <v>32</v>
      </c>
      <c r="M536">
        <v>229</v>
      </c>
      <c r="N536">
        <v>18</v>
      </c>
      <c r="O536">
        <v>3</v>
      </c>
      <c r="P536">
        <v>1</v>
      </c>
    </row>
    <row r="537" spans="1:16" x14ac:dyDescent="0.25">
      <c r="A537" s="4">
        <v>43616</v>
      </c>
      <c r="B537" t="s">
        <v>9</v>
      </c>
      <c r="C537">
        <v>1</v>
      </c>
      <c r="F537">
        <v>260</v>
      </c>
      <c r="J537">
        <v>0.91300000000000003</v>
      </c>
      <c r="K537">
        <v>32.5</v>
      </c>
      <c r="L537">
        <v>35.6</v>
      </c>
      <c r="M537">
        <v>200</v>
      </c>
      <c r="N537">
        <v>15</v>
      </c>
      <c r="O537">
        <v>8</v>
      </c>
    </row>
    <row r="538" spans="1:16" x14ac:dyDescent="0.25">
      <c r="A538" s="4">
        <v>43616</v>
      </c>
      <c r="B538" t="s">
        <v>9</v>
      </c>
      <c r="C538">
        <v>2</v>
      </c>
      <c r="F538">
        <v>278</v>
      </c>
      <c r="J538">
        <v>0.98899999999999999</v>
      </c>
      <c r="K538">
        <v>34.799999999999997</v>
      </c>
      <c r="L538">
        <v>35.1</v>
      </c>
      <c r="M538">
        <v>232</v>
      </c>
      <c r="N538">
        <v>19</v>
      </c>
    </row>
    <row r="539" spans="1:16" x14ac:dyDescent="0.25">
      <c r="A539" s="4">
        <v>43616</v>
      </c>
      <c r="B539" t="s">
        <v>10</v>
      </c>
      <c r="C539" t="s">
        <v>78</v>
      </c>
      <c r="F539">
        <v>282</v>
      </c>
      <c r="J539">
        <v>0.88100000000000001</v>
      </c>
      <c r="K539">
        <v>28.2</v>
      </c>
      <c r="L539">
        <v>32</v>
      </c>
      <c r="M539">
        <v>229</v>
      </c>
      <c r="N539">
        <v>18</v>
      </c>
      <c r="O539">
        <v>3</v>
      </c>
      <c r="P539">
        <v>1</v>
      </c>
    </row>
    <row r="540" spans="1:16" x14ac:dyDescent="0.25">
      <c r="A540" s="4">
        <v>43616</v>
      </c>
      <c r="B540" t="s">
        <v>9</v>
      </c>
      <c r="C540" t="s">
        <v>78</v>
      </c>
      <c r="F540">
        <v>538</v>
      </c>
      <c r="J540">
        <v>0.95099999999999996</v>
      </c>
      <c r="K540">
        <v>33.6</v>
      </c>
      <c r="L540">
        <v>35.4</v>
      </c>
      <c r="M540">
        <v>432</v>
      </c>
      <c r="N540">
        <v>34</v>
      </c>
      <c r="O540">
        <v>8</v>
      </c>
    </row>
    <row r="541" spans="1:16" x14ac:dyDescent="0.25">
      <c r="A541" s="4">
        <v>43619</v>
      </c>
      <c r="B541" t="s">
        <v>10</v>
      </c>
      <c r="C541">
        <v>1</v>
      </c>
      <c r="F541">
        <v>219</v>
      </c>
      <c r="J541">
        <v>0.79100000000000004</v>
      </c>
      <c r="K541">
        <v>27.4</v>
      </c>
      <c r="L541">
        <v>34.6</v>
      </c>
      <c r="M541">
        <v>167</v>
      </c>
      <c r="N541">
        <v>9</v>
      </c>
      <c r="O541">
        <v>7</v>
      </c>
      <c r="P541">
        <v>1</v>
      </c>
    </row>
    <row r="542" spans="1:16" x14ac:dyDescent="0.25">
      <c r="A542" s="4">
        <v>43619</v>
      </c>
      <c r="B542" t="s">
        <v>9</v>
      </c>
      <c r="C542">
        <v>1</v>
      </c>
      <c r="F542">
        <v>279</v>
      </c>
      <c r="J542">
        <v>0.95399999999999996</v>
      </c>
      <c r="K542">
        <v>34.9</v>
      </c>
      <c r="L542">
        <v>36.6</v>
      </c>
      <c r="M542">
        <v>215</v>
      </c>
      <c r="N542">
        <v>21</v>
      </c>
      <c r="O542">
        <v>5</v>
      </c>
    </row>
    <row r="543" spans="1:16" x14ac:dyDescent="0.25">
      <c r="A543" s="4">
        <v>43619</v>
      </c>
      <c r="B543" t="s">
        <v>9</v>
      </c>
      <c r="C543">
        <v>2</v>
      </c>
      <c r="F543">
        <v>302</v>
      </c>
      <c r="J543">
        <v>1.028</v>
      </c>
      <c r="K543">
        <v>37.799999999999997</v>
      </c>
      <c r="L543">
        <v>36.700000000000003</v>
      </c>
      <c r="M543">
        <v>231</v>
      </c>
      <c r="N543">
        <v>10</v>
      </c>
      <c r="O543">
        <v>6</v>
      </c>
      <c r="P543">
        <v>3</v>
      </c>
    </row>
    <row r="544" spans="1:16" x14ac:dyDescent="0.25">
      <c r="A544" s="4">
        <v>43619</v>
      </c>
      <c r="B544" t="s">
        <v>10</v>
      </c>
      <c r="C544" t="s">
        <v>78</v>
      </c>
      <c r="F544">
        <v>219</v>
      </c>
      <c r="J544">
        <v>0.79100000000000004</v>
      </c>
      <c r="K544">
        <v>27.4</v>
      </c>
      <c r="L544">
        <v>34.6</v>
      </c>
      <c r="M544">
        <v>167</v>
      </c>
      <c r="N544">
        <v>9</v>
      </c>
      <c r="O544">
        <v>7</v>
      </c>
      <c r="P544">
        <v>1</v>
      </c>
    </row>
    <row r="545" spans="1:16" x14ac:dyDescent="0.25">
      <c r="A545" s="4">
        <v>43619</v>
      </c>
      <c r="B545" t="s">
        <v>9</v>
      </c>
      <c r="C545" t="s">
        <v>78</v>
      </c>
      <c r="F545">
        <v>581</v>
      </c>
      <c r="J545">
        <v>0.99099999999999999</v>
      </c>
      <c r="K545">
        <v>36.299999999999997</v>
      </c>
      <c r="L545">
        <v>36.6</v>
      </c>
      <c r="M545">
        <v>446</v>
      </c>
      <c r="N545">
        <v>31</v>
      </c>
      <c r="O545">
        <v>11</v>
      </c>
      <c r="P545">
        <v>3</v>
      </c>
    </row>
    <row r="546" spans="1:16" x14ac:dyDescent="0.25">
      <c r="A546" s="4">
        <v>43620</v>
      </c>
      <c r="B546" t="s">
        <v>10</v>
      </c>
      <c r="C546">
        <v>1</v>
      </c>
      <c r="F546">
        <v>233</v>
      </c>
      <c r="J546">
        <v>0.879</v>
      </c>
      <c r="K546">
        <v>29.1</v>
      </c>
      <c r="L546">
        <v>33.1</v>
      </c>
      <c r="M546">
        <v>171</v>
      </c>
      <c r="N546">
        <v>18</v>
      </c>
      <c r="O546">
        <v>8</v>
      </c>
    </row>
    <row r="547" spans="1:16" x14ac:dyDescent="0.25">
      <c r="A547" s="4">
        <v>43620</v>
      </c>
      <c r="B547" t="s">
        <v>9</v>
      </c>
      <c r="C547">
        <v>1</v>
      </c>
      <c r="F547">
        <v>305</v>
      </c>
      <c r="J547">
        <v>1.0009999999999999</v>
      </c>
      <c r="K547">
        <v>38.1</v>
      </c>
      <c r="L547">
        <v>38.1</v>
      </c>
      <c r="M547">
        <v>187</v>
      </c>
      <c r="N547">
        <v>43</v>
      </c>
      <c r="O547">
        <v>9</v>
      </c>
    </row>
    <row r="548" spans="1:16" x14ac:dyDescent="0.25">
      <c r="A548" s="4">
        <v>43620</v>
      </c>
      <c r="B548" t="s">
        <v>9</v>
      </c>
      <c r="C548">
        <v>2</v>
      </c>
      <c r="F548">
        <v>343</v>
      </c>
      <c r="J548">
        <v>1.2070000000000001</v>
      </c>
      <c r="K548">
        <v>42.9</v>
      </c>
      <c r="L548">
        <v>35.5</v>
      </c>
      <c r="M548">
        <v>291</v>
      </c>
      <c r="N548">
        <v>14</v>
      </c>
      <c r="O548">
        <v>1</v>
      </c>
      <c r="P548">
        <v>1</v>
      </c>
    </row>
    <row r="549" spans="1:16" x14ac:dyDescent="0.25">
      <c r="A549" s="4">
        <v>43620</v>
      </c>
      <c r="B549" t="s">
        <v>10</v>
      </c>
      <c r="C549" t="s">
        <v>78</v>
      </c>
      <c r="F549">
        <v>233</v>
      </c>
      <c r="J549">
        <v>0.879</v>
      </c>
      <c r="K549">
        <v>29.1</v>
      </c>
      <c r="L549">
        <v>33.1</v>
      </c>
      <c r="M549">
        <v>171</v>
      </c>
      <c r="N549">
        <v>18</v>
      </c>
      <c r="O549">
        <v>8</v>
      </c>
    </row>
    <row r="550" spans="1:16" x14ac:dyDescent="0.25">
      <c r="A550" s="4">
        <v>43620</v>
      </c>
      <c r="B550" t="s">
        <v>9</v>
      </c>
      <c r="C550" t="s">
        <v>78</v>
      </c>
      <c r="F550">
        <v>648</v>
      </c>
      <c r="J550">
        <v>1.1040000000000001</v>
      </c>
      <c r="K550">
        <v>40.5</v>
      </c>
      <c r="L550">
        <v>36.700000000000003</v>
      </c>
      <c r="M550">
        <v>57</v>
      </c>
      <c r="N550">
        <v>10</v>
      </c>
      <c r="O550">
        <v>1</v>
      </c>
    </row>
    <row r="551" spans="1:16" x14ac:dyDescent="0.25">
      <c r="A551" s="4">
        <v>43621</v>
      </c>
      <c r="B551" t="s">
        <v>10</v>
      </c>
      <c r="C551">
        <v>1</v>
      </c>
      <c r="F551">
        <v>226</v>
      </c>
      <c r="J551">
        <v>0.85199999999999998</v>
      </c>
      <c r="K551">
        <v>28.3</v>
      </c>
      <c r="L551">
        <v>33.200000000000003</v>
      </c>
      <c r="M551">
        <v>178</v>
      </c>
      <c r="N551">
        <v>15</v>
      </c>
      <c r="O551">
        <v>5</v>
      </c>
    </row>
    <row r="552" spans="1:16" x14ac:dyDescent="0.25">
      <c r="A552" s="4">
        <v>43621</v>
      </c>
      <c r="B552" t="s">
        <v>9</v>
      </c>
      <c r="C552">
        <v>1</v>
      </c>
      <c r="F552">
        <v>282</v>
      </c>
      <c r="J552">
        <v>0.92200000000000004</v>
      </c>
      <c r="K552">
        <v>35.299999999999997</v>
      </c>
      <c r="L552">
        <v>38.299999999999997</v>
      </c>
      <c r="M552">
        <v>177</v>
      </c>
      <c r="N552">
        <v>244</v>
      </c>
      <c r="O552">
        <v>10</v>
      </c>
      <c r="P552">
        <v>3</v>
      </c>
    </row>
    <row r="553" spans="1:16" x14ac:dyDescent="0.25">
      <c r="A553" s="4">
        <v>43621</v>
      </c>
      <c r="B553" t="s">
        <v>9</v>
      </c>
      <c r="C553">
        <v>2</v>
      </c>
      <c r="F553">
        <v>287</v>
      </c>
      <c r="J553">
        <v>1.0169999999999999</v>
      </c>
      <c r="K553">
        <v>35.9</v>
      </c>
      <c r="L553">
        <v>35.299999999999997</v>
      </c>
      <c r="M553">
        <v>260</v>
      </c>
      <c r="N553">
        <v>8</v>
      </c>
      <c r="O553">
        <v>2</v>
      </c>
    </row>
    <row r="554" spans="1:16" x14ac:dyDescent="0.25">
      <c r="A554" s="4">
        <v>43621</v>
      </c>
      <c r="B554" t="s">
        <v>10</v>
      </c>
      <c r="C554" t="s">
        <v>78</v>
      </c>
      <c r="F554">
        <v>226</v>
      </c>
      <c r="J554">
        <v>0.85199999999999998</v>
      </c>
      <c r="K554">
        <v>28.3</v>
      </c>
      <c r="L554">
        <v>33.200000000000003</v>
      </c>
      <c r="M554">
        <v>178</v>
      </c>
      <c r="N554">
        <v>15</v>
      </c>
      <c r="O554">
        <v>5</v>
      </c>
    </row>
    <row r="555" spans="1:16" x14ac:dyDescent="0.25">
      <c r="A555" s="4">
        <v>43621</v>
      </c>
      <c r="B555" t="s">
        <v>9</v>
      </c>
      <c r="C555" t="s">
        <v>78</v>
      </c>
      <c r="F555">
        <v>569</v>
      </c>
      <c r="J555">
        <v>0.96899999999999997</v>
      </c>
      <c r="K555">
        <v>35.6</v>
      </c>
      <c r="L555">
        <v>36.700000000000003</v>
      </c>
      <c r="M555">
        <v>437</v>
      </c>
      <c r="N555">
        <v>32</v>
      </c>
      <c r="O555">
        <v>12</v>
      </c>
      <c r="P555">
        <v>3</v>
      </c>
    </row>
    <row r="556" spans="1:16" x14ac:dyDescent="0.25">
      <c r="A556" s="4">
        <v>43622</v>
      </c>
      <c r="B556" t="s">
        <v>10</v>
      </c>
      <c r="C556">
        <v>1</v>
      </c>
      <c r="F556">
        <v>213</v>
      </c>
      <c r="J556">
        <v>0.84399999999999997</v>
      </c>
      <c r="K556">
        <v>26.6</v>
      </c>
      <c r="L556">
        <v>31.6</v>
      </c>
      <c r="M556">
        <v>173</v>
      </c>
      <c r="N556">
        <v>17</v>
      </c>
      <c r="O556">
        <v>2</v>
      </c>
    </row>
    <row r="557" spans="1:16" x14ac:dyDescent="0.25">
      <c r="A557" s="4">
        <v>43622</v>
      </c>
      <c r="B557" t="s">
        <v>9</v>
      </c>
      <c r="C557">
        <v>1</v>
      </c>
      <c r="F557">
        <v>290</v>
      </c>
      <c r="J557">
        <v>0.96299999999999997</v>
      </c>
      <c r="K557">
        <v>36.299999999999997</v>
      </c>
      <c r="L557">
        <v>37.6</v>
      </c>
      <c r="M557">
        <v>186</v>
      </c>
      <c r="N557">
        <v>36</v>
      </c>
      <c r="O557">
        <v>6</v>
      </c>
      <c r="P557">
        <v>2</v>
      </c>
    </row>
    <row r="558" spans="1:16" x14ac:dyDescent="0.25">
      <c r="A558" s="4">
        <v>43622</v>
      </c>
      <c r="B558" t="s">
        <v>9</v>
      </c>
      <c r="C558">
        <v>2</v>
      </c>
      <c r="F558">
        <v>342</v>
      </c>
      <c r="J558">
        <v>1.226</v>
      </c>
      <c r="K558">
        <v>42.8</v>
      </c>
      <c r="L558">
        <v>34.9</v>
      </c>
      <c r="M558">
        <v>316</v>
      </c>
      <c r="N558">
        <v>6</v>
      </c>
    </row>
    <row r="559" spans="1:16" x14ac:dyDescent="0.25">
      <c r="A559" s="4">
        <v>43622</v>
      </c>
      <c r="B559" t="s">
        <v>10</v>
      </c>
      <c r="C559" t="s">
        <v>78</v>
      </c>
      <c r="F559">
        <v>213</v>
      </c>
      <c r="J559">
        <v>0.84399999999999997</v>
      </c>
      <c r="K559">
        <v>26.6</v>
      </c>
      <c r="L559">
        <v>31.6</v>
      </c>
      <c r="M559">
        <v>173</v>
      </c>
      <c r="N559">
        <v>17</v>
      </c>
      <c r="O559">
        <v>2</v>
      </c>
    </row>
    <row r="560" spans="1:16" x14ac:dyDescent="0.25">
      <c r="A560" s="4">
        <v>43622</v>
      </c>
      <c r="B560" t="s">
        <v>9</v>
      </c>
      <c r="C560" t="s">
        <v>78</v>
      </c>
      <c r="F560">
        <v>632</v>
      </c>
      <c r="J560">
        <v>1.095</v>
      </c>
      <c r="K560">
        <v>39.5</v>
      </c>
      <c r="L560">
        <v>36.1</v>
      </c>
      <c r="M560">
        <v>502</v>
      </c>
      <c r="N560">
        <v>42</v>
      </c>
      <c r="O560">
        <v>6</v>
      </c>
      <c r="P560">
        <v>2</v>
      </c>
    </row>
    <row r="561" spans="1:16" x14ac:dyDescent="0.25">
      <c r="A561" s="4">
        <v>43623</v>
      </c>
      <c r="B561" t="s">
        <v>10</v>
      </c>
      <c r="C561">
        <v>1</v>
      </c>
      <c r="F561">
        <v>222</v>
      </c>
      <c r="J561">
        <v>0.82399999999999995</v>
      </c>
      <c r="K561">
        <v>27.8</v>
      </c>
      <c r="L561">
        <v>33.700000000000003</v>
      </c>
      <c r="M561">
        <v>182</v>
      </c>
      <c r="N561">
        <v>16</v>
      </c>
      <c r="O561">
        <v>2</v>
      </c>
    </row>
    <row r="562" spans="1:16" x14ac:dyDescent="0.25">
      <c r="A562" s="4">
        <v>43623</v>
      </c>
      <c r="B562" t="s">
        <v>9</v>
      </c>
      <c r="C562">
        <v>1</v>
      </c>
      <c r="F562">
        <v>234</v>
      </c>
      <c r="J562">
        <v>0.77100000000000002</v>
      </c>
      <c r="K562">
        <v>29.3</v>
      </c>
      <c r="L562">
        <v>37.9</v>
      </c>
      <c r="M562">
        <v>163</v>
      </c>
      <c r="N562">
        <v>21</v>
      </c>
      <c r="O562">
        <v>6</v>
      </c>
    </row>
    <row r="563" spans="1:16" x14ac:dyDescent="0.25">
      <c r="A563" s="4">
        <v>43623</v>
      </c>
      <c r="B563" t="s">
        <v>9</v>
      </c>
      <c r="C563">
        <v>2</v>
      </c>
      <c r="F563">
        <v>291</v>
      </c>
      <c r="J563">
        <v>1.02</v>
      </c>
      <c r="K563">
        <v>36.4</v>
      </c>
      <c r="L563">
        <v>35.700000000000003</v>
      </c>
      <c r="M563">
        <v>231</v>
      </c>
      <c r="N563">
        <v>17</v>
      </c>
      <c r="O563">
        <v>3</v>
      </c>
      <c r="P563">
        <v>2</v>
      </c>
    </row>
    <row r="564" spans="1:16" x14ac:dyDescent="0.25">
      <c r="A564" s="4">
        <v>43623</v>
      </c>
      <c r="B564" t="s">
        <v>10</v>
      </c>
      <c r="C564" t="s">
        <v>78</v>
      </c>
      <c r="F564">
        <v>222</v>
      </c>
      <c r="J564">
        <v>0.82399999999999995</v>
      </c>
      <c r="K564">
        <v>27.8</v>
      </c>
      <c r="L564">
        <v>33.700000000000003</v>
      </c>
      <c r="M564">
        <v>182</v>
      </c>
      <c r="N564">
        <v>16</v>
      </c>
      <c r="O564">
        <v>2</v>
      </c>
    </row>
    <row r="565" spans="1:16" x14ac:dyDescent="0.25">
      <c r="A565" s="4">
        <v>43623</v>
      </c>
      <c r="B565" t="s">
        <v>9</v>
      </c>
      <c r="C565" t="s">
        <v>78</v>
      </c>
      <c r="F565">
        <v>525</v>
      </c>
      <c r="J565">
        <v>0.89600000000000002</v>
      </c>
      <c r="K565">
        <v>32.799999999999997</v>
      </c>
      <c r="L565">
        <v>36.6</v>
      </c>
      <c r="M565">
        <v>394</v>
      </c>
      <c r="N565">
        <v>38</v>
      </c>
      <c r="O565">
        <v>9</v>
      </c>
      <c r="P565">
        <v>2</v>
      </c>
    </row>
    <row r="566" spans="1:16" x14ac:dyDescent="0.25">
      <c r="A566" s="4">
        <v>43626</v>
      </c>
      <c r="B566" t="s">
        <v>10</v>
      </c>
      <c r="C566">
        <v>1</v>
      </c>
      <c r="F566">
        <v>256</v>
      </c>
      <c r="J566">
        <v>0.93200000000000005</v>
      </c>
      <c r="K566">
        <v>32</v>
      </c>
      <c r="L566">
        <v>34.299999999999997</v>
      </c>
      <c r="M566">
        <v>190</v>
      </c>
      <c r="N566">
        <v>21</v>
      </c>
      <c r="O566">
        <v>5</v>
      </c>
      <c r="P566">
        <v>1</v>
      </c>
    </row>
    <row r="567" spans="1:16" x14ac:dyDescent="0.25">
      <c r="A567" s="4">
        <v>43626</v>
      </c>
      <c r="B567" t="s">
        <v>9</v>
      </c>
      <c r="C567">
        <v>1</v>
      </c>
      <c r="F567">
        <v>257</v>
      </c>
      <c r="J567">
        <v>0.85</v>
      </c>
      <c r="K567">
        <v>32.1</v>
      </c>
      <c r="L567">
        <v>37.799999999999997</v>
      </c>
      <c r="M567">
        <v>153</v>
      </c>
      <c r="N567">
        <v>29</v>
      </c>
      <c r="O567">
        <v>10</v>
      </c>
      <c r="P567">
        <v>1</v>
      </c>
    </row>
    <row r="568" spans="1:16" x14ac:dyDescent="0.25">
      <c r="A568" s="4">
        <v>43626</v>
      </c>
      <c r="B568" t="s">
        <v>9</v>
      </c>
      <c r="C568">
        <v>2</v>
      </c>
      <c r="F568">
        <v>329</v>
      </c>
      <c r="J568">
        <v>1.137</v>
      </c>
      <c r="K568">
        <v>41.1</v>
      </c>
      <c r="L568">
        <v>36.200000000000003</v>
      </c>
      <c r="M568">
        <v>263</v>
      </c>
      <c r="N568">
        <v>13</v>
      </c>
      <c r="O568">
        <v>5</v>
      </c>
      <c r="P568">
        <v>1</v>
      </c>
    </row>
    <row r="569" spans="1:16" x14ac:dyDescent="0.25">
      <c r="A569" s="4">
        <v>43626</v>
      </c>
      <c r="B569" t="s">
        <v>10</v>
      </c>
      <c r="C569" t="s">
        <v>78</v>
      </c>
      <c r="F569">
        <v>256</v>
      </c>
      <c r="J569">
        <v>0.93200000000000005</v>
      </c>
      <c r="K569">
        <v>32</v>
      </c>
      <c r="L569">
        <v>34.299999999999997</v>
      </c>
      <c r="M569">
        <v>190</v>
      </c>
      <c r="N569">
        <v>21</v>
      </c>
      <c r="O569">
        <v>5</v>
      </c>
      <c r="P569">
        <v>1</v>
      </c>
    </row>
    <row r="570" spans="1:16" x14ac:dyDescent="0.25">
      <c r="A570" s="4">
        <v>43626</v>
      </c>
      <c r="B570" t="s">
        <v>9</v>
      </c>
      <c r="C570" t="s">
        <v>78</v>
      </c>
      <c r="F570">
        <v>586</v>
      </c>
      <c r="J570">
        <v>0.99399999999999999</v>
      </c>
      <c r="K570">
        <v>36.6</v>
      </c>
      <c r="L570">
        <v>36.9</v>
      </c>
      <c r="M570">
        <v>416</v>
      </c>
      <c r="N570">
        <v>42</v>
      </c>
      <c r="O570">
        <v>15</v>
      </c>
      <c r="P570">
        <v>2</v>
      </c>
    </row>
    <row r="571" spans="1:16" x14ac:dyDescent="0.25">
      <c r="A571" s="4">
        <v>43627</v>
      </c>
      <c r="B571" t="s">
        <v>10</v>
      </c>
      <c r="C571">
        <v>1</v>
      </c>
      <c r="F571">
        <v>209</v>
      </c>
      <c r="J571">
        <v>0.81599999999999995</v>
      </c>
      <c r="K571">
        <v>26.1</v>
      </c>
      <c r="L571">
        <v>32</v>
      </c>
      <c r="M571">
        <v>164</v>
      </c>
      <c r="N571">
        <v>16</v>
      </c>
      <c r="O571">
        <v>4</v>
      </c>
    </row>
    <row r="572" spans="1:16" x14ac:dyDescent="0.25">
      <c r="A572" s="4">
        <v>43627</v>
      </c>
      <c r="B572" t="s">
        <v>9</v>
      </c>
      <c r="C572">
        <v>1</v>
      </c>
      <c r="F572">
        <v>288</v>
      </c>
      <c r="J572">
        <v>0.91200000000000003</v>
      </c>
      <c r="K572">
        <v>36</v>
      </c>
      <c r="L572">
        <v>39.5</v>
      </c>
      <c r="M572">
        <v>169</v>
      </c>
      <c r="N572">
        <v>25</v>
      </c>
      <c r="O572">
        <v>14</v>
      </c>
      <c r="P572">
        <v>3</v>
      </c>
    </row>
    <row r="573" spans="1:16" x14ac:dyDescent="0.25">
      <c r="A573" s="4">
        <v>43627</v>
      </c>
      <c r="B573" t="s">
        <v>9</v>
      </c>
      <c r="C573">
        <v>2</v>
      </c>
      <c r="F573">
        <v>338</v>
      </c>
      <c r="J573">
        <v>1.1639999999999999</v>
      </c>
      <c r="K573">
        <v>42.3</v>
      </c>
      <c r="L573">
        <v>36.299999999999997</v>
      </c>
      <c r="M573">
        <v>265</v>
      </c>
      <c r="N573">
        <v>22</v>
      </c>
      <c r="O573">
        <v>4</v>
      </c>
    </row>
    <row r="574" spans="1:16" x14ac:dyDescent="0.25">
      <c r="A574" s="4">
        <v>43627</v>
      </c>
      <c r="B574" t="s">
        <v>10</v>
      </c>
      <c r="C574" t="s">
        <v>78</v>
      </c>
      <c r="F574">
        <v>209</v>
      </c>
      <c r="J574">
        <v>0.81599999999999995</v>
      </c>
      <c r="K574">
        <v>26.1</v>
      </c>
      <c r="L574">
        <v>32</v>
      </c>
      <c r="M574">
        <v>164</v>
      </c>
      <c r="N574">
        <v>16</v>
      </c>
      <c r="O574">
        <v>4</v>
      </c>
    </row>
    <row r="575" spans="1:16" x14ac:dyDescent="0.25">
      <c r="A575" s="4">
        <v>43627</v>
      </c>
      <c r="B575" t="s">
        <v>9</v>
      </c>
      <c r="C575" t="s">
        <v>78</v>
      </c>
      <c r="F575">
        <v>626</v>
      </c>
      <c r="J575">
        <v>1.038</v>
      </c>
      <c r="K575">
        <v>39.1</v>
      </c>
      <c r="L575">
        <v>37.700000000000003</v>
      </c>
      <c r="M575">
        <v>434</v>
      </c>
      <c r="N575">
        <v>47</v>
      </c>
      <c r="O575">
        <v>18</v>
      </c>
      <c r="P575">
        <v>3</v>
      </c>
    </row>
    <row r="576" spans="1:16" x14ac:dyDescent="0.25">
      <c r="A576" s="4">
        <v>43628</v>
      </c>
      <c r="B576" t="s">
        <v>10</v>
      </c>
      <c r="C576">
        <v>1</v>
      </c>
      <c r="F576">
        <v>232</v>
      </c>
      <c r="J576">
        <v>0.88200000000000001</v>
      </c>
      <c r="K576">
        <v>29</v>
      </c>
      <c r="L576">
        <v>32.9</v>
      </c>
      <c r="M576">
        <v>178</v>
      </c>
      <c r="N576">
        <v>14</v>
      </c>
      <c r="O576">
        <v>7</v>
      </c>
    </row>
    <row r="577" spans="1:16" x14ac:dyDescent="0.25">
      <c r="A577" s="4">
        <v>43628</v>
      </c>
      <c r="B577" t="s">
        <v>9</v>
      </c>
      <c r="C577">
        <v>1</v>
      </c>
      <c r="F577">
        <v>274</v>
      </c>
      <c r="J577">
        <v>0.88600000000000001</v>
      </c>
      <c r="K577">
        <v>34.299999999999997</v>
      </c>
      <c r="L577">
        <v>38.700000000000003</v>
      </c>
      <c r="M577">
        <v>171</v>
      </c>
      <c r="N577">
        <v>20</v>
      </c>
      <c r="O577">
        <v>13</v>
      </c>
      <c r="P577">
        <v>2</v>
      </c>
    </row>
    <row r="578" spans="1:16" x14ac:dyDescent="0.25">
      <c r="A578" s="4">
        <v>43628</v>
      </c>
      <c r="B578" t="s">
        <v>9</v>
      </c>
      <c r="C578">
        <v>2</v>
      </c>
      <c r="F578">
        <v>306</v>
      </c>
      <c r="J578">
        <v>1.0840000000000001</v>
      </c>
      <c r="K578">
        <v>38.299999999999997</v>
      </c>
      <c r="L578">
        <v>35.299999999999997</v>
      </c>
      <c r="M578">
        <v>259</v>
      </c>
      <c r="N578">
        <v>12</v>
      </c>
      <c r="O578">
        <v>5</v>
      </c>
    </row>
    <row r="579" spans="1:16" x14ac:dyDescent="0.25">
      <c r="A579" s="4">
        <v>43628</v>
      </c>
      <c r="B579" t="s">
        <v>10</v>
      </c>
      <c r="C579" t="s">
        <v>78</v>
      </c>
      <c r="F579">
        <v>232</v>
      </c>
      <c r="J579">
        <v>0.88200000000000001</v>
      </c>
      <c r="K579">
        <v>29</v>
      </c>
      <c r="L579">
        <v>32.9</v>
      </c>
      <c r="M579">
        <v>178</v>
      </c>
      <c r="N579">
        <v>14</v>
      </c>
      <c r="O579">
        <v>7</v>
      </c>
    </row>
    <row r="580" spans="1:16" x14ac:dyDescent="0.25">
      <c r="A580" s="4">
        <v>43628</v>
      </c>
      <c r="B580" t="s">
        <v>9</v>
      </c>
      <c r="C580" t="s">
        <v>78</v>
      </c>
      <c r="F580">
        <v>580</v>
      </c>
      <c r="J580">
        <v>0.98499999999999999</v>
      </c>
      <c r="K580">
        <v>36.299999999999997</v>
      </c>
      <c r="L580">
        <v>36.799999999999997</v>
      </c>
      <c r="M580">
        <v>430</v>
      </c>
      <c r="N580">
        <v>32</v>
      </c>
      <c r="O580">
        <v>18</v>
      </c>
      <c r="P580">
        <v>2</v>
      </c>
    </row>
    <row r="581" spans="1:16" x14ac:dyDescent="0.25">
      <c r="A581" s="4">
        <v>43629</v>
      </c>
      <c r="B581" t="s">
        <v>10</v>
      </c>
      <c r="C581">
        <v>1</v>
      </c>
      <c r="F581">
        <v>223</v>
      </c>
      <c r="J581">
        <v>0.86299999999999999</v>
      </c>
      <c r="K581">
        <v>27.9</v>
      </c>
      <c r="L581">
        <v>32.299999999999997</v>
      </c>
      <c r="M581">
        <v>183</v>
      </c>
      <c r="N581">
        <v>10</v>
      </c>
      <c r="O581">
        <v>4</v>
      </c>
    </row>
    <row r="582" spans="1:16" x14ac:dyDescent="0.25">
      <c r="A582" s="4">
        <v>43629</v>
      </c>
      <c r="B582" t="s">
        <v>9</v>
      </c>
      <c r="C582">
        <v>1</v>
      </c>
      <c r="F582">
        <v>226</v>
      </c>
      <c r="J582">
        <v>0.73599999999999999</v>
      </c>
      <c r="K582">
        <v>28.3</v>
      </c>
      <c r="L582">
        <v>38.4</v>
      </c>
      <c r="M582">
        <v>142</v>
      </c>
      <c r="N582">
        <v>22</v>
      </c>
      <c r="O582">
        <v>7</v>
      </c>
      <c r="P582">
        <v>1</v>
      </c>
    </row>
    <row r="583" spans="1:16" x14ac:dyDescent="0.25">
      <c r="A583" s="4">
        <v>43629</v>
      </c>
      <c r="B583" t="s">
        <v>9</v>
      </c>
      <c r="C583">
        <v>2</v>
      </c>
      <c r="F583">
        <v>228</v>
      </c>
      <c r="J583">
        <v>0.83499999999999996</v>
      </c>
      <c r="K583">
        <v>28.5</v>
      </c>
      <c r="L583">
        <v>34.200000000000003</v>
      </c>
      <c r="M583">
        <v>196</v>
      </c>
      <c r="N583">
        <v>9</v>
      </c>
      <c r="O583">
        <v>3</v>
      </c>
    </row>
    <row r="584" spans="1:16" x14ac:dyDescent="0.25">
      <c r="A584" s="4">
        <v>43629</v>
      </c>
      <c r="B584" t="s">
        <v>10</v>
      </c>
      <c r="C584" t="s">
        <v>78</v>
      </c>
      <c r="F584">
        <v>223</v>
      </c>
      <c r="J584">
        <v>0.86299999999999999</v>
      </c>
      <c r="K584">
        <v>27.9</v>
      </c>
      <c r="L584">
        <v>32.299999999999997</v>
      </c>
      <c r="M584">
        <v>183</v>
      </c>
      <c r="N584">
        <v>10</v>
      </c>
      <c r="O584">
        <v>4</v>
      </c>
    </row>
    <row r="585" spans="1:16" x14ac:dyDescent="0.25">
      <c r="A585" s="4">
        <v>43629</v>
      </c>
      <c r="B585" t="s">
        <v>9</v>
      </c>
      <c r="C585" t="s">
        <v>78</v>
      </c>
      <c r="F585">
        <v>454</v>
      </c>
      <c r="J585">
        <v>0.78500000000000003</v>
      </c>
      <c r="K585">
        <v>28.4</v>
      </c>
      <c r="L585">
        <v>36.1</v>
      </c>
      <c r="M585">
        <v>338</v>
      </c>
      <c r="N585">
        <v>31</v>
      </c>
      <c r="O585">
        <v>10</v>
      </c>
      <c r="P585">
        <v>1</v>
      </c>
    </row>
    <row r="586" spans="1:16" x14ac:dyDescent="0.25">
      <c r="A586" s="4">
        <v>43630</v>
      </c>
      <c r="B586" t="s">
        <v>10</v>
      </c>
      <c r="C586">
        <v>1</v>
      </c>
      <c r="F586">
        <v>78</v>
      </c>
      <c r="J586">
        <v>0.749</v>
      </c>
      <c r="K586">
        <v>22.3</v>
      </c>
      <c r="L586">
        <v>29.8</v>
      </c>
      <c r="M586">
        <v>71</v>
      </c>
      <c r="N586">
        <v>3</v>
      </c>
    </row>
    <row r="587" spans="1:16" x14ac:dyDescent="0.25">
      <c r="A587" s="4">
        <v>43630</v>
      </c>
      <c r="B587" t="s">
        <v>9</v>
      </c>
      <c r="C587">
        <v>1</v>
      </c>
      <c r="F587">
        <v>234</v>
      </c>
      <c r="J587">
        <v>0.77600000000000002</v>
      </c>
      <c r="K587">
        <v>29.3</v>
      </c>
      <c r="L587">
        <v>37.700000000000003</v>
      </c>
      <c r="M587">
        <v>147</v>
      </c>
      <c r="N587">
        <v>18</v>
      </c>
      <c r="O587">
        <v>9</v>
      </c>
      <c r="P587">
        <v>2</v>
      </c>
    </row>
    <row r="588" spans="1:16" x14ac:dyDescent="0.25">
      <c r="A588" s="4">
        <v>43630</v>
      </c>
      <c r="B588" t="s">
        <v>9</v>
      </c>
      <c r="C588">
        <v>2</v>
      </c>
      <c r="F588">
        <v>301</v>
      </c>
      <c r="J588">
        <v>1.05</v>
      </c>
      <c r="K588">
        <v>37.6</v>
      </c>
      <c r="L588">
        <v>35.799999999999997</v>
      </c>
      <c r="M588">
        <v>238</v>
      </c>
      <c r="N588">
        <v>19</v>
      </c>
      <c r="O588">
        <v>5</v>
      </c>
    </row>
    <row r="589" spans="1:16" x14ac:dyDescent="0.25">
      <c r="A589" s="4">
        <v>43630</v>
      </c>
      <c r="B589" t="s">
        <v>10</v>
      </c>
      <c r="C589" t="s">
        <v>78</v>
      </c>
      <c r="F589">
        <v>78</v>
      </c>
      <c r="J589">
        <v>0.749</v>
      </c>
      <c r="K589">
        <v>22.3</v>
      </c>
      <c r="L589">
        <v>29.8</v>
      </c>
      <c r="M589">
        <v>71</v>
      </c>
      <c r="N589">
        <v>3</v>
      </c>
    </row>
    <row r="590" spans="1:16" x14ac:dyDescent="0.25">
      <c r="A590" s="4">
        <v>43630</v>
      </c>
      <c r="B590" t="s">
        <v>9</v>
      </c>
      <c r="C590" t="s">
        <v>78</v>
      </c>
      <c r="F590">
        <v>535</v>
      </c>
      <c r="J590">
        <v>0.91300000000000003</v>
      </c>
      <c r="K590">
        <v>33.4</v>
      </c>
      <c r="L590">
        <v>36.6</v>
      </c>
      <c r="M590">
        <v>385</v>
      </c>
      <c r="N590">
        <v>37</v>
      </c>
      <c r="O590">
        <v>14</v>
      </c>
      <c r="P590">
        <v>2</v>
      </c>
    </row>
    <row r="591" spans="1:16" x14ac:dyDescent="0.25">
      <c r="A591" s="4">
        <v>43633</v>
      </c>
      <c r="B591" t="s">
        <v>10</v>
      </c>
      <c r="C591">
        <v>1</v>
      </c>
      <c r="F591">
        <v>193</v>
      </c>
      <c r="J591">
        <v>0.67900000000000005</v>
      </c>
      <c r="K591">
        <v>24.1</v>
      </c>
      <c r="L591">
        <v>35.5</v>
      </c>
      <c r="M591">
        <v>122</v>
      </c>
      <c r="N591">
        <v>16</v>
      </c>
      <c r="O591">
        <v>11</v>
      </c>
    </row>
    <row r="592" spans="1:16" x14ac:dyDescent="0.25">
      <c r="A592" s="4">
        <v>43633</v>
      </c>
      <c r="B592" t="s">
        <v>9</v>
      </c>
      <c r="C592">
        <v>1</v>
      </c>
      <c r="F592">
        <v>248</v>
      </c>
      <c r="J592">
        <v>0.80500000000000005</v>
      </c>
      <c r="K592">
        <v>31</v>
      </c>
      <c r="L592">
        <v>38.5</v>
      </c>
      <c r="M592">
        <v>147</v>
      </c>
      <c r="N592">
        <v>23</v>
      </c>
      <c r="O592">
        <v>13</v>
      </c>
      <c r="P592">
        <v>1</v>
      </c>
    </row>
    <row r="593" spans="1:16" x14ac:dyDescent="0.25">
      <c r="A593" s="4">
        <v>43633</v>
      </c>
      <c r="B593" t="s">
        <v>9</v>
      </c>
      <c r="C593">
        <v>2</v>
      </c>
      <c r="F593">
        <v>290</v>
      </c>
      <c r="J593">
        <v>1.0349999999999999</v>
      </c>
      <c r="K593">
        <v>36.299999999999997</v>
      </c>
      <c r="L593">
        <v>35</v>
      </c>
      <c r="M593">
        <v>238</v>
      </c>
      <c r="N593">
        <v>18</v>
      </c>
      <c r="O593">
        <v>3</v>
      </c>
    </row>
    <row r="594" spans="1:16" x14ac:dyDescent="0.25">
      <c r="A594" s="4">
        <v>43633</v>
      </c>
      <c r="B594" t="s">
        <v>10</v>
      </c>
      <c r="C594" t="s">
        <v>78</v>
      </c>
      <c r="F594">
        <v>193</v>
      </c>
      <c r="J594">
        <v>0.67900000000000005</v>
      </c>
      <c r="K594">
        <v>24.1</v>
      </c>
      <c r="L594">
        <v>35.5</v>
      </c>
      <c r="M594">
        <v>122</v>
      </c>
      <c r="N594">
        <v>16</v>
      </c>
      <c r="O594">
        <v>11</v>
      </c>
    </row>
    <row r="595" spans="1:16" x14ac:dyDescent="0.25">
      <c r="A595" s="4">
        <v>43633</v>
      </c>
      <c r="B595" t="s">
        <v>9</v>
      </c>
      <c r="C595" t="s">
        <v>78</v>
      </c>
      <c r="F595">
        <v>538</v>
      </c>
      <c r="J595">
        <v>0.92</v>
      </c>
      <c r="K595">
        <v>33.6</v>
      </c>
      <c r="L595">
        <v>36.6</v>
      </c>
      <c r="M595">
        <v>385</v>
      </c>
      <c r="N595">
        <v>41</v>
      </c>
      <c r="O595">
        <v>16</v>
      </c>
      <c r="P595">
        <v>1</v>
      </c>
    </row>
    <row r="596" spans="1:16" x14ac:dyDescent="0.25">
      <c r="A596" s="4">
        <v>43634</v>
      </c>
      <c r="B596" t="s">
        <v>10</v>
      </c>
      <c r="C596">
        <v>1</v>
      </c>
      <c r="F596">
        <v>252</v>
      </c>
      <c r="J596">
        <v>0.745</v>
      </c>
      <c r="K596">
        <v>25.2</v>
      </c>
      <c r="L596">
        <v>33.799999999999997</v>
      </c>
      <c r="M596">
        <v>186</v>
      </c>
      <c r="N596">
        <v>16</v>
      </c>
      <c r="O596">
        <v>4</v>
      </c>
      <c r="P596">
        <v>2</v>
      </c>
    </row>
    <row r="597" spans="1:16" x14ac:dyDescent="0.25">
      <c r="A597" s="4">
        <v>43634</v>
      </c>
      <c r="B597" t="s">
        <v>9</v>
      </c>
      <c r="C597">
        <v>1</v>
      </c>
      <c r="F597">
        <v>242</v>
      </c>
      <c r="J597">
        <v>0.81</v>
      </c>
      <c r="K597">
        <v>30.3</v>
      </c>
      <c r="L597">
        <v>37.4</v>
      </c>
      <c r="M597">
        <v>137</v>
      </c>
      <c r="N597">
        <v>33</v>
      </c>
      <c r="O597">
        <v>8</v>
      </c>
      <c r="P597">
        <v>1</v>
      </c>
    </row>
    <row r="598" spans="1:16" x14ac:dyDescent="0.25">
      <c r="A598" s="4">
        <v>43634</v>
      </c>
      <c r="B598" t="s">
        <v>9</v>
      </c>
      <c r="C598">
        <v>2</v>
      </c>
      <c r="F598">
        <v>313</v>
      </c>
      <c r="J598">
        <v>1.079</v>
      </c>
      <c r="K598">
        <v>39.1</v>
      </c>
      <c r="L598">
        <v>36.299999999999997</v>
      </c>
      <c r="M598">
        <v>228</v>
      </c>
      <c r="N598">
        <v>29</v>
      </c>
      <c r="O598">
        <v>6</v>
      </c>
    </row>
    <row r="599" spans="1:16" x14ac:dyDescent="0.25">
      <c r="A599" s="4">
        <v>43634</v>
      </c>
      <c r="B599" t="s">
        <v>10</v>
      </c>
      <c r="C599" t="s">
        <v>78</v>
      </c>
      <c r="F599">
        <v>252</v>
      </c>
      <c r="J599">
        <v>0.745</v>
      </c>
      <c r="K599">
        <v>25.2</v>
      </c>
      <c r="L599">
        <v>33.799999999999997</v>
      </c>
      <c r="M599">
        <v>186</v>
      </c>
      <c r="N599">
        <v>16</v>
      </c>
      <c r="O599">
        <v>4</v>
      </c>
      <c r="P599">
        <v>2</v>
      </c>
    </row>
    <row r="600" spans="1:16" x14ac:dyDescent="0.25">
      <c r="A600" s="4">
        <v>43634</v>
      </c>
      <c r="B600" t="s">
        <v>9</v>
      </c>
      <c r="C600" t="s">
        <v>78</v>
      </c>
      <c r="F600">
        <v>555</v>
      </c>
      <c r="J600">
        <v>0.94399999999999995</v>
      </c>
      <c r="K600">
        <v>34.700000000000003</v>
      </c>
      <c r="L600">
        <v>36.700000000000003</v>
      </c>
      <c r="M600">
        <v>365</v>
      </c>
      <c r="N600">
        <v>62</v>
      </c>
      <c r="O600">
        <v>14</v>
      </c>
      <c r="P600">
        <v>1</v>
      </c>
    </row>
    <row r="601" spans="1:16" x14ac:dyDescent="0.25">
      <c r="A601" s="4">
        <v>43635</v>
      </c>
      <c r="B601" t="s">
        <v>10</v>
      </c>
      <c r="C601">
        <v>1</v>
      </c>
      <c r="F601">
        <v>219</v>
      </c>
      <c r="J601">
        <v>0.85699999999999998</v>
      </c>
      <c r="K601">
        <v>27.4</v>
      </c>
      <c r="L601">
        <v>32</v>
      </c>
      <c r="M601">
        <v>169</v>
      </c>
      <c r="N601">
        <v>22</v>
      </c>
      <c r="O601">
        <v>2</v>
      </c>
    </row>
    <row r="602" spans="1:16" x14ac:dyDescent="0.25">
      <c r="A602" s="4">
        <v>43635</v>
      </c>
      <c r="B602" t="s">
        <v>9</v>
      </c>
      <c r="C602">
        <v>1</v>
      </c>
      <c r="F602">
        <v>239</v>
      </c>
      <c r="J602">
        <v>0.79300000000000004</v>
      </c>
      <c r="K602">
        <v>29.9</v>
      </c>
      <c r="L602">
        <v>37.700000000000003</v>
      </c>
      <c r="M602">
        <v>133</v>
      </c>
      <c r="N602">
        <v>33</v>
      </c>
      <c r="O602">
        <v>11</v>
      </c>
    </row>
    <row r="603" spans="1:16" x14ac:dyDescent="0.25">
      <c r="A603" s="4">
        <v>43635</v>
      </c>
      <c r="B603" t="s">
        <v>9</v>
      </c>
      <c r="C603">
        <v>2</v>
      </c>
      <c r="F603">
        <v>277</v>
      </c>
      <c r="J603">
        <v>1.0129999999999999</v>
      </c>
      <c r="K603">
        <v>34.6</v>
      </c>
      <c r="L603">
        <v>34.200000000000003</v>
      </c>
      <c r="M603">
        <v>233</v>
      </c>
      <c r="N603">
        <v>13</v>
      </c>
      <c r="O603">
        <v>3</v>
      </c>
    </row>
    <row r="604" spans="1:16" x14ac:dyDescent="0.25">
      <c r="A604" s="4">
        <v>43635</v>
      </c>
      <c r="B604" t="s">
        <v>10</v>
      </c>
      <c r="C604" t="s">
        <v>78</v>
      </c>
      <c r="F604">
        <v>219</v>
      </c>
      <c r="J604">
        <v>0.85699999999999998</v>
      </c>
      <c r="K604">
        <v>27.4</v>
      </c>
      <c r="L604">
        <v>32</v>
      </c>
      <c r="M604">
        <v>169</v>
      </c>
      <c r="N604">
        <v>22</v>
      </c>
      <c r="O604">
        <v>2</v>
      </c>
    </row>
    <row r="605" spans="1:16" x14ac:dyDescent="0.25">
      <c r="A605" s="4">
        <v>43635</v>
      </c>
      <c r="B605" t="s">
        <v>9</v>
      </c>
      <c r="C605" t="s">
        <v>78</v>
      </c>
      <c r="F605">
        <v>516</v>
      </c>
      <c r="J605">
        <v>0.90300000000000002</v>
      </c>
      <c r="K605">
        <v>32.299999999999997</v>
      </c>
      <c r="L605">
        <v>35.700000000000003</v>
      </c>
      <c r="M605">
        <v>366</v>
      </c>
      <c r="N605">
        <v>46</v>
      </c>
      <c r="O605">
        <v>14</v>
      </c>
    </row>
    <row r="606" spans="1:16" x14ac:dyDescent="0.25">
      <c r="A606" s="4">
        <v>43636</v>
      </c>
      <c r="B606" t="s">
        <v>10</v>
      </c>
      <c r="C606">
        <v>1</v>
      </c>
      <c r="F606">
        <v>237</v>
      </c>
      <c r="J606">
        <v>0.71099999999999997</v>
      </c>
      <c r="K606">
        <v>23.7</v>
      </c>
      <c r="L606">
        <v>33.4</v>
      </c>
      <c r="M606">
        <v>172</v>
      </c>
      <c r="N606">
        <v>22</v>
      </c>
      <c r="O606">
        <v>6</v>
      </c>
    </row>
    <row r="607" spans="1:16" x14ac:dyDescent="0.25">
      <c r="A607" s="4">
        <v>43636</v>
      </c>
      <c r="B607" t="s">
        <v>9</v>
      </c>
      <c r="C607">
        <v>1</v>
      </c>
      <c r="F607">
        <v>206</v>
      </c>
      <c r="J607">
        <v>0.69799999999999995</v>
      </c>
      <c r="K607">
        <v>25.8</v>
      </c>
      <c r="L607">
        <v>36.9</v>
      </c>
      <c r="M607">
        <v>136</v>
      </c>
      <c r="N607">
        <v>18</v>
      </c>
      <c r="O607">
        <v>9</v>
      </c>
    </row>
    <row r="608" spans="1:16" x14ac:dyDescent="0.25">
      <c r="A608" s="4">
        <v>43636</v>
      </c>
      <c r="B608" t="s">
        <v>9</v>
      </c>
      <c r="C608">
        <v>2</v>
      </c>
      <c r="F608">
        <v>310</v>
      </c>
      <c r="J608">
        <v>1.0880000000000001</v>
      </c>
      <c r="K608">
        <v>38.799999999999997</v>
      </c>
      <c r="L608">
        <v>35.6</v>
      </c>
      <c r="M608">
        <v>250</v>
      </c>
      <c r="N608">
        <v>6</v>
      </c>
      <c r="O608">
        <v>1</v>
      </c>
    </row>
    <row r="609" spans="1:16" x14ac:dyDescent="0.25">
      <c r="A609" s="4">
        <v>43636</v>
      </c>
      <c r="B609" t="s">
        <v>10</v>
      </c>
      <c r="C609" t="s">
        <v>78</v>
      </c>
      <c r="F609">
        <v>237</v>
      </c>
      <c r="J609">
        <v>0.71099999999999997</v>
      </c>
      <c r="K609">
        <v>23.7</v>
      </c>
      <c r="L609">
        <v>33.4</v>
      </c>
      <c r="M609">
        <v>172</v>
      </c>
      <c r="N609">
        <v>22</v>
      </c>
      <c r="O609">
        <v>6</v>
      </c>
    </row>
    <row r="610" spans="1:16" x14ac:dyDescent="0.25">
      <c r="A610" s="4">
        <v>43636</v>
      </c>
      <c r="B610" t="s">
        <v>9</v>
      </c>
      <c r="C610" t="s">
        <v>78</v>
      </c>
      <c r="F610">
        <v>516</v>
      </c>
      <c r="J610">
        <v>0.89300000000000002</v>
      </c>
      <c r="K610">
        <v>32.299999999999997</v>
      </c>
      <c r="L610">
        <v>36.1</v>
      </c>
      <c r="M610">
        <v>386</v>
      </c>
      <c r="N610">
        <v>31</v>
      </c>
      <c r="O610">
        <v>15</v>
      </c>
      <c r="P610">
        <v>1</v>
      </c>
    </row>
    <row r="611" spans="1:16" x14ac:dyDescent="0.25">
      <c r="A611" s="4">
        <v>43637</v>
      </c>
      <c r="B611" t="s">
        <v>10</v>
      </c>
      <c r="C611">
        <v>1</v>
      </c>
      <c r="F611">
        <v>101</v>
      </c>
      <c r="J611">
        <v>0.82</v>
      </c>
      <c r="K611">
        <v>25.3</v>
      </c>
      <c r="L611">
        <v>30.8</v>
      </c>
      <c r="M611">
        <v>80</v>
      </c>
      <c r="N611">
        <v>10</v>
      </c>
    </row>
    <row r="612" spans="1:16" x14ac:dyDescent="0.25">
      <c r="A612" s="4">
        <v>43637</v>
      </c>
      <c r="B612" t="s">
        <v>9</v>
      </c>
      <c r="C612">
        <v>1</v>
      </c>
      <c r="F612">
        <v>208</v>
      </c>
      <c r="J612">
        <v>0.76200000000000001</v>
      </c>
      <c r="K612">
        <v>26</v>
      </c>
      <c r="L612">
        <v>34.1</v>
      </c>
      <c r="M612">
        <v>149</v>
      </c>
      <c r="N612">
        <v>24</v>
      </c>
      <c r="O612">
        <v>3</v>
      </c>
    </row>
    <row r="613" spans="1:16" x14ac:dyDescent="0.25">
      <c r="A613" s="4">
        <v>43637</v>
      </c>
      <c r="B613" t="s">
        <v>9</v>
      </c>
      <c r="C613">
        <v>2</v>
      </c>
      <c r="F613">
        <v>261</v>
      </c>
      <c r="J613">
        <v>0.94499999999999995</v>
      </c>
      <c r="K613">
        <v>32.6</v>
      </c>
      <c r="L613">
        <v>34.5</v>
      </c>
      <c r="M613">
        <v>231</v>
      </c>
      <c r="N613">
        <v>8</v>
      </c>
      <c r="O613">
        <v>1</v>
      </c>
      <c r="P613">
        <v>1</v>
      </c>
    </row>
    <row r="614" spans="1:16" x14ac:dyDescent="0.25">
      <c r="A614" s="4">
        <v>43637</v>
      </c>
      <c r="B614" t="s">
        <v>10</v>
      </c>
      <c r="C614" t="s">
        <v>78</v>
      </c>
      <c r="F614">
        <v>101</v>
      </c>
      <c r="J614">
        <v>0.82</v>
      </c>
      <c r="K614">
        <v>25.3</v>
      </c>
      <c r="L614">
        <v>30.8</v>
      </c>
      <c r="M614">
        <v>80</v>
      </c>
      <c r="N614">
        <v>10</v>
      </c>
    </row>
    <row r="615" spans="1:16" x14ac:dyDescent="0.25">
      <c r="A615" s="4">
        <v>43637</v>
      </c>
      <c r="B615" t="s">
        <v>9</v>
      </c>
      <c r="C615" t="s">
        <v>78</v>
      </c>
      <c r="F615">
        <v>469</v>
      </c>
      <c r="J615">
        <v>0.85399999999999998</v>
      </c>
      <c r="K615">
        <v>29.3</v>
      </c>
      <c r="L615">
        <v>34.299999999999997</v>
      </c>
      <c r="M615">
        <v>380</v>
      </c>
      <c r="N615">
        <v>32</v>
      </c>
      <c r="O615">
        <v>4</v>
      </c>
      <c r="P615">
        <v>1</v>
      </c>
    </row>
    <row r="616" spans="1:16" x14ac:dyDescent="0.25">
      <c r="A616" s="4">
        <v>43640</v>
      </c>
      <c r="B616" t="s">
        <v>10</v>
      </c>
      <c r="C616">
        <v>1</v>
      </c>
      <c r="F616">
        <v>132</v>
      </c>
      <c r="J616">
        <v>0.49399999999999999</v>
      </c>
      <c r="K616">
        <v>16.5</v>
      </c>
      <c r="L616">
        <v>33.4</v>
      </c>
      <c r="M616">
        <v>95</v>
      </c>
      <c r="N616">
        <v>15</v>
      </c>
      <c r="O616">
        <v>1</v>
      </c>
    </row>
    <row r="617" spans="1:16" x14ac:dyDescent="0.25">
      <c r="A617" s="4">
        <v>43640</v>
      </c>
      <c r="B617" t="s">
        <v>9</v>
      </c>
      <c r="C617">
        <v>1</v>
      </c>
      <c r="F617">
        <v>204</v>
      </c>
      <c r="J617">
        <v>0.67200000000000004</v>
      </c>
      <c r="K617">
        <v>25.5</v>
      </c>
      <c r="L617">
        <v>38</v>
      </c>
      <c r="M617">
        <v>117</v>
      </c>
      <c r="N617">
        <v>27</v>
      </c>
      <c r="O617">
        <v>7</v>
      </c>
      <c r="P617">
        <v>1</v>
      </c>
    </row>
    <row r="618" spans="1:16" x14ac:dyDescent="0.25">
      <c r="A618" s="4">
        <v>43640</v>
      </c>
      <c r="B618" t="s">
        <v>9</v>
      </c>
      <c r="C618">
        <v>2</v>
      </c>
      <c r="F618">
        <v>289</v>
      </c>
      <c r="J618">
        <v>1</v>
      </c>
      <c r="K618">
        <v>36.1</v>
      </c>
      <c r="L618">
        <v>36.1</v>
      </c>
      <c r="M618">
        <v>219</v>
      </c>
      <c r="N618">
        <v>22</v>
      </c>
      <c r="O618">
        <v>5</v>
      </c>
    </row>
    <row r="619" spans="1:16" x14ac:dyDescent="0.25">
      <c r="A619" s="4">
        <v>43640</v>
      </c>
      <c r="B619" t="s">
        <v>10</v>
      </c>
      <c r="C619" t="s">
        <v>78</v>
      </c>
      <c r="F619">
        <v>132</v>
      </c>
      <c r="J619">
        <v>0.49399999999999999</v>
      </c>
      <c r="K619">
        <v>16.5</v>
      </c>
      <c r="L619">
        <v>33.4</v>
      </c>
      <c r="M619">
        <v>95</v>
      </c>
      <c r="N619">
        <v>15</v>
      </c>
      <c r="O619">
        <v>1</v>
      </c>
    </row>
    <row r="620" spans="1:16" x14ac:dyDescent="0.25">
      <c r="A620" s="4">
        <v>43640</v>
      </c>
      <c r="B620" t="s">
        <v>9</v>
      </c>
      <c r="C620" t="s">
        <v>78</v>
      </c>
      <c r="F620">
        <v>493</v>
      </c>
      <c r="J620">
        <v>0.83599999999999997</v>
      </c>
      <c r="K620">
        <v>30.8</v>
      </c>
      <c r="L620">
        <v>36.9</v>
      </c>
      <c r="M620">
        <v>336</v>
      </c>
      <c r="N620">
        <v>49</v>
      </c>
      <c r="O620">
        <v>12</v>
      </c>
      <c r="P620">
        <v>1</v>
      </c>
    </row>
    <row r="621" spans="1:16" x14ac:dyDescent="0.25">
      <c r="A621" s="4">
        <v>43641</v>
      </c>
      <c r="B621" t="s">
        <v>10</v>
      </c>
      <c r="C621">
        <v>1</v>
      </c>
      <c r="F621">
        <v>303</v>
      </c>
      <c r="J621">
        <v>0.76100000000000001</v>
      </c>
      <c r="K621">
        <v>25.3</v>
      </c>
      <c r="L621">
        <v>33.200000000000003</v>
      </c>
      <c r="M621">
        <v>221</v>
      </c>
      <c r="N621">
        <v>29</v>
      </c>
      <c r="O621">
        <v>5</v>
      </c>
    </row>
    <row r="622" spans="1:16" x14ac:dyDescent="0.25">
      <c r="A622" s="4">
        <v>43641</v>
      </c>
      <c r="B622" t="s">
        <v>9</v>
      </c>
      <c r="C622">
        <v>1</v>
      </c>
      <c r="F622">
        <v>283</v>
      </c>
      <c r="J622">
        <v>0.93899999999999995</v>
      </c>
      <c r="K622">
        <v>35.4</v>
      </c>
      <c r="L622">
        <v>37.700000000000003</v>
      </c>
      <c r="M622">
        <v>175</v>
      </c>
      <c r="N622">
        <v>32</v>
      </c>
      <c r="O622">
        <v>8</v>
      </c>
      <c r="P622">
        <v>1</v>
      </c>
    </row>
    <row r="623" spans="1:16" x14ac:dyDescent="0.25">
      <c r="A623" s="4">
        <v>43641</v>
      </c>
      <c r="B623" t="s">
        <v>9</v>
      </c>
      <c r="C623">
        <v>2</v>
      </c>
      <c r="F623">
        <v>288</v>
      </c>
      <c r="J623">
        <v>1.038</v>
      </c>
      <c r="K623">
        <v>36</v>
      </c>
      <c r="L623">
        <v>34.700000000000003</v>
      </c>
      <c r="M623">
        <v>221</v>
      </c>
      <c r="N623">
        <v>24</v>
      </c>
      <c r="O623">
        <v>4</v>
      </c>
    </row>
    <row r="624" spans="1:16" x14ac:dyDescent="0.25">
      <c r="A624" s="4">
        <v>43641</v>
      </c>
      <c r="B624" t="s">
        <v>10</v>
      </c>
      <c r="C624" t="s">
        <v>78</v>
      </c>
      <c r="F624">
        <v>303</v>
      </c>
      <c r="J624">
        <v>0.76100000000000001</v>
      </c>
      <c r="K624">
        <v>25.3</v>
      </c>
      <c r="L624">
        <v>33.200000000000003</v>
      </c>
      <c r="M624">
        <v>221</v>
      </c>
      <c r="N624">
        <v>29</v>
      </c>
      <c r="O624">
        <v>5</v>
      </c>
    </row>
    <row r="625" spans="1:16" x14ac:dyDescent="0.25">
      <c r="A625" s="4">
        <v>43641</v>
      </c>
      <c r="B625" t="s">
        <v>9</v>
      </c>
      <c r="C625" t="s">
        <v>78</v>
      </c>
      <c r="F625">
        <v>571</v>
      </c>
      <c r="J625">
        <v>0.98899999999999999</v>
      </c>
      <c r="K625">
        <v>35.700000000000003</v>
      </c>
      <c r="L625">
        <v>36.1</v>
      </c>
      <c r="M625">
        <v>396</v>
      </c>
      <c r="N625">
        <v>56</v>
      </c>
      <c r="O625">
        <v>12</v>
      </c>
      <c r="P625">
        <v>1</v>
      </c>
    </row>
    <row r="626" spans="1:16" x14ac:dyDescent="0.25">
      <c r="A626" s="4">
        <v>43642</v>
      </c>
      <c r="B626" t="s">
        <v>10</v>
      </c>
      <c r="C626">
        <v>1</v>
      </c>
      <c r="F626">
        <v>226</v>
      </c>
      <c r="J626">
        <v>0.59399999999999997</v>
      </c>
      <c r="K626">
        <v>18.8</v>
      </c>
      <c r="L626">
        <v>31.7</v>
      </c>
      <c r="M626">
        <v>175</v>
      </c>
      <c r="N626">
        <v>19</v>
      </c>
      <c r="O626">
        <v>3</v>
      </c>
    </row>
    <row r="627" spans="1:16" x14ac:dyDescent="0.25">
      <c r="A627" s="4">
        <v>43642</v>
      </c>
      <c r="B627" t="s">
        <v>9</v>
      </c>
      <c r="C627">
        <v>1</v>
      </c>
      <c r="F627">
        <v>261</v>
      </c>
      <c r="J627">
        <v>0.876</v>
      </c>
      <c r="K627">
        <v>32.6</v>
      </c>
      <c r="L627">
        <v>37.200000000000003</v>
      </c>
      <c r="M627">
        <v>175</v>
      </c>
      <c r="N627">
        <v>19</v>
      </c>
      <c r="O627">
        <v>10</v>
      </c>
      <c r="P627">
        <v>1</v>
      </c>
    </row>
    <row r="628" spans="1:16" x14ac:dyDescent="0.25">
      <c r="A628" s="4">
        <v>43642</v>
      </c>
      <c r="B628" t="s">
        <v>9</v>
      </c>
      <c r="C628">
        <v>2</v>
      </c>
      <c r="F628">
        <v>291</v>
      </c>
      <c r="J628">
        <v>1.0269999999999999</v>
      </c>
      <c r="K628">
        <v>36.4</v>
      </c>
      <c r="L628">
        <v>35.4</v>
      </c>
      <c r="M628">
        <v>238</v>
      </c>
      <c r="N628">
        <v>17</v>
      </c>
      <c r="O628">
        <v>4</v>
      </c>
    </row>
    <row r="629" spans="1:16" x14ac:dyDescent="0.25">
      <c r="A629" s="4">
        <v>43642</v>
      </c>
      <c r="B629" t="s">
        <v>10</v>
      </c>
      <c r="C629" t="s">
        <v>78</v>
      </c>
      <c r="F629">
        <v>226</v>
      </c>
      <c r="J629">
        <v>0.59399999999999997</v>
      </c>
      <c r="K629">
        <v>18.8</v>
      </c>
      <c r="L629">
        <v>31.7</v>
      </c>
      <c r="M629">
        <v>175</v>
      </c>
      <c r="N629">
        <v>19</v>
      </c>
      <c r="O629">
        <v>3</v>
      </c>
    </row>
    <row r="630" spans="1:16" x14ac:dyDescent="0.25">
      <c r="A630" s="4">
        <v>43642</v>
      </c>
      <c r="B630" t="s">
        <v>9</v>
      </c>
      <c r="C630" t="s">
        <v>78</v>
      </c>
      <c r="F630">
        <v>552</v>
      </c>
      <c r="J630">
        <v>0.95199999999999996</v>
      </c>
      <c r="K630">
        <v>34.5</v>
      </c>
      <c r="L630">
        <v>36.299999999999997</v>
      </c>
      <c r="M630">
        <v>413</v>
      </c>
      <c r="N630">
        <v>36</v>
      </c>
      <c r="O630">
        <v>14</v>
      </c>
      <c r="P630">
        <v>1</v>
      </c>
    </row>
    <row r="631" spans="1:16" x14ac:dyDescent="0.25">
      <c r="A631" s="4">
        <v>43643</v>
      </c>
      <c r="B631" t="s">
        <v>10</v>
      </c>
      <c r="C631">
        <v>1</v>
      </c>
      <c r="F631">
        <v>313</v>
      </c>
      <c r="J631">
        <v>0.77500000000000002</v>
      </c>
      <c r="K631">
        <v>26.1</v>
      </c>
      <c r="L631">
        <v>33.6</v>
      </c>
      <c r="M631">
        <v>261</v>
      </c>
      <c r="N631">
        <v>22</v>
      </c>
      <c r="O631">
        <v>2</v>
      </c>
    </row>
    <row r="632" spans="1:16" x14ac:dyDescent="0.25">
      <c r="A632" s="4">
        <v>43643</v>
      </c>
      <c r="B632" t="s">
        <v>9</v>
      </c>
      <c r="C632">
        <v>1</v>
      </c>
      <c r="F632">
        <v>247</v>
      </c>
      <c r="J632">
        <v>0.86899999999999999</v>
      </c>
      <c r="K632">
        <v>30.9</v>
      </c>
      <c r="L632">
        <v>35.5</v>
      </c>
      <c r="M632">
        <v>186</v>
      </c>
      <c r="N632">
        <v>22</v>
      </c>
      <c r="O632">
        <v>3</v>
      </c>
    </row>
    <row r="633" spans="1:16" x14ac:dyDescent="0.25">
      <c r="A633" s="4">
        <v>43643</v>
      </c>
      <c r="B633" t="s">
        <v>9</v>
      </c>
      <c r="C633">
        <v>2</v>
      </c>
      <c r="F633">
        <v>313</v>
      </c>
      <c r="J633">
        <v>1.133</v>
      </c>
      <c r="K633">
        <v>39.1</v>
      </c>
      <c r="L633">
        <v>34.5</v>
      </c>
      <c r="M633">
        <v>265</v>
      </c>
      <c r="N633">
        <v>13</v>
      </c>
      <c r="O633">
        <v>5</v>
      </c>
    </row>
    <row r="634" spans="1:16" x14ac:dyDescent="0.25">
      <c r="A634" s="4">
        <v>43643</v>
      </c>
      <c r="B634" t="s">
        <v>10</v>
      </c>
      <c r="C634" t="s">
        <v>78</v>
      </c>
      <c r="F634">
        <v>313</v>
      </c>
      <c r="J634">
        <v>0.77500000000000002</v>
      </c>
      <c r="K634">
        <v>26.1</v>
      </c>
      <c r="L634">
        <v>33.6</v>
      </c>
      <c r="M634">
        <v>261</v>
      </c>
      <c r="N634">
        <v>22</v>
      </c>
      <c r="O634">
        <v>2</v>
      </c>
    </row>
    <row r="635" spans="1:16" x14ac:dyDescent="0.25">
      <c r="A635" s="4">
        <v>43643</v>
      </c>
      <c r="B635" t="s">
        <v>9</v>
      </c>
      <c r="C635" t="s">
        <v>78</v>
      </c>
      <c r="F635">
        <v>560</v>
      </c>
      <c r="J635">
        <v>1.0009999999999999</v>
      </c>
      <c r="K635">
        <v>35</v>
      </c>
      <c r="L635">
        <v>35</v>
      </c>
      <c r="M635">
        <v>451</v>
      </c>
      <c r="N635">
        <v>35</v>
      </c>
      <c r="O635">
        <v>8</v>
      </c>
    </row>
    <row r="636" spans="1:16" x14ac:dyDescent="0.25">
      <c r="A636" s="4">
        <v>43644</v>
      </c>
      <c r="B636" t="s">
        <v>10</v>
      </c>
      <c r="C636">
        <v>1</v>
      </c>
      <c r="F636">
        <v>190</v>
      </c>
      <c r="J636">
        <v>0.72299999999999998</v>
      </c>
      <c r="K636">
        <v>23.8</v>
      </c>
      <c r="L636">
        <v>32.9</v>
      </c>
      <c r="M636">
        <v>143</v>
      </c>
      <c r="N636">
        <v>14</v>
      </c>
      <c r="O636">
        <v>4</v>
      </c>
    </row>
    <row r="637" spans="1:16" x14ac:dyDescent="0.25">
      <c r="A637" s="4">
        <v>43644</v>
      </c>
      <c r="B637" t="s">
        <v>9</v>
      </c>
      <c r="C637">
        <v>1</v>
      </c>
      <c r="F637">
        <v>236</v>
      </c>
      <c r="J637">
        <v>0.82099999999999995</v>
      </c>
      <c r="K637">
        <v>29.5</v>
      </c>
      <c r="L637">
        <v>35.9</v>
      </c>
      <c r="M637">
        <v>171</v>
      </c>
      <c r="N637">
        <v>22</v>
      </c>
      <c r="O637">
        <v>2</v>
      </c>
      <c r="P637">
        <v>1</v>
      </c>
    </row>
    <row r="638" spans="1:16" x14ac:dyDescent="0.25">
      <c r="A638" s="4">
        <v>43644</v>
      </c>
      <c r="B638" t="s">
        <v>9</v>
      </c>
      <c r="C638">
        <v>2</v>
      </c>
      <c r="F638">
        <v>183</v>
      </c>
      <c r="J638">
        <v>1.2390000000000001</v>
      </c>
      <c r="K638">
        <v>45.8</v>
      </c>
      <c r="L638">
        <v>36.9</v>
      </c>
      <c r="M638">
        <v>148</v>
      </c>
      <c r="N638">
        <v>10</v>
      </c>
      <c r="P638">
        <v>1</v>
      </c>
    </row>
    <row r="639" spans="1:16" x14ac:dyDescent="0.25">
      <c r="A639" s="4">
        <v>43644</v>
      </c>
      <c r="B639" t="s">
        <v>10</v>
      </c>
      <c r="C639" t="s">
        <v>78</v>
      </c>
      <c r="F639">
        <v>190</v>
      </c>
      <c r="J639">
        <v>0.72299999999999998</v>
      </c>
      <c r="K639">
        <v>23.8</v>
      </c>
      <c r="L639">
        <v>32.9</v>
      </c>
      <c r="M639">
        <v>143</v>
      </c>
      <c r="N639">
        <v>14</v>
      </c>
      <c r="O639">
        <v>4</v>
      </c>
    </row>
    <row r="640" spans="1:16" x14ac:dyDescent="0.25">
      <c r="A640" s="4">
        <v>43644</v>
      </c>
      <c r="B640" t="s">
        <v>9</v>
      </c>
      <c r="C640" t="s">
        <v>78</v>
      </c>
      <c r="F640">
        <v>419</v>
      </c>
      <c r="J640">
        <v>0.96</v>
      </c>
      <c r="K640">
        <v>34.9</v>
      </c>
      <c r="L640">
        <v>36.4</v>
      </c>
      <c r="M640">
        <v>319</v>
      </c>
      <c r="N640">
        <v>32</v>
      </c>
      <c r="O640">
        <v>2</v>
      </c>
      <c r="P640">
        <v>2</v>
      </c>
    </row>
    <row r="641" spans="1:16" x14ac:dyDescent="0.25">
      <c r="A641" s="4">
        <v>43647</v>
      </c>
      <c r="B641" t="s">
        <v>10</v>
      </c>
      <c r="C641">
        <v>1</v>
      </c>
      <c r="F641">
        <v>181</v>
      </c>
      <c r="J641">
        <v>0.443</v>
      </c>
      <c r="K641">
        <v>15.1</v>
      </c>
      <c r="L641">
        <v>34</v>
      </c>
      <c r="M641">
        <v>143</v>
      </c>
      <c r="N641">
        <v>16</v>
      </c>
      <c r="O641">
        <v>2</v>
      </c>
    </row>
    <row r="642" spans="1:16" x14ac:dyDescent="0.25">
      <c r="A642" s="4">
        <v>43647</v>
      </c>
      <c r="B642" t="s">
        <v>9</v>
      </c>
      <c r="C642">
        <v>1</v>
      </c>
      <c r="F642">
        <v>269</v>
      </c>
      <c r="J642">
        <v>0.81899999999999995</v>
      </c>
      <c r="K642">
        <v>33.6</v>
      </c>
      <c r="L642">
        <v>41.1</v>
      </c>
      <c r="M642">
        <v>144</v>
      </c>
      <c r="N642">
        <v>37</v>
      </c>
      <c r="O642">
        <v>13</v>
      </c>
    </row>
    <row r="643" spans="1:16" x14ac:dyDescent="0.25">
      <c r="A643" s="4">
        <v>43647</v>
      </c>
      <c r="B643" t="s">
        <v>9</v>
      </c>
      <c r="C643">
        <v>2</v>
      </c>
      <c r="F643">
        <v>275</v>
      </c>
      <c r="J643">
        <v>0.96</v>
      </c>
      <c r="K643">
        <v>34.4</v>
      </c>
      <c r="L643">
        <v>35.799999999999997</v>
      </c>
      <c r="M643">
        <v>224</v>
      </c>
      <c r="N643">
        <v>16</v>
      </c>
      <c r="O643">
        <v>3</v>
      </c>
    </row>
    <row r="644" spans="1:16" x14ac:dyDescent="0.25">
      <c r="A644" s="4">
        <v>43647</v>
      </c>
      <c r="B644" t="s">
        <v>10</v>
      </c>
      <c r="C644" t="s">
        <v>78</v>
      </c>
      <c r="F644">
        <v>181</v>
      </c>
      <c r="J644">
        <v>0.443</v>
      </c>
      <c r="K644">
        <v>15.1</v>
      </c>
      <c r="L644">
        <v>34</v>
      </c>
      <c r="M644">
        <v>143</v>
      </c>
      <c r="N644">
        <v>16</v>
      </c>
      <c r="O644">
        <v>2</v>
      </c>
    </row>
    <row r="645" spans="1:16" x14ac:dyDescent="0.25">
      <c r="A645" s="4">
        <v>43647</v>
      </c>
      <c r="B645" t="s">
        <v>9</v>
      </c>
      <c r="C645" t="s">
        <v>78</v>
      </c>
      <c r="F645">
        <v>544</v>
      </c>
      <c r="J645">
        <v>0.88900000000000001</v>
      </c>
      <c r="K645">
        <v>34</v>
      </c>
      <c r="L645">
        <v>38.200000000000003</v>
      </c>
      <c r="M645">
        <v>368</v>
      </c>
      <c r="N645">
        <v>53</v>
      </c>
      <c r="O645">
        <v>16</v>
      </c>
    </row>
    <row r="646" spans="1:16" x14ac:dyDescent="0.25">
      <c r="A646" s="4">
        <v>43648</v>
      </c>
      <c r="B646" t="s">
        <v>10</v>
      </c>
      <c r="C646">
        <v>1</v>
      </c>
      <c r="F646">
        <v>338</v>
      </c>
      <c r="J646">
        <v>0.83899999999999997</v>
      </c>
      <c r="K646">
        <v>28.2</v>
      </c>
      <c r="L646">
        <v>33.6</v>
      </c>
      <c r="M646">
        <v>244</v>
      </c>
      <c r="N646">
        <v>36</v>
      </c>
      <c r="O646">
        <v>4</v>
      </c>
    </row>
    <row r="647" spans="1:16" x14ac:dyDescent="0.25">
      <c r="A647" s="4">
        <v>43648</v>
      </c>
      <c r="B647" t="s">
        <v>9</v>
      </c>
      <c r="C647">
        <v>1</v>
      </c>
      <c r="F647">
        <v>234</v>
      </c>
      <c r="J647">
        <v>0.81</v>
      </c>
      <c r="K647">
        <v>29.3</v>
      </c>
      <c r="L647">
        <v>36.1</v>
      </c>
      <c r="M647">
        <v>177</v>
      </c>
      <c r="N647">
        <v>13</v>
      </c>
      <c r="O647">
        <v>8</v>
      </c>
    </row>
    <row r="648" spans="1:16" x14ac:dyDescent="0.25">
      <c r="A648" s="4">
        <v>43648</v>
      </c>
      <c r="B648" t="s">
        <v>9</v>
      </c>
      <c r="C648">
        <v>2</v>
      </c>
      <c r="F648">
        <v>270</v>
      </c>
      <c r="J648">
        <v>0.94299999999999995</v>
      </c>
      <c r="K648">
        <v>33.799999999999997</v>
      </c>
      <c r="L648">
        <v>35.799999999999997</v>
      </c>
      <c r="M648">
        <v>212</v>
      </c>
      <c r="N648">
        <v>20</v>
      </c>
    </row>
    <row r="649" spans="1:16" x14ac:dyDescent="0.25">
      <c r="A649" s="4">
        <v>43648</v>
      </c>
      <c r="B649" t="s">
        <v>10</v>
      </c>
      <c r="C649" t="s">
        <v>78</v>
      </c>
      <c r="F649">
        <v>338</v>
      </c>
      <c r="J649">
        <v>0.83899999999999997</v>
      </c>
      <c r="K649">
        <v>28.2</v>
      </c>
      <c r="L649">
        <v>33.6</v>
      </c>
      <c r="M649">
        <v>244</v>
      </c>
      <c r="N649">
        <v>36</v>
      </c>
      <c r="O649">
        <v>4</v>
      </c>
    </row>
    <row r="650" spans="1:16" x14ac:dyDescent="0.25">
      <c r="A650" s="4">
        <v>43648</v>
      </c>
      <c r="B650" t="s">
        <v>9</v>
      </c>
      <c r="C650" t="s">
        <v>78</v>
      </c>
      <c r="F650">
        <v>504</v>
      </c>
      <c r="J650">
        <v>0.877</v>
      </c>
      <c r="K650">
        <v>31.5</v>
      </c>
      <c r="L650">
        <v>35.9</v>
      </c>
      <c r="M650">
        <v>389</v>
      </c>
      <c r="N650">
        <v>33</v>
      </c>
      <c r="O650">
        <v>8</v>
      </c>
    </row>
    <row r="651" spans="1:16" x14ac:dyDescent="0.25">
      <c r="A651" s="4">
        <v>43649</v>
      </c>
      <c r="B651" t="s">
        <v>10</v>
      </c>
      <c r="C651">
        <v>1</v>
      </c>
      <c r="F651">
        <v>290</v>
      </c>
      <c r="J651">
        <v>0.76400000000000001</v>
      </c>
      <c r="K651">
        <v>24.2</v>
      </c>
      <c r="L651">
        <v>31.6</v>
      </c>
      <c r="M651">
        <v>230</v>
      </c>
      <c r="N651">
        <v>17</v>
      </c>
      <c r="O651">
        <v>8</v>
      </c>
    </row>
    <row r="652" spans="1:16" x14ac:dyDescent="0.25">
      <c r="A652" s="4">
        <v>43649</v>
      </c>
      <c r="B652" t="s">
        <v>9</v>
      </c>
      <c r="C652">
        <v>1</v>
      </c>
      <c r="F652">
        <v>208</v>
      </c>
      <c r="J652">
        <v>0.71199999999999997</v>
      </c>
      <c r="K652">
        <v>26</v>
      </c>
      <c r="L652">
        <v>36.5</v>
      </c>
      <c r="M652">
        <v>148</v>
      </c>
      <c r="N652">
        <v>14</v>
      </c>
      <c r="O652">
        <v>9</v>
      </c>
    </row>
    <row r="653" spans="1:16" x14ac:dyDescent="0.25">
      <c r="A653" s="4">
        <v>43649</v>
      </c>
      <c r="B653" t="s">
        <v>9</v>
      </c>
      <c r="C653">
        <v>2</v>
      </c>
      <c r="F653">
        <v>301</v>
      </c>
      <c r="J653">
        <v>1.069</v>
      </c>
      <c r="K653">
        <v>37.6</v>
      </c>
      <c r="L653">
        <v>35.200000000000003</v>
      </c>
      <c r="M653">
        <v>230</v>
      </c>
      <c r="N653">
        <v>21</v>
      </c>
      <c r="O653">
        <v>5</v>
      </c>
      <c r="P653">
        <v>1</v>
      </c>
    </row>
    <row r="654" spans="1:16" x14ac:dyDescent="0.25">
      <c r="A654" s="4">
        <v>43649</v>
      </c>
      <c r="B654" t="s">
        <v>10</v>
      </c>
      <c r="C654" t="s">
        <v>78</v>
      </c>
      <c r="F654">
        <v>290</v>
      </c>
      <c r="J654">
        <v>0.76400000000000001</v>
      </c>
      <c r="K654">
        <v>24.2</v>
      </c>
      <c r="L654">
        <v>31.6</v>
      </c>
      <c r="M654">
        <v>230</v>
      </c>
      <c r="N654">
        <v>17</v>
      </c>
      <c r="O654">
        <v>8</v>
      </c>
    </row>
    <row r="655" spans="1:16" x14ac:dyDescent="0.25">
      <c r="A655" s="4">
        <v>43649</v>
      </c>
      <c r="B655" t="s">
        <v>9</v>
      </c>
      <c r="C655" t="s">
        <v>78</v>
      </c>
      <c r="F655">
        <v>509</v>
      </c>
      <c r="J655">
        <v>0.89</v>
      </c>
      <c r="K655">
        <v>31.8</v>
      </c>
      <c r="L655">
        <v>35.700000000000003</v>
      </c>
      <c r="M655">
        <v>378</v>
      </c>
      <c r="N655">
        <v>35</v>
      </c>
      <c r="O655">
        <v>14</v>
      </c>
      <c r="P655">
        <v>1</v>
      </c>
    </row>
    <row r="656" spans="1:16" x14ac:dyDescent="0.25">
      <c r="A656" s="4">
        <v>43654</v>
      </c>
      <c r="B656" t="s">
        <v>10</v>
      </c>
      <c r="C656">
        <v>1</v>
      </c>
      <c r="F656">
        <v>261</v>
      </c>
      <c r="J656">
        <v>0.61399999999999999</v>
      </c>
      <c r="K656">
        <v>21.8</v>
      </c>
      <c r="L656">
        <v>35.4</v>
      </c>
      <c r="M656">
        <v>141</v>
      </c>
      <c r="N656">
        <v>39</v>
      </c>
      <c r="O656">
        <v>11</v>
      </c>
      <c r="P656">
        <v>1</v>
      </c>
    </row>
    <row r="657" spans="1:16" x14ac:dyDescent="0.25">
      <c r="A657" s="4">
        <v>43654</v>
      </c>
      <c r="B657" t="s">
        <v>9</v>
      </c>
      <c r="C657">
        <v>1</v>
      </c>
      <c r="F657">
        <v>162</v>
      </c>
      <c r="J657">
        <v>0.47499999999999998</v>
      </c>
      <c r="K657">
        <v>20.3</v>
      </c>
      <c r="L657">
        <v>42.6</v>
      </c>
      <c r="M657">
        <v>64</v>
      </c>
      <c r="N657">
        <v>25</v>
      </c>
      <c r="O657">
        <v>12</v>
      </c>
    </row>
    <row r="658" spans="1:16" x14ac:dyDescent="0.25">
      <c r="A658" s="4">
        <v>43654</v>
      </c>
      <c r="B658" t="s">
        <v>9</v>
      </c>
      <c r="C658">
        <v>2</v>
      </c>
      <c r="F658">
        <v>269</v>
      </c>
      <c r="J658">
        <v>0.92600000000000005</v>
      </c>
      <c r="K658">
        <v>33.6</v>
      </c>
      <c r="L658">
        <v>36.299999999999997</v>
      </c>
      <c r="M658">
        <v>181</v>
      </c>
      <c r="N658">
        <v>28</v>
      </c>
      <c r="O658">
        <v>9</v>
      </c>
    </row>
    <row r="659" spans="1:16" x14ac:dyDescent="0.25">
      <c r="A659" s="4">
        <v>43654</v>
      </c>
      <c r="B659" t="s">
        <v>10</v>
      </c>
      <c r="C659" t="s">
        <v>78</v>
      </c>
      <c r="F659">
        <v>261</v>
      </c>
      <c r="J659">
        <v>0.61399999999999999</v>
      </c>
      <c r="K659">
        <v>21.8</v>
      </c>
      <c r="L659">
        <v>35.4</v>
      </c>
      <c r="M659">
        <v>141</v>
      </c>
      <c r="N659">
        <v>39</v>
      </c>
      <c r="O659">
        <v>11</v>
      </c>
      <c r="P659">
        <v>1</v>
      </c>
    </row>
    <row r="660" spans="1:16" x14ac:dyDescent="0.25">
      <c r="A660" s="4">
        <v>43654</v>
      </c>
      <c r="B660" t="s">
        <v>9</v>
      </c>
      <c r="C660" t="s">
        <v>78</v>
      </c>
      <c r="F660">
        <v>430</v>
      </c>
      <c r="J660">
        <v>0.7</v>
      </c>
      <c r="K660">
        <v>26.9</v>
      </c>
      <c r="L660">
        <v>38.4</v>
      </c>
      <c r="M660">
        <v>245</v>
      </c>
      <c r="N660">
        <v>53</v>
      </c>
      <c r="O660">
        <v>21</v>
      </c>
    </row>
    <row r="661" spans="1:16" x14ac:dyDescent="0.25">
      <c r="A661" s="4">
        <v>43655</v>
      </c>
      <c r="B661" t="s">
        <v>10</v>
      </c>
      <c r="C661">
        <v>1</v>
      </c>
      <c r="F661">
        <v>333</v>
      </c>
      <c r="J661">
        <v>0.85599999999999998</v>
      </c>
      <c r="K661">
        <v>27.8</v>
      </c>
      <c r="L661">
        <v>32.4</v>
      </c>
      <c r="M661">
        <v>283</v>
      </c>
      <c r="N661">
        <v>20</v>
      </c>
      <c r="O661">
        <v>2</v>
      </c>
    </row>
    <row r="662" spans="1:16" x14ac:dyDescent="0.25">
      <c r="A662" s="4">
        <v>43655</v>
      </c>
      <c r="B662" t="s">
        <v>9</v>
      </c>
      <c r="C662">
        <v>1</v>
      </c>
      <c r="F662">
        <v>265</v>
      </c>
      <c r="J662">
        <v>0.89100000000000001</v>
      </c>
      <c r="K662">
        <v>33.1</v>
      </c>
      <c r="L662">
        <v>37.200000000000003</v>
      </c>
      <c r="M662">
        <v>187</v>
      </c>
      <c r="N662">
        <v>20</v>
      </c>
      <c r="O662">
        <v>7</v>
      </c>
      <c r="P662">
        <v>2</v>
      </c>
    </row>
    <row r="663" spans="1:16" x14ac:dyDescent="0.25">
      <c r="A663" s="4">
        <v>43655</v>
      </c>
      <c r="B663" t="s">
        <v>9</v>
      </c>
      <c r="C663">
        <v>2</v>
      </c>
      <c r="F663">
        <v>266</v>
      </c>
      <c r="J663">
        <v>0.90800000000000003</v>
      </c>
      <c r="K663">
        <v>33.299999999999997</v>
      </c>
      <c r="L663">
        <v>36.6</v>
      </c>
      <c r="M663">
        <v>190</v>
      </c>
      <c r="N663">
        <v>17</v>
      </c>
      <c r="O663">
        <v>8</v>
      </c>
      <c r="P663">
        <v>1</v>
      </c>
    </row>
    <row r="664" spans="1:16" x14ac:dyDescent="0.25">
      <c r="A664" s="4">
        <v>43655</v>
      </c>
      <c r="B664" t="s">
        <v>10</v>
      </c>
      <c r="C664" t="s">
        <v>78</v>
      </c>
      <c r="F664">
        <v>333</v>
      </c>
      <c r="J664">
        <v>0.85599999999999998</v>
      </c>
      <c r="K664">
        <v>27.8</v>
      </c>
      <c r="L664">
        <v>32.4</v>
      </c>
      <c r="M664">
        <v>283</v>
      </c>
      <c r="N664">
        <v>20</v>
      </c>
      <c r="O664">
        <v>2</v>
      </c>
    </row>
    <row r="665" spans="1:16" x14ac:dyDescent="0.25">
      <c r="A665" s="4">
        <v>43655</v>
      </c>
      <c r="B665" t="s">
        <v>9</v>
      </c>
      <c r="C665" t="s">
        <v>78</v>
      </c>
      <c r="F665">
        <v>531</v>
      </c>
      <c r="J665">
        <v>0.89900000000000002</v>
      </c>
      <c r="K665">
        <v>33.200000000000003</v>
      </c>
      <c r="L665">
        <v>36.9</v>
      </c>
      <c r="M665">
        <v>377</v>
      </c>
      <c r="N665">
        <v>37</v>
      </c>
      <c r="O665">
        <v>15</v>
      </c>
      <c r="P665">
        <v>3</v>
      </c>
    </row>
    <row r="666" spans="1:16" x14ac:dyDescent="0.25">
      <c r="A666" s="4">
        <v>43656</v>
      </c>
      <c r="B666" t="s">
        <v>10</v>
      </c>
      <c r="C666">
        <v>1</v>
      </c>
      <c r="F666">
        <v>199</v>
      </c>
      <c r="J666">
        <v>0.78900000000000003</v>
      </c>
      <c r="K666">
        <v>24.9</v>
      </c>
      <c r="L666">
        <v>31.5</v>
      </c>
      <c r="M666">
        <v>163</v>
      </c>
      <c r="N666">
        <v>14</v>
      </c>
      <c r="O666">
        <v>1</v>
      </c>
    </row>
    <row r="667" spans="1:16" x14ac:dyDescent="0.25">
      <c r="A667" s="4">
        <v>43656</v>
      </c>
      <c r="B667" t="s">
        <v>9</v>
      </c>
      <c r="C667">
        <v>1</v>
      </c>
      <c r="F667">
        <v>243</v>
      </c>
      <c r="J667">
        <v>0.79100000000000004</v>
      </c>
      <c r="K667">
        <v>30.4</v>
      </c>
      <c r="L667">
        <v>38.4</v>
      </c>
      <c r="M667">
        <v>158</v>
      </c>
      <c r="N667">
        <v>18</v>
      </c>
      <c r="O667">
        <v>9</v>
      </c>
      <c r="P667">
        <v>1</v>
      </c>
    </row>
    <row r="668" spans="1:16" x14ac:dyDescent="0.25">
      <c r="A668" s="4">
        <v>43656</v>
      </c>
      <c r="B668" t="s">
        <v>9</v>
      </c>
      <c r="C668">
        <v>2</v>
      </c>
      <c r="F668">
        <v>288</v>
      </c>
      <c r="J668">
        <v>0.98299999999999998</v>
      </c>
      <c r="K668">
        <v>36</v>
      </c>
      <c r="L668">
        <v>36.6</v>
      </c>
      <c r="M668">
        <v>219</v>
      </c>
      <c r="N668">
        <v>18</v>
      </c>
      <c r="O668">
        <v>6</v>
      </c>
    </row>
    <row r="669" spans="1:16" x14ac:dyDescent="0.25">
      <c r="A669" s="4">
        <v>43656</v>
      </c>
      <c r="B669" t="s">
        <v>10</v>
      </c>
      <c r="C669" t="s">
        <v>78</v>
      </c>
      <c r="F669">
        <v>199</v>
      </c>
      <c r="J669">
        <v>0.78900000000000003</v>
      </c>
      <c r="K669">
        <v>24.9</v>
      </c>
      <c r="L669">
        <v>31.5</v>
      </c>
      <c r="M669">
        <v>163</v>
      </c>
      <c r="N669">
        <v>14</v>
      </c>
      <c r="O669">
        <v>1</v>
      </c>
    </row>
    <row r="670" spans="1:16" x14ac:dyDescent="0.25">
      <c r="A670" s="4">
        <v>43656</v>
      </c>
      <c r="B670" t="s">
        <v>9</v>
      </c>
      <c r="C670" t="s">
        <v>78</v>
      </c>
      <c r="F670">
        <v>531</v>
      </c>
      <c r="J670">
        <v>0.88700000000000001</v>
      </c>
      <c r="K670">
        <v>33.200000000000003</v>
      </c>
      <c r="L670">
        <v>37.4</v>
      </c>
      <c r="M670">
        <v>377</v>
      </c>
      <c r="N670">
        <v>36</v>
      </c>
      <c r="O670">
        <v>15</v>
      </c>
      <c r="P670">
        <v>1</v>
      </c>
    </row>
    <row r="671" spans="1:16" x14ac:dyDescent="0.25">
      <c r="A671" s="4">
        <v>43657</v>
      </c>
      <c r="B671" t="s">
        <v>10</v>
      </c>
      <c r="C671">
        <v>1</v>
      </c>
      <c r="F671">
        <v>167</v>
      </c>
      <c r="J671">
        <v>0.624</v>
      </c>
      <c r="K671">
        <v>20.9</v>
      </c>
      <c r="L671">
        <v>33.4</v>
      </c>
      <c r="M671">
        <v>118</v>
      </c>
      <c r="N671">
        <v>16</v>
      </c>
      <c r="O671">
        <v>2</v>
      </c>
      <c r="P671">
        <v>1</v>
      </c>
    </row>
    <row r="672" spans="1:16" x14ac:dyDescent="0.25">
      <c r="A672" s="4">
        <v>43657</v>
      </c>
      <c r="B672" t="s">
        <v>9</v>
      </c>
      <c r="C672">
        <v>1</v>
      </c>
      <c r="F672">
        <v>204</v>
      </c>
      <c r="J672">
        <v>0.624</v>
      </c>
      <c r="K672">
        <v>25.5</v>
      </c>
      <c r="L672">
        <v>40.799999999999997</v>
      </c>
      <c r="M672">
        <v>101</v>
      </c>
      <c r="N672">
        <v>23</v>
      </c>
      <c r="O672">
        <v>10</v>
      </c>
      <c r="P672">
        <v>2</v>
      </c>
    </row>
    <row r="673" spans="1:16" x14ac:dyDescent="0.25">
      <c r="A673" s="4">
        <v>43657</v>
      </c>
      <c r="B673" t="s">
        <v>9</v>
      </c>
      <c r="C673">
        <v>2</v>
      </c>
      <c r="F673">
        <v>229</v>
      </c>
      <c r="J673">
        <v>0.78400000000000003</v>
      </c>
      <c r="K673">
        <v>28.6</v>
      </c>
      <c r="L673">
        <v>36.5</v>
      </c>
      <c r="M673">
        <v>169</v>
      </c>
      <c r="N673">
        <v>15</v>
      </c>
      <c r="O673">
        <v>5</v>
      </c>
      <c r="P673">
        <v>1</v>
      </c>
    </row>
    <row r="674" spans="1:16" x14ac:dyDescent="0.25">
      <c r="A674" s="4">
        <v>43657</v>
      </c>
      <c r="B674" t="s">
        <v>10</v>
      </c>
      <c r="C674" t="s">
        <v>78</v>
      </c>
      <c r="F674">
        <v>167</v>
      </c>
      <c r="J674">
        <v>0.624</v>
      </c>
      <c r="K674">
        <v>20.9</v>
      </c>
      <c r="L674">
        <v>33.4</v>
      </c>
      <c r="M674">
        <v>118</v>
      </c>
      <c r="N674">
        <v>16</v>
      </c>
      <c r="O674">
        <v>2</v>
      </c>
      <c r="P674">
        <v>1</v>
      </c>
    </row>
    <row r="675" spans="1:16" x14ac:dyDescent="0.25">
      <c r="A675" s="4">
        <v>43657</v>
      </c>
      <c r="B675" t="s">
        <v>9</v>
      </c>
      <c r="C675" t="s">
        <v>78</v>
      </c>
      <c r="F675">
        <v>433</v>
      </c>
      <c r="J675">
        <v>0.70399999999999996</v>
      </c>
      <c r="K675">
        <v>27.1</v>
      </c>
      <c r="L675">
        <v>38.4</v>
      </c>
      <c r="M675">
        <v>270</v>
      </c>
      <c r="N675">
        <v>38</v>
      </c>
      <c r="O675">
        <v>15</v>
      </c>
      <c r="P675">
        <v>3</v>
      </c>
    </row>
    <row r="676" spans="1:16" x14ac:dyDescent="0.25">
      <c r="A676" s="4">
        <v>43658</v>
      </c>
      <c r="B676" t="s">
        <v>10</v>
      </c>
      <c r="C676">
        <v>1</v>
      </c>
      <c r="F676">
        <v>199</v>
      </c>
      <c r="J676">
        <v>0.72799999999999998</v>
      </c>
      <c r="K676">
        <v>24.9</v>
      </c>
      <c r="L676">
        <v>34.200000000000003</v>
      </c>
      <c r="M676">
        <v>140</v>
      </c>
      <c r="N676">
        <v>18</v>
      </c>
      <c r="O676">
        <v>6</v>
      </c>
    </row>
    <row r="677" spans="1:16" x14ac:dyDescent="0.25">
      <c r="A677" s="4">
        <v>43658</v>
      </c>
      <c r="B677" t="s">
        <v>9</v>
      </c>
      <c r="C677">
        <v>1</v>
      </c>
      <c r="F677">
        <v>235</v>
      </c>
      <c r="J677">
        <v>0.79100000000000004</v>
      </c>
      <c r="K677">
        <v>29.4</v>
      </c>
      <c r="L677">
        <v>37.1</v>
      </c>
      <c r="M677">
        <v>175</v>
      </c>
      <c r="N677">
        <v>15</v>
      </c>
      <c r="O677">
        <v>2</v>
      </c>
      <c r="P677">
        <v>1</v>
      </c>
    </row>
    <row r="678" spans="1:16" x14ac:dyDescent="0.25">
      <c r="A678" s="4">
        <v>43658</v>
      </c>
      <c r="B678" t="s">
        <v>9</v>
      </c>
      <c r="C678">
        <v>2</v>
      </c>
      <c r="F678">
        <v>256</v>
      </c>
      <c r="J678">
        <v>0.88</v>
      </c>
      <c r="K678">
        <v>32</v>
      </c>
      <c r="L678">
        <v>36.4</v>
      </c>
      <c r="M678">
        <v>173</v>
      </c>
      <c r="N678">
        <v>26</v>
      </c>
      <c r="O678">
        <v>4</v>
      </c>
      <c r="P678">
        <v>1</v>
      </c>
    </row>
    <row r="679" spans="1:16" x14ac:dyDescent="0.25">
      <c r="A679" s="4">
        <v>43658</v>
      </c>
      <c r="B679" t="s">
        <v>10</v>
      </c>
      <c r="C679" t="s">
        <v>78</v>
      </c>
      <c r="F679">
        <v>199</v>
      </c>
      <c r="J679">
        <v>0.72799999999999998</v>
      </c>
      <c r="K679">
        <v>24.9</v>
      </c>
      <c r="L679">
        <v>34.200000000000003</v>
      </c>
      <c r="M679">
        <v>140</v>
      </c>
      <c r="N679">
        <v>18</v>
      </c>
      <c r="O679">
        <v>6</v>
      </c>
    </row>
    <row r="680" spans="1:16" x14ac:dyDescent="0.25">
      <c r="A680" s="4">
        <v>43658</v>
      </c>
      <c r="B680" t="s">
        <v>9</v>
      </c>
      <c r="C680" t="s">
        <v>78</v>
      </c>
      <c r="F680">
        <v>491</v>
      </c>
      <c r="J680">
        <v>0.83599999999999997</v>
      </c>
      <c r="K680">
        <v>30.7</v>
      </c>
      <c r="L680">
        <v>36.700000000000003</v>
      </c>
      <c r="M680">
        <v>348</v>
      </c>
      <c r="N680">
        <v>41</v>
      </c>
      <c r="O680">
        <v>6</v>
      </c>
      <c r="P680">
        <v>2</v>
      </c>
    </row>
    <row r="681" spans="1:16" x14ac:dyDescent="0.25">
      <c r="A681" s="4">
        <v>43659</v>
      </c>
      <c r="B681" t="s">
        <v>10</v>
      </c>
      <c r="C681">
        <v>2</v>
      </c>
      <c r="F681">
        <v>93</v>
      </c>
      <c r="J681">
        <v>0.48499999999999999</v>
      </c>
      <c r="K681">
        <v>15.5</v>
      </c>
      <c r="L681">
        <v>32</v>
      </c>
      <c r="M681">
        <v>85</v>
      </c>
      <c r="N681">
        <v>3</v>
      </c>
    </row>
    <row r="682" spans="1:16" x14ac:dyDescent="0.25">
      <c r="A682" s="4">
        <v>43659</v>
      </c>
      <c r="B682" t="s">
        <v>9</v>
      </c>
      <c r="C682">
        <v>1</v>
      </c>
      <c r="F682">
        <v>232</v>
      </c>
      <c r="J682">
        <v>0.76900000000000002</v>
      </c>
      <c r="K682">
        <v>29</v>
      </c>
      <c r="L682">
        <v>37.700000000000003</v>
      </c>
      <c r="M682">
        <v>150</v>
      </c>
      <c r="N682">
        <v>27</v>
      </c>
      <c r="O682">
        <v>4</v>
      </c>
      <c r="P682">
        <v>1</v>
      </c>
    </row>
    <row r="683" spans="1:16" x14ac:dyDescent="0.25">
      <c r="A683" s="4">
        <v>43659</v>
      </c>
      <c r="B683" t="s">
        <v>9</v>
      </c>
      <c r="C683">
        <v>2</v>
      </c>
      <c r="F683">
        <v>70</v>
      </c>
      <c r="J683">
        <v>1.0469999999999999</v>
      </c>
      <c r="K683">
        <v>35</v>
      </c>
      <c r="L683">
        <v>33.43</v>
      </c>
      <c r="M683">
        <v>61</v>
      </c>
      <c r="N683">
        <v>3</v>
      </c>
      <c r="O683">
        <v>1</v>
      </c>
    </row>
    <row r="684" spans="1:16" x14ac:dyDescent="0.25">
      <c r="A684" s="4">
        <v>43659</v>
      </c>
      <c r="B684" t="s">
        <v>10</v>
      </c>
      <c r="C684" t="s">
        <v>78</v>
      </c>
      <c r="F684">
        <v>93</v>
      </c>
      <c r="J684">
        <v>0.48499999999999999</v>
      </c>
      <c r="K684">
        <v>15.5</v>
      </c>
      <c r="L684">
        <v>32</v>
      </c>
      <c r="M684">
        <v>85</v>
      </c>
      <c r="N684">
        <v>3</v>
      </c>
    </row>
    <row r="685" spans="1:16" x14ac:dyDescent="0.25">
      <c r="A685" s="4">
        <v>43659</v>
      </c>
      <c r="B685" t="s">
        <v>9</v>
      </c>
      <c r="C685" t="s">
        <v>78</v>
      </c>
      <c r="F685">
        <v>302</v>
      </c>
      <c r="J685">
        <v>0.82399999999999995</v>
      </c>
      <c r="K685">
        <v>30.2</v>
      </c>
      <c r="L685">
        <v>36.6</v>
      </c>
      <c r="M685">
        <v>211</v>
      </c>
      <c r="N685">
        <v>30</v>
      </c>
      <c r="O685">
        <v>5</v>
      </c>
      <c r="P685">
        <v>1</v>
      </c>
    </row>
    <row r="686" spans="1:16" x14ac:dyDescent="0.25">
      <c r="A686" s="4">
        <v>43661</v>
      </c>
      <c r="B686" t="s">
        <v>10</v>
      </c>
      <c r="C686">
        <v>1</v>
      </c>
      <c r="F686">
        <v>218</v>
      </c>
      <c r="J686">
        <v>0.83499999999999996</v>
      </c>
      <c r="K686">
        <v>27.3</v>
      </c>
      <c r="L686">
        <v>32.6</v>
      </c>
      <c r="M686">
        <v>179</v>
      </c>
      <c r="N686">
        <v>8</v>
      </c>
      <c r="O686">
        <v>4</v>
      </c>
      <c r="P686">
        <v>1</v>
      </c>
    </row>
    <row r="687" spans="1:16" x14ac:dyDescent="0.25">
      <c r="A687" s="4">
        <v>43661</v>
      </c>
      <c r="B687" t="s">
        <v>9</v>
      </c>
      <c r="C687">
        <v>1</v>
      </c>
      <c r="F687">
        <v>228</v>
      </c>
      <c r="J687">
        <v>0.72599999999999998</v>
      </c>
      <c r="K687">
        <v>28.5</v>
      </c>
      <c r="L687">
        <v>39.299999999999997</v>
      </c>
      <c r="M687">
        <v>135</v>
      </c>
      <c r="N687">
        <v>26</v>
      </c>
      <c r="O687">
        <v>6</v>
      </c>
      <c r="P687">
        <v>2</v>
      </c>
    </row>
    <row r="688" spans="1:16" x14ac:dyDescent="0.25">
      <c r="A688" s="4">
        <v>43661</v>
      </c>
      <c r="B688" t="s">
        <v>9</v>
      </c>
      <c r="C688">
        <v>2</v>
      </c>
      <c r="F688">
        <v>265</v>
      </c>
      <c r="J688">
        <v>0.95299999999999996</v>
      </c>
      <c r="K688">
        <v>33.1</v>
      </c>
      <c r="L688">
        <v>34.799999999999997</v>
      </c>
      <c r="M688">
        <v>216</v>
      </c>
      <c r="N688">
        <v>16</v>
      </c>
      <c r="O688">
        <v>4</v>
      </c>
    </row>
    <row r="689" spans="1:16" x14ac:dyDescent="0.25">
      <c r="A689" s="4">
        <v>43661</v>
      </c>
      <c r="B689" t="s">
        <v>10</v>
      </c>
      <c r="C689" t="s">
        <v>78</v>
      </c>
      <c r="F689">
        <v>218</v>
      </c>
      <c r="J689">
        <v>0.83499999999999996</v>
      </c>
      <c r="K689">
        <v>27.3</v>
      </c>
      <c r="L689">
        <v>32.6</v>
      </c>
      <c r="M689">
        <v>179</v>
      </c>
      <c r="N689">
        <v>8</v>
      </c>
      <c r="O689">
        <v>4</v>
      </c>
      <c r="P689">
        <v>1</v>
      </c>
    </row>
    <row r="690" spans="1:16" x14ac:dyDescent="0.25">
      <c r="A690" s="4">
        <v>43661</v>
      </c>
      <c r="B690" t="s">
        <v>9</v>
      </c>
      <c r="C690" t="s">
        <v>78</v>
      </c>
      <c r="F690">
        <v>493</v>
      </c>
      <c r="J690">
        <v>0.83899999999999997</v>
      </c>
      <c r="K690">
        <v>30.8</v>
      </c>
      <c r="L690">
        <v>36.700000000000003</v>
      </c>
      <c r="M690">
        <v>351</v>
      </c>
      <c r="N690">
        <v>42</v>
      </c>
      <c r="O690">
        <v>10</v>
      </c>
      <c r="P690">
        <v>2</v>
      </c>
    </row>
    <row r="691" spans="1:16" x14ac:dyDescent="0.25">
      <c r="A691" s="4">
        <v>43662</v>
      </c>
      <c r="B691" t="s">
        <v>10</v>
      </c>
      <c r="C691">
        <v>1</v>
      </c>
      <c r="F691">
        <v>326</v>
      </c>
      <c r="J691">
        <v>0.82199999999999995</v>
      </c>
      <c r="K691">
        <v>27.2</v>
      </c>
      <c r="L691">
        <v>33.04</v>
      </c>
      <c r="M691">
        <v>263</v>
      </c>
      <c r="N691">
        <v>16</v>
      </c>
      <c r="O691">
        <v>8</v>
      </c>
    </row>
    <row r="692" spans="1:16" x14ac:dyDescent="0.25">
      <c r="A692" s="4">
        <v>43662</v>
      </c>
      <c r="B692" t="s">
        <v>9</v>
      </c>
      <c r="C692">
        <v>1</v>
      </c>
      <c r="F692">
        <v>212</v>
      </c>
      <c r="J692">
        <v>0.72199999999999998</v>
      </c>
      <c r="K692">
        <v>26.5</v>
      </c>
      <c r="L692">
        <v>36.700000000000003</v>
      </c>
      <c r="M692">
        <v>138</v>
      </c>
      <c r="N692">
        <v>22</v>
      </c>
      <c r="O692">
        <v>4</v>
      </c>
      <c r="P692">
        <v>1</v>
      </c>
    </row>
    <row r="693" spans="1:16" x14ac:dyDescent="0.25">
      <c r="A693" s="4">
        <v>43662</v>
      </c>
      <c r="B693" t="s">
        <v>9</v>
      </c>
      <c r="C693">
        <v>2</v>
      </c>
      <c r="F693">
        <v>267</v>
      </c>
      <c r="J693">
        <v>0.97099999999999997</v>
      </c>
      <c r="K693">
        <v>33.4</v>
      </c>
      <c r="L693">
        <v>34.4</v>
      </c>
      <c r="M693">
        <v>204</v>
      </c>
      <c r="N693">
        <v>26</v>
      </c>
      <c r="O693">
        <v>3</v>
      </c>
    </row>
    <row r="694" spans="1:16" x14ac:dyDescent="0.25">
      <c r="A694" s="4">
        <v>43662</v>
      </c>
      <c r="B694" t="s">
        <v>10</v>
      </c>
      <c r="C694" t="s">
        <v>78</v>
      </c>
      <c r="F694">
        <v>326</v>
      </c>
      <c r="J694">
        <v>0.82199999999999995</v>
      </c>
      <c r="K694">
        <v>27.2</v>
      </c>
      <c r="L694">
        <v>33.04</v>
      </c>
      <c r="M694">
        <v>263</v>
      </c>
      <c r="N694">
        <v>16</v>
      </c>
      <c r="O694">
        <v>8</v>
      </c>
    </row>
    <row r="695" spans="1:16" x14ac:dyDescent="0.25">
      <c r="A695" s="4">
        <v>43662</v>
      </c>
      <c r="B695" t="s">
        <v>9</v>
      </c>
      <c r="C695" t="s">
        <v>78</v>
      </c>
      <c r="F695">
        <v>479</v>
      </c>
      <c r="J695">
        <v>0.84599999999999997</v>
      </c>
      <c r="K695">
        <v>29.9</v>
      </c>
      <c r="L695">
        <v>35.4</v>
      </c>
      <c r="M695">
        <v>342</v>
      </c>
      <c r="N695">
        <v>48</v>
      </c>
      <c r="O695">
        <v>7</v>
      </c>
      <c r="P695">
        <v>1</v>
      </c>
    </row>
    <row r="696" spans="1:16" x14ac:dyDescent="0.25">
      <c r="A696" s="4">
        <v>43663</v>
      </c>
      <c r="B696" t="s">
        <v>10</v>
      </c>
      <c r="C696">
        <v>1</v>
      </c>
      <c r="F696">
        <v>245</v>
      </c>
      <c r="J696">
        <v>0.74299999999999999</v>
      </c>
      <c r="K696">
        <v>24.5</v>
      </c>
      <c r="L696">
        <v>33</v>
      </c>
      <c r="M696">
        <v>191</v>
      </c>
      <c r="N696">
        <v>18</v>
      </c>
      <c r="O696">
        <v>5</v>
      </c>
    </row>
    <row r="697" spans="1:16" x14ac:dyDescent="0.25">
      <c r="A697" s="4">
        <v>43663</v>
      </c>
      <c r="B697" t="s">
        <v>9</v>
      </c>
      <c r="C697">
        <v>1</v>
      </c>
      <c r="F697">
        <v>227</v>
      </c>
      <c r="J697">
        <v>0.78200000000000003</v>
      </c>
      <c r="K697">
        <v>28.4</v>
      </c>
      <c r="L697">
        <v>36.299999999999997</v>
      </c>
      <c r="M697">
        <v>158</v>
      </c>
      <c r="N697">
        <v>24</v>
      </c>
      <c r="O697">
        <v>5</v>
      </c>
    </row>
    <row r="698" spans="1:16" x14ac:dyDescent="0.25">
      <c r="A698" s="4">
        <v>43663</v>
      </c>
      <c r="B698" t="s">
        <v>9</v>
      </c>
      <c r="C698">
        <v>2</v>
      </c>
      <c r="F698">
        <v>258</v>
      </c>
      <c r="J698">
        <v>0.92900000000000005</v>
      </c>
      <c r="K698">
        <v>32.299999999999997</v>
      </c>
      <c r="L698">
        <v>34.700000000000003</v>
      </c>
      <c r="M698">
        <v>197</v>
      </c>
      <c r="N698">
        <v>27</v>
      </c>
      <c r="O698">
        <v>1</v>
      </c>
    </row>
    <row r="699" spans="1:16" x14ac:dyDescent="0.25">
      <c r="A699" s="4">
        <v>43663</v>
      </c>
      <c r="B699" t="s">
        <v>10</v>
      </c>
      <c r="C699" t="s">
        <v>78</v>
      </c>
      <c r="F699">
        <v>245</v>
      </c>
      <c r="J699">
        <v>0.74299999999999999</v>
      </c>
      <c r="K699">
        <v>24.5</v>
      </c>
      <c r="L699">
        <v>33</v>
      </c>
      <c r="M699">
        <v>191</v>
      </c>
      <c r="N699">
        <v>18</v>
      </c>
      <c r="O699">
        <v>5</v>
      </c>
    </row>
    <row r="700" spans="1:16" x14ac:dyDescent="0.25">
      <c r="A700" s="4">
        <v>43663</v>
      </c>
      <c r="B700" t="s">
        <v>9</v>
      </c>
      <c r="C700" t="s">
        <v>78</v>
      </c>
      <c r="F700">
        <v>485</v>
      </c>
      <c r="J700">
        <v>0.85599999999999998</v>
      </c>
      <c r="K700">
        <v>30.3</v>
      </c>
      <c r="L700">
        <v>35.4</v>
      </c>
      <c r="M700">
        <v>355</v>
      </c>
      <c r="N700">
        <v>51</v>
      </c>
      <c r="O700">
        <v>6</v>
      </c>
    </row>
    <row r="701" spans="1:16" x14ac:dyDescent="0.25">
      <c r="A701" s="4">
        <v>43664</v>
      </c>
      <c r="B701" t="s">
        <v>10</v>
      </c>
      <c r="C701">
        <v>1</v>
      </c>
      <c r="F701">
        <v>329</v>
      </c>
      <c r="J701">
        <v>0.79400000000000004</v>
      </c>
      <c r="K701">
        <v>27.4</v>
      </c>
      <c r="L701">
        <v>34.5</v>
      </c>
      <c r="M701">
        <v>237</v>
      </c>
      <c r="N701">
        <v>26</v>
      </c>
      <c r="O701">
        <v>7</v>
      </c>
      <c r="P701">
        <v>1</v>
      </c>
    </row>
    <row r="702" spans="1:16" x14ac:dyDescent="0.25">
      <c r="A702" s="4">
        <v>43664</v>
      </c>
      <c r="B702" t="s">
        <v>9</v>
      </c>
      <c r="C702">
        <v>1</v>
      </c>
      <c r="F702">
        <v>239</v>
      </c>
      <c r="J702">
        <v>0.82399999999999995</v>
      </c>
      <c r="K702">
        <v>29.9</v>
      </c>
      <c r="L702">
        <v>36.299999999999997</v>
      </c>
      <c r="M702">
        <v>181</v>
      </c>
      <c r="N702">
        <v>13</v>
      </c>
      <c r="O702">
        <v>8</v>
      </c>
    </row>
    <row r="703" spans="1:16" x14ac:dyDescent="0.25">
      <c r="A703" s="4">
        <v>43664</v>
      </c>
      <c r="B703" t="s">
        <v>9</v>
      </c>
      <c r="C703">
        <v>2</v>
      </c>
      <c r="F703">
        <v>234</v>
      </c>
      <c r="J703">
        <v>0.84099999999999997</v>
      </c>
      <c r="K703">
        <v>29.3</v>
      </c>
      <c r="L703">
        <v>34.799999999999997</v>
      </c>
      <c r="M703">
        <v>185</v>
      </c>
      <c r="N703">
        <v>14</v>
      </c>
      <c r="O703">
        <v>4</v>
      </c>
    </row>
    <row r="704" spans="1:16" x14ac:dyDescent="0.25">
      <c r="A704" s="4">
        <v>43664</v>
      </c>
      <c r="B704" t="s">
        <v>10</v>
      </c>
      <c r="C704" t="s">
        <v>78</v>
      </c>
      <c r="F704">
        <v>329</v>
      </c>
      <c r="J704">
        <v>0.79400000000000004</v>
      </c>
      <c r="K704">
        <v>27.4</v>
      </c>
      <c r="L704">
        <v>34.5</v>
      </c>
      <c r="M704">
        <v>237</v>
      </c>
      <c r="N704">
        <v>26</v>
      </c>
      <c r="O704">
        <v>7</v>
      </c>
      <c r="P704">
        <v>1</v>
      </c>
    </row>
    <row r="705" spans="1:16" x14ac:dyDescent="0.25">
      <c r="A705" s="4">
        <v>43664</v>
      </c>
      <c r="B705" t="s">
        <v>9</v>
      </c>
      <c r="C705" t="s">
        <v>78</v>
      </c>
      <c r="F705">
        <v>473</v>
      </c>
      <c r="J705">
        <v>0.83199999999999996</v>
      </c>
      <c r="K705">
        <v>29.6</v>
      </c>
      <c r="L705">
        <v>35.5</v>
      </c>
      <c r="M705">
        <v>366</v>
      </c>
      <c r="N705">
        <v>27</v>
      </c>
      <c r="O705">
        <v>12</v>
      </c>
    </row>
    <row r="706" spans="1:16" x14ac:dyDescent="0.25">
      <c r="A706" s="4">
        <v>43665</v>
      </c>
      <c r="B706" t="s">
        <v>10</v>
      </c>
      <c r="C706">
        <v>1</v>
      </c>
      <c r="F706">
        <v>195</v>
      </c>
      <c r="J706">
        <v>0.73299999999999998</v>
      </c>
      <c r="K706">
        <v>24.4</v>
      </c>
      <c r="L706">
        <v>33.299999999999997</v>
      </c>
      <c r="M706">
        <v>137</v>
      </c>
      <c r="N706">
        <v>20</v>
      </c>
      <c r="O706">
        <v>3</v>
      </c>
    </row>
    <row r="707" spans="1:16" x14ac:dyDescent="0.25">
      <c r="A707" s="4">
        <v>43665</v>
      </c>
      <c r="B707" t="s">
        <v>9</v>
      </c>
      <c r="C707">
        <v>1</v>
      </c>
      <c r="F707">
        <v>221</v>
      </c>
      <c r="J707">
        <v>0.77500000000000002</v>
      </c>
      <c r="K707">
        <v>27.6</v>
      </c>
      <c r="L707">
        <v>35.700000000000003</v>
      </c>
      <c r="M707">
        <v>168</v>
      </c>
      <c r="N707">
        <v>14</v>
      </c>
      <c r="O707">
        <v>4</v>
      </c>
    </row>
    <row r="708" spans="1:16" x14ac:dyDescent="0.25">
      <c r="A708" s="4">
        <v>43665</v>
      </c>
      <c r="B708" t="s">
        <v>9</v>
      </c>
      <c r="C708">
        <v>2</v>
      </c>
      <c r="F708">
        <v>246</v>
      </c>
      <c r="J708">
        <v>0.86199999999999999</v>
      </c>
      <c r="K708">
        <v>30.8</v>
      </c>
      <c r="L708">
        <v>35.700000000000003</v>
      </c>
      <c r="M708">
        <v>204</v>
      </c>
      <c r="N708">
        <v>15</v>
      </c>
      <c r="O708">
        <v>1</v>
      </c>
    </row>
    <row r="709" spans="1:16" x14ac:dyDescent="0.25">
      <c r="A709" s="4">
        <v>43665</v>
      </c>
      <c r="B709" t="s">
        <v>10</v>
      </c>
      <c r="C709" t="s">
        <v>78</v>
      </c>
      <c r="F709">
        <v>195</v>
      </c>
      <c r="J709">
        <v>0.73299999999999998</v>
      </c>
      <c r="K709">
        <v>24.4</v>
      </c>
      <c r="L709">
        <v>33.299999999999997</v>
      </c>
      <c r="M709">
        <v>137</v>
      </c>
      <c r="N709">
        <v>20</v>
      </c>
      <c r="O709">
        <v>3</v>
      </c>
    </row>
    <row r="710" spans="1:16" x14ac:dyDescent="0.25">
      <c r="A710" s="4">
        <v>43665</v>
      </c>
      <c r="B710" t="s">
        <v>9</v>
      </c>
      <c r="C710" t="s">
        <v>78</v>
      </c>
      <c r="F710">
        <v>467</v>
      </c>
      <c r="J710">
        <v>0.81799999999999995</v>
      </c>
      <c r="K710">
        <v>29.2</v>
      </c>
      <c r="L710">
        <v>35.700000000000003</v>
      </c>
      <c r="M710">
        <v>372</v>
      </c>
      <c r="N710">
        <v>29</v>
      </c>
      <c r="O710">
        <v>5</v>
      </c>
    </row>
    <row r="711" spans="1:16" x14ac:dyDescent="0.25">
      <c r="A711" s="4">
        <v>43668</v>
      </c>
      <c r="B711" t="s">
        <v>10</v>
      </c>
      <c r="C711">
        <v>1</v>
      </c>
      <c r="F711">
        <v>269</v>
      </c>
      <c r="J711">
        <v>0.85499999999999998</v>
      </c>
      <c r="K711">
        <v>26.9</v>
      </c>
      <c r="L711">
        <v>31.5</v>
      </c>
      <c r="M711">
        <v>231</v>
      </c>
      <c r="N711">
        <v>14</v>
      </c>
      <c r="O711">
        <v>3</v>
      </c>
    </row>
    <row r="712" spans="1:16" x14ac:dyDescent="0.25">
      <c r="A712" s="4">
        <v>43668</v>
      </c>
      <c r="B712" t="s">
        <v>9</v>
      </c>
      <c r="C712">
        <v>1</v>
      </c>
      <c r="F712">
        <v>267</v>
      </c>
      <c r="J712">
        <v>0.86299999999999999</v>
      </c>
      <c r="K712">
        <v>33.4</v>
      </c>
      <c r="L712">
        <v>38.700000000000003</v>
      </c>
      <c r="M712">
        <v>147</v>
      </c>
      <c r="N712">
        <v>39</v>
      </c>
      <c r="O712">
        <v>7</v>
      </c>
      <c r="P712">
        <v>2</v>
      </c>
    </row>
    <row r="713" spans="1:16" x14ac:dyDescent="0.25">
      <c r="A713" s="4">
        <v>43668</v>
      </c>
      <c r="B713" t="s">
        <v>9</v>
      </c>
      <c r="C713">
        <v>2</v>
      </c>
      <c r="F713">
        <v>237</v>
      </c>
      <c r="J713">
        <v>0.86099999999999999</v>
      </c>
      <c r="K713">
        <v>29.6</v>
      </c>
      <c r="L713">
        <v>34.4</v>
      </c>
      <c r="M713">
        <v>188</v>
      </c>
      <c r="N713">
        <v>17</v>
      </c>
      <c r="O713">
        <v>3</v>
      </c>
    </row>
    <row r="714" spans="1:16" x14ac:dyDescent="0.25">
      <c r="A714" s="4">
        <v>43668</v>
      </c>
      <c r="B714" t="s">
        <v>10</v>
      </c>
      <c r="C714" t="s">
        <v>78</v>
      </c>
      <c r="F714">
        <v>269</v>
      </c>
      <c r="J714">
        <v>0.85499999999999998</v>
      </c>
      <c r="K714">
        <v>26.9</v>
      </c>
      <c r="L714">
        <v>31.5</v>
      </c>
      <c r="M714">
        <v>231</v>
      </c>
      <c r="N714">
        <v>14</v>
      </c>
      <c r="O714">
        <v>3</v>
      </c>
    </row>
    <row r="715" spans="1:16" x14ac:dyDescent="0.25">
      <c r="A715" s="4">
        <v>43668</v>
      </c>
      <c r="B715" t="s">
        <v>9</v>
      </c>
      <c r="C715" t="s">
        <v>78</v>
      </c>
      <c r="F715">
        <v>504</v>
      </c>
      <c r="J715">
        <v>0.86199999999999999</v>
      </c>
      <c r="K715">
        <v>31.5</v>
      </c>
      <c r="L715">
        <v>36.6</v>
      </c>
      <c r="M715">
        <v>335</v>
      </c>
      <c r="N715">
        <v>56</v>
      </c>
      <c r="O715">
        <v>10</v>
      </c>
      <c r="P715">
        <v>2</v>
      </c>
    </row>
    <row r="716" spans="1:16" x14ac:dyDescent="0.25">
      <c r="A716" s="4">
        <v>43669</v>
      </c>
      <c r="B716" t="s">
        <v>10</v>
      </c>
      <c r="C716">
        <v>1</v>
      </c>
      <c r="F716">
        <v>247</v>
      </c>
      <c r="J716">
        <v>0.75800000000000001</v>
      </c>
      <c r="K716">
        <v>24.7</v>
      </c>
      <c r="L716">
        <v>32.6</v>
      </c>
      <c r="M716">
        <v>200</v>
      </c>
      <c r="N716">
        <v>16</v>
      </c>
      <c r="O716">
        <v>4</v>
      </c>
    </row>
    <row r="717" spans="1:16" x14ac:dyDescent="0.25">
      <c r="A717" s="4">
        <v>43669</v>
      </c>
      <c r="B717" t="s">
        <v>9</v>
      </c>
      <c r="C717">
        <v>1</v>
      </c>
      <c r="F717">
        <v>245</v>
      </c>
      <c r="J717">
        <v>0.85699999999999998</v>
      </c>
      <c r="K717">
        <v>30.6</v>
      </c>
      <c r="L717">
        <v>35.799999999999997</v>
      </c>
      <c r="M717">
        <v>174</v>
      </c>
      <c r="N717">
        <v>17</v>
      </c>
      <c r="O717">
        <v>9</v>
      </c>
    </row>
    <row r="718" spans="1:16" x14ac:dyDescent="0.25">
      <c r="A718" s="4">
        <v>43669</v>
      </c>
      <c r="B718" t="s">
        <v>9</v>
      </c>
      <c r="C718">
        <v>2</v>
      </c>
      <c r="F718">
        <v>253</v>
      </c>
      <c r="J718">
        <v>0.88900000000000001</v>
      </c>
      <c r="K718">
        <v>31.6</v>
      </c>
      <c r="L718">
        <v>35.6</v>
      </c>
      <c r="M718">
        <v>209</v>
      </c>
      <c r="N718">
        <v>8</v>
      </c>
      <c r="O718">
        <v>4</v>
      </c>
      <c r="P718">
        <v>1</v>
      </c>
    </row>
    <row r="719" spans="1:16" x14ac:dyDescent="0.25">
      <c r="A719" s="4">
        <v>43669</v>
      </c>
      <c r="B719" t="s">
        <v>10</v>
      </c>
      <c r="C719" t="s">
        <v>78</v>
      </c>
      <c r="F719">
        <v>247</v>
      </c>
      <c r="J719">
        <v>0.75800000000000001</v>
      </c>
      <c r="K719">
        <v>24.7</v>
      </c>
      <c r="L719">
        <v>32.6</v>
      </c>
      <c r="M719">
        <v>200</v>
      </c>
      <c r="N719">
        <v>16</v>
      </c>
      <c r="O719">
        <v>4</v>
      </c>
    </row>
    <row r="720" spans="1:16" x14ac:dyDescent="0.25">
      <c r="A720" s="4">
        <v>43669</v>
      </c>
      <c r="B720" t="s">
        <v>9</v>
      </c>
      <c r="C720" t="s">
        <v>78</v>
      </c>
      <c r="F720">
        <v>498</v>
      </c>
      <c r="J720">
        <v>0.873</v>
      </c>
      <c r="K720">
        <v>31.1</v>
      </c>
      <c r="L720">
        <v>35.700000000000003</v>
      </c>
      <c r="M720">
        <v>383</v>
      </c>
      <c r="N720">
        <v>25</v>
      </c>
      <c r="O720">
        <v>13</v>
      </c>
      <c r="P720">
        <v>1</v>
      </c>
    </row>
    <row r="721" spans="1:16" x14ac:dyDescent="0.25">
      <c r="A721" s="4">
        <v>43670</v>
      </c>
      <c r="B721" t="s">
        <v>10</v>
      </c>
      <c r="C721">
        <v>1</v>
      </c>
      <c r="F721">
        <v>244</v>
      </c>
      <c r="J721">
        <v>0.90600000000000003</v>
      </c>
      <c r="K721">
        <v>30.5</v>
      </c>
      <c r="L721">
        <v>33.700000000000003</v>
      </c>
      <c r="M721">
        <v>189</v>
      </c>
      <c r="N721">
        <v>15</v>
      </c>
      <c r="O721">
        <v>7</v>
      </c>
    </row>
    <row r="722" spans="1:16" x14ac:dyDescent="0.25">
      <c r="A722" s="4">
        <v>43670</v>
      </c>
      <c r="B722" t="s">
        <v>9</v>
      </c>
      <c r="C722">
        <v>1</v>
      </c>
      <c r="F722">
        <v>279</v>
      </c>
      <c r="J722">
        <v>0.95199999999999996</v>
      </c>
      <c r="K722">
        <v>34.9</v>
      </c>
      <c r="L722">
        <v>36.700000000000003</v>
      </c>
      <c r="M722">
        <v>206</v>
      </c>
      <c r="N722">
        <v>21</v>
      </c>
      <c r="O722">
        <v>4</v>
      </c>
      <c r="P722">
        <v>1</v>
      </c>
    </row>
    <row r="723" spans="1:16" x14ac:dyDescent="0.25">
      <c r="A723" s="4">
        <v>43670</v>
      </c>
      <c r="B723" t="s">
        <v>9</v>
      </c>
      <c r="C723">
        <v>2</v>
      </c>
      <c r="F723">
        <v>178</v>
      </c>
      <c r="J723">
        <v>0.63400000000000001</v>
      </c>
      <c r="K723">
        <v>22.3</v>
      </c>
      <c r="L723">
        <v>35.1</v>
      </c>
      <c r="M723">
        <v>145</v>
      </c>
      <c r="N723">
        <v>11</v>
      </c>
      <c r="O723">
        <v>2</v>
      </c>
    </row>
    <row r="724" spans="1:16" x14ac:dyDescent="0.25">
      <c r="A724" s="4">
        <v>43670</v>
      </c>
      <c r="B724" t="s">
        <v>10</v>
      </c>
      <c r="C724" t="s">
        <v>78</v>
      </c>
      <c r="F724">
        <v>244</v>
      </c>
      <c r="J724">
        <v>0.90600000000000003</v>
      </c>
      <c r="K724">
        <v>30.5</v>
      </c>
      <c r="L724">
        <v>33.700000000000003</v>
      </c>
      <c r="M724">
        <v>189</v>
      </c>
      <c r="N724">
        <v>15</v>
      </c>
      <c r="O724">
        <v>7</v>
      </c>
    </row>
    <row r="725" spans="1:16" x14ac:dyDescent="0.25">
      <c r="A725" s="4">
        <v>43670</v>
      </c>
      <c r="B725" t="s">
        <v>9</v>
      </c>
      <c r="C725" t="s">
        <v>78</v>
      </c>
      <c r="F725">
        <v>457</v>
      </c>
      <c r="J725">
        <v>0.79300000000000004</v>
      </c>
      <c r="K725">
        <v>28.6</v>
      </c>
      <c r="L725">
        <v>36</v>
      </c>
      <c r="M725">
        <v>351</v>
      </c>
      <c r="N725">
        <v>32</v>
      </c>
      <c r="O725">
        <v>6</v>
      </c>
      <c r="P725">
        <v>1</v>
      </c>
    </row>
    <row r="726" spans="1:16" x14ac:dyDescent="0.25">
      <c r="A726" s="4">
        <v>43671</v>
      </c>
      <c r="B726" t="s">
        <v>10</v>
      </c>
      <c r="C726">
        <v>1</v>
      </c>
      <c r="F726">
        <v>249</v>
      </c>
      <c r="J726">
        <v>0.77100000000000002</v>
      </c>
      <c r="K726">
        <v>24.9</v>
      </c>
      <c r="L726">
        <v>32.299999999999997</v>
      </c>
      <c r="M726">
        <v>207</v>
      </c>
      <c r="N726">
        <v>16</v>
      </c>
      <c r="O726">
        <v>2</v>
      </c>
    </row>
    <row r="727" spans="1:16" x14ac:dyDescent="0.25">
      <c r="A727" s="4">
        <v>43671</v>
      </c>
      <c r="B727" t="s">
        <v>9</v>
      </c>
      <c r="C727">
        <v>1</v>
      </c>
      <c r="F727">
        <v>274</v>
      </c>
      <c r="J727">
        <v>0.93899999999999995</v>
      </c>
      <c r="K727">
        <v>34.299999999999997</v>
      </c>
      <c r="L727">
        <v>36.5</v>
      </c>
      <c r="M727">
        <v>192</v>
      </c>
      <c r="N727">
        <v>28</v>
      </c>
      <c r="O727">
        <v>4</v>
      </c>
    </row>
    <row r="728" spans="1:16" x14ac:dyDescent="0.25">
      <c r="A728" s="4">
        <v>43671</v>
      </c>
      <c r="B728" t="s">
        <v>9</v>
      </c>
      <c r="C728">
        <v>2</v>
      </c>
      <c r="F728">
        <v>181</v>
      </c>
      <c r="J728">
        <v>0.628</v>
      </c>
      <c r="K728">
        <v>22.6</v>
      </c>
      <c r="L728">
        <v>36.1</v>
      </c>
      <c r="M728">
        <v>135</v>
      </c>
      <c r="N728">
        <v>13</v>
      </c>
      <c r="O728">
        <v>4</v>
      </c>
    </row>
    <row r="729" spans="1:16" x14ac:dyDescent="0.25">
      <c r="A729" s="4">
        <v>43671</v>
      </c>
      <c r="B729" t="s">
        <v>10</v>
      </c>
      <c r="C729" t="s">
        <v>78</v>
      </c>
      <c r="F729">
        <v>249</v>
      </c>
      <c r="J729">
        <v>0.77100000000000002</v>
      </c>
      <c r="K729">
        <v>24.9</v>
      </c>
      <c r="L729">
        <v>32.299999999999997</v>
      </c>
      <c r="M729">
        <v>207</v>
      </c>
      <c r="N729">
        <v>16</v>
      </c>
      <c r="O729">
        <v>2</v>
      </c>
    </row>
    <row r="730" spans="1:16" x14ac:dyDescent="0.25">
      <c r="A730" s="4">
        <v>43671</v>
      </c>
      <c r="B730" t="s">
        <v>9</v>
      </c>
      <c r="C730" t="s">
        <v>78</v>
      </c>
      <c r="F730">
        <v>455</v>
      </c>
      <c r="J730">
        <v>0.78300000000000003</v>
      </c>
      <c r="K730">
        <v>28.4</v>
      </c>
      <c r="L730">
        <v>36.299999999999997</v>
      </c>
      <c r="M730">
        <v>327</v>
      </c>
      <c r="N730">
        <v>41</v>
      </c>
      <c r="O730">
        <v>8</v>
      </c>
    </row>
    <row r="731" spans="1:16" x14ac:dyDescent="0.25">
      <c r="A731" s="4">
        <v>43672</v>
      </c>
      <c r="B731" t="s">
        <v>10</v>
      </c>
      <c r="C731">
        <v>1</v>
      </c>
      <c r="F731">
        <v>103</v>
      </c>
      <c r="J731">
        <v>0.73399999999999999</v>
      </c>
      <c r="K731">
        <v>25.8</v>
      </c>
      <c r="L731">
        <v>35.1</v>
      </c>
      <c r="M731">
        <v>81</v>
      </c>
      <c r="N731">
        <v>6</v>
      </c>
      <c r="O731">
        <v>3</v>
      </c>
    </row>
    <row r="732" spans="1:16" x14ac:dyDescent="0.25">
      <c r="A732" s="4">
        <v>43672</v>
      </c>
      <c r="B732" t="s">
        <v>9</v>
      </c>
      <c r="C732">
        <v>1</v>
      </c>
      <c r="F732">
        <v>244</v>
      </c>
      <c r="J732">
        <v>0.83</v>
      </c>
      <c r="K732">
        <v>30.5</v>
      </c>
      <c r="L732">
        <v>36.799999999999997</v>
      </c>
      <c r="M732">
        <v>183</v>
      </c>
      <c r="N732">
        <v>20</v>
      </c>
      <c r="O732">
        <v>1</v>
      </c>
      <c r="P732">
        <v>1</v>
      </c>
    </row>
    <row r="733" spans="1:16" x14ac:dyDescent="0.25">
      <c r="A733" s="4">
        <v>43672</v>
      </c>
      <c r="B733" t="s">
        <v>9</v>
      </c>
      <c r="C733">
        <v>2</v>
      </c>
      <c r="F733">
        <v>247</v>
      </c>
      <c r="J733">
        <v>0.88700000000000001</v>
      </c>
      <c r="K733">
        <v>30.9</v>
      </c>
      <c r="L733">
        <v>34.799999999999997</v>
      </c>
      <c r="M733">
        <v>202</v>
      </c>
      <c r="N733">
        <v>14</v>
      </c>
      <c r="O733">
        <v>3</v>
      </c>
    </row>
    <row r="734" spans="1:16" x14ac:dyDescent="0.25">
      <c r="A734" s="4">
        <v>43672</v>
      </c>
      <c r="B734" t="s">
        <v>10</v>
      </c>
      <c r="C734" t="s">
        <v>78</v>
      </c>
      <c r="F734">
        <v>103</v>
      </c>
      <c r="J734">
        <v>0.73399999999999999</v>
      </c>
      <c r="K734">
        <v>25.8</v>
      </c>
      <c r="L734">
        <v>35.1</v>
      </c>
      <c r="M734">
        <v>81</v>
      </c>
      <c r="N734">
        <v>6</v>
      </c>
      <c r="O734">
        <v>3</v>
      </c>
    </row>
    <row r="735" spans="1:16" x14ac:dyDescent="0.25">
      <c r="A735" s="4">
        <v>43672</v>
      </c>
      <c r="B735" t="s">
        <v>9</v>
      </c>
      <c r="C735" t="s">
        <v>78</v>
      </c>
      <c r="F735">
        <v>491</v>
      </c>
      <c r="J735">
        <v>0.85799999999999998</v>
      </c>
      <c r="K735">
        <v>30.7</v>
      </c>
      <c r="L735">
        <v>35.799999999999997</v>
      </c>
      <c r="M735">
        <v>34</v>
      </c>
      <c r="N735">
        <v>4</v>
      </c>
      <c r="O735">
        <v>1</v>
      </c>
    </row>
    <row r="736" spans="1:16" x14ac:dyDescent="0.25">
      <c r="A736" s="4">
        <v>43675</v>
      </c>
      <c r="B736" t="s">
        <v>10</v>
      </c>
      <c r="C736">
        <v>1</v>
      </c>
      <c r="F736">
        <v>248</v>
      </c>
      <c r="J736">
        <v>0.749</v>
      </c>
      <c r="K736">
        <v>24.8</v>
      </c>
      <c r="L736">
        <v>33.1</v>
      </c>
      <c r="M736">
        <v>198</v>
      </c>
      <c r="N736">
        <v>16</v>
      </c>
      <c r="O736">
        <v>4</v>
      </c>
      <c r="P736">
        <v>1</v>
      </c>
    </row>
    <row r="737" spans="1:16" x14ac:dyDescent="0.25">
      <c r="A737" s="4">
        <v>43675</v>
      </c>
      <c r="B737" t="s">
        <v>9</v>
      </c>
      <c r="C737">
        <v>1</v>
      </c>
      <c r="F737">
        <v>236</v>
      </c>
      <c r="J737">
        <v>0.77200000000000002</v>
      </c>
      <c r="K737">
        <v>29.5</v>
      </c>
      <c r="L737">
        <v>38.200000000000003</v>
      </c>
      <c r="M737">
        <v>157</v>
      </c>
      <c r="N737">
        <v>25</v>
      </c>
      <c r="O737">
        <v>5</v>
      </c>
      <c r="P737">
        <v>1</v>
      </c>
    </row>
    <row r="738" spans="1:16" x14ac:dyDescent="0.25">
      <c r="A738" s="4">
        <v>43675</v>
      </c>
      <c r="B738" t="s">
        <v>9</v>
      </c>
      <c r="C738">
        <v>2</v>
      </c>
      <c r="F738">
        <v>262</v>
      </c>
      <c r="J738">
        <v>0.92700000000000005</v>
      </c>
      <c r="K738">
        <v>32.799999999999997</v>
      </c>
      <c r="L738">
        <v>35.4</v>
      </c>
      <c r="M738">
        <v>202</v>
      </c>
      <c r="N738">
        <v>14</v>
      </c>
      <c r="O738">
        <v>4</v>
      </c>
      <c r="P738">
        <v>2</v>
      </c>
    </row>
    <row r="739" spans="1:16" x14ac:dyDescent="0.25">
      <c r="A739" s="4">
        <v>43675</v>
      </c>
      <c r="B739" t="s">
        <v>10</v>
      </c>
      <c r="C739" t="s">
        <v>78</v>
      </c>
      <c r="F739">
        <v>248</v>
      </c>
      <c r="J739">
        <v>0.749</v>
      </c>
      <c r="K739">
        <v>24.8</v>
      </c>
      <c r="L739">
        <v>33.1</v>
      </c>
      <c r="M739">
        <v>198</v>
      </c>
      <c r="N739">
        <v>16</v>
      </c>
      <c r="O739">
        <v>4</v>
      </c>
      <c r="P739">
        <v>1</v>
      </c>
    </row>
    <row r="740" spans="1:16" x14ac:dyDescent="0.25">
      <c r="A740" s="4">
        <v>43675</v>
      </c>
      <c r="B740" t="s">
        <v>9</v>
      </c>
      <c r="C740" t="s">
        <v>78</v>
      </c>
      <c r="F740">
        <v>498</v>
      </c>
      <c r="J740">
        <v>0.84899999999999998</v>
      </c>
      <c r="K740">
        <v>31.1</v>
      </c>
      <c r="L740">
        <v>36.700000000000003</v>
      </c>
      <c r="M740">
        <v>359</v>
      </c>
      <c r="N740">
        <v>39</v>
      </c>
      <c r="O740">
        <v>9</v>
      </c>
      <c r="P740">
        <v>3</v>
      </c>
    </row>
    <row r="741" spans="1:16" x14ac:dyDescent="0.25">
      <c r="A741" s="4">
        <v>43676</v>
      </c>
      <c r="B741" t="s">
        <v>10</v>
      </c>
      <c r="C741">
        <v>1</v>
      </c>
      <c r="F741">
        <v>202</v>
      </c>
      <c r="J741">
        <v>0.77200000000000002</v>
      </c>
      <c r="K741">
        <v>25.3</v>
      </c>
      <c r="L741">
        <v>32.700000000000003</v>
      </c>
      <c r="M741">
        <v>163</v>
      </c>
      <c r="N741">
        <v>12</v>
      </c>
      <c r="O741">
        <v>4</v>
      </c>
    </row>
    <row r="742" spans="1:16" x14ac:dyDescent="0.25">
      <c r="A742" s="4">
        <v>43676</v>
      </c>
      <c r="B742" t="s">
        <v>9</v>
      </c>
      <c r="C742">
        <v>1</v>
      </c>
      <c r="F742">
        <v>254</v>
      </c>
      <c r="J742">
        <v>0.874</v>
      </c>
      <c r="K742">
        <v>31.8</v>
      </c>
      <c r="L742">
        <v>36.299999999999997</v>
      </c>
      <c r="M742">
        <v>178</v>
      </c>
      <c r="N742">
        <v>27</v>
      </c>
      <c r="O742">
        <v>3</v>
      </c>
    </row>
    <row r="743" spans="1:16" x14ac:dyDescent="0.25">
      <c r="A743" s="4">
        <v>43676</v>
      </c>
      <c r="B743" t="s">
        <v>9</v>
      </c>
      <c r="C743">
        <v>2</v>
      </c>
      <c r="F743">
        <v>220</v>
      </c>
      <c r="J743">
        <v>0.79500000000000004</v>
      </c>
      <c r="K743">
        <v>27.5</v>
      </c>
      <c r="L743">
        <v>34.6</v>
      </c>
      <c r="M743">
        <v>178</v>
      </c>
      <c r="N743">
        <v>12</v>
      </c>
      <c r="O743">
        <v>3</v>
      </c>
    </row>
    <row r="744" spans="1:16" x14ac:dyDescent="0.25">
      <c r="A744" s="4">
        <v>43676</v>
      </c>
      <c r="B744" t="s">
        <v>10</v>
      </c>
      <c r="C744" t="s">
        <v>78</v>
      </c>
      <c r="F744">
        <v>202</v>
      </c>
      <c r="J744">
        <v>0.77200000000000002</v>
      </c>
      <c r="K744">
        <v>25.3</v>
      </c>
      <c r="L744">
        <v>32.700000000000003</v>
      </c>
      <c r="M744">
        <v>163</v>
      </c>
      <c r="N744">
        <v>12</v>
      </c>
      <c r="O744">
        <v>4</v>
      </c>
    </row>
    <row r="745" spans="1:16" x14ac:dyDescent="0.25">
      <c r="A745" s="4">
        <v>43676</v>
      </c>
      <c r="B745" t="s">
        <v>9</v>
      </c>
      <c r="C745" t="s">
        <v>78</v>
      </c>
      <c r="F745">
        <v>474</v>
      </c>
      <c r="J745">
        <v>0.83399999999999996</v>
      </c>
      <c r="K745">
        <v>29.6</v>
      </c>
      <c r="L745">
        <v>35.5</v>
      </c>
      <c r="M745">
        <v>356</v>
      </c>
      <c r="N745">
        <v>39</v>
      </c>
      <c r="O745">
        <v>6</v>
      </c>
    </row>
    <row r="746" spans="1:16" x14ac:dyDescent="0.25">
      <c r="A746" s="4">
        <v>43677</v>
      </c>
      <c r="B746" t="s">
        <v>10</v>
      </c>
      <c r="C746">
        <v>1</v>
      </c>
      <c r="F746">
        <v>245</v>
      </c>
      <c r="J746">
        <v>0.86699999999999999</v>
      </c>
      <c r="K746">
        <v>30.6</v>
      </c>
      <c r="L746">
        <v>35.299999999999997</v>
      </c>
      <c r="M746">
        <v>145</v>
      </c>
      <c r="N746">
        <v>25</v>
      </c>
      <c r="O746">
        <v>13</v>
      </c>
    </row>
    <row r="747" spans="1:16" x14ac:dyDescent="0.25">
      <c r="A747" s="4">
        <v>43677</v>
      </c>
      <c r="B747" t="s">
        <v>9</v>
      </c>
      <c r="C747">
        <v>1</v>
      </c>
      <c r="F747">
        <v>251</v>
      </c>
      <c r="J747">
        <v>0.82199999999999995</v>
      </c>
      <c r="K747">
        <v>31.4</v>
      </c>
      <c r="L747">
        <v>38.200000000000003</v>
      </c>
      <c r="M747">
        <v>153</v>
      </c>
      <c r="N747">
        <v>34</v>
      </c>
      <c r="O747">
        <v>6</v>
      </c>
    </row>
    <row r="748" spans="1:16" x14ac:dyDescent="0.25">
      <c r="A748" s="4">
        <v>43677</v>
      </c>
      <c r="B748" t="s">
        <v>9</v>
      </c>
      <c r="C748">
        <v>2</v>
      </c>
      <c r="F748">
        <v>210</v>
      </c>
      <c r="J748">
        <v>0.73199999999999998</v>
      </c>
      <c r="K748">
        <v>26.3</v>
      </c>
      <c r="L748">
        <v>35.9</v>
      </c>
      <c r="M748">
        <v>165</v>
      </c>
      <c r="N748">
        <v>14</v>
      </c>
      <c r="O748">
        <v>4</v>
      </c>
    </row>
    <row r="749" spans="1:16" x14ac:dyDescent="0.25">
      <c r="A749" s="4">
        <v>43677</v>
      </c>
      <c r="B749" t="s">
        <v>10</v>
      </c>
      <c r="C749" t="s">
        <v>78</v>
      </c>
      <c r="F749">
        <v>245</v>
      </c>
      <c r="J749">
        <v>0.86699999999999999</v>
      </c>
      <c r="K749">
        <v>30.6</v>
      </c>
      <c r="L749">
        <v>35.299999999999997</v>
      </c>
      <c r="M749">
        <v>145</v>
      </c>
      <c r="N749">
        <v>25</v>
      </c>
      <c r="O749">
        <v>13</v>
      </c>
    </row>
    <row r="750" spans="1:16" x14ac:dyDescent="0.25">
      <c r="A750" s="4">
        <v>43677</v>
      </c>
      <c r="B750" t="s">
        <v>9</v>
      </c>
      <c r="C750" t="s">
        <v>78</v>
      </c>
      <c r="F750">
        <v>461</v>
      </c>
      <c r="J750">
        <v>0.77700000000000002</v>
      </c>
      <c r="K750">
        <v>28.8</v>
      </c>
      <c r="L750">
        <v>37.1</v>
      </c>
      <c r="M750">
        <v>318</v>
      </c>
      <c r="N750">
        <v>48</v>
      </c>
      <c r="O750">
        <v>10</v>
      </c>
    </row>
    <row r="751" spans="1:16" x14ac:dyDescent="0.25">
      <c r="A751" s="4">
        <v>43678</v>
      </c>
      <c r="B751" t="s">
        <v>10</v>
      </c>
      <c r="C751">
        <v>1</v>
      </c>
      <c r="F751">
        <v>316</v>
      </c>
      <c r="J751">
        <v>0.77</v>
      </c>
      <c r="K751">
        <v>26.3</v>
      </c>
      <c r="L751">
        <v>34.200000000000003</v>
      </c>
      <c r="M751">
        <v>211</v>
      </c>
      <c r="N751">
        <v>21</v>
      </c>
      <c r="O751">
        <v>15</v>
      </c>
      <c r="P751">
        <v>1</v>
      </c>
    </row>
    <row r="752" spans="1:16" x14ac:dyDescent="0.25">
      <c r="A752" s="4">
        <v>43678</v>
      </c>
      <c r="B752" t="s">
        <v>9</v>
      </c>
      <c r="C752">
        <v>1</v>
      </c>
      <c r="F752">
        <v>253</v>
      </c>
      <c r="J752">
        <v>0.86599999999999999</v>
      </c>
      <c r="K752">
        <v>31.6</v>
      </c>
      <c r="L752">
        <v>36.5</v>
      </c>
      <c r="M752">
        <v>174</v>
      </c>
      <c r="N752">
        <v>26</v>
      </c>
      <c r="O752">
        <v>6</v>
      </c>
    </row>
    <row r="753" spans="1:16" x14ac:dyDescent="0.25">
      <c r="A753" s="4">
        <v>43678</v>
      </c>
      <c r="B753" t="s">
        <v>9</v>
      </c>
      <c r="C753">
        <v>2</v>
      </c>
      <c r="F753">
        <v>259</v>
      </c>
      <c r="J753">
        <v>0.89200000000000002</v>
      </c>
      <c r="K753">
        <v>32.4</v>
      </c>
      <c r="L753">
        <v>36.299999999999997</v>
      </c>
      <c r="M753">
        <v>197</v>
      </c>
      <c r="N753">
        <v>15</v>
      </c>
      <c r="O753">
        <v>5</v>
      </c>
      <c r="P753">
        <v>1</v>
      </c>
    </row>
    <row r="754" spans="1:16" x14ac:dyDescent="0.25">
      <c r="A754" s="4">
        <v>43678</v>
      </c>
      <c r="B754" t="s">
        <v>10</v>
      </c>
      <c r="C754" t="s">
        <v>78</v>
      </c>
      <c r="F754">
        <v>316</v>
      </c>
      <c r="J754">
        <v>0.77</v>
      </c>
      <c r="K754">
        <v>26.3</v>
      </c>
      <c r="L754">
        <v>34.200000000000003</v>
      </c>
      <c r="M754">
        <v>211</v>
      </c>
      <c r="N754">
        <v>21</v>
      </c>
      <c r="O754">
        <v>15</v>
      </c>
      <c r="P754">
        <v>1</v>
      </c>
    </row>
    <row r="755" spans="1:16" x14ac:dyDescent="0.25">
      <c r="A755" s="4">
        <v>43678</v>
      </c>
      <c r="B755" t="s">
        <v>9</v>
      </c>
      <c r="C755" t="s">
        <v>78</v>
      </c>
      <c r="F755">
        <v>512</v>
      </c>
      <c r="J755">
        <v>0.879</v>
      </c>
      <c r="K755">
        <v>32</v>
      </c>
      <c r="L755">
        <v>36.4</v>
      </c>
      <c r="M755">
        <v>371</v>
      </c>
      <c r="N755">
        <v>41</v>
      </c>
      <c r="O755">
        <v>11</v>
      </c>
      <c r="P755">
        <v>1</v>
      </c>
    </row>
    <row r="756" spans="1:16" x14ac:dyDescent="0.25">
      <c r="A756" s="4">
        <v>43679</v>
      </c>
      <c r="B756" t="s">
        <v>10</v>
      </c>
      <c r="C756">
        <v>1</v>
      </c>
      <c r="F756">
        <v>281</v>
      </c>
      <c r="J756">
        <v>0.84899999999999998</v>
      </c>
      <c r="K756">
        <v>28.1</v>
      </c>
      <c r="L756">
        <v>33.1</v>
      </c>
      <c r="M756">
        <v>207</v>
      </c>
      <c r="N756">
        <v>21</v>
      </c>
      <c r="O756">
        <v>9</v>
      </c>
    </row>
    <row r="757" spans="1:16" x14ac:dyDescent="0.25">
      <c r="A757" s="4">
        <v>43679</v>
      </c>
      <c r="B757" t="s">
        <v>9</v>
      </c>
      <c r="C757">
        <v>1</v>
      </c>
      <c r="F757">
        <v>246</v>
      </c>
      <c r="J757">
        <v>0.84799999999999998</v>
      </c>
      <c r="K757">
        <v>30.8</v>
      </c>
      <c r="L757">
        <v>36.299999999999997</v>
      </c>
      <c r="M757">
        <v>178</v>
      </c>
      <c r="N757">
        <v>16</v>
      </c>
      <c r="O757">
        <v>4</v>
      </c>
      <c r="P757">
        <v>1</v>
      </c>
    </row>
    <row r="758" spans="1:16" x14ac:dyDescent="0.25">
      <c r="A758" s="4">
        <v>43679</v>
      </c>
      <c r="B758" t="s">
        <v>9</v>
      </c>
      <c r="C758">
        <v>2</v>
      </c>
      <c r="F758">
        <v>287</v>
      </c>
      <c r="J758">
        <v>0.99299999999999999</v>
      </c>
      <c r="K758">
        <v>35.9</v>
      </c>
      <c r="L758">
        <v>36.1</v>
      </c>
      <c r="M758">
        <v>237</v>
      </c>
      <c r="N758">
        <v>17</v>
      </c>
      <c r="O758">
        <v>4</v>
      </c>
    </row>
    <row r="759" spans="1:16" x14ac:dyDescent="0.25">
      <c r="A759" s="4">
        <v>43679</v>
      </c>
      <c r="B759" t="s">
        <v>10</v>
      </c>
      <c r="C759" t="s">
        <v>78</v>
      </c>
      <c r="F759">
        <v>281</v>
      </c>
      <c r="J759">
        <v>0.84899999999999998</v>
      </c>
      <c r="K759">
        <v>28.1</v>
      </c>
      <c r="L759">
        <v>33.1</v>
      </c>
      <c r="M759">
        <v>207</v>
      </c>
      <c r="N759">
        <v>21</v>
      </c>
      <c r="O759">
        <v>9</v>
      </c>
    </row>
    <row r="760" spans="1:16" x14ac:dyDescent="0.25">
      <c r="A760" s="4">
        <v>43679</v>
      </c>
      <c r="B760" t="s">
        <v>9</v>
      </c>
      <c r="C760" t="s">
        <v>78</v>
      </c>
      <c r="F760">
        <v>533</v>
      </c>
      <c r="J760">
        <v>0.92</v>
      </c>
      <c r="K760">
        <v>33.299999999999997</v>
      </c>
      <c r="L760">
        <v>36.200000000000003</v>
      </c>
      <c r="M760">
        <v>415</v>
      </c>
      <c r="N760">
        <v>33</v>
      </c>
      <c r="O760">
        <v>8</v>
      </c>
      <c r="P760">
        <v>1</v>
      </c>
    </row>
    <row r="761" spans="1:16" x14ac:dyDescent="0.25">
      <c r="A761" s="4">
        <v>43682</v>
      </c>
      <c r="B761" t="s">
        <v>10</v>
      </c>
      <c r="C761">
        <v>1</v>
      </c>
      <c r="F761">
        <v>263</v>
      </c>
      <c r="J761">
        <v>0.76100000000000001</v>
      </c>
      <c r="K761">
        <v>26.3</v>
      </c>
      <c r="L761">
        <v>34.6</v>
      </c>
      <c r="M761">
        <v>194</v>
      </c>
      <c r="N761">
        <v>19</v>
      </c>
      <c r="O761">
        <v>7</v>
      </c>
    </row>
    <row r="762" spans="1:16" x14ac:dyDescent="0.25">
      <c r="A762" s="4">
        <v>43682</v>
      </c>
      <c r="B762" t="s">
        <v>9</v>
      </c>
      <c r="C762">
        <v>1</v>
      </c>
      <c r="F762">
        <v>221</v>
      </c>
      <c r="J762">
        <v>0.72499999999999998</v>
      </c>
      <c r="K762">
        <v>27.6</v>
      </c>
      <c r="L762">
        <v>38.1</v>
      </c>
      <c r="M762">
        <v>158</v>
      </c>
      <c r="N762">
        <v>17</v>
      </c>
      <c r="O762">
        <v>4</v>
      </c>
    </row>
    <row r="763" spans="1:16" x14ac:dyDescent="0.25">
      <c r="A763" s="4">
        <v>43682</v>
      </c>
      <c r="B763" t="s">
        <v>9</v>
      </c>
      <c r="C763">
        <v>2</v>
      </c>
      <c r="F763">
        <v>277</v>
      </c>
      <c r="J763">
        <v>0.90700000000000003</v>
      </c>
      <c r="K763">
        <v>34.6</v>
      </c>
      <c r="L763">
        <v>38.200000000000003</v>
      </c>
      <c r="M763">
        <v>179</v>
      </c>
      <c r="N763">
        <v>22</v>
      </c>
      <c r="O763">
        <v>12</v>
      </c>
      <c r="P763">
        <v>1</v>
      </c>
    </row>
    <row r="764" spans="1:16" x14ac:dyDescent="0.25">
      <c r="A764" s="4">
        <v>43682</v>
      </c>
      <c r="B764" t="s">
        <v>10</v>
      </c>
      <c r="C764" t="s">
        <v>78</v>
      </c>
      <c r="F764">
        <v>263</v>
      </c>
      <c r="J764">
        <v>0.76100000000000001</v>
      </c>
      <c r="K764">
        <v>26.3</v>
      </c>
      <c r="L764">
        <v>34.6</v>
      </c>
      <c r="M764">
        <v>194</v>
      </c>
      <c r="N764">
        <v>19</v>
      </c>
      <c r="O764">
        <v>7</v>
      </c>
    </row>
    <row r="765" spans="1:16" x14ac:dyDescent="0.25">
      <c r="A765" s="4">
        <v>43682</v>
      </c>
      <c r="B765" t="s">
        <v>9</v>
      </c>
      <c r="C765" t="s">
        <v>78</v>
      </c>
      <c r="F765">
        <v>498</v>
      </c>
      <c r="J765">
        <v>0.81599999999999995</v>
      </c>
      <c r="K765">
        <v>31.1</v>
      </c>
      <c r="L765">
        <v>38.1</v>
      </c>
      <c r="M765">
        <v>337</v>
      </c>
      <c r="N765">
        <v>39</v>
      </c>
      <c r="O765">
        <v>16</v>
      </c>
      <c r="P765">
        <v>1</v>
      </c>
    </row>
    <row r="766" spans="1:16" x14ac:dyDescent="0.25">
      <c r="A766" s="4">
        <v>43683</v>
      </c>
      <c r="B766" t="s">
        <v>10</v>
      </c>
      <c r="C766">
        <v>1</v>
      </c>
      <c r="F766">
        <v>352</v>
      </c>
      <c r="J766">
        <v>0.82899999999999996</v>
      </c>
      <c r="K766">
        <v>29.3</v>
      </c>
      <c r="L766">
        <v>35.4</v>
      </c>
      <c r="M766">
        <v>236</v>
      </c>
      <c r="N766">
        <v>33</v>
      </c>
      <c r="O766">
        <v>7</v>
      </c>
      <c r="P766">
        <v>3</v>
      </c>
    </row>
    <row r="767" spans="1:16" x14ac:dyDescent="0.25">
      <c r="A767" s="4">
        <v>43683</v>
      </c>
      <c r="B767" t="s">
        <v>9</v>
      </c>
      <c r="C767">
        <v>1</v>
      </c>
      <c r="F767">
        <v>73</v>
      </c>
      <c r="J767">
        <v>0.77900000000000003</v>
      </c>
      <c r="K767">
        <v>36.5</v>
      </c>
      <c r="L767">
        <v>46.9</v>
      </c>
      <c r="M767">
        <v>29</v>
      </c>
      <c r="N767">
        <v>7</v>
      </c>
      <c r="O767">
        <v>5</v>
      </c>
      <c r="P767">
        <v>1</v>
      </c>
    </row>
    <row r="768" spans="1:16" x14ac:dyDescent="0.25">
      <c r="A768" s="4">
        <v>43683</v>
      </c>
      <c r="B768" t="s">
        <v>9</v>
      </c>
      <c r="C768">
        <v>2</v>
      </c>
      <c r="F768">
        <v>76</v>
      </c>
      <c r="J768">
        <v>0.45700000000000002</v>
      </c>
      <c r="K768">
        <v>19</v>
      </c>
      <c r="L768">
        <v>41.6</v>
      </c>
      <c r="M768">
        <v>27</v>
      </c>
      <c r="N768">
        <v>10</v>
      </c>
      <c r="O768">
        <v>7</v>
      </c>
    </row>
    <row r="769" spans="1:16" x14ac:dyDescent="0.25">
      <c r="A769" s="4">
        <v>43683</v>
      </c>
      <c r="B769" t="s">
        <v>10</v>
      </c>
      <c r="C769" t="s">
        <v>78</v>
      </c>
      <c r="F769">
        <v>445</v>
      </c>
      <c r="J769">
        <v>0.69</v>
      </c>
      <c r="K769">
        <v>24.7</v>
      </c>
      <c r="L769">
        <v>35.799999999999997</v>
      </c>
      <c r="M769">
        <v>300</v>
      </c>
      <c r="N769">
        <v>39</v>
      </c>
      <c r="O769">
        <v>10</v>
      </c>
      <c r="P769">
        <v>3</v>
      </c>
    </row>
    <row r="770" spans="1:16" x14ac:dyDescent="0.25">
      <c r="A770" s="4">
        <v>43683</v>
      </c>
      <c r="B770" t="s">
        <v>9</v>
      </c>
      <c r="C770" t="s">
        <v>78</v>
      </c>
      <c r="F770">
        <v>149</v>
      </c>
      <c r="J770">
        <v>0.56399999999999995</v>
      </c>
      <c r="K770">
        <v>24.8</v>
      </c>
      <c r="L770">
        <v>44</v>
      </c>
      <c r="M770">
        <v>56</v>
      </c>
      <c r="N770">
        <v>17</v>
      </c>
      <c r="O770">
        <v>12</v>
      </c>
      <c r="P770">
        <v>1</v>
      </c>
    </row>
    <row r="771" spans="1:16" x14ac:dyDescent="0.25">
      <c r="A771" s="4">
        <v>43683</v>
      </c>
      <c r="B771" t="s">
        <v>10</v>
      </c>
      <c r="C771">
        <v>2</v>
      </c>
      <c r="F771">
        <v>93</v>
      </c>
      <c r="J771">
        <v>0.41399999999999998</v>
      </c>
      <c r="K771">
        <v>15.5</v>
      </c>
      <c r="L771">
        <v>37.5</v>
      </c>
      <c r="M771">
        <v>64</v>
      </c>
      <c r="N771">
        <v>6</v>
      </c>
      <c r="O771">
        <v>3</v>
      </c>
    </row>
    <row r="772" spans="1:16" x14ac:dyDescent="0.25">
      <c r="A772" s="4">
        <v>43684</v>
      </c>
      <c r="B772" t="s">
        <v>10</v>
      </c>
      <c r="C772">
        <v>1</v>
      </c>
      <c r="F772">
        <v>360</v>
      </c>
      <c r="J772">
        <v>0.85799999999999998</v>
      </c>
      <c r="K772">
        <v>30</v>
      </c>
      <c r="L772">
        <v>35</v>
      </c>
      <c r="M772">
        <v>239</v>
      </c>
      <c r="N772">
        <v>32</v>
      </c>
      <c r="O772">
        <v>6</v>
      </c>
      <c r="P772">
        <v>3</v>
      </c>
    </row>
    <row r="773" spans="1:16" x14ac:dyDescent="0.25">
      <c r="A773" s="4">
        <v>43684</v>
      </c>
      <c r="B773" t="s">
        <v>9</v>
      </c>
      <c r="C773">
        <v>1</v>
      </c>
      <c r="F773">
        <v>114</v>
      </c>
      <c r="J773">
        <v>0.73299999999999998</v>
      </c>
      <c r="K773">
        <v>29.7</v>
      </c>
      <c r="L773">
        <v>40.6</v>
      </c>
      <c r="M773">
        <v>66</v>
      </c>
      <c r="N773">
        <v>9</v>
      </c>
      <c r="O773">
        <v>5</v>
      </c>
      <c r="P773">
        <v>1</v>
      </c>
    </row>
    <row r="774" spans="1:16" x14ac:dyDescent="0.25">
      <c r="A774" s="4">
        <v>43684</v>
      </c>
      <c r="B774" t="s">
        <v>9</v>
      </c>
      <c r="C774">
        <v>2</v>
      </c>
      <c r="F774">
        <v>318</v>
      </c>
      <c r="J774">
        <v>0.86799999999999999</v>
      </c>
      <c r="K774">
        <v>31.8</v>
      </c>
      <c r="L774">
        <v>36.700000000000003</v>
      </c>
      <c r="M774">
        <v>233</v>
      </c>
      <c r="N774">
        <v>24</v>
      </c>
      <c r="O774">
        <v>5</v>
      </c>
    </row>
    <row r="775" spans="1:16" x14ac:dyDescent="0.25">
      <c r="A775" s="4">
        <v>43684</v>
      </c>
      <c r="B775" t="s">
        <v>10</v>
      </c>
      <c r="C775" t="s">
        <v>78</v>
      </c>
      <c r="F775">
        <v>360</v>
      </c>
      <c r="J775">
        <v>0.85799999999999998</v>
      </c>
      <c r="K775">
        <v>30</v>
      </c>
      <c r="L775">
        <v>35</v>
      </c>
      <c r="M775">
        <v>239</v>
      </c>
      <c r="N775">
        <v>32</v>
      </c>
      <c r="O775">
        <v>6</v>
      </c>
      <c r="P775">
        <v>3</v>
      </c>
    </row>
    <row r="776" spans="1:16" x14ac:dyDescent="0.25">
      <c r="A776" s="4">
        <v>43684</v>
      </c>
      <c r="B776" t="s">
        <v>9</v>
      </c>
      <c r="C776" t="s">
        <v>78</v>
      </c>
      <c r="F776">
        <v>432</v>
      </c>
      <c r="J776">
        <v>0.83</v>
      </c>
      <c r="K776">
        <v>31.2</v>
      </c>
      <c r="L776">
        <v>37.6</v>
      </c>
      <c r="M776">
        <v>299</v>
      </c>
      <c r="N776">
        <v>33</v>
      </c>
      <c r="O776">
        <v>10</v>
      </c>
      <c r="P776">
        <v>1</v>
      </c>
    </row>
    <row r="777" spans="1:16" x14ac:dyDescent="0.25">
      <c r="A777" s="4">
        <v>43685</v>
      </c>
      <c r="B777" t="s">
        <v>10</v>
      </c>
      <c r="C777">
        <v>1</v>
      </c>
      <c r="F777">
        <v>223</v>
      </c>
      <c r="J777">
        <v>0.67700000000000005</v>
      </c>
      <c r="K777">
        <v>22.3</v>
      </c>
      <c r="L777">
        <v>32.9</v>
      </c>
      <c r="M777">
        <v>173</v>
      </c>
      <c r="N777">
        <v>16</v>
      </c>
      <c r="O777">
        <v>3</v>
      </c>
    </row>
    <row r="778" spans="1:16" x14ac:dyDescent="0.25">
      <c r="A778" s="4">
        <v>43685</v>
      </c>
      <c r="B778" t="s">
        <v>9</v>
      </c>
      <c r="C778">
        <v>1</v>
      </c>
      <c r="F778">
        <v>206</v>
      </c>
      <c r="J778">
        <v>0.68899999999999995</v>
      </c>
      <c r="K778">
        <v>25.8</v>
      </c>
      <c r="L778">
        <v>37.4</v>
      </c>
      <c r="M778">
        <v>144</v>
      </c>
      <c r="N778">
        <v>16</v>
      </c>
      <c r="O778">
        <v>4</v>
      </c>
      <c r="P778">
        <v>1</v>
      </c>
    </row>
    <row r="779" spans="1:16" x14ac:dyDescent="0.25">
      <c r="A779" s="4">
        <v>43685</v>
      </c>
      <c r="B779" t="s">
        <v>9</v>
      </c>
      <c r="C779">
        <v>2</v>
      </c>
      <c r="F779">
        <v>295</v>
      </c>
      <c r="J779">
        <v>0.84299999999999997</v>
      </c>
      <c r="K779">
        <v>29.5</v>
      </c>
      <c r="L779">
        <v>35</v>
      </c>
      <c r="M779">
        <v>220</v>
      </c>
      <c r="N779">
        <v>21</v>
      </c>
      <c r="O779">
        <v>6</v>
      </c>
      <c r="P779">
        <v>1</v>
      </c>
    </row>
    <row r="780" spans="1:16" x14ac:dyDescent="0.25">
      <c r="A780" s="4">
        <v>43685</v>
      </c>
      <c r="B780" t="s">
        <v>10</v>
      </c>
      <c r="C780" t="s">
        <v>78</v>
      </c>
      <c r="F780">
        <v>223</v>
      </c>
      <c r="J780">
        <v>0.67700000000000005</v>
      </c>
      <c r="K780">
        <v>22.3</v>
      </c>
      <c r="L780">
        <v>32.9</v>
      </c>
      <c r="M780">
        <v>173</v>
      </c>
      <c r="N780">
        <v>16</v>
      </c>
      <c r="O780">
        <v>3</v>
      </c>
    </row>
    <row r="781" spans="1:16" x14ac:dyDescent="0.25">
      <c r="A781" s="4">
        <v>43685</v>
      </c>
      <c r="B781" t="s">
        <v>9</v>
      </c>
      <c r="C781" t="s">
        <v>78</v>
      </c>
      <c r="F781">
        <v>501</v>
      </c>
      <c r="J781">
        <v>0.77500000000000002</v>
      </c>
      <c r="K781">
        <v>27.8</v>
      </c>
      <c r="L781">
        <v>35.9</v>
      </c>
      <c r="M781">
        <v>364</v>
      </c>
      <c r="N781">
        <v>37</v>
      </c>
      <c r="O781">
        <v>10</v>
      </c>
      <c r="P781">
        <v>2</v>
      </c>
    </row>
    <row r="782" spans="1:16" x14ac:dyDescent="0.25">
      <c r="A782" s="4">
        <v>43686</v>
      </c>
      <c r="B782" t="s">
        <v>10</v>
      </c>
      <c r="C782">
        <v>1</v>
      </c>
      <c r="F782">
        <v>262</v>
      </c>
      <c r="J782">
        <v>0.76800000000000002</v>
      </c>
      <c r="K782">
        <v>26.2</v>
      </c>
      <c r="L782">
        <v>34.1</v>
      </c>
      <c r="M782">
        <v>189</v>
      </c>
      <c r="N782">
        <v>20</v>
      </c>
      <c r="O782">
        <v>6</v>
      </c>
      <c r="P782">
        <v>1</v>
      </c>
    </row>
    <row r="783" spans="1:16" x14ac:dyDescent="0.25">
      <c r="A783" s="4">
        <v>43686</v>
      </c>
      <c r="B783" t="s">
        <v>9</v>
      </c>
      <c r="C783">
        <v>1</v>
      </c>
      <c r="F783">
        <v>219</v>
      </c>
      <c r="J783">
        <v>0.70399999999999996</v>
      </c>
      <c r="K783">
        <v>27.4</v>
      </c>
      <c r="L783">
        <v>38.9</v>
      </c>
      <c r="M783">
        <v>138</v>
      </c>
      <c r="N783">
        <v>23</v>
      </c>
      <c r="O783">
        <v>6</v>
      </c>
    </row>
    <row r="784" spans="1:16" x14ac:dyDescent="0.25">
      <c r="A784" s="4">
        <v>43686</v>
      </c>
      <c r="B784" t="s">
        <v>9</v>
      </c>
      <c r="C784">
        <v>2</v>
      </c>
      <c r="F784">
        <v>270</v>
      </c>
      <c r="J784">
        <v>0.78600000000000003</v>
      </c>
      <c r="K784">
        <v>27</v>
      </c>
      <c r="L784">
        <v>34.4</v>
      </c>
      <c r="M784">
        <v>219</v>
      </c>
      <c r="N784">
        <v>16</v>
      </c>
      <c r="O784">
        <v>1</v>
      </c>
      <c r="P784">
        <v>1</v>
      </c>
    </row>
    <row r="785" spans="1:16" x14ac:dyDescent="0.25">
      <c r="A785" s="4">
        <v>43686</v>
      </c>
      <c r="B785" t="s">
        <v>10</v>
      </c>
      <c r="C785" t="s">
        <v>78</v>
      </c>
      <c r="F785">
        <v>262</v>
      </c>
      <c r="J785">
        <v>0.76800000000000002</v>
      </c>
      <c r="K785">
        <v>26.2</v>
      </c>
      <c r="L785">
        <v>34.1</v>
      </c>
      <c r="M785">
        <v>189</v>
      </c>
      <c r="N785">
        <v>20</v>
      </c>
      <c r="O785">
        <v>6</v>
      </c>
      <c r="P785">
        <v>1</v>
      </c>
    </row>
    <row r="786" spans="1:16" x14ac:dyDescent="0.25">
      <c r="A786" s="4">
        <v>43686</v>
      </c>
      <c r="B786" t="s">
        <v>9</v>
      </c>
      <c r="C786" t="s">
        <v>78</v>
      </c>
      <c r="F786">
        <v>489</v>
      </c>
      <c r="J786">
        <v>0.749</v>
      </c>
      <c r="K786">
        <v>27.2</v>
      </c>
      <c r="L786">
        <v>36.299999999999997</v>
      </c>
      <c r="M786">
        <v>357</v>
      </c>
      <c r="N786">
        <v>39</v>
      </c>
      <c r="O786">
        <v>7</v>
      </c>
      <c r="P786">
        <v>1</v>
      </c>
    </row>
    <row r="787" spans="1:16" x14ac:dyDescent="0.25">
      <c r="A787" s="4">
        <v>43687</v>
      </c>
      <c r="B787" t="s">
        <v>9</v>
      </c>
      <c r="C787">
        <v>1</v>
      </c>
      <c r="F787">
        <v>224</v>
      </c>
      <c r="J787">
        <v>0.80200000000000005</v>
      </c>
      <c r="K787">
        <v>28</v>
      </c>
      <c r="L787">
        <v>34.9</v>
      </c>
      <c r="M787">
        <v>197</v>
      </c>
      <c r="N787">
        <v>6</v>
      </c>
      <c r="O787">
        <v>2</v>
      </c>
    </row>
    <row r="788" spans="1:16" x14ac:dyDescent="0.25">
      <c r="A788" s="4">
        <v>43687</v>
      </c>
      <c r="B788" t="s">
        <v>9</v>
      </c>
      <c r="C788" t="s">
        <v>78</v>
      </c>
      <c r="F788">
        <v>224</v>
      </c>
      <c r="J788">
        <v>0.80200000000000005</v>
      </c>
      <c r="K788">
        <v>28</v>
      </c>
      <c r="L788">
        <v>34.9</v>
      </c>
      <c r="M788">
        <v>197</v>
      </c>
      <c r="N788">
        <v>6</v>
      </c>
      <c r="O788">
        <v>2</v>
      </c>
    </row>
    <row r="789" spans="1:16" x14ac:dyDescent="0.25">
      <c r="A789" s="4">
        <v>43689</v>
      </c>
      <c r="B789" t="s">
        <v>10</v>
      </c>
      <c r="C789">
        <v>1</v>
      </c>
      <c r="F789">
        <v>210</v>
      </c>
      <c r="J789">
        <v>0.74399999999999999</v>
      </c>
      <c r="K789">
        <v>26.3</v>
      </c>
      <c r="L789">
        <v>35.299999999999997</v>
      </c>
      <c r="M789">
        <v>131</v>
      </c>
      <c r="N789">
        <v>28</v>
      </c>
      <c r="O789">
        <v>5</v>
      </c>
    </row>
    <row r="790" spans="1:16" x14ac:dyDescent="0.25">
      <c r="A790" s="4">
        <v>43689</v>
      </c>
      <c r="B790" t="s">
        <v>9</v>
      </c>
      <c r="C790">
        <v>1</v>
      </c>
      <c r="F790">
        <v>249</v>
      </c>
      <c r="J790">
        <v>0.80900000000000005</v>
      </c>
      <c r="K790">
        <v>31.1</v>
      </c>
      <c r="L790">
        <v>38.5</v>
      </c>
      <c r="M790">
        <v>168</v>
      </c>
      <c r="N790">
        <v>20</v>
      </c>
      <c r="O790">
        <v>8</v>
      </c>
    </row>
    <row r="791" spans="1:16" x14ac:dyDescent="0.25">
      <c r="A791" s="4">
        <v>43689</v>
      </c>
      <c r="B791" t="s">
        <v>9</v>
      </c>
      <c r="C791">
        <v>2</v>
      </c>
      <c r="F791">
        <v>176</v>
      </c>
      <c r="J791">
        <v>0.66500000000000004</v>
      </c>
      <c r="K791">
        <v>23.5</v>
      </c>
      <c r="L791">
        <v>35.299999999999997</v>
      </c>
      <c r="M791">
        <v>137</v>
      </c>
      <c r="N791">
        <v>11</v>
      </c>
      <c r="O791">
        <v>3</v>
      </c>
    </row>
    <row r="792" spans="1:16" x14ac:dyDescent="0.25">
      <c r="A792" s="4">
        <v>43689</v>
      </c>
      <c r="B792" t="s">
        <v>10</v>
      </c>
      <c r="C792" t="s">
        <v>78</v>
      </c>
      <c r="F792">
        <v>210</v>
      </c>
      <c r="J792">
        <v>0.74399999999999999</v>
      </c>
      <c r="K792">
        <v>26.3</v>
      </c>
      <c r="L792">
        <v>35.299999999999997</v>
      </c>
      <c r="M792">
        <v>131</v>
      </c>
      <c r="N792">
        <v>28</v>
      </c>
      <c r="O792">
        <v>5</v>
      </c>
    </row>
    <row r="793" spans="1:16" x14ac:dyDescent="0.25">
      <c r="A793" s="4">
        <v>43689</v>
      </c>
      <c r="B793" t="s">
        <v>9</v>
      </c>
      <c r="C793" t="s">
        <v>78</v>
      </c>
      <c r="F793">
        <v>425</v>
      </c>
      <c r="J793">
        <v>0.74</v>
      </c>
      <c r="K793">
        <v>27.4</v>
      </c>
      <c r="L793">
        <v>37.1</v>
      </c>
      <c r="M793">
        <v>305</v>
      </c>
      <c r="N793">
        <v>31</v>
      </c>
      <c r="O793">
        <v>11</v>
      </c>
    </row>
    <row r="794" spans="1:16" x14ac:dyDescent="0.25">
      <c r="A794" s="4">
        <v>43690</v>
      </c>
      <c r="B794" t="s">
        <v>10</v>
      </c>
      <c r="C794">
        <v>1</v>
      </c>
      <c r="F794">
        <v>376</v>
      </c>
      <c r="J794">
        <v>0.92100000000000004</v>
      </c>
      <c r="K794">
        <v>31.3</v>
      </c>
      <c r="L794">
        <v>34</v>
      </c>
      <c r="M794">
        <v>255</v>
      </c>
      <c r="N794">
        <v>44</v>
      </c>
      <c r="O794">
        <v>6</v>
      </c>
      <c r="P794">
        <v>1</v>
      </c>
    </row>
    <row r="795" spans="1:16" x14ac:dyDescent="0.25">
      <c r="A795" s="4">
        <v>43690</v>
      </c>
      <c r="B795" t="s">
        <v>9</v>
      </c>
      <c r="C795">
        <v>1</v>
      </c>
      <c r="F795">
        <v>116</v>
      </c>
      <c r="J795">
        <v>0.34699999999999998</v>
      </c>
      <c r="K795">
        <v>14.5</v>
      </c>
      <c r="L795">
        <v>41.8</v>
      </c>
      <c r="M795">
        <v>63</v>
      </c>
      <c r="N795">
        <v>8</v>
      </c>
      <c r="O795">
        <v>7</v>
      </c>
      <c r="P795">
        <v>1</v>
      </c>
    </row>
    <row r="796" spans="1:16" x14ac:dyDescent="0.25">
      <c r="A796" s="4">
        <v>43690</v>
      </c>
      <c r="B796" t="s">
        <v>9</v>
      </c>
      <c r="C796">
        <v>2</v>
      </c>
      <c r="F796">
        <v>248</v>
      </c>
      <c r="J796">
        <v>0.86799999999999999</v>
      </c>
      <c r="K796">
        <v>31</v>
      </c>
      <c r="L796">
        <v>35.700000000000003</v>
      </c>
      <c r="M796">
        <v>185</v>
      </c>
      <c r="N796">
        <v>23</v>
      </c>
      <c r="O796">
        <v>3</v>
      </c>
    </row>
    <row r="797" spans="1:16" x14ac:dyDescent="0.25">
      <c r="A797" s="4">
        <v>43690</v>
      </c>
      <c r="B797" t="s">
        <v>10</v>
      </c>
      <c r="C797" t="s">
        <v>78</v>
      </c>
      <c r="F797">
        <v>376</v>
      </c>
      <c r="J797">
        <v>0.92100000000000004</v>
      </c>
      <c r="K797">
        <v>31.3</v>
      </c>
      <c r="L797">
        <v>34</v>
      </c>
      <c r="M797">
        <v>255</v>
      </c>
      <c r="N797">
        <v>44</v>
      </c>
      <c r="O797">
        <v>6</v>
      </c>
      <c r="P797">
        <v>1</v>
      </c>
    </row>
    <row r="798" spans="1:16" x14ac:dyDescent="0.25">
      <c r="A798" s="4">
        <v>43690</v>
      </c>
      <c r="B798" t="s">
        <v>9</v>
      </c>
      <c r="C798" t="s">
        <v>78</v>
      </c>
      <c r="F798">
        <v>364</v>
      </c>
      <c r="J798">
        <v>0.60799999999999998</v>
      </c>
      <c r="K798">
        <v>22.8</v>
      </c>
      <c r="L798">
        <v>37.4</v>
      </c>
      <c r="M798">
        <v>248</v>
      </c>
      <c r="N798">
        <v>31</v>
      </c>
      <c r="O798">
        <v>10</v>
      </c>
      <c r="P798">
        <v>1</v>
      </c>
    </row>
    <row r="799" spans="1:16" x14ac:dyDescent="0.25">
      <c r="A799" s="4">
        <v>43691</v>
      </c>
      <c r="B799" t="s">
        <v>10</v>
      </c>
      <c r="C799">
        <v>1</v>
      </c>
      <c r="F799">
        <v>241</v>
      </c>
      <c r="J799">
        <v>0.89600000000000002</v>
      </c>
      <c r="K799">
        <v>30.1</v>
      </c>
      <c r="L799">
        <v>33.6</v>
      </c>
      <c r="M799">
        <v>161</v>
      </c>
      <c r="N799">
        <v>14</v>
      </c>
      <c r="O799">
        <v>11</v>
      </c>
      <c r="P799">
        <v>1</v>
      </c>
    </row>
    <row r="800" spans="1:16" x14ac:dyDescent="0.25">
      <c r="A800" s="4">
        <v>43691</v>
      </c>
      <c r="B800" t="s">
        <v>9</v>
      </c>
      <c r="C800">
        <v>1</v>
      </c>
      <c r="F800">
        <v>263</v>
      </c>
      <c r="J800">
        <v>0.90600000000000003</v>
      </c>
      <c r="K800">
        <v>32.9</v>
      </c>
      <c r="L800">
        <v>36.299999999999997</v>
      </c>
      <c r="M800">
        <v>177</v>
      </c>
      <c r="N800">
        <v>26</v>
      </c>
      <c r="O800">
        <v>9</v>
      </c>
    </row>
    <row r="801" spans="1:16" x14ac:dyDescent="0.25">
      <c r="A801" s="4">
        <v>43691</v>
      </c>
      <c r="B801" t="s">
        <v>9</v>
      </c>
      <c r="C801">
        <v>2</v>
      </c>
      <c r="F801">
        <v>224</v>
      </c>
      <c r="J801">
        <v>0.73599999999999999</v>
      </c>
      <c r="K801">
        <v>28</v>
      </c>
      <c r="L801">
        <v>38</v>
      </c>
      <c r="M801">
        <v>153</v>
      </c>
      <c r="N801">
        <v>14</v>
      </c>
      <c r="O801">
        <v>6</v>
      </c>
      <c r="P801">
        <v>2</v>
      </c>
    </row>
    <row r="802" spans="1:16" x14ac:dyDescent="0.25">
      <c r="A802" s="4">
        <v>43691</v>
      </c>
      <c r="B802" t="s">
        <v>10</v>
      </c>
      <c r="C802" t="s">
        <v>78</v>
      </c>
      <c r="F802">
        <v>241</v>
      </c>
      <c r="J802">
        <v>0.89600000000000002</v>
      </c>
      <c r="K802">
        <v>30.1</v>
      </c>
      <c r="L802">
        <v>33.6</v>
      </c>
      <c r="M802">
        <v>161</v>
      </c>
      <c r="N802">
        <v>14</v>
      </c>
      <c r="O802">
        <v>11</v>
      </c>
      <c r="P802">
        <v>1</v>
      </c>
    </row>
    <row r="803" spans="1:16" x14ac:dyDescent="0.25">
      <c r="A803" s="4">
        <v>43691</v>
      </c>
      <c r="B803" t="s">
        <v>9</v>
      </c>
      <c r="C803" t="s">
        <v>78</v>
      </c>
      <c r="F803">
        <v>487</v>
      </c>
      <c r="J803">
        <v>0.82099999999999995</v>
      </c>
      <c r="K803">
        <v>30.4</v>
      </c>
      <c r="L803">
        <v>37.1</v>
      </c>
      <c r="M803">
        <v>330</v>
      </c>
      <c r="N803">
        <v>40</v>
      </c>
      <c r="O803">
        <v>15</v>
      </c>
      <c r="P803">
        <v>2</v>
      </c>
    </row>
    <row r="804" spans="1:16" x14ac:dyDescent="0.25">
      <c r="A804" s="4">
        <v>43692</v>
      </c>
      <c r="B804" t="s">
        <v>10</v>
      </c>
      <c r="C804">
        <v>1</v>
      </c>
      <c r="F804">
        <v>215</v>
      </c>
      <c r="J804">
        <v>0.76100000000000001</v>
      </c>
      <c r="K804">
        <v>26.9</v>
      </c>
      <c r="L804">
        <v>35.299999999999997</v>
      </c>
      <c r="M804">
        <v>131</v>
      </c>
      <c r="N804">
        <v>24</v>
      </c>
      <c r="O804">
        <v>7</v>
      </c>
      <c r="P804">
        <v>1</v>
      </c>
    </row>
    <row r="805" spans="1:16" x14ac:dyDescent="0.25">
      <c r="A805" s="4">
        <v>43692</v>
      </c>
      <c r="B805" t="s">
        <v>9</v>
      </c>
      <c r="C805">
        <v>1</v>
      </c>
      <c r="F805">
        <v>239</v>
      </c>
      <c r="J805">
        <v>0.76500000000000001</v>
      </c>
      <c r="K805">
        <v>29.9</v>
      </c>
      <c r="L805">
        <v>39.1</v>
      </c>
      <c r="M805">
        <v>147</v>
      </c>
      <c r="N805">
        <v>18</v>
      </c>
      <c r="O805">
        <v>9</v>
      </c>
      <c r="P805">
        <v>2</v>
      </c>
    </row>
    <row r="806" spans="1:16" x14ac:dyDescent="0.25">
      <c r="A806" s="4">
        <v>43692</v>
      </c>
      <c r="B806" t="s">
        <v>9</v>
      </c>
      <c r="C806">
        <v>2</v>
      </c>
      <c r="F806">
        <v>176</v>
      </c>
      <c r="J806">
        <v>0.58599999999999997</v>
      </c>
      <c r="K806">
        <v>22</v>
      </c>
      <c r="L806">
        <v>37.5</v>
      </c>
      <c r="M806">
        <v>123</v>
      </c>
      <c r="N806">
        <v>14</v>
      </c>
      <c r="O806">
        <v>5</v>
      </c>
    </row>
    <row r="807" spans="1:16" x14ac:dyDescent="0.25">
      <c r="A807" s="4">
        <v>43692</v>
      </c>
      <c r="B807" t="s">
        <v>10</v>
      </c>
      <c r="C807" t="s">
        <v>78</v>
      </c>
      <c r="F807">
        <v>215</v>
      </c>
      <c r="J807">
        <v>0.76100000000000001</v>
      </c>
      <c r="K807">
        <v>26.9</v>
      </c>
      <c r="L807">
        <v>35.299999999999997</v>
      </c>
      <c r="M807">
        <v>131</v>
      </c>
      <c r="N807">
        <v>24</v>
      </c>
      <c r="O807">
        <v>7</v>
      </c>
      <c r="P807">
        <v>1</v>
      </c>
    </row>
    <row r="808" spans="1:16" x14ac:dyDescent="0.25">
      <c r="A808" s="4">
        <v>43692</v>
      </c>
      <c r="B808" t="s">
        <v>9</v>
      </c>
      <c r="C808" t="s">
        <v>78</v>
      </c>
      <c r="F808">
        <v>415</v>
      </c>
      <c r="J808">
        <v>0.67500000000000004</v>
      </c>
      <c r="K808">
        <v>25.9</v>
      </c>
      <c r="L808">
        <v>38.4</v>
      </c>
      <c r="M808">
        <v>270</v>
      </c>
      <c r="N808">
        <v>32</v>
      </c>
      <c r="O808">
        <v>14</v>
      </c>
      <c r="P808">
        <v>2</v>
      </c>
    </row>
    <row r="809" spans="1:16" x14ac:dyDescent="0.25">
      <c r="A809" s="4">
        <v>43693</v>
      </c>
      <c r="B809" t="s">
        <v>10</v>
      </c>
      <c r="C809">
        <v>1</v>
      </c>
      <c r="F809">
        <v>108</v>
      </c>
      <c r="J809">
        <v>0.78900000000000003</v>
      </c>
      <c r="K809">
        <v>27</v>
      </c>
      <c r="L809">
        <v>34.200000000000003</v>
      </c>
      <c r="M809">
        <v>81</v>
      </c>
      <c r="N809">
        <v>9</v>
      </c>
      <c r="O809">
        <v>3</v>
      </c>
    </row>
    <row r="810" spans="1:16" x14ac:dyDescent="0.25">
      <c r="A810" s="4">
        <v>43693</v>
      </c>
      <c r="B810" t="s">
        <v>9</v>
      </c>
      <c r="C810">
        <v>1</v>
      </c>
      <c r="F810">
        <v>198</v>
      </c>
      <c r="J810">
        <v>0.70299999999999996</v>
      </c>
      <c r="K810">
        <v>24.8</v>
      </c>
      <c r="L810">
        <v>35.200000000000003</v>
      </c>
      <c r="M810">
        <v>138</v>
      </c>
      <c r="N810">
        <v>16</v>
      </c>
      <c r="O810">
        <v>4</v>
      </c>
      <c r="P810">
        <v>1</v>
      </c>
    </row>
    <row r="811" spans="1:16" x14ac:dyDescent="0.25">
      <c r="A811" s="4">
        <v>43693</v>
      </c>
      <c r="B811" t="s">
        <v>9</v>
      </c>
      <c r="C811">
        <v>2</v>
      </c>
      <c r="F811">
        <v>213</v>
      </c>
      <c r="J811">
        <v>0.76300000000000001</v>
      </c>
      <c r="K811">
        <v>26.6</v>
      </c>
      <c r="L811">
        <v>34.9</v>
      </c>
      <c r="M811">
        <v>161</v>
      </c>
      <c r="N811">
        <v>17</v>
      </c>
      <c r="O811">
        <v>4</v>
      </c>
    </row>
    <row r="812" spans="1:16" x14ac:dyDescent="0.25">
      <c r="A812" s="4">
        <v>43693</v>
      </c>
      <c r="B812" t="s">
        <v>10</v>
      </c>
      <c r="C812" t="s">
        <v>78</v>
      </c>
      <c r="F812">
        <v>108</v>
      </c>
      <c r="J812">
        <v>0.78900000000000003</v>
      </c>
      <c r="K812">
        <v>27</v>
      </c>
      <c r="L812">
        <v>34.200000000000003</v>
      </c>
      <c r="M812">
        <v>81</v>
      </c>
      <c r="N812">
        <v>9</v>
      </c>
      <c r="O812">
        <v>3</v>
      </c>
    </row>
    <row r="813" spans="1:16" x14ac:dyDescent="0.25">
      <c r="A813" s="4">
        <v>43693</v>
      </c>
      <c r="B813" t="s">
        <v>9</v>
      </c>
      <c r="C813" t="s">
        <v>78</v>
      </c>
      <c r="F813">
        <v>411</v>
      </c>
      <c r="J813">
        <v>0.73299999999999998</v>
      </c>
      <c r="K813">
        <v>25.7</v>
      </c>
      <c r="L813">
        <v>35.1</v>
      </c>
      <c r="M813">
        <v>299</v>
      </c>
      <c r="N813">
        <v>33</v>
      </c>
      <c r="O813">
        <v>8</v>
      </c>
      <c r="P813">
        <v>1</v>
      </c>
    </row>
    <row r="814" spans="1:16" x14ac:dyDescent="0.25">
      <c r="A814" s="4">
        <v>43694</v>
      </c>
      <c r="B814" t="s">
        <v>10</v>
      </c>
      <c r="C814">
        <v>1</v>
      </c>
      <c r="F814">
        <v>301</v>
      </c>
      <c r="J814">
        <v>1.103</v>
      </c>
      <c r="K814">
        <v>37.6</v>
      </c>
      <c r="L814">
        <v>34.1</v>
      </c>
      <c r="M814">
        <v>214</v>
      </c>
      <c r="N814">
        <v>29</v>
      </c>
      <c r="O814">
        <v>4</v>
      </c>
      <c r="P814">
        <v>1</v>
      </c>
    </row>
    <row r="815" spans="1:16" x14ac:dyDescent="0.25">
      <c r="A815" s="4">
        <v>43694</v>
      </c>
      <c r="B815" t="s">
        <v>9</v>
      </c>
      <c r="C815" t="s">
        <v>78</v>
      </c>
      <c r="F815">
        <v>192</v>
      </c>
      <c r="J815">
        <v>0.80600000000000005</v>
      </c>
      <c r="K815">
        <v>27.4</v>
      </c>
      <c r="L815">
        <v>34.1</v>
      </c>
      <c r="M815">
        <v>157</v>
      </c>
      <c r="N815">
        <v>12</v>
      </c>
      <c r="O815">
        <v>2</v>
      </c>
    </row>
    <row r="816" spans="1:16" x14ac:dyDescent="0.25">
      <c r="A816" s="4">
        <v>43694</v>
      </c>
      <c r="B816" t="s">
        <v>10</v>
      </c>
      <c r="C816" t="s">
        <v>78</v>
      </c>
      <c r="F816">
        <v>301</v>
      </c>
      <c r="J816">
        <v>1.103</v>
      </c>
      <c r="K816">
        <v>37.6</v>
      </c>
      <c r="L816">
        <v>34.1</v>
      </c>
      <c r="M816">
        <v>214</v>
      </c>
      <c r="N816">
        <v>29</v>
      </c>
      <c r="O816">
        <v>4</v>
      </c>
      <c r="P816">
        <v>1</v>
      </c>
    </row>
    <row r="817" spans="1:16" x14ac:dyDescent="0.25">
      <c r="A817" s="4">
        <v>43694</v>
      </c>
      <c r="B817" t="s">
        <v>9</v>
      </c>
      <c r="C817" t="s">
        <v>78</v>
      </c>
      <c r="F817">
        <v>192</v>
      </c>
      <c r="J817">
        <v>0.80600000000000005</v>
      </c>
      <c r="K817">
        <v>27.4</v>
      </c>
      <c r="L817">
        <v>34.1</v>
      </c>
      <c r="M817">
        <v>157</v>
      </c>
      <c r="N817">
        <v>12</v>
      </c>
      <c r="O817">
        <v>2</v>
      </c>
    </row>
    <row r="818" spans="1:16" x14ac:dyDescent="0.25">
      <c r="A818" s="4">
        <v>43696</v>
      </c>
      <c r="B818" t="s">
        <v>10</v>
      </c>
      <c r="C818">
        <v>1</v>
      </c>
      <c r="F818">
        <v>204</v>
      </c>
      <c r="J818">
        <v>0.78400000000000003</v>
      </c>
      <c r="K818">
        <v>25.5</v>
      </c>
      <c r="L818">
        <v>32.5</v>
      </c>
      <c r="M818">
        <v>150</v>
      </c>
      <c r="N818">
        <v>21</v>
      </c>
      <c r="O818">
        <v>2</v>
      </c>
    </row>
    <row r="819" spans="1:16" x14ac:dyDescent="0.25">
      <c r="A819" s="4">
        <v>43696</v>
      </c>
      <c r="B819" t="s">
        <v>9</v>
      </c>
      <c r="C819">
        <v>1</v>
      </c>
      <c r="F819">
        <v>232</v>
      </c>
      <c r="J819">
        <v>0.75</v>
      </c>
      <c r="K819">
        <v>29</v>
      </c>
      <c r="L819">
        <v>38.700000000000003</v>
      </c>
      <c r="M819">
        <v>142</v>
      </c>
      <c r="N819">
        <v>22</v>
      </c>
      <c r="O819">
        <v>9</v>
      </c>
      <c r="P819">
        <v>1</v>
      </c>
    </row>
    <row r="820" spans="1:16" x14ac:dyDescent="0.25">
      <c r="A820" s="4">
        <v>43696</v>
      </c>
      <c r="B820" t="s">
        <v>9</v>
      </c>
      <c r="C820">
        <v>2</v>
      </c>
      <c r="F820">
        <v>248</v>
      </c>
      <c r="J820">
        <v>0.874</v>
      </c>
      <c r="K820">
        <v>31</v>
      </c>
      <c r="L820">
        <v>35.5</v>
      </c>
      <c r="M820">
        <v>195</v>
      </c>
      <c r="N820">
        <v>11</v>
      </c>
      <c r="O820">
        <v>7</v>
      </c>
    </row>
    <row r="821" spans="1:16" x14ac:dyDescent="0.25">
      <c r="A821" s="4">
        <v>43696</v>
      </c>
      <c r="B821" t="s">
        <v>10</v>
      </c>
      <c r="C821" t="s">
        <v>78</v>
      </c>
      <c r="F821">
        <v>204</v>
      </c>
      <c r="J821">
        <v>0.78400000000000003</v>
      </c>
      <c r="K821">
        <v>25.5</v>
      </c>
      <c r="L821">
        <v>32.5</v>
      </c>
      <c r="M821">
        <v>150</v>
      </c>
      <c r="N821">
        <v>21</v>
      </c>
      <c r="O821">
        <v>2</v>
      </c>
    </row>
    <row r="822" spans="1:16" x14ac:dyDescent="0.25">
      <c r="A822" s="4">
        <v>43696</v>
      </c>
      <c r="B822" t="s">
        <v>9</v>
      </c>
      <c r="C822" t="s">
        <v>78</v>
      </c>
      <c r="F822">
        <v>480</v>
      </c>
      <c r="J822">
        <v>0.81200000000000006</v>
      </c>
      <c r="K822">
        <v>30</v>
      </c>
      <c r="L822">
        <v>37</v>
      </c>
      <c r="M822">
        <v>337</v>
      </c>
      <c r="N822">
        <v>33</v>
      </c>
      <c r="O822">
        <v>16</v>
      </c>
      <c r="P822">
        <v>1</v>
      </c>
    </row>
    <row r="823" spans="1:16" x14ac:dyDescent="0.25">
      <c r="A823" s="4">
        <v>43697</v>
      </c>
      <c r="B823" t="s">
        <v>10</v>
      </c>
      <c r="C823">
        <v>1</v>
      </c>
      <c r="F823">
        <v>238</v>
      </c>
      <c r="J823">
        <v>0.84499999999999997</v>
      </c>
      <c r="K823">
        <v>29.8</v>
      </c>
      <c r="L823">
        <v>35.200000000000003</v>
      </c>
      <c r="M823">
        <v>149</v>
      </c>
      <c r="N823">
        <v>30</v>
      </c>
      <c r="O823">
        <v>7</v>
      </c>
    </row>
    <row r="824" spans="1:16" x14ac:dyDescent="0.25">
      <c r="A824" s="4">
        <v>43697</v>
      </c>
      <c r="B824" t="s">
        <v>9</v>
      </c>
      <c r="C824">
        <v>1</v>
      </c>
      <c r="F824">
        <v>263</v>
      </c>
      <c r="J824">
        <v>0.89100000000000001</v>
      </c>
      <c r="K824">
        <v>32.9</v>
      </c>
      <c r="L824">
        <v>36.9</v>
      </c>
      <c r="M824">
        <v>169</v>
      </c>
      <c r="N824">
        <v>32</v>
      </c>
      <c r="O824">
        <v>6</v>
      </c>
    </row>
    <row r="825" spans="1:16" x14ac:dyDescent="0.25">
      <c r="A825" s="4">
        <v>43697</v>
      </c>
      <c r="B825" t="s">
        <v>9</v>
      </c>
      <c r="C825">
        <v>2</v>
      </c>
      <c r="F825">
        <v>234</v>
      </c>
      <c r="J825">
        <v>0.79900000000000004</v>
      </c>
      <c r="K825">
        <v>29.3</v>
      </c>
      <c r="L825">
        <v>36.6</v>
      </c>
      <c r="M825">
        <v>171</v>
      </c>
      <c r="N825">
        <v>19</v>
      </c>
      <c r="O825">
        <v>6</v>
      </c>
    </row>
    <row r="826" spans="1:16" x14ac:dyDescent="0.25">
      <c r="A826" s="4">
        <v>43697</v>
      </c>
      <c r="B826" t="s">
        <v>10</v>
      </c>
      <c r="C826" t="s">
        <v>78</v>
      </c>
      <c r="F826">
        <v>238</v>
      </c>
      <c r="J826">
        <v>0.84499999999999997</v>
      </c>
      <c r="K826">
        <v>29.8</v>
      </c>
      <c r="L826">
        <v>35.200000000000003</v>
      </c>
      <c r="M826">
        <v>149</v>
      </c>
      <c r="N826">
        <v>30</v>
      </c>
      <c r="O826">
        <v>7</v>
      </c>
    </row>
    <row r="827" spans="1:16" x14ac:dyDescent="0.25">
      <c r="A827" s="4">
        <v>43697</v>
      </c>
      <c r="B827" t="s">
        <v>9</v>
      </c>
      <c r="C827" t="s">
        <v>78</v>
      </c>
      <c r="F827">
        <v>497</v>
      </c>
      <c r="J827">
        <v>0.84499999999999997</v>
      </c>
      <c r="K827">
        <v>31.1</v>
      </c>
      <c r="L827">
        <v>36.799999999999997</v>
      </c>
      <c r="M827">
        <v>340</v>
      </c>
      <c r="N827">
        <v>51</v>
      </c>
      <c r="O827">
        <v>12</v>
      </c>
    </row>
    <row r="828" spans="1:16" x14ac:dyDescent="0.25">
      <c r="A828" s="4">
        <v>43698</v>
      </c>
      <c r="B828" t="s">
        <v>10</v>
      </c>
      <c r="C828">
        <v>1</v>
      </c>
      <c r="F828">
        <v>315</v>
      </c>
      <c r="J828">
        <v>0.755</v>
      </c>
      <c r="K828">
        <v>26.3</v>
      </c>
      <c r="L828">
        <v>34.799999999999997</v>
      </c>
      <c r="M828">
        <v>209</v>
      </c>
      <c r="N828">
        <v>36</v>
      </c>
      <c r="O828">
        <v>7</v>
      </c>
      <c r="P828">
        <v>1</v>
      </c>
    </row>
    <row r="829" spans="1:16" x14ac:dyDescent="0.25">
      <c r="A829" s="4">
        <v>43698</v>
      </c>
      <c r="B829" t="s">
        <v>9</v>
      </c>
      <c r="C829">
        <v>1</v>
      </c>
      <c r="F829">
        <v>237</v>
      </c>
      <c r="J829">
        <v>0.71499999999999997</v>
      </c>
      <c r="K829">
        <v>29.6</v>
      </c>
      <c r="L829">
        <v>41.5</v>
      </c>
      <c r="M829">
        <v>140</v>
      </c>
      <c r="N829">
        <v>29</v>
      </c>
      <c r="O829">
        <v>10</v>
      </c>
    </row>
    <row r="830" spans="1:16" x14ac:dyDescent="0.25">
      <c r="A830" s="4">
        <v>43698</v>
      </c>
      <c r="B830" t="s">
        <v>9</v>
      </c>
      <c r="C830">
        <v>2</v>
      </c>
      <c r="F830">
        <v>126</v>
      </c>
      <c r="J830">
        <v>0.69099999999999995</v>
      </c>
      <c r="K830">
        <v>28</v>
      </c>
      <c r="L830">
        <v>40.5</v>
      </c>
      <c r="M830">
        <v>58</v>
      </c>
      <c r="N830">
        <v>24</v>
      </c>
      <c r="O830">
        <v>4</v>
      </c>
    </row>
    <row r="831" spans="1:16" x14ac:dyDescent="0.25">
      <c r="A831" s="4">
        <v>43698</v>
      </c>
      <c r="B831" t="s">
        <v>10</v>
      </c>
      <c r="C831" t="s">
        <v>78</v>
      </c>
      <c r="F831">
        <v>315</v>
      </c>
      <c r="J831">
        <v>0.755</v>
      </c>
      <c r="K831">
        <v>26.3</v>
      </c>
      <c r="L831">
        <v>34.799999999999997</v>
      </c>
      <c r="M831">
        <v>209</v>
      </c>
      <c r="N831">
        <v>36</v>
      </c>
      <c r="O831">
        <v>7</v>
      </c>
      <c r="P831">
        <v>1</v>
      </c>
    </row>
    <row r="832" spans="1:16" x14ac:dyDescent="0.25">
      <c r="A832" s="4">
        <v>43698</v>
      </c>
      <c r="B832" t="s">
        <v>9</v>
      </c>
      <c r="C832" t="s">
        <v>78</v>
      </c>
      <c r="F832">
        <v>307</v>
      </c>
      <c r="J832">
        <v>0.70599999999999996</v>
      </c>
      <c r="K832">
        <v>29</v>
      </c>
      <c r="L832">
        <v>41.1</v>
      </c>
      <c r="M832">
        <v>198</v>
      </c>
      <c r="N832">
        <v>53</v>
      </c>
      <c r="O832">
        <v>14</v>
      </c>
    </row>
    <row r="833" spans="1:16" x14ac:dyDescent="0.25">
      <c r="A833" s="4">
        <v>43699</v>
      </c>
      <c r="B833" t="s">
        <v>10</v>
      </c>
      <c r="C833">
        <v>1</v>
      </c>
      <c r="F833">
        <v>307</v>
      </c>
      <c r="J833">
        <v>0.71799999999999997</v>
      </c>
      <c r="K833">
        <v>25.6</v>
      </c>
      <c r="L833">
        <v>35.6</v>
      </c>
      <c r="M833">
        <v>196</v>
      </c>
      <c r="N833">
        <v>34</v>
      </c>
      <c r="O833">
        <v>11</v>
      </c>
    </row>
    <row r="834" spans="1:16" x14ac:dyDescent="0.25">
      <c r="A834" s="4">
        <v>43699</v>
      </c>
      <c r="B834" t="s">
        <v>9</v>
      </c>
      <c r="C834">
        <v>1</v>
      </c>
      <c r="F834">
        <v>221</v>
      </c>
      <c r="J834">
        <v>0.71099999999999997</v>
      </c>
      <c r="K834">
        <v>27.6</v>
      </c>
      <c r="L834">
        <v>38.9</v>
      </c>
      <c r="M834">
        <v>142</v>
      </c>
      <c r="N834">
        <v>25</v>
      </c>
      <c r="O834">
        <v>6</v>
      </c>
    </row>
    <row r="835" spans="1:16" x14ac:dyDescent="0.25">
      <c r="A835" s="4">
        <v>43699</v>
      </c>
      <c r="B835" t="s">
        <v>9</v>
      </c>
      <c r="C835">
        <v>2</v>
      </c>
      <c r="F835">
        <v>244</v>
      </c>
      <c r="J835">
        <v>0.83399999999999996</v>
      </c>
      <c r="K835">
        <v>30.5</v>
      </c>
      <c r="L835">
        <v>36.6</v>
      </c>
      <c r="M835">
        <v>172</v>
      </c>
      <c r="N835">
        <v>26</v>
      </c>
      <c r="O835">
        <v>2</v>
      </c>
      <c r="P835">
        <v>1</v>
      </c>
    </row>
    <row r="836" spans="1:16" x14ac:dyDescent="0.25">
      <c r="A836" s="4">
        <v>43699</v>
      </c>
      <c r="B836" t="s">
        <v>10</v>
      </c>
      <c r="C836" t="s">
        <v>78</v>
      </c>
      <c r="F836">
        <v>307</v>
      </c>
      <c r="J836">
        <v>0.71799999999999997</v>
      </c>
      <c r="K836">
        <v>25.6</v>
      </c>
      <c r="L836">
        <v>35.6</v>
      </c>
      <c r="M836">
        <v>196</v>
      </c>
      <c r="N836">
        <v>34</v>
      </c>
      <c r="O836">
        <v>11</v>
      </c>
    </row>
    <row r="837" spans="1:16" x14ac:dyDescent="0.25">
      <c r="A837" s="4">
        <v>43699</v>
      </c>
      <c r="B837" t="s">
        <v>9</v>
      </c>
      <c r="C837" t="s">
        <v>78</v>
      </c>
      <c r="F837">
        <v>465</v>
      </c>
      <c r="J837">
        <v>0.77200000000000002</v>
      </c>
      <c r="K837">
        <v>29.1</v>
      </c>
      <c r="L837">
        <v>37.6</v>
      </c>
      <c r="M837">
        <v>314</v>
      </c>
      <c r="N837">
        <v>51</v>
      </c>
      <c r="O837">
        <v>8</v>
      </c>
      <c r="P837">
        <v>1</v>
      </c>
    </row>
    <row r="838" spans="1:16" x14ac:dyDescent="0.25">
      <c r="A838" s="4">
        <v>43700</v>
      </c>
      <c r="B838" t="s">
        <v>10</v>
      </c>
      <c r="C838">
        <v>1</v>
      </c>
      <c r="F838">
        <v>332</v>
      </c>
      <c r="J838">
        <v>0.79700000000000004</v>
      </c>
      <c r="K838">
        <v>27.7</v>
      </c>
      <c r="L838">
        <v>34.700000000000003</v>
      </c>
      <c r="M838">
        <v>230</v>
      </c>
      <c r="N838">
        <v>35</v>
      </c>
      <c r="O838">
        <v>4</v>
      </c>
      <c r="P838">
        <v>2</v>
      </c>
    </row>
    <row r="839" spans="1:16" x14ac:dyDescent="0.25">
      <c r="A839" s="4">
        <v>43700</v>
      </c>
      <c r="B839" t="s">
        <v>9</v>
      </c>
      <c r="C839">
        <v>1</v>
      </c>
      <c r="F839">
        <v>236</v>
      </c>
      <c r="J839">
        <v>0.752</v>
      </c>
      <c r="K839">
        <v>29.5</v>
      </c>
      <c r="L839">
        <v>39.200000000000003</v>
      </c>
      <c r="M839">
        <v>137</v>
      </c>
      <c r="N839">
        <v>25</v>
      </c>
      <c r="O839">
        <v>7</v>
      </c>
      <c r="P839">
        <v>2</v>
      </c>
    </row>
    <row r="840" spans="1:16" x14ac:dyDescent="0.25">
      <c r="A840" s="4">
        <v>43700</v>
      </c>
      <c r="B840" t="s">
        <v>9</v>
      </c>
      <c r="C840">
        <v>2</v>
      </c>
      <c r="F840">
        <v>274</v>
      </c>
      <c r="J840">
        <v>0.73099999999999998</v>
      </c>
      <c r="K840">
        <v>27.4</v>
      </c>
      <c r="L840">
        <v>37.5</v>
      </c>
      <c r="M840">
        <v>178</v>
      </c>
      <c r="N840">
        <v>29</v>
      </c>
      <c r="O840">
        <v>9</v>
      </c>
    </row>
    <row r="841" spans="1:16" x14ac:dyDescent="0.25">
      <c r="A841" s="4">
        <v>43700</v>
      </c>
      <c r="B841" t="s">
        <v>10</v>
      </c>
      <c r="C841" t="s">
        <v>78</v>
      </c>
      <c r="F841">
        <v>332</v>
      </c>
      <c r="J841">
        <v>0.79700000000000004</v>
      </c>
      <c r="K841">
        <v>27.7</v>
      </c>
      <c r="L841">
        <v>34.700000000000003</v>
      </c>
      <c r="M841">
        <v>230</v>
      </c>
      <c r="N841">
        <v>35</v>
      </c>
      <c r="O841">
        <v>4</v>
      </c>
      <c r="P841">
        <v>2</v>
      </c>
    </row>
    <row r="842" spans="1:16" x14ac:dyDescent="0.25">
      <c r="A842" s="4">
        <v>43700</v>
      </c>
      <c r="B842" t="s">
        <v>9</v>
      </c>
      <c r="C842" t="s">
        <v>78</v>
      </c>
      <c r="F842">
        <v>510</v>
      </c>
      <c r="J842">
        <v>0.74099999999999999</v>
      </c>
      <c r="K842">
        <v>28.3</v>
      </c>
      <c r="L842">
        <v>38.299999999999997</v>
      </c>
      <c r="M842">
        <v>315</v>
      </c>
      <c r="N842">
        <v>54</v>
      </c>
      <c r="O842">
        <v>16</v>
      </c>
      <c r="P842">
        <v>2</v>
      </c>
    </row>
    <row r="843" spans="1:16" x14ac:dyDescent="0.25">
      <c r="A843" s="4">
        <v>43703</v>
      </c>
      <c r="B843" t="s">
        <v>10</v>
      </c>
      <c r="C843">
        <v>1</v>
      </c>
      <c r="F843">
        <v>345</v>
      </c>
      <c r="J843">
        <v>0.81699999999999995</v>
      </c>
      <c r="K843">
        <v>28.8</v>
      </c>
      <c r="L843">
        <v>35.200000000000003</v>
      </c>
      <c r="M843">
        <v>237</v>
      </c>
      <c r="N843">
        <v>32</v>
      </c>
      <c r="O843">
        <v>9</v>
      </c>
    </row>
    <row r="844" spans="1:16" x14ac:dyDescent="0.25">
      <c r="A844" s="4">
        <v>43703</v>
      </c>
      <c r="B844" t="s">
        <v>9</v>
      </c>
      <c r="C844">
        <v>1</v>
      </c>
      <c r="F844">
        <v>190</v>
      </c>
      <c r="J844">
        <v>0.6</v>
      </c>
      <c r="K844">
        <v>23.8</v>
      </c>
      <c r="L844">
        <v>39.6</v>
      </c>
      <c r="M844">
        <v>112</v>
      </c>
      <c r="N844">
        <v>24</v>
      </c>
      <c r="O844">
        <v>1</v>
      </c>
      <c r="P844">
        <v>2</v>
      </c>
    </row>
    <row r="845" spans="1:16" x14ac:dyDescent="0.25">
      <c r="A845" s="4">
        <v>43703</v>
      </c>
      <c r="B845" t="s">
        <v>9</v>
      </c>
      <c r="C845">
        <v>2</v>
      </c>
      <c r="F845">
        <v>309</v>
      </c>
      <c r="J845">
        <v>0.81899999999999995</v>
      </c>
      <c r="K845">
        <v>30.9</v>
      </c>
      <c r="L845">
        <v>37.799999999999997</v>
      </c>
      <c r="M845">
        <v>202</v>
      </c>
      <c r="N845">
        <v>28</v>
      </c>
      <c r="O845">
        <v>13</v>
      </c>
    </row>
    <row r="846" spans="1:16" x14ac:dyDescent="0.25">
      <c r="A846" s="4">
        <v>43703</v>
      </c>
      <c r="B846" t="s">
        <v>10</v>
      </c>
      <c r="C846" t="s">
        <v>78</v>
      </c>
      <c r="F846">
        <v>345</v>
      </c>
      <c r="J846">
        <v>0.81699999999999995</v>
      </c>
      <c r="K846">
        <v>28.8</v>
      </c>
      <c r="L846">
        <v>35.200000000000003</v>
      </c>
      <c r="M846">
        <v>237</v>
      </c>
      <c r="N846">
        <v>32</v>
      </c>
      <c r="O846">
        <v>9</v>
      </c>
    </row>
    <row r="847" spans="1:16" x14ac:dyDescent="0.25">
      <c r="A847" s="4">
        <v>43703</v>
      </c>
      <c r="B847" t="s">
        <v>9</v>
      </c>
      <c r="C847" t="s">
        <v>78</v>
      </c>
      <c r="F847">
        <v>499</v>
      </c>
      <c r="J847">
        <v>0.72199999999999998</v>
      </c>
      <c r="K847">
        <v>27.7</v>
      </c>
      <c r="L847">
        <v>38.4</v>
      </c>
      <c r="M847">
        <v>314</v>
      </c>
      <c r="N847">
        <v>52</v>
      </c>
      <c r="O847">
        <v>14</v>
      </c>
      <c r="P847">
        <v>2</v>
      </c>
    </row>
    <row r="848" spans="1:16" x14ac:dyDescent="0.25">
      <c r="A848" s="4">
        <v>43704</v>
      </c>
      <c r="B848" t="s">
        <v>10</v>
      </c>
      <c r="C848">
        <v>1</v>
      </c>
      <c r="F848">
        <v>385</v>
      </c>
      <c r="J848">
        <v>0.88600000000000001</v>
      </c>
      <c r="K848">
        <v>32.1</v>
      </c>
      <c r="L848">
        <v>36.200000000000003</v>
      </c>
      <c r="M848">
        <v>248</v>
      </c>
      <c r="N848">
        <v>54</v>
      </c>
      <c r="O848">
        <v>8</v>
      </c>
    </row>
    <row r="849" spans="1:16" x14ac:dyDescent="0.25">
      <c r="A849" s="4">
        <v>43704</v>
      </c>
      <c r="B849" t="s">
        <v>9</v>
      </c>
      <c r="C849">
        <v>1</v>
      </c>
      <c r="F849">
        <v>261</v>
      </c>
      <c r="J849">
        <v>0.89900000000000002</v>
      </c>
      <c r="K849">
        <v>32.6</v>
      </c>
      <c r="L849">
        <v>36.299999999999997</v>
      </c>
      <c r="M849">
        <v>194</v>
      </c>
      <c r="N849">
        <v>23</v>
      </c>
      <c r="O849">
        <v>5</v>
      </c>
    </row>
    <row r="850" spans="1:16" x14ac:dyDescent="0.25">
      <c r="A850" s="4">
        <v>43704</v>
      </c>
      <c r="B850" t="s">
        <v>9</v>
      </c>
      <c r="C850">
        <v>2</v>
      </c>
      <c r="F850">
        <v>289</v>
      </c>
      <c r="J850">
        <v>0.82599999999999996</v>
      </c>
      <c r="K850">
        <v>28.9</v>
      </c>
      <c r="L850">
        <v>35</v>
      </c>
      <c r="M850">
        <v>228</v>
      </c>
      <c r="N850">
        <v>20</v>
      </c>
      <c r="O850">
        <v>3</v>
      </c>
      <c r="P850">
        <v>1</v>
      </c>
    </row>
    <row r="851" spans="1:16" x14ac:dyDescent="0.25">
      <c r="A851" s="4">
        <v>43704</v>
      </c>
      <c r="B851" t="s">
        <v>10</v>
      </c>
      <c r="C851" t="s">
        <v>78</v>
      </c>
      <c r="F851">
        <v>385</v>
      </c>
      <c r="J851">
        <v>0.88600000000000001</v>
      </c>
      <c r="K851">
        <v>32.1</v>
      </c>
      <c r="L851">
        <v>36.200000000000003</v>
      </c>
      <c r="M851">
        <v>248</v>
      </c>
      <c r="N851">
        <v>54</v>
      </c>
      <c r="O851">
        <v>8</v>
      </c>
    </row>
    <row r="852" spans="1:16" x14ac:dyDescent="0.25">
      <c r="A852" s="4">
        <v>43704</v>
      </c>
      <c r="B852" t="s">
        <v>9</v>
      </c>
      <c r="C852" t="s">
        <v>78</v>
      </c>
      <c r="F852">
        <v>550</v>
      </c>
      <c r="J852">
        <v>0.85899999999999999</v>
      </c>
      <c r="K852">
        <v>30.6</v>
      </c>
      <c r="L852">
        <v>35.6</v>
      </c>
      <c r="M852">
        <v>422</v>
      </c>
      <c r="N852">
        <v>43</v>
      </c>
      <c r="O852">
        <v>8</v>
      </c>
      <c r="P852">
        <v>1</v>
      </c>
    </row>
    <row r="853" spans="1:16" x14ac:dyDescent="0.25">
      <c r="A853" s="4">
        <v>43705</v>
      </c>
      <c r="B853" t="s">
        <v>10</v>
      </c>
      <c r="C853">
        <v>1</v>
      </c>
      <c r="F853">
        <v>342</v>
      </c>
      <c r="J853">
        <v>0.81499999999999995</v>
      </c>
      <c r="K853">
        <v>28.5</v>
      </c>
      <c r="L853">
        <v>35</v>
      </c>
      <c r="M853">
        <v>221</v>
      </c>
      <c r="N853">
        <v>36</v>
      </c>
      <c r="O853">
        <v>10</v>
      </c>
      <c r="P853">
        <v>1</v>
      </c>
    </row>
    <row r="854" spans="1:16" x14ac:dyDescent="0.25">
      <c r="A854" s="4">
        <v>43705</v>
      </c>
      <c r="B854" t="s">
        <v>9</v>
      </c>
      <c r="C854">
        <v>1</v>
      </c>
      <c r="F854">
        <v>124</v>
      </c>
      <c r="J854">
        <v>0.38200000000000001</v>
      </c>
      <c r="K854">
        <v>15.5</v>
      </c>
      <c r="L854">
        <v>40.6</v>
      </c>
      <c r="M854">
        <v>68</v>
      </c>
      <c r="N854">
        <v>11</v>
      </c>
      <c r="O854">
        <v>7</v>
      </c>
      <c r="P854">
        <v>1</v>
      </c>
    </row>
    <row r="855" spans="1:16" x14ac:dyDescent="0.25">
      <c r="A855" s="4">
        <v>43705</v>
      </c>
      <c r="B855" t="s">
        <v>9</v>
      </c>
      <c r="C855">
        <v>2</v>
      </c>
      <c r="F855">
        <v>236</v>
      </c>
      <c r="J855">
        <v>0.59499999999999997</v>
      </c>
      <c r="K855">
        <v>23.6</v>
      </c>
      <c r="L855">
        <v>39.700000000000003</v>
      </c>
      <c r="M855">
        <v>124</v>
      </c>
      <c r="N855">
        <v>35</v>
      </c>
      <c r="O855">
        <v>9</v>
      </c>
    </row>
    <row r="856" spans="1:16" x14ac:dyDescent="0.25">
      <c r="A856" s="4">
        <v>43705</v>
      </c>
      <c r="B856" t="s">
        <v>10</v>
      </c>
      <c r="C856" t="s">
        <v>78</v>
      </c>
      <c r="F856">
        <v>342</v>
      </c>
      <c r="J856">
        <v>0.81499999999999995</v>
      </c>
      <c r="K856">
        <v>28.5</v>
      </c>
      <c r="L856">
        <v>35</v>
      </c>
      <c r="M856">
        <v>221</v>
      </c>
      <c r="N856">
        <v>36</v>
      </c>
      <c r="O856">
        <v>10</v>
      </c>
      <c r="P856">
        <v>1</v>
      </c>
    </row>
    <row r="857" spans="1:16" x14ac:dyDescent="0.25">
      <c r="A857" s="4">
        <v>43705</v>
      </c>
      <c r="B857" t="s">
        <v>9</v>
      </c>
      <c r="C857" t="s">
        <v>78</v>
      </c>
      <c r="F857">
        <v>360</v>
      </c>
      <c r="J857">
        <v>0.5</v>
      </c>
      <c r="K857">
        <v>20</v>
      </c>
      <c r="L857">
        <v>40</v>
      </c>
      <c r="M857">
        <v>192</v>
      </c>
      <c r="N857">
        <v>46</v>
      </c>
      <c r="O857">
        <v>16</v>
      </c>
      <c r="P857">
        <v>1</v>
      </c>
    </row>
    <row r="858" spans="1:16" x14ac:dyDescent="0.25">
      <c r="A858" s="4">
        <v>43706</v>
      </c>
      <c r="B858" t="s">
        <v>10</v>
      </c>
      <c r="C858">
        <v>1</v>
      </c>
      <c r="F858">
        <v>257</v>
      </c>
      <c r="J858">
        <v>0.79300000000000004</v>
      </c>
      <c r="K858">
        <v>25.7</v>
      </c>
      <c r="L858">
        <v>32.4</v>
      </c>
      <c r="M858">
        <v>203</v>
      </c>
      <c r="N858">
        <v>20</v>
      </c>
      <c r="O858">
        <v>2</v>
      </c>
    </row>
    <row r="859" spans="1:16" x14ac:dyDescent="0.25">
      <c r="A859" s="4">
        <v>43706</v>
      </c>
      <c r="B859" t="s">
        <v>9</v>
      </c>
      <c r="C859">
        <v>1</v>
      </c>
      <c r="F859">
        <v>236</v>
      </c>
      <c r="J859">
        <v>0.82099999999999995</v>
      </c>
      <c r="K859">
        <v>29.5</v>
      </c>
      <c r="L859">
        <v>35.9</v>
      </c>
      <c r="M859">
        <v>164</v>
      </c>
      <c r="N859">
        <v>25</v>
      </c>
      <c r="O859">
        <v>4</v>
      </c>
    </row>
    <row r="860" spans="1:16" x14ac:dyDescent="0.25">
      <c r="A860" s="4">
        <v>43706</v>
      </c>
      <c r="B860" t="s">
        <v>9</v>
      </c>
      <c r="C860">
        <v>2</v>
      </c>
      <c r="F860">
        <v>264</v>
      </c>
      <c r="J860">
        <v>0.73099999999999998</v>
      </c>
      <c r="K860">
        <v>26.4</v>
      </c>
      <c r="L860">
        <v>36.1</v>
      </c>
      <c r="M860">
        <v>187</v>
      </c>
      <c r="N860">
        <v>28</v>
      </c>
      <c r="O860">
        <v>5</v>
      </c>
    </row>
    <row r="861" spans="1:16" x14ac:dyDescent="0.25">
      <c r="A861" s="4">
        <v>43706</v>
      </c>
      <c r="B861" t="s">
        <v>10</v>
      </c>
      <c r="C861" t="s">
        <v>78</v>
      </c>
      <c r="F861">
        <v>257</v>
      </c>
      <c r="J861">
        <v>0.79300000000000004</v>
      </c>
      <c r="K861">
        <v>25.7</v>
      </c>
      <c r="L861">
        <v>32.4</v>
      </c>
      <c r="M861">
        <v>203</v>
      </c>
      <c r="N861">
        <v>20</v>
      </c>
      <c r="O861">
        <v>2</v>
      </c>
    </row>
    <row r="862" spans="1:16" x14ac:dyDescent="0.25">
      <c r="A862" s="4">
        <v>43706</v>
      </c>
      <c r="B862" t="s">
        <v>9</v>
      </c>
      <c r="C862" t="s">
        <v>78</v>
      </c>
      <c r="F862">
        <v>500</v>
      </c>
      <c r="J862">
        <v>0.77100000000000002</v>
      </c>
      <c r="K862">
        <v>27.8</v>
      </c>
      <c r="L862">
        <v>36</v>
      </c>
      <c r="M862">
        <v>351</v>
      </c>
      <c r="N862">
        <v>53</v>
      </c>
      <c r="O862">
        <v>9</v>
      </c>
    </row>
    <row r="863" spans="1:16" x14ac:dyDescent="0.25">
      <c r="A863" s="4">
        <v>43707</v>
      </c>
      <c r="B863" t="s">
        <v>10</v>
      </c>
      <c r="C863">
        <v>1</v>
      </c>
      <c r="F863">
        <v>211</v>
      </c>
      <c r="J863">
        <v>0.78</v>
      </c>
      <c r="K863">
        <v>26.4</v>
      </c>
      <c r="L863">
        <v>33.799999999999997</v>
      </c>
      <c r="M863">
        <v>156</v>
      </c>
      <c r="N863">
        <v>12</v>
      </c>
      <c r="O863">
        <v>6</v>
      </c>
      <c r="P863">
        <v>1</v>
      </c>
    </row>
    <row r="864" spans="1:16" x14ac:dyDescent="0.25">
      <c r="A864" s="4">
        <v>43707</v>
      </c>
      <c r="B864" t="s">
        <v>9</v>
      </c>
      <c r="C864">
        <v>1</v>
      </c>
      <c r="F864">
        <v>233</v>
      </c>
      <c r="J864">
        <v>0.78400000000000003</v>
      </c>
      <c r="K864">
        <v>29.1</v>
      </c>
      <c r="L864">
        <v>37.1</v>
      </c>
      <c r="M864">
        <v>160</v>
      </c>
      <c r="N864">
        <v>17</v>
      </c>
      <c r="O864">
        <v>9</v>
      </c>
    </row>
    <row r="865" spans="1:16" x14ac:dyDescent="0.25">
      <c r="A865" s="4">
        <v>43707</v>
      </c>
      <c r="B865" t="s">
        <v>9</v>
      </c>
      <c r="C865">
        <v>2</v>
      </c>
      <c r="F865">
        <v>244</v>
      </c>
      <c r="J865">
        <v>0.86199999999999999</v>
      </c>
      <c r="K865">
        <v>30.5</v>
      </c>
      <c r="L865">
        <v>35.4</v>
      </c>
      <c r="M865">
        <v>187</v>
      </c>
      <c r="N865">
        <v>13</v>
      </c>
      <c r="O865">
        <v>6</v>
      </c>
    </row>
    <row r="866" spans="1:16" x14ac:dyDescent="0.25">
      <c r="A866" s="4">
        <v>43707</v>
      </c>
      <c r="B866" t="s">
        <v>10</v>
      </c>
      <c r="C866" t="s">
        <v>78</v>
      </c>
      <c r="F866">
        <v>211</v>
      </c>
      <c r="J866">
        <v>0.78</v>
      </c>
      <c r="K866">
        <v>26.4</v>
      </c>
      <c r="L866">
        <v>33.799999999999997</v>
      </c>
      <c r="M866">
        <v>156</v>
      </c>
      <c r="N866">
        <v>12</v>
      </c>
      <c r="O866">
        <v>6</v>
      </c>
      <c r="P866">
        <v>1</v>
      </c>
    </row>
    <row r="867" spans="1:16" x14ac:dyDescent="0.25">
      <c r="A867" s="4">
        <v>43707</v>
      </c>
      <c r="B867" t="s">
        <v>9</v>
      </c>
      <c r="C867" t="s">
        <v>78</v>
      </c>
      <c r="F867">
        <v>477</v>
      </c>
      <c r="J867">
        <v>0.82299999999999995</v>
      </c>
      <c r="K867">
        <v>29.8</v>
      </c>
      <c r="L867">
        <v>36.200000000000003</v>
      </c>
      <c r="M867">
        <v>347</v>
      </c>
      <c r="N867">
        <v>30</v>
      </c>
      <c r="O867">
        <v>15</v>
      </c>
    </row>
    <row r="868" spans="1:16" x14ac:dyDescent="0.25">
      <c r="A868" s="4">
        <v>43711</v>
      </c>
      <c r="B868" t="s">
        <v>9</v>
      </c>
      <c r="C868">
        <v>1</v>
      </c>
      <c r="F868">
        <v>255</v>
      </c>
      <c r="J868">
        <v>0.76700000000000002</v>
      </c>
      <c r="K868">
        <v>31.9</v>
      </c>
      <c r="L868">
        <v>41.6</v>
      </c>
      <c r="M868">
        <v>112</v>
      </c>
      <c r="N868">
        <v>43</v>
      </c>
      <c r="O868">
        <v>13</v>
      </c>
      <c r="P868">
        <v>1</v>
      </c>
    </row>
    <row r="869" spans="1:16" x14ac:dyDescent="0.25">
      <c r="A869" s="4">
        <v>43711</v>
      </c>
      <c r="B869" t="s">
        <v>9</v>
      </c>
      <c r="C869">
        <v>2</v>
      </c>
      <c r="F869">
        <v>240</v>
      </c>
      <c r="J869">
        <v>0.79700000000000004</v>
      </c>
      <c r="K869">
        <v>30</v>
      </c>
      <c r="L869">
        <v>37.6</v>
      </c>
      <c r="M869">
        <v>172</v>
      </c>
      <c r="N869">
        <v>17</v>
      </c>
      <c r="O869">
        <v>5</v>
      </c>
      <c r="P869">
        <v>1</v>
      </c>
    </row>
    <row r="870" spans="1:16" x14ac:dyDescent="0.25">
      <c r="A870" s="4">
        <v>43711</v>
      </c>
      <c r="B870" t="s">
        <v>9</v>
      </c>
      <c r="C870" t="s">
        <v>78</v>
      </c>
      <c r="F870">
        <v>495</v>
      </c>
      <c r="J870">
        <v>0.78200000000000003</v>
      </c>
      <c r="K870">
        <v>30.9</v>
      </c>
      <c r="L870">
        <v>39.6</v>
      </c>
      <c r="M870">
        <v>284</v>
      </c>
      <c r="N870">
        <v>60</v>
      </c>
      <c r="O870">
        <v>18</v>
      </c>
      <c r="P870">
        <v>2</v>
      </c>
    </row>
    <row r="871" spans="1:16" x14ac:dyDescent="0.25">
      <c r="A871" s="4">
        <v>43712</v>
      </c>
      <c r="B871" t="s">
        <v>10</v>
      </c>
      <c r="C871">
        <v>1</v>
      </c>
      <c r="F871">
        <v>320</v>
      </c>
      <c r="J871">
        <v>0.77800000000000002</v>
      </c>
      <c r="K871">
        <v>26.7</v>
      </c>
      <c r="L871">
        <v>34.299999999999997</v>
      </c>
      <c r="M871">
        <v>234</v>
      </c>
      <c r="N871">
        <v>24</v>
      </c>
      <c r="O871">
        <v>8</v>
      </c>
    </row>
    <row r="872" spans="1:16" x14ac:dyDescent="0.25">
      <c r="A872" s="4">
        <v>43712</v>
      </c>
      <c r="B872" t="s">
        <v>9</v>
      </c>
      <c r="C872">
        <v>1</v>
      </c>
      <c r="F872">
        <v>217</v>
      </c>
      <c r="J872">
        <v>0.72399999999999998</v>
      </c>
      <c r="K872">
        <v>27.1</v>
      </c>
      <c r="L872">
        <v>37.5</v>
      </c>
      <c r="M872">
        <v>156</v>
      </c>
      <c r="N872">
        <v>18</v>
      </c>
      <c r="O872">
        <v>3</v>
      </c>
    </row>
    <row r="873" spans="1:16" x14ac:dyDescent="0.25">
      <c r="A873" s="4">
        <v>43712</v>
      </c>
      <c r="B873" t="s">
        <v>9</v>
      </c>
      <c r="C873">
        <v>2</v>
      </c>
      <c r="F873">
        <v>270</v>
      </c>
      <c r="J873">
        <v>0.747</v>
      </c>
      <c r="K873">
        <v>27</v>
      </c>
      <c r="L873">
        <v>36.200000000000003</v>
      </c>
      <c r="M873">
        <v>182</v>
      </c>
      <c r="N873">
        <v>31</v>
      </c>
      <c r="O873">
        <v>6</v>
      </c>
    </row>
    <row r="874" spans="1:16" x14ac:dyDescent="0.25">
      <c r="A874" s="4">
        <v>43712</v>
      </c>
      <c r="B874" t="s">
        <v>10</v>
      </c>
      <c r="C874" t="s">
        <v>78</v>
      </c>
      <c r="F874">
        <v>320</v>
      </c>
      <c r="J874">
        <v>0.77800000000000002</v>
      </c>
      <c r="K874">
        <v>26.7</v>
      </c>
      <c r="L874">
        <v>34.299999999999997</v>
      </c>
      <c r="M874">
        <v>234</v>
      </c>
      <c r="N874">
        <v>24</v>
      </c>
      <c r="O874">
        <v>8</v>
      </c>
    </row>
    <row r="875" spans="1:16" x14ac:dyDescent="0.25">
      <c r="A875" s="4">
        <v>43712</v>
      </c>
      <c r="B875" t="s">
        <v>9</v>
      </c>
      <c r="C875" t="s">
        <v>78</v>
      </c>
      <c r="F875">
        <v>487</v>
      </c>
      <c r="J875">
        <v>0.73699999999999999</v>
      </c>
      <c r="K875">
        <v>27.1</v>
      </c>
      <c r="L875">
        <v>36.700000000000003</v>
      </c>
      <c r="M875">
        <v>338</v>
      </c>
      <c r="N875">
        <v>49</v>
      </c>
      <c r="O875">
        <v>9</v>
      </c>
    </row>
    <row r="876" spans="1:16" x14ac:dyDescent="0.25">
      <c r="A876" s="4">
        <v>43713</v>
      </c>
      <c r="B876" t="s">
        <v>10</v>
      </c>
      <c r="C876">
        <v>1</v>
      </c>
      <c r="F876">
        <v>336</v>
      </c>
      <c r="J876">
        <v>0.83099999999999996</v>
      </c>
      <c r="K876">
        <v>28</v>
      </c>
      <c r="L876">
        <v>33.700000000000003</v>
      </c>
      <c r="M876">
        <v>267</v>
      </c>
      <c r="N876">
        <v>23</v>
      </c>
      <c r="O876">
        <v>5</v>
      </c>
    </row>
    <row r="877" spans="1:16" x14ac:dyDescent="0.25">
      <c r="A877" s="4">
        <v>43713</v>
      </c>
      <c r="B877" t="s">
        <v>9</v>
      </c>
      <c r="C877">
        <v>1</v>
      </c>
      <c r="F877">
        <v>232</v>
      </c>
      <c r="J877">
        <v>0.77800000000000002</v>
      </c>
      <c r="K877">
        <v>29</v>
      </c>
      <c r="L877">
        <v>37.299999999999997</v>
      </c>
      <c r="M877">
        <v>167</v>
      </c>
      <c r="N877">
        <v>15</v>
      </c>
      <c r="O877">
        <v>6</v>
      </c>
      <c r="P877">
        <v>1</v>
      </c>
    </row>
    <row r="878" spans="1:16" x14ac:dyDescent="0.25">
      <c r="A878" s="4">
        <v>43713</v>
      </c>
      <c r="B878" t="s">
        <v>9</v>
      </c>
      <c r="C878">
        <v>2</v>
      </c>
      <c r="F878">
        <v>267</v>
      </c>
      <c r="J878">
        <v>0.745</v>
      </c>
      <c r="K878">
        <v>26.7</v>
      </c>
      <c r="L878">
        <v>35.9</v>
      </c>
      <c r="M878">
        <v>197</v>
      </c>
      <c r="N878">
        <v>15</v>
      </c>
      <c r="O878">
        <v>4</v>
      </c>
      <c r="P878">
        <v>2</v>
      </c>
    </row>
    <row r="879" spans="1:16" x14ac:dyDescent="0.25">
      <c r="A879" s="4">
        <v>43713</v>
      </c>
      <c r="B879" t="s">
        <v>10</v>
      </c>
      <c r="C879" t="s">
        <v>78</v>
      </c>
      <c r="F879">
        <v>232</v>
      </c>
      <c r="J879">
        <v>0.77800000000000002</v>
      </c>
      <c r="K879">
        <v>29</v>
      </c>
      <c r="L879">
        <v>37.299999999999997</v>
      </c>
      <c r="M879">
        <v>167</v>
      </c>
      <c r="N879">
        <v>15</v>
      </c>
      <c r="O879">
        <v>6</v>
      </c>
      <c r="P879">
        <v>1</v>
      </c>
    </row>
    <row r="880" spans="1:16" x14ac:dyDescent="0.25">
      <c r="A880" s="4">
        <v>43713</v>
      </c>
      <c r="B880" t="s">
        <v>9</v>
      </c>
      <c r="C880" t="s">
        <v>78</v>
      </c>
      <c r="F880">
        <v>499</v>
      </c>
      <c r="J880">
        <v>0.76</v>
      </c>
      <c r="K880">
        <v>27.7</v>
      </c>
      <c r="L880">
        <v>36.5</v>
      </c>
      <c r="M880">
        <v>364</v>
      </c>
      <c r="N880">
        <v>30</v>
      </c>
      <c r="O880">
        <v>10</v>
      </c>
      <c r="P880">
        <v>3</v>
      </c>
    </row>
    <row r="881" spans="1:16" x14ac:dyDescent="0.25">
      <c r="A881" s="4">
        <v>43714</v>
      </c>
      <c r="B881" t="s">
        <v>10</v>
      </c>
      <c r="C881">
        <v>1</v>
      </c>
      <c r="F881">
        <v>224</v>
      </c>
      <c r="J881">
        <v>0.84799999999999998</v>
      </c>
      <c r="K881">
        <v>28</v>
      </c>
      <c r="L881">
        <v>33</v>
      </c>
      <c r="M881">
        <v>186</v>
      </c>
      <c r="N881">
        <v>12</v>
      </c>
      <c r="O881">
        <v>3</v>
      </c>
    </row>
    <row r="882" spans="1:16" x14ac:dyDescent="0.25">
      <c r="A882" s="4">
        <v>43714</v>
      </c>
      <c r="B882" t="s">
        <v>9</v>
      </c>
      <c r="C882">
        <v>1</v>
      </c>
      <c r="F882">
        <v>203</v>
      </c>
      <c r="J882">
        <v>0.70399999999999996</v>
      </c>
      <c r="K882">
        <v>25.4</v>
      </c>
      <c r="L882">
        <v>36.1</v>
      </c>
      <c r="M882">
        <v>159</v>
      </c>
      <c r="N882">
        <v>14</v>
      </c>
      <c r="O882">
        <v>3</v>
      </c>
    </row>
    <row r="883" spans="1:16" x14ac:dyDescent="0.25">
      <c r="A883" s="4">
        <v>43714</v>
      </c>
      <c r="B883" t="s">
        <v>9</v>
      </c>
      <c r="C883">
        <v>2</v>
      </c>
      <c r="F883">
        <v>208</v>
      </c>
      <c r="J883">
        <v>0.71</v>
      </c>
      <c r="K883">
        <v>26</v>
      </c>
      <c r="L883">
        <v>36.6</v>
      </c>
      <c r="M883">
        <v>142</v>
      </c>
      <c r="N883">
        <v>21</v>
      </c>
      <c r="O883">
        <v>3</v>
      </c>
      <c r="P883">
        <v>1</v>
      </c>
    </row>
    <row r="884" spans="1:16" x14ac:dyDescent="0.25">
      <c r="A884" s="4">
        <v>43714</v>
      </c>
      <c r="B884" t="s">
        <v>10</v>
      </c>
      <c r="C884" t="s">
        <v>78</v>
      </c>
      <c r="F884">
        <v>224</v>
      </c>
      <c r="J884">
        <v>0.84799999999999998</v>
      </c>
      <c r="K884">
        <v>28</v>
      </c>
      <c r="L884">
        <v>33</v>
      </c>
      <c r="M884">
        <v>186</v>
      </c>
      <c r="N884">
        <v>12</v>
      </c>
      <c r="O884">
        <v>3</v>
      </c>
    </row>
    <row r="885" spans="1:16" x14ac:dyDescent="0.25">
      <c r="A885" s="4">
        <v>43714</v>
      </c>
      <c r="B885" t="s">
        <v>9</v>
      </c>
      <c r="C885" t="s">
        <v>78</v>
      </c>
      <c r="F885">
        <v>208</v>
      </c>
      <c r="J885">
        <v>0.71</v>
      </c>
      <c r="K885">
        <v>26</v>
      </c>
      <c r="L885">
        <v>36.6</v>
      </c>
      <c r="M885">
        <v>142</v>
      </c>
      <c r="N885">
        <v>21</v>
      </c>
      <c r="O885">
        <v>3</v>
      </c>
      <c r="P885">
        <v>1</v>
      </c>
    </row>
    <row r="886" spans="1:16" x14ac:dyDescent="0.25">
      <c r="A886" s="4">
        <v>43717</v>
      </c>
      <c r="B886" t="s">
        <v>10</v>
      </c>
      <c r="C886">
        <v>1</v>
      </c>
      <c r="F886">
        <v>188</v>
      </c>
      <c r="J886">
        <v>0.66400000000000003</v>
      </c>
      <c r="K886">
        <v>23.5</v>
      </c>
      <c r="L886">
        <v>35.4</v>
      </c>
      <c r="M886">
        <v>130</v>
      </c>
      <c r="N886">
        <v>11</v>
      </c>
      <c r="O886">
        <v>4</v>
      </c>
      <c r="P886">
        <v>2</v>
      </c>
    </row>
    <row r="887" spans="1:16" x14ac:dyDescent="0.25">
      <c r="A887" s="4">
        <v>43717</v>
      </c>
      <c r="B887" t="s">
        <v>9</v>
      </c>
      <c r="C887">
        <v>1</v>
      </c>
      <c r="F887">
        <v>218</v>
      </c>
      <c r="J887">
        <v>0.77</v>
      </c>
      <c r="K887">
        <v>27.3</v>
      </c>
      <c r="L887">
        <v>35.4</v>
      </c>
      <c r="M887">
        <v>160</v>
      </c>
      <c r="N887">
        <v>17</v>
      </c>
      <c r="O887">
        <v>6</v>
      </c>
    </row>
    <row r="888" spans="1:16" x14ac:dyDescent="0.25">
      <c r="A888" s="4">
        <v>43717</v>
      </c>
      <c r="B888" t="s">
        <v>9</v>
      </c>
      <c r="C888">
        <v>2</v>
      </c>
      <c r="F888">
        <v>242</v>
      </c>
      <c r="J888">
        <v>0.81100000000000005</v>
      </c>
      <c r="K888">
        <v>30.3</v>
      </c>
      <c r="L888">
        <v>37.299999999999997</v>
      </c>
      <c r="M888">
        <v>179</v>
      </c>
      <c r="N888">
        <v>9</v>
      </c>
      <c r="O888">
        <v>4</v>
      </c>
    </row>
    <row r="889" spans="1:16" x14ac:dyDescent="0.25">
      <c r="A889" s="4">
        <v>43717</v>
      </c>
      <c r="B889" t="s">
        <v>10</v>
      </c>
      <c r="C889" t="s">
        <v>78</v>
      </c>
      <c r="F889">
        <v>188</v>
      </c>
      <c r="J889">
        <v>0.66400000000000003</v>
      </c>
      <c r="K889">
        <v>23.5</v>
      </c>
      <c r="L889">
        <v>35.4</v>
      </c>
      <c r="M889">
        <v>130</v>
      </c>
      <c r="N889">
        <v>11</v>
      </c>
      <c r="O889">
        <v>4</v>
      </c>
      <c r="P889">
        <v>2</v>
      </c>
    </row>
    <row r="890" spans="1:16" x14ac:dyDescent="0.25">
      <c r="A890" s="4">
        <v>43717</v>
      </c>
      <c r="B890" t="s">
        <v>9</v>
      </c>
      <c r="C890" t="s">
        <v>78</v>
      </c>
      <c r="F890">
        <v>460</v>
      </c>
      <c r="J890">
        <v>0.79100000000000004</v>
      </c>
      <c r="K890">
        <v>28.8</v>
      </c>
      <c r="L890">
        <v>36.4</v>
      </c>
      <c r="M890">
        <v>339</v>
      </c>
      <c r="N890">
        <v>36</v>
      </c>
      <c r="O890">
        <v>10</v>
      </c>
    </row>
    <row r="891" spans="1:16" x14ac:dyDescent="0.25">
      <c r="A891" s="4">
        <v>43718</v>
      </c>
      <c r="B891" t="s">
        <v>10</v>
      </c>
      <c r="C891">
        <v>1</v>
      </c>
      <c r="F891">
        <v>248</v>
      </c>
      <c r="J891">
        <v>0.92600000000000005</v>
      </c>
      <c r="K891">
        <v>31</v>
      </c>
      <c r="L891">
        <v>33.5</v>
      </c>
      <c r="M891">
        <v>157</v>
      </c>
      <c r="N891">
        <v>30</v>
      </c>
      <c r="O891">
        <v>8</v>
      </c>
    </row>
    <row r="892" spans="1:16" x14ac:dyDescent="0.25">
      <c r="A892" s="4">
        <v>43718</v>
      </c>
      <c r="B892" t="s">
        <v>9</v>
      </c>
      <c r="C892">
        <v>1</v>
      </c>
      <c r="F892">
        <v>239</v>
      </c>
      <c r="J892">
        <v>0.84199999999999997</v>
      </c>
      <c r="K892">
        <v>29.9</v>
      </c>
      <c r="L892">
        <v>35.5</v>
      </c>
      <c r="M892">
        <v>184</v>
      </c>
      <c r="N892">
        <v>14</v>
      </c>
      <c r="O892">
        <v>3</v>
      </c>
    </row>
    <row r="893" spans="1:16" x14ac:dyDescent="0.25">
      <c r="A893" s="4">
        <v>43718</v>
      </c>
      <c r="B893" t="s">
        <v>9</v>
      </c>
      <c r="C893">
        <v>2</v>
      </c>
      <c r="F893">
        <v>197</v>
      </c>
      <c r="J893">
        <v>0.70299999999999996</v>
      </c>
      <c r="K893">
        <v>24.6</v>
      </c>
      <c r="L893">
        <v>35</v>
      </c>
      <c r="M893">
        <v>157</v>
      </c>
      <c r="N893">
        <v>11</v>
      </c>
      <c r="O893">
        <v>5</v>
      </c>
    </row>
    <row r="894" spans="1:16" x14ac:dyDescent="0.25">
      <c r="A894" s="4">
        <v>43718</v>
      </c>
      <c r="B894" t="s">
        <v>10</v>
      </c>
      <c r="C894" t="s">
        <v>78</v>
      </c>
      <c r="F894">
        <v>248</v>
      </c>
      <c r="J894">
        <v>0.92600000000000005</v>
      </c>
      <c r="K894">
        <v>31</v>
      </c>
      <c r="L894">
        <v>33.5</v>
      </c>
      <c r="M894">
        <v>157</v>
      </c>
      <c r="N894">
        <v>30</v>
      </c>
      <c r="O894">
        <v>8</v>
      </c>
    </row>
    <row r="895" spans="1:16" x14ac:dyDescent="0.25">
      <c r="A895" s="4">
        <v>43718</v>
      </c>
      <c r="B895" t="s">
        <v>9</v>
      </c>
      <c r="C895" t="s">
        <v>78</v>
      </c>
      <c r="F895">
        <v>436</v>
      </c>
      <c r="J895">
        <v>0.77200000000000002</v>
      </c>
      <c r="K895">
        <v>27.3</v>
      </c>
      <c r="L895">
        <v>35.299999999999997</v>
      </c>
      <c r="M895">
        <v>341</v>
      </c>
      <c r="N895">
        <v>25</v>
      </c>
      <c r="O895">
        <v>8</v>
      </c>
    </row>
    <row r="896" spans="1:16" x14ac:dyDescent="0.25">
      <c r="A896" s="4">
        <v>43719</v>
      </c>
      <c r="B896" t="s">
        <v>10</v>
      </c>
      <c r="C896">
        <v>1</v>
      </c>
      <c r="F896">
        <v>179</v>
      </c>
      <c r="J896">
        <v>0.66</v>
      </c>
      <c r="K896">
        <v>22.4</v>
      </c>
      <c r="L896">
        <v>33.9</v>
      </c>
      <c r="M896">
        <v>114</v>
      </c>
      <c r="N896">
        <v>25</v>
      </c>
      <c r="O896">
        <v>2</v>
      </c>
      <c r="P896">
        <v>1</v>
      </c>
    </row>
    <row r="897" spans="1:16" x14ac:dyDescent="0.25">
      <c r="A897" s="4">
        <v>43719</v>
      </c>
      <c r="B897" t="s">
        <v>9</v>
      </c>
      <c r="C897">
        <v>1</v>
      </c>
      <c r="F897">
        <v>207</v>
      </c>
      <c r="J897">
        <v>0.69</v>
      </c>
      <c r="K897">
        <v>25.9</v>
      </c>
      <c r="L897">
        <v>37.5</v>
      </c>
      <c r="M897">
        <v>155</v>
      </c>
      <c r="N897">
        <v>9</v>
      </c>
      <c r="O897">
        <v>3</v>
      </c>
      <c r="P897">
        <v>2</v>
      </c>
    </row>
    <row r="898" spans="1:16" x14ac:dyDescent="0.25">
      <c r="A898" s="4">
        <v>43719</v>
      </c>
      <c r="B898" t="s">
        <v>9</v>
      </c>
      <c r="C898">
        <v>2</v>
      </c>
      <c r="F898">
        <v>212</v>
      </c>
      <c r="J898">
        <v>0.755</v>
      </c>
      <c r="K898">
        <v>26.5</v>
      </c>
      <c r="L898">
        <v>35.1</v>
      </c>
      <c r="M898">
        <v>163</v>
      </c>
      <c r="N898">
        <v>16</v>
      </c>
      <c r="O898">
        <v>4</v>
      </c>
    </row>
    <row r="899" spans="1:16" x14ac:dyDescent="0.25">
      <c r="A899" s="4">
        <v>43719</v>
      </c>
      <c r="B899" t="s">
        <v>10</v>
      </c>
      <c r="C899" t="s">
        <v>78</v>
      </c>
      <c r="F899">
        <v>179</v>
      </c>
      <c r="J899">
        <v>0.66</v>
      </c>
      <c r="K899">
        <v>22.4</v>
      </c>
      <c r="L899">
        <v>33.9</v>
      </c>
      <c r="M899">
        <v>114</v>
      </c>
      <c r="N899">
        <v>25</v>
      </c>
      <c r="O899">
        <v>2</v>
      </c>
      <c r="P899">
        <v>1</v>
      </c>
    </row>
    <row r="900" spans="1:16" x14ac:dyDescent="0.25">
      <c r="A900" s="4">
        <v>43719</v>
      </c>
      <c r="B900" t="s">
        <v>9</v>
      </c>
      <c r="C900" t="s">
        <v>78</v>
      </c>
      <c r="F900">
        <v>419</v>
      </c>
      <c r="J900">
        <v>0.72199999999999998</v>
      </c>
      <c r="K900">
        <v>26.2</v>
      </c>
      <c r="L900">
        <v>36.299999999999997</v>
      </c>
      <c r="M900">
        <v>318</v>
      </c>
      <c r="N900">
        <v>25</v>
      </c>
      <c r="O900">
        <v>7</v>
      </c>
      <c r="P900">
        <v>2</v>
      </c>
    </row>
    <row r="901" spans="1:16" x14ac:dyDescent="0.25">
      <c r="A901" s="4">
        <v>43720</v>
      </c>
      <c r="B901" t="s">
        <v>10</v>
      </c>
      <c r="C901">
        <v>1</v>
      </c>
      <c r="F901">
        <v>216</v>
      </c>
      <c r="J901">
        <v>0.78900000000000003</v>
      </c>
      <c r="K901">
        <v>27</v>
      </c>
      <c r="L901">
        <v>34.200000000000003</v>
      </c>
      <c r="M901">
        <v>151</v>
      </c>
      <c r="N901">
        <v>24</v>
      </c>
      <c r="O901">
        <v>4</v>
      </c>
    </row>
    <row r="902" spans="1:16" x14ac:dyDescent="0.25">
      <c r="A902" s="4">
        <v>43720</v>
      </c>
      <c r="B902" t="s">
        <v>9</v>
      </c>
      <c r="C902">
        <v>1</v>
      </c>
      <c r="F902">
        <v>228</v>
      </c>
      <c r="J902">
        <v>0.80200000000000005</v>
      </c>
      <c r="K902">
        <v>28.5</v>
      </c>
      <c r="L902">
        <v>35.6</v>
      </c>
      <c r="M902">
        <v>177</v>
      </c>
      <c r="N902">
        <v>18</v>
      </c>
      <c r="O902">
        <v>2</v>
      </c>
    </row>
    <row r="903" spans="1:16" x14ac:dyDescent="0.25">
      <c r="A903" s="4">
        <v>43720</v>
      </c>
      <c r="B903" t="s">
        <v>9</v>
      </c>
      <c r="C903">
        <v>2</v>
      </c>
      <c r="F903">
        <v>236</v>
      </c>
      <c r="J903">
        <v>0.85799999999999998</v>
      </c>
      <c r="K903">
        <v>29.5</v>
      </c>
      <c r="L903">
        <v>34.4</v>
      </c>
      <c r="M903">
        <v>180</v>
      </c>
      <c r="N903">
        <v>25</v>
      </c>
      <c r="O903">
        <v>1</v>
      </c>
    </row>
    <row r="904" spans="1:16" x14ac:dyDescent="0.25">
      <c r="A904" s="4">
        <v>43720</v>
      </c>
      <c r="B904" t="s">
        <v>10</v>
      </c>
      <c r="C904" t="s">
        <v>78</v>
      </c>
      <c r="F904">
        <v>216</v>
      </c>
      <c r="J904">
        <v>0.78900000000000003</v>
      </c>
      <c r="K904">
        <v>27</v>
      </c>
      <c r="L904">
        <v>34.200000000000003</v>
      </c>
      <c r="M904">
        <v>151</v>
      </c>
      <c r="N904">
        <v>24</v>
      </c>
      <c r="O904">
        <v>4</v>
      </c>
    </row>
    <row r="905" spans="1:16" x14ac:dyDescent="0.25">
      <c r="A905" s="4">
        <v>43720</v>
      </c>
      <c r="B905" t="s">
        <v>9</v>
      </c>
      <c r="C905" t="s">
        <v>78</v>
      </c>
      <c r="F905">
        <v>464</v>
      </c>
      <c r="J905">
        <v>0.83</v>
      </c>
      <c r="K905">
        <v>29</v>
      </c>
      <c r="L905">
        <v>35</v>
      </c>
      <c r="M905">
        <v>357</v>
      </c>
      <c r="N905">
        <v>43</v>
      </c>
      <c r="O905">
        <v>3</v>
      </c>
    </row>
    <row r="906" spans="1:16" x14ac:dyDescent="0.25">
      <c r="A906" s="4">
        <v>43721</v>
      </c>
      <c r="B906" t="s">
        <v>10</v>
      </c>
      <c r="C906">
        <v>1</v>
      </c>
      <c r="F906">
        <v>203</v>
      </c>
      <c r="J906">
        <v>0.72399999999999998</v>
      </c>
      <c r="K906">
        <v>25.4</v>
      </c>
      <c r="L906">
        <v>35</v>
      </c>
      <c r="M906">
        <v>136</v>
      </c>
      <c r="N906">
        <v>17</v>
      </c>
      <c r="O906">
        <v>7</v>
      </c>
    </row>
    <row r="907" spans="1:16" x14ac:dyDescent="0.25">
      <c r="A907" s="4">
        <v>43721</v>
      </c>
      <c r="B907" t="s">
        <v>9</v>
      </c>
      <c r="C907">
        <v>1</v>
      </c>
      <c r="F907">
        <v>246</v>
      </c>
      <c r="J907">
        <v>0.84899999999999998</v>
      </c>
      <c r="K907">
        <v>30.8</v>
      </c>
      <c r="L907">
        <v>36.200000000000003</v>
      </c>
      <c r="M907">
        <v>189</v>
      </c>
      <c r="N907">
        <v>21</v>
      </c>
      <c r="O907">
        <v>3</v>
      </c>
    </row>
    <row r="908" spans="1:16" x14ac:dyDescent="0.25">
      <c r="A908" s="4">
        <v>43721</v>
      </c>
      <c r="B908" t="s">
        <v>9</v>
      </c>
      <c r="C908">
        <v>2</v>
      </c>
      <c r="F908">
        <v>246</v>
      </c>
      <c r="J908">
        <v>0.89500000000000002</v>
      </c>
      <c r="K908">
        <v>30.8</v>
      </c>
      <c r="L908">
        <v>34.4</v>
      </c>
      <c r="M908">
        <v>193</v>
      </c>
      <c r="N908">
        <v>25</v>
      </c>
    </row>
    <row r="909" spans="1:16" x14ac:dyDescent="0.25">
      <c r="A909" s="4">
        <v>43721</v>
      </c>
      <c r="B909" t="s">
        <v>10</v>
      </c>
      <c r="C909" t="s">
        <v>78</v>
      </c>
      <c r="F909">
        <v>246</v>
      </c>
      <c r="J909">
        <v>0.84899999999999998</v>
      </c>
      <c r="K909">
        <v>30.8</v>
      </c>
      <c r="L909">
        <v>36.200000000000003</v>
      </c>
      <c r="M909">
        <v>189</v>
      </c>
      <c r="N909">
        <v>21</v>
      </c>
      <c r="O909">
        <v>3</v>
      </c>
    </row>
    <row r="910" spans="1:16" x14ac:dyDescent="0.25">
      <c r="A910" s="4">
        <v>43721</v>
      </c>
      <c r="B910" t="s">
        <v>9</v>
      </c>
      <c r="C910" t="s">
        <v>78</v>
      </c>
      <c r="F910">
        <v>492</v>
      </c>
      <c r="J910">
        <v>0.872</v>
      </c>
      <c r="K910">
        <v>30.8</v>
      </c>
      <c r="L910">
        <v>35.299999999999997</v>
      </c>
      <c r="M910">
        <v>382</v>
      </c>
      <c r="N910">
        <v>46</v>
      </c>
      <c r="O910">
        <v>3</v>
      </c>
    </row>
    <row r="911" spans="1:16" x14ac:dyDescent="0.25">
      <c r="A911" s="4">
        <v>43724</v>
      </c>
      <c r="B911" t="s">
        <v>10</v>
      </c>
      <c r="C911">
        <v>1</v>
      </c>
      <c r="F911">
        <v>234</v>
      </c>
      <c r="J911">
        <v>0.81599999999999995</v>
      </c>
      <c r="K911">
        <v>29.3</v>
      </c>
      <c r="L911">
        <v>35.799999999999997</v>
      </c>
      <c r="M911">
        <v>137</v>
      </c>
      <c r="N911">
        <v>16</v>
      </c>
      <c r="O911">
        <v>12</v>
      </c>
      <c r="P911">
        <v>2</v>
      </c>
    </row>
    <row r="912" spans="1:16" x14ac:dyDescent="0.25">
      <c r="A912" s="4">
        <v>43724</v>
      </c>
      <c r="B912" t="s">
        <v>9</v>
      </c>
      <c r="C912">
        <v>1</v>
      </c>
      <c r="F912">
        <v>265</v>
      </c>
      <c r="J912">
        <v>0.90300000000000002</v>
      </c>
      <c r="K912">
        <v>33.1</v>
      </c>
      <c r="L912">
        <v>36.700000000000003</v>
      </c>
      <c r="M912">
        <v>197</v>
      </c>
      <c r="N912">
        <v>24</v>
      </c>
      <c r="O912">
        <v>2</v>
      </c>
    </row>
    <row r="913" spans="1:16" x14ac:dyDescent="0.25">
      <c r="A913" s="4">
        <v>43724</v>
      </c>
      <c r="B913" t="s">
        <v>9</v>
      </c>
      <c r="C913">
        <v>2</v>
      </c>
      <c r="F913">
        <v>259</v>
      </c>
      <c r="J913">
        <v>0.879</v>
      </c>
      <c r="K913">
        <v>32.4</v>
      </c>
      <c r="L913">
        <v>36.799999999999997</v>
      </c>
      <c r="M913">
        <v>191</v>
      </c>
      <c r="N913">
        <v>19</v>
      </c>
      <c r="O913">
        <v>5</v>
      </c>
      <c r="P913">
        <v>1</v>
      </c>
    </row>
    <row r="914" spans="1:16" x14ac:dyDescent="0.25">
      <c r="A914" s="4">
        <v>43724</v>
      </c>
      <c r="B914" t="s">
        <v>10</v>
      </c>
      <c r="C914" t="s">
        <v>78</v>
      </c>
      <c r="F914">
        <v>234</v>
      </c>
      <c r="J914">
        <v>0.81599999999999995</v>
      </c>
      <c r="K914">
        <v>29.3</v>
      </c>
      <c r="L914">
        <v>35.799999999999997</v>
      </c>
      <c r="M914">
        <v>137</v>
      </c>
      <c r="N914">
        <v>16</v>
      </c>
      <c r="O914">
        <v>12</v>
      </c>
      <c r="P914">
        <v>2</v>
      </c>
    </row>
    <row r="915" spans="1:16" x14ac:dyDescent="0.25">
      <c r="A915" s="4">
        <v>43724</v>
      </c>
      <c r="B915" t="s">
        <v>9</v>
      </c>
      <c r="C915" t="s">
        <v>78</v>
      </c>
      <c r="F915">
        <v>524</v>
      </c>
      <c r="J915">
        <v>0.89100000000000001</v>
      </c>
      <c r="K915">
        <v>32.799999999999997</v>
      </c>
      <c r="L915">
        <v>36.799999999999997</v>
      </c>
      <c r="M915">
        <v>388</v>
      </c>
      <c r="N915">
        <v>43</v>
      </c>
      <c r="O915">
        <v>7</v>
      </c>
      <c r="P915">
        <v>1</v>
      </c>
    </row>
    <row r="916" spans="1:16" x14ac:dyDescent="0.25">
      <c r="A916" s="4">
        <v>43725</v>
      </c>
      <c r="B916" t="s">
        <v>10</v>
      </c>
      <c r="C916">
        <v>1</v>
      </c>
      <c r="F916">
        <v>211</v>
      </c>
      <c r="J916">
        <v>0.77200000000000002</v>
      </c>
      <c r="K916">
        <v>26.4</v>
      </c>
      <c r="L916">
        <v>34.1</v>
      </c>
      <c r="M916">
        <v>141</v>
      </c>
      <c r="N916">
        <v>23</v>
      </c>
      <c r="O916">
        <v>6</v>
      </c>
    </row>
    <row r="917" spans="1:16" x14ac:dyDescent="0.25">
      <c r="A917" s="4">
        <v>43725</v>
      </c>
      <c r="B917" t="s">
        <v>9</v>
      </c>
      <c r="C917">
        <v>1</v>
      </c>
      <c r="F917">
        <v>233</v>
      </c>
      <c r="J917">
        <v>0.75700000000000001</v>
      </c>
      <c r="K917">
        <v>29.1</v>
      </c>
      <c r="L917">
        <v>38.5</v>
      </c>
      <c r="M917">
        <v>156</v>
      </c>
      <c r="N917">
        <v>26</v>
      </c>
      <c r="O917">
        <v>4</v>
      </c>
    </row>
    <row r="918" spans="1:16" x14ac:dyDescent="0.25">
      <c r="A918" s="4">
        <v>43725</v>
      </c>
      <c r="B918" t="s">
        <v>9</v>
      </c>
      <c r="C918">
        <v>2</v>
      </c>
      <c r="F918">
        <v>263</v>
      </c>
      <c r="J918">
        <v>0.91</v>
      </c>
      <c r="K918">
        <v>32.9</v>
      </c>
      <c r="L918">
        <v>36.1</v>
      </c>
      <c r="M918">
        <v>200</v>
      </c>
      <c r="N918">
        <v>15</v>
      </c>
      <c r="O918">
        <v>9</v>
      </c>
    </row>
    <row r="919" spans="1:16" x14ac:dyDescent="0.25">
      <c r="A919" s="4">
        <v>43725</v>
      </c>
      <c r="B919" t="s">
        <v>10</v>
      </c>
      <c r="C919" t="s">
        <v>78</v>
      </c>
      <c r="F919">
        <v>211</v>
      </c>
      <c r="J919">
        <v>0.77200000000000002</v>
      </c>
      <c r="K919">
        <v>26.4</v>
      </c>
      <c r="L919">
        <v>34.1</v>
      </c>
      <c r="M919">
        <v>141</v>
      </c>
      <c r="N919">
        <v>23</v>
      </c>
      <c r="O919">
        <v>6</v>
      </c>
    </row>
    <row r="920" spans="1:16" x14ac:dyDescent="0.25">
      <c r="A920" s="4">
        <v>43725</v>
      </c>
      <c r="B920" t="s">
        <v>9</v>
      </c>
      <c r="C920" t="s">
        <v>78</v>
      </c>
      <c r="F920">
        <v>496</v>
      </c>
      <c r="J920">
        <v>0.83399999999999996</v>
      </c>
      <c r="K920">
        <v>31</v>
      </c>
      <c r="L920">
        <v>37.200000000000003</v>
      </c>
      <c r="M920">
        <v>356</v>
      </c>
      <c r="N920">
        <v>41</v>
      </c>
      <c r="O920">
        <v>13</v>
      </c>
    </row>
    <row r="921" spans="1:16" x14ac:dyDescent="0.25">
      <c r="A921" s="4">
        <v>43726</v>
      </c>
      <c r="B921" t="s">
        <v>10</v>
      </c>
      <c r="C921">
        <v>1</v>
      </c>
      <c r="F921">
        <v>187</v>
      </c>
      <c r="J921">
        <v>0.71099999999999997</v>
      </c>
      <c r="K921">
        <v>23.4</v>
      </c>
      <c r="L921">
        <v>32.9</v>
      </c>
      <c r="M921">
        <v>134</v>
      </c>
      <c r="N921">
        <v>18</v>
      </c>
      <c r="O921">
        <v>5</v>
      </c>
    </row>
    <row r="922" spans="1:16" x14ac:dyDescent="0.25">
      <c r="A922" s="4">
        <v>43726</v>
      </c>
      <c r="B922" t="s">
        <v>9</v>
      </c>
      <c r="C922">
        <v>1</v>
      </c>
      <c r="F922">
        <v>243</v>
      </c>
      <c r="J922">
        <v>0.83499999999999996</v>
      </c>
      <c r="K922">
        <v>30.4</v>
      </c>
      <c r="L922">
        <v>36.4</v>
      </c>
      <c r="M922">
        <v>188</v>
      </c>
      <c r="N922">
        <v>17</v>
      </c>
      <c r="O922">
        <v>2</v>
      </c>
    </row>
    <row r="923" spans="1:16" x14ac:dyDescent="0.25">
      <c r="A923" s="4">
        <v>43726</v>
      </c>
      <c r="B923" t="s">
        <v>9</v>
      </c>
      <c r="C923">
        <v>2</v>
      </c>
      <c r="F923">
        <v>252</v>
      </c>
      <c r="J923">
        <v>0.88</v>
      </c>
      <c r="K923">
        <v>31.5</v>
      </c>
      <c r="L923">
        <v>35.799999999999997</v>
      </c>
      <c r="M923">
        <v>192</v>
      </c>
      <c r="N923">
        <v>17</v>
      </c>
      <c r="O923">
        <v>5</v>
      </c>
    </row>
    <row r="924" spans="1:16" x14ac:dyDescent="0.25">
      <c r="A924" s="4">
        <v>43726</v>
      </c>
      <c r="B924" t="s">
        <v>10</v>
      </c>
      <c r="C924" t="s">
        <v>78</v>
      </c>
      <c r="F924">
        <v>187</v>
      </c>
      <c r="J924">
        <v>0.71099999999999997</v>
      </c>
      <c r="K924">
        <v>23.4</v>
      </c>
      <c r="L924">
        <v>32.9</v>
      </c>
      <c r="M924">
        <v>134</v>
      </c>
      <c r="N924">
        <v>18</v>
      </c>
      <c r="O924">
        <v>5</v>
      </c>
    </row>
    <row r="925" spans="1:16" x14ac:dyDescent="0.25">
      <c r="A925" s="4">
        <v>43726</v>
      </c>
      <c r="B925" t="s">
        <v>9</v>
      </c>
      <c r="C925" t="s">
        <v>78</v>
      </c>
      <c r="F925">
        <v>495</v>
      </c>
      <c r="J925">
        <v>0.85699999999999998</v>
      </c>
      <c r="K925">
        <v>30.9</v>
      </c>
      <c r="L925">
        <v>36.1</v>
      </c>
      <c r="M925">
        <v>380</v>
      </c>
      <c r="N925">
        <v>34</v>
      </c>
      <c r="O925">
        <v>7</v>
      </c>
    </row>
    <row r="926" spans="1:16" x14ac:dyDescent="0.25">
      <c r="A926" s="4">
        <v>43727</v>
      </c>
      <c r="B926" t="s">
        <v>10</v>
      </c>
      <c r="C926">
        <v>1</v>
      </c>
      <c r="F926">
        <v>242</v>
      </c>
      <c r="J926">
        <v>0.88300000000000001</v>
      </c>
      <c r="K926">
        <v>30.3</v>
      </c>
      <c r="L926">
        <v>34.299999999999997</v>
      </c>
      <c r="M926">
        <v>174</v>
      </c>
      <c r="N926">
        <v>25</v>
      </c>
      <c r="O926">
        <v>4</v>
      </c>
    </row>
    <row r="927" spans="1:16" x14ac:dyDescent="0.25">
      <c r="A927" s="4">
        <v>43727</v>
      </c>
      <c r="B927" t="s">
        <v>9</v>
      </c>
      <c r="C927">
        <v>1</v>
      </c>
      <c r="F927">
        <v>267</v>
      </c>
      <c r="J927">
        <v>0.84099999999999997</v>
      </c>
      <c r="K927">
        <v>33.4</v>
      </c>
      <c r="L927">
        <v>39.700000000000003</v>
      </c>
      <c r="M927">
        <v>170</v>
      </c>
      <c r="N927">
        <v>18</v>
      </c>
      <c r="O927">
        <v>13</v>
      </c>
      <c r="P927">
        <v>1</v>
      </c>
    </row>
    <row r="928" spans="1:16" x14ac:dyDescent="0.25">
      <c r="A928" s="4">
        <v>43727</v>
      </c>
      <c r="B928" t="s">
        <v>9</v>
      </c>
      <c r="C928">
        <v>2</v>
      </c>
      <c r="F928">
        <v>259</v>
      </c>
      <c r="J928">
        <v>0.85899999999999999</v>
      </c>
      <c r="K928">
        <v>32.4</v>
      </c>
      <c r="L928">
        <v>37.700000000000003</v>
      </c>
      <c r="M928">
        <v>171</v>
      </c>
      <c r="N928">
        <v>27</v>
      </c>
      <c r="O928">
        <v>5</v>
      </c>
      <c r="P928">
        <v>2</v>
      </c>
    </row>
    <row r="929" spans="1:16" x14ac:dyDescent="0.25">
      <c r="A929" s="4">
        <v>43727</v>
      </c>
      <c r="B929" t="s">
        <v>10</v>
      </c>
      <c r="C929" t="s">
        <v>78</v>
      </c>
      <c r="F929">
        <v>242</v>
      </c>
      <c r="J929">
        <v>0.88300000000000001</v>
      </c>
      <c r="K929">
        <v>30.3</v>
      </c>
      <c r="L929">
        <v>34.299999999999997</v>
      </c>
      <c r="M929">
        <v>174</v>
      </c>
      <c r="N929">
        <v>25</v>
      </c>
      <c r="O929">
        <v>4</v>
      </c>
    </row>
    <row r="930" spans="1:16" x14ac:dyDescent="0.25">
      <c r="A930" s="4">
        <v>43727</v>
      </c>
      <c r="B930" t="s">
        <v>9</v>
      </c>
      <c r="C930" t="s">
        <v>78</v>
      </c>
      <c r="F930">
        <v>526</v>
      </c>
      <c r="J930">
        <v>0.85</v>
      </c>
      <c r="K930">
        <v>32.9</v>
      </c>
      <c r="L930">
        <v>38.700000000000003</v>
      </c>
      <c r="M930">
        <v>341</v>
      </c>
      <c r="N930">
        <v>45</v>
      </c>
      <c r="O930">
        <v>18</v>
      </c>
      <c r="P930">
        <v>3</v>
      </c>
    </row>
    <row r="931" spans="1:16" x14ac:dyDescent="0.25">
      <c r="A931" s="4">
        <v>43728</v>
      </c>
      <c r="B931" t="s">
        <v>10</v>
      </c>
      <c r="C931">
        <v>1</v>
      </c>
      <c r="F931">
        <v>217</v>
      </c>
      <c r="J931">
        <v>0.82599999999999996</v>
      </c>
      <c r="K931">
        <v>27.1</v>
      </c>
      <c r="L931">
        <v>32.799999999999997</v>
      </c>
      <c r="M931">
        <v>173</v>
      </c>
      <c r="N931">
        <v>14</v>
      </c>
      <c r="O931">
        <v>4</v>
      </c>
    </row>
    <row r="932" spans="1:16" x14ac:dyDescent="0.25">
      <c r="A932" s="4">
        <v>43728</v>
      </c>
      <c r="B932" t="s">
        <v>9</v>
      </c>
      <c r="C932">
        <v>1</v>
      </c>
      <c r="F932">
        <v>233</v>
      </c>
      <c r="J932">
        <v>0.78</v>
      </c>
      <c r="K932">
        <v>29.1</v>
      </c>
      <c r="L932">
        <v>37.299999999999997</v>
      </c>
      <c r="M932">
        <v>166</v>
      </c>
      <c r="N932">
        <v>26</v>
      </c>
      <c r="O932">
        <v>1</v>
      </c>
    </row>
    <row r="933" spans="1:16" x14ac:dyDescent="0.25">
      <c r="A933" s="4">
        <v>43728</v>
      </c>
      <c r="B933" t="s">
        <v>9</v>
      </c>
      <c r="C933">
        <v>2</v>
      </c>
      <c r="F933">
        <v>238</v>
      </c>
      <c r="J933">
        <v>0.81399999999999995</v>
      </c>
      <c r="K933">
        <v>29.8</v>
      </c>
      <c r="L933">
        <v>36.6</v>
      </c>
      <c r="M933">
        <v>163</v>
      </c>
      <c r="N933">
        <v>26</v>
      </c>
      <c r="O933">
        <v>2</v>
      </c>
      <c r="P933">
        <v>1</v>
      </c>
    </row>
    <row r="934" spans="1:16" x14ac:dyDescent="0.25">
      <c r="A934" s="4">
        <v>43728</v>
      </c>
      <c r="B934" t="s">
        <v>10</v>
      </c>
      <c r="C934" t="s">
        <v>78</v>
      </c>
      <c r="F934">
        <v>217</v>
      </c>
      <c r="J934">
        <v>0.82599999999999996</v>
      </c>
      <c r="K934">
        <v>27.1</v>
      </c>
      <c r="L934">
        <v>32.799999999999997</v>
      </c>
      <c r="M934">
        <v>173</v>
      </c>
      <c r="N934">
        <v>14</v>
      </c>
      <c r="O934">
        <v>4</v>
      </c>
    </row>
    <row r="935" spans="1:16" x14ac:dyDescent="0.25">
      <c r="A935" s="4">
        <v>43728</v>
      </c>
      <c r="B935" t="s">
        <v>9</v>
      </c>
      <c r="C935" t="s">
        <v>78</v>
      </c>
      <c r="F935">
        <v>471</v>
      </c>
      <c r="J935">
        <v>0.79700000000000004</v>
      </c>
      <c r="K935">
        <v>29.4</v>
      </c>
      <c r="L935">
        <v>36.9</v>
      </c>
      <c r="M935">
        <v>329</v>
      </c>
      <c r="N935">
        <v>52</v>
      </c>
      <c r="O935">
        <v>3</v>
      </c>
      <c r="P935">
        <v>1</v>
      </c>
    </row>
    <row r="936" spans="1:16" x14ac:dyDescent="0.25">
      <c r="A936" s="4">
        <v>43731</v>
      </c>
      <c r="B936" t="s">
        <v>10</v>
      </c>
      <c r="C936">
        <v>1</v>
      </c>
      <c r="F936">
        <v>199</v>
      </c>
      <c r="J936">
        <v>0.76300000000000001</v>
      </c>
      <c r="K936">
        <v>24.9</v>
      </c>
      <c r="L936">
        <v>32.6</v>
      </c>
      <c r="M936">
        <v>147</v>
      </c>
      <c r="N936">
        <v>10</v>
      </c>
      <c r="O936">
        <v>5</v>
      </c>
      <c r="P936">
        <v>2</v>
      </c>
    </row>
    <row r="937" spans="1:16" x14ac:dyDescent="0.25">
      <c r="A937" s="4">
        <v>43731</v>
      </c>
      <c r="B937" t="s">
        <v>9</v>
      </c>
      <c r="C937">
        <v>1</v>
      </c>
      <c r="F937">
        <v>227</v>
      </c>
      <c r="J937">
        <v>0.76700000000000002</v>
      </c>
      <c r="K937">
        <v>28.4</v>
      </c>
      <c r="L937">
        <v>37</v>
      </c>
      <c r="M937">
        <v>148</v>
      </c>
      <c r="N937">
        <v>25</v>
      </c>
      <c r="O937">
        <v>7</v>
      </c>
    </row>
    <row r="938" spans="1:16" x14ac:dyDescent="0.25">
      <c r="A938" s="4">
        <v>43731</v>
      </c>
      <c r="B938" t="s">
        <v>9</v>
      </c>
      <c r="C938">
        <v>2</v>
      </c>
      <c r="F938">
        <v>250</v>
      </c>
      <c r="J938">
        <v>0.83399999999999996</v>
      </c>
      <c r="K938">
        <v>31.3</v>
      </c>
      <c r="L938">
        <v>37.5</v>
      </c>
      <c r="M938">
        <v>168</v>
      </c>
      <c r="N938">
        <v>21</v>
      </c>
      <c r="O938">
        <v>10</v>
      </c>
    </row>
    <row r="939" spans="1:16" x14ac:dyDescent="0.25">
      <c r="A939" s="4">
        <v>43731</v>
      </c>
      <c r="B939" t="s">
        <v>10</v>
      </c>
      <c r="C939" t="s">
        <v>78</v>
      </c>
      <c r="F939">
        <v>199</v>
      </c>
      <c r="J939">
        <v>0.76300000000000001</v>
      </c>
      <c r="K939">
        <v>24.9</v>
      </c>
      <c r="L939">
        <v>32.6</v>
      </c>
      <c r="M939">
        <v>147</v>
      </c>
      <c r="N939">
        <v>10</v>
      </c>
      <c r="O939">
        <v>5</v>
      </c>
      <c r="P939">
        <v>2</v>
      </c>
    </row>
    <row r="940" spans="1:16" x14ac:dyDescent="0.25">
      <c r="A940" s="4">
        <v>43731</v>
      </c>
      <c r="B940" t="s">
        <v>9</v>
      </c>
      <c r="C940" t="s">
        <v>78</v>
      </c>
      <c r="F940">
        <v>477</v>
      </c>
      <c r="J940">
        <v>0.8</v>
      </c>
      <c r="K940">
        <v>29.8</v>
      </c>
      <c r="L940">
        <v>37.299999999999997</v>
      </c>
      <c r="M940">
        <v>316</v>
      </c>
      <c r="N940">
        <v>46</v>
      </c>
      <c r="O940">
        <v>17</v>
      </c>
    </row>
    <row r="941" spans="1:16" x14ac:dyDescent="0.25">
      <c r="A941" s="4">
        <v>43732</v>
      </c>
      <c r="B941" t="s">
        <v>10</v>
      </c>
      <c r="C941">
        <v>1</v>
      </c>
      <c r="F941">
        <v>199</v>
      </c>
      <c r="J941">
        <v>0.747</v>
      </c>
      <c r="K941">
        <v>24.9</v>
      </c>
      <c r="L941">
        <v>33.299999999999997</v>
      </c>
      <c r="M941">
        <v>156</v>
      </c>
      <c r="N941">
        <v>14</v>
      </c>
      <c r="O941">
        <v>3</v>
      </c>
    </row>
    <row r="942" spans="1:16" x14ac:dyDescent="0.25">
      <c r="A942" s="4">
        <v>43732</v>
      </c>
      <c r="B942" t="s">
        <v>9</v>
      </c>
      <c r="C942">
        <v>1</v>
      </c>
      <c r="F942">
        <v>220</v>
      </c>
      <c r="J942">
        <v>0.76</v>
      </c>
      <c r="K942">
        <v>27.5</v>
      </c>
      <c r="L942">
        <v>36.200000000000003</v>
      </c>
      <c r="M942">
        <v>176</v>
      </c>
      <c r="N942">
        <v>14</v>
      </c>
      <c r="P942">
        <v>1</v>
      </c>
    </row>
    <row r="943" spans="1:16" x14ac:dyDescent="0.25">
      <c r="A943" s="4">
        <v>43732</v>
      </c>
      <c r="B943" t="s">
        <v>9</v>
      </c>
      <c r="C943">
        <v>2</v>
      </c>
      <c r="F943">
        <v>234</v>
      </c>
      <c r="J943">
        <v>0.79200000000000004</v>
      </c>
      <c r="K943">
        <v>29.3</v>
      </c>
      <c r="L943">
        <v>36.9</v>
      </c>
      <c r="M943">
        <v>165</v>
      </c>
      <c r="N943">
        <v>21</v>
      </c>
      <c r="O943">
        <v>4</v>
      </c>
      <c r="P943">
        <v>1</v>
      </c>
    </row>
    <row r="944" spans="1:16" x14ac:dyDescent="0.25">
      <c r="A944" s="4">
        <v>43732</v>
      </c>
      <c r="B944" t="s">
        <v>10</v>
      </c>
      <c r="C944" t="s">
        <v>78</v>
      </c>
      <c r="F944">
        <v>199</v>
      </c>
      <c r="J944">
        <v>0.747</v>
      </c>
      <c r="K944">
        <v>24.9</v>
      </c>
      <c r="L944">
        <v>33.299999999999997</v>
      </c>
      <c r="M944">
        <v>156</v>
      </c>
      <c r="N944">
        <v>14</v>
      </c>
      <c r="O944">
        <v>3</v>
      </c>
    </row>
    <row r="945" spans="1:16" x14ac:dyDescent="0.25">
      <c r="A945" s="4">
        <v>43732</v>
      </c>
      <c r="B945" t="s">
        <v>9</v>
      </c>
      <c r="C945" t="s">
        <v>78</v>
      </c>
      <c r="F945">
        <v>454</v>
      </c>
      <c r="J945">
        <v>0.77600000000000002</v>
      </c>
      <c r="K945">
        <v>28.4</v>
      </c>
      <c r="L945">
        <v>36.6</v>
      </c>
      <c r="M945">
        <v>341</v>
      </c>
      <c r="N945">
        <v>35</v>
      </c>
      <c r="O945">
        <v>4</v>
      </c>
      <c r="P945">
        <v>2</v>
      </c>
    </row>
    <row r="946" spans="1:16" x14ac:dyDescent="0.25">
      <c r="A946" s="4">
        <v>43733</v>
      </c>
      <c r="B946" t="s">
        <v>10</v>
      </c>
      <c r="C946">
        <v>1</v>
      </c>
      <c r="F946">
        <v>173</v>
      </c>
      <c r="J946">
        <v>0.66100000000000003</v>
      </c>
      <c r="K946">
        <v>21.6</v>
      </c>
      <c r="L946">
        <v>32.700000000000003</v>
      </c>
      <c r="M946">
        <v>139</v>
      </c>
      <c r="N946">
        <v>13</v>
      </c>
      <c r="O946">
        <v>2</v>
      </c>
    </row>
    <row r="947" spans="1:16" x14ac:dyDescent="0.25">
      <c r="A947" s="4">
        <v>43733</v>
      </c>
      <c r="B947" t="s">
        <v>9</v>
      </c>
      <c r="C947">
        <v>1</v>
      </c>
      <c r="F947">
        <v>232</v>
      </c>
      <c r="J947">
        <v>0.77200000000000002</v>
      </c>
      <c r="K947">
        <v>29</v>
      </c>
      <c r="L947">
        <v>37.6</v>
      </c>
      <c r="M947">
        <v>157</v>
      </c>
      <c r="N947">
        <v>27</v>
      </c>
      <c r="O947">
        <v>3</v>
      </c>
    </row>
    <row r="948" spans="1:16" x14ac:dyDescent="0.25">
      <c r="A948" s="4">
        <v>43733</v>
      </c>
      <c r="B948" t="s">
        <v>9</v>
      </c>
      <c r="C948">
        <v>2</v>
      </c>
      <c r="F948">
        <v>256</v>
      </c>
      <c r="J948">
        <v>0.85199999999999998</v>
      </c>
      <c r="K948">
        <v>32</v>
      </c>
      <c r="L948">
        <v>37.5</v>
      </c>
      <c r="M948">
        <v>176</v>
      </c>
      <c r="N948">
        <v>21</v>
      </c>
      <c r="O948">
        <v>9</v>
      </c>
    </row>
    <row r="949" spans="1:16" x14ac:dyDescent="0.25">
      <c r="A949" s="4">
        <v>43733</v>
      </c>
      <c r="B949" t="s">
        <v>10</v>
      </c>
      <c r="C949" t="s">
        <v>78</v>
      </c>
      <c r="F949">
        <v>173</v>
      </c>
      <c r="J949">
        <v>0.66100000000000003</v>
      </c>
      <c r="K949">
        <v>21.6</v>
      </c>
      <c r="L949">
        <v>32.700000000000003</v>
      </c>
      <c r="M949">
        <v>139</v>
      </c>
      <c r="N949">
        <v>13</v>
      </c>
      <c r="O949">
        <v>2</v>
      </c>
    </row>
    <row r="950" spans="1:16" x14ac:dyDescent="0.25">
      <c r="A950" s="4">
        <v>43733</v>
      </c>
      <c r="B950" t="s">
        <v>9</v>
      </c>
      <c r="C950" t="s">
        <v>78</v>
      </c>
      <c r="F950">
        <v>488</v>
      </c>
      <c r="J950">
        <v>0.81200000000000006</v>
      </c>
      <c r="K950">
        <v>30.5</v>
      </c>
      <c r="L950">
        <v>37.5</v>
      </c>
      <c r="M950">
        <v>333</v>
      </c>
      <c r="N950">
        <v>48</v>
      </c>
      <c r="O950">
        <v>12</v>
      </c>
    </row>
    <row r="951" spans="1:16" x14ac:dyDescent="0.25">
      <c r="A951" s="4">
        <v>43734</v>
      </c>
      <c r="B951" t="s">
        <v>10</v>
      </c>
      <c r="C951">
        <v>1</v>
      </c>
      <c r="F951">
        <v>217</v>
      </c>
      <c r="J951">
        <v>0.85</v>
      </c>
      <c r="K951">
        <v>27.1</v>
      </c>
      <c r="L951">
        <v>31.9</v>
      </c>
      <c r="M951">
        <v>180</v>
      </c>
      <c r="N951">
        <v>17</v>
      </c>
    </row>
    <row r="952" spans="1:16" x14ac:dyDescent="0.25">
      <c r="A952" s="4">
        <v>43734</v>
      </c>
      <c r="B952" t="s">
        <v>9</v>
      </c>
      <c r="C952">
        <v>1</v>
      </c>
      <c r="F952">
        <v>255</v>
      </c>
      <c r="J952">
        <v>0.88100000000000001</v>
      </c>
      <c r="K952">
        <v>31.9</v>
      </c>
      <c r="L952">
        <v>36.200000000000003</v>
      </c>
      <c r="M952">
        <v>205</v>
      </c>
      <c r="N952">
        <v>15</v>
      </c>
      <c r="O952">
        <v>1</v>
      </c>
      <c r="P952">
        <v>1</v>
      </c>
    </row>
    <row r="953" spans="1:16" x14ac:dyDescent="0.25">
      <c r="A953" s="4">
        <v>43734</v>
      </c>
      <c r="B953" t="s">
        <v>9</v>
      </c>
      <c r="C953">
        <v>2</v>
      </c>
      <c r="F953">
        <v>269</v>
      </c>
      <c r="J953">
        <v>0.92500000000000004</v>
      </c>
      <c r="K953">
        <v>33.6</v>
      </c>
      <c r="L953">
        <v>36.299999999999997</v>
      </c>
      <c r="M953">
        <v>181</v>
      </c>
      <c r="N953">
        <v>28</v>
      </c>
      <c r="O953">
        <v>7</v>
      </c>
      <c r="P953">
        <v>1</v>
      </c>
    </row>
    <row r="954" spans="1:16" x14ac:dyDescent="0.25">
      <c r="A954" s="4">
        <v>43734</v>
      </c>
      <c r="B954" t="s">
        <v>10</v>
      </c>
      <c r="C954" t="s">
        <v>78</v>
      </c>
      <c r="F954">
        <v>217</v>
      </c>
      <c r="J954">
        <v>0.85</v>
      </c>
      <c r="K954">
        <v>27.1</v>
      </c>
      <c r="L954">
        <v>31.9</v>
      </c>
      <c r="M954">
        <v>180</v>
      </c>
      <c r="N954">
        <v>17</v>
      </c>
    </row>
    <row r="955" spans="1:16" x14ac:dyDescent="0.25">
      <c r="A955" s="4">
        <v>43734</v>
      </c>
      <c r="B955" t="s">
        <v>9</v>
      </c>
      <c r="C955" t="s">
        <v>78</v>
      </c>
      <c r="F955">
        <v>524</v>
      </c>
      <c r="J955">
        <v>0.90300000000000002</v>
      </c>
      <c r="K955">
        <v>32.799999999999997</v>
      </c>
      <c r="L955">
        <v>36.299999999999997</v>
      </c>
      <c r="M955">
        <v>386</v>
      </c>
      <c r="N955">
        <v>43</v>
      </c>
      <c r="O955">
        <v>8</v>
      </c>
      <c r="P955">
        <v>2</v>
      </c>
    </row>
    <row r="956" spans="1:16" x14ac:dyDescent="0.25">
      <c r="A956" s="4">
        <v>43738</v>
      </c>
      <c r="B956" t="s">
        <v>10</v>
      </c>
      <c r="C956">
        <v>1</v>
      </c>
      <c r="F956">
        <v>238</v>
      </c>
      <c r="J956">
        <v>0.85599999999999998</v>
      </c>
      <c r="K956">
        <v>29.8</v>
      </c>
      <c r="L956">
        <v>34.799999999999997</v>
      </c>
      <c r="M956">
        <v>160</v>
      </c>
      <c r="N956">
        <v>21</v>
      </c>
      <c r="O956">
        <v>6</v>
      </c>
    </row>
    <row r="957" spans="1:16" x14ac:dyDescent="0.25">
      <c r="A957" s="4">
        <v>43738</v>
      </c>
      <c r="B957" t="s">
        <v>9</v>
      </c>
      <c r="C957">
        <v>1</v>
      </c>
      <c r="F957">
        <v>280</v>
      </c>
      <c r="J957">
        <v>0.92300000000000004</v>
      </c>
      <c r="K957">
        <v>35</v>
      </c>
      <c r="L957">
        <v>37.9</v>
      </c>
      <c r="M957">
        <v>175</v>
      </c>
      <c r="N957">
        <v>34</v>
      </c>
      <c r="O957">
        <v>5</v>
      </c>
      <c r="P957">
        <v>1</v>
      </c>
    </row>
    <row r="958" spans="1:16" x14ac:dyDescent="0.25">
      <c r="A958" s="4">
        <v>43738</v>
      </c>
      <c r="B958" t="s">
        <v>9</v>
      </c>
      <c r="C958">
        <v>2</v>
      </c>
      <c r="F958">
        <v>192</v>
      </c>
      <c r="J958">
        <v>0.66700000000000004</v>
      </c>
      <c r="K958">
        <v>24</v>
      </c>
      <c r="L958">
        <v>36</v>
      </c>
      <c r="M958">
        <v>144</v>
      </c>
      <c r="N958">
        <v>17</v>
      </c>
      <c r="O958">
        <v>3</v>
      </c>
    </row>
    <row r="959" spans="1:16" x14ac:dyDescent="0.25">
      <c r="A959" s="4">
        <v>43738</v>
      </c>
      <c r="B959" t="s">
        <v>10</v>
      </c>
      <c r="C959" t="s">
        <v>78</v>
      </c>
      <c r="F959">
        <v>238</v>
      </c>
      <c r="J959">
        <v>0.85599999999999998</v>
      </c>
      <c r="K959">
        <v>29.8</v>
      </c>
      <c r="L959">
        <v>34.799999999999997</v>
      </c>
      <c r="M959">
        <v>160</v>
      </c>
      <c r="N959">
        <v>21</v>
      </c>
      <c r="O959">
        <v>6</v>
      </c>
    </row>
    <row r="960" spans="1:16" x14ac:dyDescent="0.25">
      <c r="A960" s="4">
        <v>43738</v>
      </c>
      <c r="B960" t="s">
        <v>9</v>
      </c>
      <c r="C960" t="s">
        <v>78</v>
      </c>
      <c r="F960">
        <v>472</v>
      </c>
      <c r="J960">
        <v>0.79500000000000004</v>
      </c>
      <c r="K960">
        <v>29.5</v>
      </c>
      <c r="L960">
        <v>37.1</v>
      </c>
      <c r="M960">
        <v>319</v>
      </c>
      <c r="N960">
        <v>51</v>
      </c>
      <c r="O960">
        <v>8</v>
      </c>
      <c r="P960">
        <v>1</v>
      </c>
    </row>
    <row r="961" spans="1:16" x14ac:dyDescent="0.25">
      <c r="A961" s="4">
        <v>43739</v>
      </c>
      <c r="B961" t="s">
        <v>10</v>
      </c>
      <c r="C961">
        <v>1</v>
      </c>
      <c r="F961">
        <v>247</v>
      </c>
      <c r="J961">
        <v>0.95199999999999996</v>
      </c>
      <c r="K961">
        <v>30.9</v>
      </c>
      <c r="L961">
        <v>32.4</v>
      </c>
      <c r="M961">
        <v>183</v>
      </c>
      <c r="N961">
        <v>27</v>
      </c>
      <c r="P961">
        <v>1</v>
      </c>
    </row>
    <row r="962" spans="1:16" x14ac:dyDescent="0.25">
      <c r="A962" s="4">
        <v>43739</v>
      </c>
      <c r="B962" t="s">
        <v>9</v>
      </c>
      <c r="C962">
        <v>1</v>
      </c>
      <c r="F962">
        <v>273</v>
      </c>
      <c r="J962">
        <v>0.93</v>
      </c>
      <c r="K962">
        <v>34.1</v>
      </c>
      <c r="L962">
        <v>36.700000000000003</v>
      </c>
      <c r="M962">
        <v>208</v>
      </c>
      <c r="N962">
        <v>23</v>
      </c>
      <c r="O962">
        <v>2</v>
      </c>
      <c r="P962">
        <v>1</v>
      </c>
    </row>
    <row r="963" spans="1:16" x14ac:dyDescent="0.25">
      <c r="A963" s="4">
        <v>43739</v>
      </c>
      <c r="B963" t="s">
        <v>9</v>
      </c>
      <c r="C963">
        <v>2</v>
      </c>
      <c r="F963">
        <v>260</v>
      </c>
      <c r="J963">
        <v>0.89100000000000001</v>
      </c>
      <c r="K963">
        <v>32.5</v>
      </c>
      <c r="L963">
        <v>36.5</v>
      </c>
      <c r="M963">
        <v>200</v>
      </c>
      <c r="N963">
        <v>15</v>
      </c>
      <c r="O963">
        <v>6</v>
      </c>
    </row>
    <row r="964" spans="1:16" x14ac:dyDescent="0.25">
      <c r="A964" s="4">
        <v>43739</v>
      </c>
      <c r="B964" t="s">
        <v>10</v>
      </c>
      <c r="C964" t="s">
        <v>78</v>
      </c>
      <c r="F964">
        <v>247</v>
      </c>
      <c r="J964">
        <v>0.95199999999999996</v>
      </c>
      <c r="K964">
        <v>30.9</v>
      </c>
      <c r="L964">
        <v>32.4</v>
      </c>
      <c r="M964">
        <v>183</v>
      </c>
      <c r="N964">
        <v>27</v>
      </c>
      <c r="P964">
        <v>1</v>
      </c>
    </row>
    <row r="965" spans="1:16" x14ac:dyDescent="0.25">
      <c r="A965" s="4">
        <v>43739</v>
      </c>
      <c r="B965" t="s">
        <v>9</v>
      </c>
      <c r="C965" t="s">
        <v>78</v>
      </c>
      <c r="F965">
        <v>533</v>
      </c>
      <c r="J965">
        <v>0.91</v>
      </c>
      <c r="K965">
        <v>33.299999999999997</v>
      </c>
      <c r="L965">
        <v>36.6</v>
      </c>
      <c r="M965">
        <v>408</v>
      </c>
      <c r="N965">
        <v>38</v>
      </c>
      <c r="O965">
        <v>8</v>
      </c>
      <c r="P965">
        <v>1</v>
      </c>
    </row>
    <row r="966" spans="1:16" x14ac:dyDescent="0.25">
      <c r="A966" s="4">
        <v>43740</v>
      </c>
      <c r="B966" t="s">
        <v>10</v>
      </c>
      <c r="C966">
        <v>1</v>
      </c>
      <c r="F966">
        <v>229</v>
      </c>
      <c r="J966">
        <v>0.91400000000000003</v>
      </c>
      <c r="K966">
        <v>28.6</v>
      </c>
      <c r="L966">
        <v>31.3</v>
      </c>
      <c r="M966">
        <v>202</v>
      </c>
      <c r="N966">
        <v>7</v>
      </c>
    </row>
    <row r="967" spans="1:16" x14ac:dyDescent="0.25">
      <c r="A967" s="4">
        <v>43740</v>
      </c>
      <c r="B967" t="s">
        <v>9</v>
      </c>
      <c r="C967">
        <v>1</v>
      </c>
      <c r="F967">
        <v>268</v>
      </c>
      <c r="J967">
        <v>0.93700000000000006</v>
      </c>
      <c r="K967">
        <v>33.5</v>
      </c>
      <c r="L967">
        <v>35.799999999999997</v>
      </c>
      <c r="M967">
        <v>206</v>
      </c>
      <c r="N967">
        <v>15</v>
      </c>
      <c r="O967">
        <v>6</v>
      </c>
    </row>
    <row r="968" spans="1:16" x14ac:dyDescent="0.25">
      <c r="A968" s="4">
        <v>43740</v>
      </c>
      <c r="B968" t="s">
        <v>9</v>
      </c>
      <c r="C968">
        <v>2</v>
      </c>
      <c r="F968">
        <v>242</v>
      </c>
      <c r="J968">
        <v>0.89700000000000002</v>
      </c>
      <c r="K968">
        <v>30.3</v>
      </c>
      <c r="L968">
        <v>33.700000000000003</v>
      </c>
      <c r="M968">
        <v>218</v>
      </c>
      <c r="N968">
        <v>9</v>
      </c>
      <c r="O968">
        <v>1</v>
      </c>
    </row>
    <row r="969" spans="1:16" x14ac:dyDescent="0.25">
      <c r="A969" s="4">
        <v>43740</v>
      </c>
      <c r="B969" t="s">
        <v>10</v>
      </c>
      <c r="C969" t="s">
        <v>78</v>
      </c>
      <c r="F969">
        <v>229</v>
      </c>
      <c r="J969">
        <v>0.91400000000000003</v>
      </c>
      <c r="K969">
        <v>28.6</v>
      </c>
      <c r="L969">
        <v>31.3</v>
      </c>
      <c r="M969">
        <v>202</v>
      </c>
      <c r="N969">
        <v>7</v>
      </c>
    </row>
    <row r="970" spans="1:16" x14ac:dyDescent="0.25">
      <c r="A970" s="4">
        <v>43740</v>
      </c>
      <c r="B970" t="s">
        <v>9</v>
      </c>
      <c r="C970" t="s">
        <v>78</v>
      </c>
      <c r="F970">
        <v>510</v>
      </c>
      <c r="J970">
        <v>0.91700000000000004</v>
      </c>
      <c r="K970">
        <v>31.9</v>
      </c>
      <c r="L970">
        <v>34.799999999999997</v>
      </c>
      <c r="M970">
        <v>424</v>
      </c>
      <c r="N970">
        <v>24</v>
      </c>
      <c r="O970">
        <v>7</v>
      </c>
    </row>
    <row r="971" spans="1:16" x14ac:dyDescent="0.25">
      <c r="A971" s="4">
        <v>43741</v>
      </c>
      <c r="B971" t="s">
        <v>10</v>
      </c>
      <c r="C971">
        <v>1</v>
      </c>
      <c r="F971">
        <v>234</v>
      </c>
      <c r="J971">
        <v>0.85399999999999998</v>
      </c>
      <c r="K971">
        <v>29.3</v>
      </c>
      <c r="L971">
        <v>34.299999999999997</v>
      </c>
      <c r="M971">
        <v>178</v>
      </c>
      <c r="N971">
        <v>20</v>
      </c>
      <c r="O971">
        <v>4</v>
      </c>
    </row>
    <row r="972" spans="1:16" x14ac:dyDescent="0.25">
      <c r="A972" s="4">
        <v>43741</v>
      </c>
      <c r="B972" t="s">
        <v>9</v>
      </c>
      <c r="C972">
        <v>1</v>
      </c>
      <c r="F972">
        <v>229</v>
      </c>
      <c r="J972">
        <v>0.79200000000000004</v>
      </c>
      <c r="K972">
        <v>28.6</v>
      </c>
      <c r="L972">
        <v>36.1</v>
      </c>
      <c r="M972">
        <v>164</v>
      </c>
      <c r="N972">
        <v>22</v>
      </c>
      <c r="O972">
        <v>2</v>
      </c>
      <c r="P972">
        <v>1</v>
      </c>
    </row>
    <row r="973" spans="1:16" x14ac:dyDescent="0.25">
      <c r="A973" s="4">
        <v>43741</v>
      </c>
      <c r="B973" t="s">
        <v>9</v>
      </c>
      <c r="C973">
        <v>2</v>
      </c>
      <c r="F973">
        <v>259</v>
      </c>
      <c r="J973">
        <v>0.91900000000000004</v>
      </c>
      <c r="K973">
        <v>32.4</v>
      </c>
      <c r="L973">
        <v>35.200000000000003</v>
      </c>
      <c r="M973">
        <v>210</v>
      </c>
      <c r="N973">
        <v>9</v>
      </c>
      <c r="O973">
        <v>7</v>
      </c>
      <c r="P973">
        <v>1</v>
      </c>
    </row>
    <row r="974" spans="1:16" x14ac:dyDescent="0.25">
      <c r="A974" s="4">
        <v>43741</v>
      </c>
      <c r="B974" t="s">
        <v>10</v>
      </c>
      <c r="C974" t="s">
        <v>78</v>
      </c>
      <c r="F974">
        <v>234</v>
      </c>
      <c r="J974">
        <v>0.85399999999999998</v>
      </c>
      <c r="K974">
        <v>29.3</v>
      </c>
      <c r="L974">
        <v>34.299999999999997</v>
      </c>
      <c r="M974">
        <v>178</v>
      </c>
      <c r="N974">
        <v>20</v>
      </c>
      <c r="O974">
        <v>4</v>
      </c>
    </row>
    <row r="975" spans="1:16" x14ac:dyDescent="0.25">
      <c r="A975" s="4">
        <v>43741</v>
      </c>
      <c r="B975" t="s">
        <v>9</v>
      </c>
      <c r="C975" t="s">
        <v>78</v>
      </c>
      <c r="F975">
        <v>488</v>
      </c>
      <c r="J975">
        <v>0.85599999999999998</v>
      </c>
      <c r="K975">
        <v>30.5</v>
      </c>
      <c r="L975">
        <v>35.700000000000003</v>
      </c>
      <c r="M975">
        <v>374</v>
      </c>
      <c r="N975">
        <v>31</v>
      </c>
      <c r="O975">
        <v>9</v>
      </c>
      <c r="P975">
        <v>2</v>
      </c>
    </row>
    <row r="976" spans="1:16" x14ac:dyDescent="0.25">
      <c r="A976" s="4">
        <v>43742</v>
      </c>
      <c r="B976" t="s">
        <v>10</v>
      </c>
      <c r="C976">
        <v>1</v>
      </c>
      <c r="F976">
        <v>41</v>
      </c>
      <c r="J976">
        <v>0.42699999999999999</v>
      </c>
      <c r="K976">
        <v>13.7</v>
      </c>
      <c r="L976">
        <v>32</v>
      </c>
      <c r="M976">
        <v>20</v>
      </c>
      <c r="N976">
        <v>7</v>
      </c>
      <c r="O976">
        <v>2</v>
      </c>
    </row>
    <row r="977" spans="1:16" x14ac:dyDescent="0.25">
      <c r="A977" s="4">
        <v>43742</v>
      </c>
      <c r="B977" t="s">
        <v>9</v>
      </c>
      <c r="C977">
        <v>1</v>
      </c>
      <c r="F977">
        <v>145</v>
      </c>
      <c r="J977">
        <v>0.78300000000000003</v>
      </c>
      <c r="K977">
        <v>28.8</v>
      </c>
      <c r="L977">
        <v>36.799999999999997</v>
      </c>
      <c r="M977">
        <v>86</v>
      </c>
      <c r="N977">
        <v>17</v>
      </c>
      <c r="O977">
        <v>6</v>
      </c>
    </row>
    <row r="978" spans="1:16" x14ac:dyDescent="0.25">
      <c r="A978" s="4">
        <v>43742</v>
      </c>
      <c r="B978" t="s">
        <v>9</v>
      </c>
      <c r="C978">
        <v>2</v>
      </c>
      <c r="F978">
        <v>232</v>
      </c>
      <c r="J978">
        <v>0.79500000000000004</v>
      </c>
      <c r="K978">
        <v>29</v>
      </c>
      <c r="L978">
        <v>36.5</v>
      </c>
      <c r="M978">
        <v>154</v>
      </c>
      <c r="N978">
        <v>33</v>
      </c>
      <c r="O978">
        <v>2</v>
      </c>
    </row>
    <row r="979" spans="1:16" x14ac:dyDescent="0.25">
      <c r="A979" s="4">
        <v>43742</v>
      </c>
      <c r="B979" t="s">
        <v>10</v>
      </c>
      <c r="C979" t="s">
        <v>78</v>
      </c>
      <c r="F979">
        <v>41</v>
      </c>
      <c r="J979">
        <v>0.25600000000000001</v>
      </c>
      <c r="K979">
        <v>8.1999999999999993</v>
      </c>
      <c r="L979">
        <v>32</v>
      </c>
      <c r="M979">
        <v>20</v>
      </c>
      <c r="N979">
        <v>7</v>
      </c>
      <c r="O979">
        <v>2</v>
      </c>
    </row>
    <row r="980" spans="1:16" x14ac:dyDescent="0.25">
      <c r="A980" s="4">
        <v>43742</v>
      </c>
      <c r="B980" t="s">
        <v>9</v>
      </c>
      <c r="C980" t="s">
        <v>78</v>
      </c>
      <c r="F980">
        <v>376</v>
      </c>
      <c r="J980">
        <v>0.79100000000000004</v>
      </c>
      <c r="K980">
        <v>28.9</v>
      </c>
      <c r="L980">
        <v>36.6</v>
      </c>
      <c r="M980">
        <v>240</v>
      </c>
      <c r="N980">
        <v>50</v>
      </c>
      <c r="O980">
        <v>8</v>
      </c>
    </row>
    <row r="981" spans="1:16" x14ac:dyDescent="0.25">
      <c r="A981" s="4">
        <v>43745</v>
      </c>
      <c r="B981" t="s">
        <v>10</v>
      </c>
      <c r="C981">
        <v>1</v>
      </c>
      <c r="F981">
        <v>270</v>
      </c>
      <c r="J981">
        <v>0.94299999999999995</v>
      </c>
      <c r="K981">
        <v>33.799999999999997</v>
      </c>
      <c r="L981">
        <v>35.799999999999997</v>
      </c>
      <c r="M981">
        <v>176</v>
      </c>
      <c r="N981">
        <v>17</v>
      </c>
      <c r="O981">
        <v>11</v>
      </c>
      <c r="P981">
        <v>3</v>
      </c>
    </row>
    <row r="982" spans="1:16" x14ac:dyDescent="0.25">
      <c r="A982" s="4">
        <v>43745</v>
      </c>
      <c r="B982" t="s">
        <v>9</v>
      </c>
      <c r="C982">
        <v>1</v>
      </c>
      <c r="F982">
        <v>248</v>
      </c>
      <c r="J982">
        <v>0.78800000000000003</v>
      </c>
      <c r="K982">
        <v>31</v>
      </c>
      <c r="L982">
        <v>39.4</v>
      </c>
      <c r="M982">
        <v>154</v>
      </c>
      <c r="N982">
        <v>24</v>
      </c>
      <c r="O982">
        <v>11</v>
      </c>
    </row>
    <row r="983" spans="1:16" x14ac:dyDescent="0.25">
      <c r="A983" s="4">
        <v>43745</v>
      </c>
      <c r="B983" t="s">
        <v>9</v>
      </c>
      <c r="C983">
        <v>2</v>
      </c>
      <c r="F983">
        <v>290</v>
      </c>
      <c r="J983">
        <v>0.90800000000000003</v>
      </c>
      <c r="K983">
        <v>36.299999999999997</v>
      </c>
      <c r="L983">
        <v>39.9</v>
      </c>
      <c r="M983">
        <v>153</v>
      </c>
      <c r="N983">
        <v>51</v>
      </c>
      <c r="O983">
        <v>5</v>
      </c>
      <c r="P983">
        <v>2</v>
      </c>
    </row>
    <row r="984" spans="1:16" x14ac:dyDescent="0.25">
      <c r="A984" s="4">
        <v>43745</v>
      </c>
      <c r="B984" t="s">
        <v>10</v>
      </c>
      <c r="C984" t="s">
        <v>78</v>
      </c>
      <c r="F984">
        <v>270</v>
      </c>
      <c r="J984">
        <v>0.94299999999999995</v>
      </c>
      <c r="K984">
        <v>33.799999999999997</v>
      </c>
      <c r="L984">
        <v>35.799999999999997</v>
      </c>
      <c r="M984">
        <v>176</v>
      </c>
      <c r="N984">
        <v>17</v>
      </c>
      <c r="O984">
        <v>11</v>
      </c>
      <c r="P984">
        <v>3</v>
      </c>
    </row>
    <row r="985" spans="1:16" x14ac:dyDescent="0.25">
      <c r="A985" s="4">
        <v>43745</v>
      </c>
      <c r="B985" t="s">
        <v>9</v>
      </c>
      <c r="C985" t="s">
        <v>78</v>
      </c>
      <c r="F985">
        <v>538</v>
      </c>
      <c r="J985">
        <v>0.84799999999999998</v>
      </c>
      <c r="K985">
        <v>33.6</v>
      </c>
      <c r="L985">
        <v>39.700000000000003</v>
      </c>
      <c r="M985">
        <v>307</v>
      </c>
      <c r="N985">
        <v>75</v>
      </c>
      <c r="O985">
        <v>16</v>
      </c>
      <c r="P985">
        <v>2</v>
      </c>
    </row>
    <row r="986" spans="1:16" x14ac:dyDescent="0.25">
      <c r="A986" s="4">
        <v>43746</v>
      </c>
      <c r="B986" t="s">
        <v>10</v>
      </c>
      <c r="C986">
        <v>1</v>
      </c>
      <c r="F986">
        <v>259</v>
      </c>
      <c r="J986">
        <v>0.89300000000000002</v>
      </c>
      <c r="K986">
        <v>32.4</v>
      </c>
      <c r="L986">
        <v>36.299999999999997</v>
      </c>
      <c r="M986">
        <v>157</v>
      </c>
      <c r="N986">
        <v>38</v>
      </c>
      <c r="O986">
        <v>7</v>
      </c>
    </row>
    <row r="987" spans="1:16" x14ac:dyDescent="0.25">
      <c r="A987" s="4">
        <v>43746</v>
      </c>
      <c r="B987" t="s">
        <v>9</v>
      </c>
      <c r="C987">
        <v>1</v>
      </c>
      <c r="F987">
        <v>269</v>
      </c>
      <c r="J987">
        <v>0.83399999999999996</v>
      </c>
      <c r="K987">
        <v>33.6</v>
      </c>
      <c r="L987">
        <v>40.299999999999997</v>
      </c>
      <c r="M987">
        <v>157</v>
      </c>
      <c r="N987">
        <v>45</v>
      </c>
      <c r="O987">
        <v>3</v>
      </c>
    </row>
    <row r="988" spans="1:16" x14ac:dyDescent="0.25">
      <c r="A988" s="4">
        <v>43746</v>
      </c>
      <c r="B988" t="s">
        <v>9</v>
      </c>
      <c r="C988">
        <v>2</v>
      </c>
      <c r="F988">
        <v>321</v>
      </c>
      <c r="J988">
        <v>1.03</v>
      </c>
      <c r="K988">
        <v>40.1</v>
      </c>
      <c r="L988">
        <v>39</v>
      </c>
      <c r="M988">
        <v>195</v>
      </c>
      <c r="N988">
        <v>51</v>
      </c>
      <c r="O988">
        <v>5</v>
      </c>
    </row>
    <row r="989" spans="1:16" x14ac:dyDescent="0.25">
      <c r="A989" s="4">
        <v>43746</v>
      </c>
      <c r="B989" t="s">
        <v>10</v>
      </c>
      <c r="C989" t="s">
        <v>78</v>
      </c>
      <c r="F989">
        <v>259</v>
      </c>
      <c r="J989">
        <v>0.89300000000000002</v>
      </c>
      <c r="K989">
        <v>32.4</v>
      </c>
      <c r="L989">
        <v>36.299999999999997</v>
      </c>
      <c r="M989">
        <v>157</v>
      </c>
      <c r="N989">
        <v>38</v>
      </c>
      <c r="O989">
        <v>7</v>
      </c>
    </row>
    <row r="990" spans="1:16" x14ac:dyDescent="0.25">
      <c r="A990" s="4">
        <v>43746</v>
      </c>
      <c r="B990" t="s">
        <v>9</v>
      </c>
      <c r="C990" t="s">
        <v>78</v>
      </c>
      <c r="F990">
        <v>590</v>
      </c>
      <c r="J990">
        <v>0.93200000000000005</v>
      </c>
      <c r="K990">
        <v>36.9</v>
      </c>
      <c r="L990">
        <v>39.6</v>
      </c>
      <c r="M990">
        <v>352</v>
      </c>
      <c r="N990">
        <v>96</v>
      </c>
      <c r="O990">
        <v>8</v>
      </c>
    </row>
    <row r="991" spans="1:16" x14ac:dyDescent="0.25">
      <c r="A991" s="4">
        <v>43747</v>
      </c>
      <c r="B991" t="s">
        <v>10</v>
      </c>
      <c r="C991">
        <v>1</v>
      </c>
      <c r="F991">
        <v>192</v>
      </c>
      <c r="J991">
        <v>1.006</v>
      </c>
      <c r="K991">
        <v>34.9</v>
      </c>
      <c r="L991">
        <v>34.700000000000003</v>
      </c>
      <c r="M991">
        <v>114</v>
      </c>
      <c r="N991">
        <v>28</v>
      </c>
      <c r="O991">
        <v>4</v>
      </c>
    </row>
    <row r="992" spans="1:16" x14ac:dyDescent="0.25">
      <c r="A992" s="4">
        <v>43747</v>
      </c>
      <c r="B992" t="s">
        <v>9</v>
      </c>
      <c r="C992">
        <v>1</v>
      </c>
      <c r="F992">
        <v>188</v>
      </c>
      <c r="J992">
        <v>0.88400000000000001</v>
      </c>
      <c r="K992">
        <v>34.200000000000003</v>
      </c>
      <c r="L992">
        <v>38.700000000000003</v>
      </c>
      <c r="M992">
        <v>121</v>
      </c>
      <c r="N992">
        <v>20</v>
      </c>
      <c r="O992">
        <v>5</v>
      </c>
    </row>
    <row r="993" spans="1:16" x14ac:dyDescent="0.25">
      <c r="A993" s="4">
        <v>43747</v>
      </c>
      <c r="B993" t="s">
        <v>9</v>
      </c>
      <c r="C993">
        <v>2</v>
      </c>
      <c r="F993">
        <v>317</v>
      </c>
      <c r="J993">
        <v>0.97499999999999998</v>
      </c>
      <c r="K993">
        <v>37.299999999999997</v>
      </c>
      <c r="L993">
        <v>38.299999999999997</v>
      </c>
      <c r="M993">
        <v>204</v>
      </c>
      <c r="N993">
        <v>49</v>
      </c>
      <c r="O993">
        <v>3</v>
      </c>
    </row>
    <row r="994" spans="1:16" x14ac:dyDescent="0.25">
      <c r="A994" s="4">
        <v>43747</v>
      </c>
      <c r="B994" t="s">
        <v>10</v>
      </c>
      <c r="C994" t="s">
        <v>78</v>
      </c>
      <c r="F994">
        <v>192</v>
      </c>
      <c r="J994">
        <v>1.006</v>
      </c>
      <c r="K994">
        <v>34.9</v>
      </c>
      <c r="L994">
        <v>34.700000000000003</v>
      </c>
      <c r="M994">
        <v>114</v>
      </c>
      <c r="N994">
        <v>28</v>
      </c>
      <c r="O994">
        <v>4</v>
      </c>
    </row>
    <row r="995" spans="1:16" x14ac:dyDescent="0.25">
      <c r="A995" s="4">
        <v>43747</v>
      </c>
      <c r="B995" t="s">
        <v>9</v>
      </c>
      <c r="C995" t="s">
        <v>78</v>
      </c>
      <c r="F995">
        <v>505</v>
      </c>
      <c r="J995">
        <v>0.93899999999999995</v>
      </c>
      <c r="K995">
        <v>36.1</v>
      </c>
      <c r="L995">
        <v>38.4</v>
      </c>
      <c r="M995">
        <v>325</v>
      </c>
      <c r="N995">
        <v>69</v>
      </c>
      <c r="O995">
        <v>8</v>
      </c>
    </row>
    <row r="996" spans="1:16" x14ac:dyDescent="0.25">
      <c r="A996" s="4">
        <v>43748</v>
      </c>
      <c r="B996" t="s">
        <v>10</v>
      </c>
      <c r="C996">
        <v>1</v>
      </c>
      <c r="F996">
        <v>78</v>
      </c>
      <c r="J996">
        <v>0.45500000000000002</v>
      </c>
      <c r="K996">
        <v>15.6</v>
      </c>
      <c r="L996">
        <v>34.299999999999997</v>
      </c>
      <c r="M996">
        <v>47</v>
      </c>
      <c r="N996">
        <v>9</v>
      </c>
      <c r="O996">
        <v>4</v>
      </c>
    </row>
    <row r="997" spans="1:16" x14ac:dyDescent="0.25">
      <c r="A997" s="4">
        <v>43748</v>
      </c>
      <c r="B997" t="s">
        <v>9</v>
      </c>
      <c r="C997">
        <v>1</v>
      </c>
      <c r="F997">
        <v>189</v>
      </c>
      <c r="J997">
        <v>0.94799999999999995</v>
      </c>
      <c r="K997">
        <v>34.4</v>
      </c>
      <c r="L997">
        <v>36.299999999999997</v>
      </c>
      <c r="M997">
        <v>136</v>
      </c>
      <c r="N997">
        <v>16</v>
      </c>
      <c r="O997">
        <v>4</v>
      </c>
    </row>
    <row r="998" spans="1:16" x14ac:dyDescent="0.25">
      <c r="A998" s="4">
        <v>43748</v>
      </c>
      <c r="B998" t="s">
        <v>9</v>
      </c>
      <c r="C998">
        <v>2</v>
      </c>
      <c r="F998">
        <v>214</v>
      </c>
      <c r="J998">
        <v>1.0189999999999999</v>
      </c>
      <c r="K998">
        <v>38.9</v>
      </c>
      <c r="L998">
        <v>38.200000000000003</v>
      </c>
      <c r="M998">
        <v>129</v>
      </c>
      <c r="N998">
        <v>29</v>
      </c>
      <c r="O998">
        <v>5</v>
      </c>
      <c r="P998">
        <v>1</v>
      </c>
    </row>
    <row r="999" spans="1:16" x14ac:dyDescent="0.25">
      <c r="A999" s="4">
        <v>43748</v>
      </c>
      <c r="B999" t="s">
        <v>10</v>
      </c>
      <c r="C999" t="s">
        <v>78</v>
      </c>
      <c r="F999">
        <v>78</v>
      </c>
      <c r="J999">
        <v>0.45500000000000002</v>
      </c>
      <c r="K999">
        <v>15.6</v>
      </c>
      <c r="L999">
        <v>34.299999999999997</v>
      </c>
      <c r="M999">
        <v>47</v>
      </c>
      <c r="N999">
        <v>9</v>
      </c>
      <c r="O999">
        <v>4</v>
      </c>
    </row>
    <row r="1000" spans="1:16" x14ac:dyDescent="0.25">
      <c r="A1000" s="4">
        <v>43748</v>
      </c>
      <c r="B1000" t="s">
        <v>9</v>
      </c>
      <c r="C1000" t="s">
        <v>78</v>
      </c>
      <c r="F1000">
        <v>403</v>
      </c>
      <c r="J1000">
        <v>0.98399999999999999</v>
      </c>
      <c r="K1000">
        <v>36.6</v>
      </c>
      <c r="L1000">
        <v>37.299999999999997</v>
      </c>
      <c r="M1000">
        <v>265</v>
      </c>
      <c r="N1000">
        <v>45</v>
      </c>
      <c r="O1000">
        <v>9</v>
      </c>
      <c r="P1000">
        <v>1</v>
      </c>
    </row>
    <row r="1001" spans="1:16" x14ac:dyDescent="0.25">
      <c r="A1001" s="4">
        <v>43749</v>
      </c>
      <c r="B1001" t="s">
        <v>10</v>
      </c>
      <c r="C1001">
        <v>1</v>
      </c>
      <c r="F1001">
        <v>270</v>
      </c>
      <c r="J1001">
        <v>1.052</v>
      </c>
      <c r="K1001">
        <v>33.799999999999997</v>
      </c>
      <c r="L1001">
        <v>32.1</v>
      </c>
      <c r="M1001">
        <v>223</v>
      </c>
      <c r="N1001">
        <v>14</v>
      </c>
      <c r="O1001">
        <v>1</v>
      </c>
    </row>
    <row r="1002" spans="1:16" x14ac:dyDescent="0.25">
      <c r="A1002" s="4">
        <v>43749</v>
      </c>
      <c r="B1002" t="s">
        <v>9</v>
      </c>
      <c r="C1002">
        <v>1</v>
      </c>
      <c r="F1002">
        <v>280</v>
      </c>
      <c r="J1002">
        <v>0.98499999999999999</v>
      </c>
      <c r="K1002">
        <v>35</v>
      </c>
      <c r="L1002">
        <v>35.6</v>
      </c>
      <c r="M1002">
        <v>221</v>
      </c>
      <c r="N1002">
        <v>18</v>
      </c>
      <c r="O1002">
        <v>3</v>
      </c>
    </row>
    <row r="1003" spans="1:16" x14ac:dyDescent="0.25">
      <c r="A1003" s="4">
        <v>43749</v>
      </c>
      <c r="B1003" t="s">
        <v>9</v>
      </c>
      <c r="C1003">
        <v>2</v>
      </c>
      <c r="F1003">
        <v>251</v>
      </c>
      <c r="J1003">
        <v>0.90700000000000003</v>
      </c>
      <c r="K1003">
        <v>31.4</v>
      </c>
      <c r="L1003">
        <v>34.6</v>
      </c>
      <c r="M1003">
        <v>203</v>
      </c>
      <c r="N1003">
        <v>16</v>
      </c>
      <c r="O1003">
        <v>2</v>
      </c>
    </row>
    <row r="1004" spans="1:16" x14ac:dyDescent="0.25">
      <c r="A1004" s="4">
        <v>43749</v>
      </c>
      <c r="B1004" t="s">
        <v>10</v>
      </c>
      <c r="C1004" t="s">
        <v>78</v>
      </c>
      <c r="F1004">
        <v>270</v>
      </c>
      <c r="J1004">
        <v>1.052</v>
      </c>
      <c r="K1004">
        <v>33.799999999999997</v>
      </c>
      <c r="L1004">
        <v>32.1</v>
      </c>
      <c r="M1004">
        <v>223</v>
      </c>
      <c r="N1004">
        <v>14</v>
      </c>
      <c r="O1004">
        <v>1</v>
      </c>
    </row>
    <row r="1005" spans="1:16" x14ac:dyDescent="0.25">
      <c r="A1005" s="4">
        <v>43749</v>
      </c>
      <c r="B1005" t="s">
        <v>9</v>
      </c>
      <c r="C1005" t="s">
        <v>78</v>
      </c>
      <c r="F1005">
        <v>531</v>
      </c>
      <c r="J1005">
        <v>0.94599999999999995</v>
      </c>
      <c r="K1005">
        <v>33.200000000000003</v>
      </c>
      <c r="L1005">
        <v>35.1</v>
      </c>
      <c r="M1005">
        <v>424</v>
      </c>
      <c r="N1005">
        <v>34</v>
      </c>
      <c r="O1005">
        <v>5</v>
      </c>
    </row>
    <row r="1006" spans="1:16" x14ac:dyDescent="0.25">
      <c r="A1006" s="4">
        <v>43752</v>
      </c>
      <c r="B1006" t="s">
        <v>10</v>
      </c>
      <c r="C1006">
        <v>1</v>
      </c>
      <c r="F1006">
        <v>233</v>
      </c>
      <c r="J1006">
        <v>0.83899999999999997</v>
      </c>
      <c r="K1006">
        <v>29.1</v>
      </c>
      <c r="L1006">
        <v>34.700000000000003</v>
      </c>
      <c r="M1006">
        <v>148</v>
      </c>
      <c r="N1006">
        <v>21</v>
      </c>
      <c r="O1006">
        <v>8</v>
      </c>
      <c r="P1006">
        <v>1</v>
      </c>
    </row>
    <row r="1007" spans="1:16" x14ac:dyDescent="0.25">
      <c r="A1007" s="4">
        <v>43752</v>
      </c>
      <c r="B1007" t="s">
        <v>9</v>
      </c>
      <c r="C1007">
        <v>1</v>
      </c>
      <c r="F1007">
        <v>234</v>
      </c>
      <c r="J1007">
        <v>0.81799999999999995</v>
      </c>
      <c r="K1007">
        <v>29.3</v>
      </c>
      <c r="L1007">
        <v>35.700000000000003</v>
      </c>
      <c r="M1007">
        <v>178</v>
      </c>
      <c r="N1007">
        <v>20</v>
      </c>
      <c r="O1007">
        <v>3</v>
      </c>
    </row>
    <row r="1008" spans="1:16" x14ac:dyDescent="0.25">
      <c r="A1008" s="4">
        <v>43752</v>
      </c>
      <c r="B1008" t="s">
        <v>9</v>
      </c>
      <c r="C1008">
        <v>2</v>
      </c>
      <c r="F1008">
        <v>265</v>
      </c>
      <c r="J1008">
        <v>0.93700000000000006</v>
      </c>
      <c r="K1008">
        <v>33.1</v>
      </c>
      <c r="L1008">
        <v>35.4</v>
      </c>
      <c r="M1008">
        <v>215</v>
      </c>
      <c r="N1008">
        <v>16</v>
      </c>
      <c r="O1008">
        <v>2</v>
      </c>
    </row>
    <row r="1009" spans="1:16" x14ac:dyDescent="0.25">
      <c r="A1009" s="4">
        <v>43752</v>
      </c>
      <c r="B1009" t="s">
        <v>10</v>
      </c>
      <c r="C1009" t="s">
        <v>78</v>
      </c>
      <c r="F1009">
        <v>233</v>
      </c>
      <c r="J1009">
        <v>0.83899999999999997</v>
      </c>
      <c r="K1009">
        <v>29.1</v>
      </c>
      <c r="L1009">
        <v>34.700000000000003</v>
      </c>
      <c r="M1009">
        <v>148</v>
      </c>
      <c r="N1009">
        <v>21</v>
      </c>
      <c r="O1009">
        <v>8</v>
      </c>
      <c r="P1009">
        <v>1</v>
      </c>
    </row>
    <row r="1010" spans="1:16" x14ac:dyDescent="0.25">
      <c r="A1010" s="4">
        <v>43752</v>
      </c>
      <c r="B1010" t="s">
        <v>9</v>
      </c>
      <c r="C1010" t="s">
        <v>78</v>
      </c>
      <c r="F1010">
        <v>499</v>
      </c>
      <c r="J1010">
        <v>0.878</v>
      </c>
      <c r="K1010">
        <v>31.2</v>
      </c>
      <c r="L1010">
        <v>35.5</v>
      </c>
      <c r="M1010">
        <v>393</v>
      </c>
      <c r="N1010">
        <v>36</v>
      </c>
      <c r="O1010">
        <v>5</v>
      </c>
    </row>
    <row r="1011" spans="1:16" x14ac:dyDescent="0.25">
      <c r="A1011" s="4">
        <v>43753</v>
      </c>
      <c r="B1011" t="s">
        <v>10</v>
      </c>
      <c r="C1011">
        <v>1</v>
      </c>
      <c r="F1011">
        <v>234</v>
      </c>
      <c r="J1011">
        <v>0.82</v>
      </c>
      <c r="K1011">
        <v>29.3</v>
      </c>
      <c r="L1011">
        <v>35.700000000000003</v>
      </c>
      <c r="M1011">
        <v>157</v>
      </c>
      <c r="N1011">
        <v>15</v>
      </c>
      <c r="O1011">
        <v>4</v>
      </c>
      <c r="P1011">
        <v>3</v>
      </c>
    </row>
    <row r="1012" spans="1:16" x14ac:dyDescent="0.25">
      <c r="A1012" s="4">
        <v>43753</v>
      </c>
      <c r="B1012" t="s">
        <v>9</v>
      </c>
      <c r="C1012">
        <v>1</v>
      </c>
      <c r="F1012">
        <v>273</v>
      </c>
      <c r="J1012">
        <v>0.89800000000000002</v>
      </c>
      <c r="K1012">
        <v>34.1</v>
      </c>
      <c r="L1012">
        <v>38</v>
      </c>
      <c r="M1012">
        <v>190</v>
      </c>
      <c r="N1012">
        <v>14</v>
      </c>
      <c r="O1012">
        <v>6</v>
      </c>
      <c r="P1012">
        <v>2</v>
      </c>
    </row>
    <row r="1013" spans="1:16" x14ac:dyDescent="0.25">
      <c r="A1013" s="4">
        <v>43753</v>
      </c>
      <c r="B1013" t="s">
        <v>9</v>
      </c>
      <c r="C1013">
        <v>2</v>
      </c>
      <c r="F1013">
        <v>246</v>
      </c>
      <c r="J1013">
        <v>0.89600000000000002</v>
      </c>
      <c r="K1013">
        <v>30.8</v>
      </c>
      <c r="L1013">
        <v>34.299999999999997</v>
      </c>
      <c r="M1013">
        <v>218</v>
      </c>
      <c r="N1013">
        <v>10</v>
      </c>
      <c r="O1013">
        <v>1</v>
      </c>
    </row>
    <row r="1014" spans="1:16" x14ac:dyDescent="0.25">
      <c r="A1014" s="4">
        <v>43753</v>
      </c>
      <c r="B1014" t="s">
        <v>10</v>
      </c>
      <c r="C1014" t="s">
        <v>78</v>
      </c>
      <c r="F1014">
        <v>234</v>
      </c>
      <c r="J1014">
        <v>0.82</v>
      </c>
      <c r="K1014">
        <v>29.3</v>
      </c>
      <c r="L1014">
        <v>35.700000000000003</v>
      </c>
      <c r="M1014">
        <v>157</v>
      </c>
      <c r="N1014">
        <v>15</v>
      </c>
      <c r="O1014">
        <v>4</v>
      </c>
      <c r="P1014">
        <v>3</v>
      </c>
    </row>
    <row r="1015" spans="1:16" x14ac:dyDescent="0.25">
      <c r="A1015" s="4">
        <v>43753</v>
      </c>
      <c r="B1015" t="s">
        <v>9</v>
      </c>
      <c r="C1015" t="s">
        <v>78</v>
      </c>
      <c r="F1015">
        <v>519</v>
      </c>
      <c r="J1015">
        <v>0.89700000000000002</v>
      </c>
      <c r="K1015">
        <v>32.4</v>
      </c>
      <c r="L1015">
        <v>36.200000000000003</v>
      </c>
      <c r="M1015">
        <v>408</v>
      </c>
      <c r="N1015">
        <v>24</v>
      </c>
      <c r="O1015">
        <v>7</v>
      </c>
      <c r="P1015">
        <v>2</v>
      </c>
    </row>
    <row r="1016" spans="1:16" x14ac:dyDescent="0.25">
      <c r="A1016" s="4">
        <v>43754</v>
      </c>
      <c r="B1016" t="s">
        <v>10</v>
      </c>
      <c r="C1016">
        <v>1</v>
      </c>
      <c r="F1016">
        <v>124</v>
      </c>
      <c r="J1016">
        <v>0.94299999999999995</v>
      </c>
      <c r="K1016">
        <v>31</v>
      </c>
      <c r="L1016">
        <v>32.9</v>
      </c>
      <c r="M1016">
        <v>87</v>
      </c>
      <c r="N1016">
        <v>12</v>
      </c>
      <c r="O1016">
        <v>1</v>
      </c>
      <c r="P1016">
        <v>1</v>
      </c>
    </row>
    <row r="1017" spans="1:16" x14ac:dyDescent="0.25">
      <c r="A1017" s="4">
        <v>43754</v>
      </c>
      <c r="B1017" t="s">
        <v>9</v>
      </c>
      <c r="C1017">
        <v>1</v>
      </c>
      <c r="F1017">
        <v>147</v>
      </c>
      <c r="J1017">
        <v>0.97499999999999998</v>
      </c>
      <c r="K1017">
        <v>36.799999999999997</v>
      </c>
      <c r="L1017">
        <v>37.700000000000003</v>
      </c>
      <c r="M1017">
        <v>91</v>
      </c>
      <c r="N1017">
        <v>15</v>
      </c>
      <c r="O1017">
        <v>5</v>
      </c>
    </row>
    <row r="1018" spans="1:16" x14ac:dyDescent="0.25">
      <c r="A1018" s="4">
        <v>43754</v>
      </c>
      <c r="B1018" t="s">
        <v>9</v>
      </c>
      <c r="C1018">
        <v>2</v>
      </c>
      <c r="F1018">
        <v>248</v>
      </c>
      <c r="J1018">
        <v>0.85299999999999998</v>
      </c>
      <c r="K1018">
        <v>31</v>
      </c>
      <c r="L1018">
        <v>36.299999999999997</v>
      </c>
      <c r="M1018">
        <v>201</v>
      </c>
      <c r="N1018">
        <v>11</v>
      </c>
      <c r="O1018">
        <v>2</v>
      </c>
      <c r="P1018">
        <v>2</v>
      </c>
    </row>
    <row r="1019" spans="1:16" x14ac:dyDescent="0.25">
      <c r="A1019" s="4">
        <v>43754</v>
      </c>
      <c r="B1019" t="s">
        <v>10</v>
      </c>
      <c r="C1019" t="s">
        <v>78</v>
      </c>
      <c r="F1019">
        <v>124</v>
      </c>
      <c r="J1019">
        <v>0.94299999999999995</v>
      </c>
      <c r="K1019">
        <v>31</v>
      </c>
      <c r="L1019">
        <v>32.9</v>
      </c>
      <c r="M1019">
        <v>87</v>
      </c>
      <c r="N1019">
        <v>12</v>
      </c>
      <c r="O1019">
        <v>1</v>
      </c>
      <c r="P1019">
        <v>1</v>
      </c>
    </row>
    <row r="1020" spans="1:16" x14ac:dyDescent="0.25">
      <c r="A1020" s="4">
        <v>43754</v>
      </c>
      <c r="B1020" t="s">
        <v>9</v>
      </c>
      <c r="C1020" t="s">
        <v>78</v>
      </c>
      <c r="F1020">
        <v>395</v>
      </c>
      <c r="J1020">
        <v>0.89400000000000002</v>
      </c>
      <c r="K1020">
        <v>32.9</v>
      </c>
      <c r="L1020">
        <v>36.799999999999997</v>
      </c>
      <c r="M1020">
        <v>292</v>
      </c>
      <c r="N1020">
        <v>26</v>
      </c>
      <c r="O1020">
        <v>7</v>
      </c>
      <c r="P1020">
        <v>2</v>
      </c>
    </row>
    <row r="1021" spans="1:16" x14ac:dyDescent="0.25">
      <c r="A1021" s="4">
        <v>43755</v>
      </c>
      <c r="B1021" t="s">
        <v>10</v>
      </c>
      <c r="C1021">
        <v>1</v>
      </c>
      <c r="F1021">
        <v>280</v>
      </c>
      <c r="J1021">
        <v>0.96299999999999997</v>
      </c>
      <c r="K1021">
        <v>35</v>
      </c>
      <c r="L1021">
        <v>36.299999999999997</v>
      </c>
      <c r="M1021">
        <v>160</v>
      </c>
      <c r="N1021">
        <v>25</v>
      </c>
      <c r="O1021">
        <v>11</v>
      </c>
      <c r="P1021">
        <v>2</v>
      </c>
    </row>
    <row r="1022" spans="1:16" x14ac:dyDescent="0.25">
      <c r="A1022" s="4">
        <v>43755</v>
      </c>
      <c r="B1022" t="s">
        <v>9</v>
      </c>
      <c r="C1022">
        <v>1</v>
      </c>
      <c r="F1022">
        <v>256</v>
      </c>
      <c r="J1022">
        <v>0.84299999999999997</v>
      </c>
      <c r="K1022">
        <v>32</v>
      </c>
      <c r="L1022">
        <v>38</v>
      </c>
      <c r="M1022">
        <v>176</v>
      </c>
      <c r="N1022">
        <v>22</v>
      </c>
      <c r="O1022">
        <v>4</v>
      </c>
    </row>
    <row r="1023" spans="1:16" x14ac:dyDescent="0.25">
      <c r="A1023" s="4">
        <v>43755</v>
      </c>
      <c r="B1023" t="s">
        <v>10</v>
      </c>
      <c r="C1023">
        <v>2</v>
      </c>
      <c r="F1023">
        <v>61</v>
      </c>
      <c r="J1023">
        <v>0.44400000000000001</v>
      </c>
      <c r="K1023">
        <v>13.6</v>
      </c>
      <c r="L1023">
        <v>30.5</v>
      </c>
      <c r="M1023">
        <v>59</v>
      </c>
      <c r="N1023">
        <v>1</v>
      </c>
    </row>
    <row r="1024" spans="1:16" x14ac:dyDescent="0.25">
      <c r="A1024" s="4">
        <v>43755</v>
      </c>
      <c r="B1024" t="s">
        <v>9</v>
      </c>
      <c r="C1024">
        <v>2</v>
      </c>
      <c r="F1024">
        <v>99</v>
      </c>
      <c r="J1024">
        <v>0.82</v>
      </c>
      <c r="K1024">
        <v>28.3</v>
      </c>
      <c r="L1024">
        <v>34.5</v>
      </c>
      <c r="M1024">
        <v>83</v>
      </c>
      <c r="N1024">
        <v>6</v>
      </c>
    </row>
    <row r="1025" spans="1:16" x14ac:dyDescent="0.25">
      <c r="A1025" s="4">
        <v>43755</v>
      </c>
      <c r="B1025" t="s">
        <v>10</v>
      </c>
      <c r="C1025" t="s">
        <v>78</v>
      </c>
      <c r="F1025">
        <v>341</v>
      </c>
      <c r="J1025">
        <v>0.77600000000000002</v>
      </c>
      <c r="K1025">
        <v>27.3</v>
      </c>
      <c r="L1025">
        <v>35.1</v>
      </c>
      <c r="M1025">
        <v>219</v>
      </c>
      <c r="N1025">
        <v>26</v>
      </c>
      <c r="O1025">
        <v>11</v>
      </c>
      <c r="P1025">
        <v>2</v>
      </c>
    </row>
    <row r="1026" spans="1:16" x14ac:dyDescent="0.25">
      <c r="A1026" s="4">
        <v>43755</v>
      </c>
      <c r="B1026" t="s">
        <v>9</v>
      </c>
      <c r="C1026" t="s">
        <v>78</v>
      </c>
      <c r="F1026">
        <v>355</v>
      </c>
      <c r="J1026">
        <v>0.83599999999999997</v>
      </c>
      <c r="K1026">
        <v>30.9</v>
      </c>
      <c r="L1026">
        <v>36.9</v>
      </c>
      <c r="M1026">
        <v>259</v>
      </c>
      <c r="N1026">
        <v>28</v>
      </c>
      <c r="O1026">
        <v>4</v>
      </c>
    </row>
    <row r="1027" spans="1:16" x14ac:dyDescent="0.25">
      <c r="A1027" s="4">
        <v>43756</v>
      </c>
      <c r="B1027" t="s">
        <v>10</v>
      </c>
      <c r="C1027">
        <v>1</v>
      </c>
      <c r="F1027">
        <v>177</v>
      </c>
      <c r="J1027">
        <v>0.66600000000000004</v>
      </c>
      <c r="K1027">
        <v>22.1</v>
      </c>
      <c r="L1027">
        <v>33.200000000000003</v>
      </c>
      <c r="M1027">
        <v>131</v>
      </c>
      <c r="N1027">
        <v>13</v>
      </c>
      <c r="O1027">
        <v>4</v>
      </c>
    </row>
    <row r="1028" spans="1:16" x14ac:dyDescent="0.25">
      <c r="A1028" s="4">
        <v>43756</v>
      </c>
      <c r="B1028" t="s">
        <v>9</v>
      </c>
      <c r="C1028">
        <v>1</v>
      </c>
      <c r="F1028">
        <v>259</v>
      </c>
      <c r="J1028">
        <v>0.91700000000000004</v>
      </c>
      <c r="K1028">
        <v>32.4</v>
      </c>
      <c r="L1028">
        <v>35.299999999999997</v>
      </c>
      <c r="M1028">
        <v>212</v>
      </c>
      <c r="N1028">
        <v>12</v>
      </c>
      <c r="O1028">
        <v>3</v>
      </c>
    </row>
    <row r="1029" spans="1:16" x14ac:dyDescent="0.25">
      <c r="A1029" s="4">
        <v>43756</v>
      </c>
      <c r="B1029" t="s">
        <v>9</v>
      </c>
      <c r="C1029">
        <v>2</v>
      </c>
      <c r="F1029">
        <v>245</v>
      </c>
      <c r="J1029">
        <v>0.89500000000000002</v>
      </c>
      <c r="K1029">
        <v>30.6</v>
      </c>
      <c r="L1029">
        <v>34.200000000000003</v>
      </c>
      <c r="M1029">
        <v>209</v>
      </c>
      <c r="N1029">
        <v>13</v>
      </c>
    </row>
    <row r="1030" spans="1:16" x14ac:dyDescent="0.25">
      <c r="A1030" s="4">
        <v>43756</v>
      </c>
      <c r="B1030" t="s">
        <v>10</v>
      </c>
      <c r="C1030" t="s">
        <v>78</v>
      </c>
      <c r="F1030">
        <v>177</v>
      </c>
      <c r="J1030">
        <v>0.66600000000000004</v>
      </c>
      <c r="K1030">
        <v>22.1</v>
      </c>
      <c r="L1030">
        <v>33.200000000000003</v>
      </c>
      <c r="M1030">
        <v>131</v>
      </c>
      <c r="N1030">
        <v>13</v>
      </c>
      <c r="O1030">
        <v>4</v>
      </c>
    </row>
    <row r="1031" spans="1:16" x14ac:dyDescent="0.25">
      <c r="A1031" s="4">
        <v>43756</v>
      </c>
      <c r="B1031" t="s">
        <v>9</v>
      </c>
      <c r="C1031" t="s">
        <v>78</v>
      </c>
      <c r="F1031">
        <v>504</v>
      </c>
      <c r="J1031">
        <v>0.90600000000000003</v>
      </c>
      <c r="K1031">
        <v>31.5</v>
      </c>
      <c r="L1031">
        <v>34.799999999999997</v>
      </c>
      <c r="M1031">
        <v>421</v>
      </c>
      <c r="N1031">
        <v>25</v>
      </c>
      <c r="O1031">
        <v>3</v>
      </c>
      <c r="P1031">
        <v>1</v>
      </c>
    </row>
    <row r="1032" spans="1:16" x14ac:dyDescent="0.25">
      <c r="A1032" s="4">
        <v>43759</v>
      </c>
      <c r="B1032" t="s">
        <v>10</v>
      </c>
      <c r="C1032">
        <v>1</v>
      </c>
      <c r="F1032">
        <v>193</v>
      </c>
      <c r="J1032">
        <v>0.70199999999999996</v>
      </c>
      <c r="K1032">
        <v>24.1</v>
      </c>
      <c r="L1032">
        <v>34.4</v>
      </c>
      <c r="M1032">
        <v>127</v>
      </c>
      <c r="N1032">
        <v>18</v>
      </c>
      <c r="O1032">
        <v>5</v>
      </c>
      <c r="P1032">
        <v>1</v>
      </c>
    </row>
    <row r="1033" spans="1:16" x14ac:dyDescent="0.25">
      <c r="A1033" s="4">
        <v>43759</v>
      </c>
      <c r="B1033" t="s">
        <v>9</v>
      </c>
      <c r="C1033">
        <v>1</v>
      </c>
      <c r="F1033">
        <v>254</v>
      </c>
      <c r="J1033">
        <v>0.83699999999999997</v>
      </c>
      <c r="K1033">
        <v>31.8</v>
      </c>
      <c r="L1033">
        <v>37.9</v>
      </c>
      <c r="M1033">
        <v>169</v>
      </c>
      <c r="N1033">
        <v>24</v>
      </c>
      <c r="O1033">
        <v>6</v>
      </c>
    </row>
    <row r="1034" spans="1:16" x14ac:dyDescent="0.25">
      <c r="A1034" s="4">
        <v>43759</v>
      </c>
      <c r="B1034" t="s">
        <v>9</v>
      </c>
      <c r="C1034">
        <v>2</v>
      </c>
      <c r="F1034">
        <v>268</v>
      </c>
      <c r="J1034">
        <v>0.91300000000000003</v>
      </c>
      <c r="K1034">
        <v>33.5</v>
      </c>
      <c r="L1034">
        <v>36.700000000000003</v>
      </c>
      <c r="M1034">
        <v>199</v>
      </c>
      <c r="N1034">
        <v>19</v>
      </c>
      <c r="O1034">
        <v>3</v>
      </c>
      <c r="P1034">
        <v>1</v>
      </c>
    </row>
    <row r="1035" spans="1:16" x14ac:dyDescent="0.25">
      <c r="A1035" s="4">
        <v>43759</v>
      </c>
      <c r="B1035" t="s">
        <v>10</v>
      </c>
      <c r="C1035" t="s">
        <v>78</v>
      </c>
      <c r="F1035">
        <v>193</v>
      </c>
      <c r="J1035">
        <v>0.70199999999999996</v>
      </c>
      <c r="K1035">
        <v>24.1</v>
      </c>
      <c r="L1035">
        <v>34.4</v>
      </c>
      <c r="M1035">
        <v>127</v>
      </c>
      <c r="N1035">
        <v>18</v>
      </c>
      <c r="O1035">
        <v>5</v>
      </c>
      <c r="P1035">
        <v>1</v>
      </c>
    </row>
    <row r="1036" spans="1:16" x14ac:dyDescent="0.25">
      <c r="A1036" s="4">
        <v>43759</v>
      </c>
      <c r="B1036" t="s">
        <v>9</v>
      </c>
      <c r="C1036" t="s">
        <v>78</v>
      </c>
      <c r="F1036">
        <v>522</v>
      </c>
      <c r="J1036">
        <v>0.875</v>
      </c>
      <c r="K1036">
        <v>32.6</v>
      </c>
      <c r="L1036">
        <v>37.299999999999997</v>
      </c>
      <c r="M1036">
        <v>368</v>
      </c>
      <c r="N1036">
        <v>43</v>
      </c>
      <c r="O1036">
        <v>9</v>
      </c>
      <c r="P1036">
        <v>1</v>
      </c>
    </row>
    <row r="1037" spans="1:16" x14ac:dyDescent="0.25">
      <c r="A1037" s="4">
        <v>43760</v>
      </c>
      <c r="B1037" t="s">
        <v>10</v>
      </c>
      <c r="C1037">
        <v>1</v>
      </c>
      <c r="F1037">
        <v>169</v>
      </c>
      <c r="J1037">
        <v>0.622</v>
      </c>
      <c r="K1037">
        <v>21.1</v>
      </c>
      <c r="L1037">
        <v>33.9</v>
      </c>
      <c r="M1037">
        <v>117</v>
      </c>
      <c r="N1037">
        <v>13</v>
      </c>
      <c r="O1037">
        <v>3</v>
      </c>
      <c r="P1037">
        <v>1</v>
      </c>
    </row>
    <row r="1038" spans="1:16" x14ac:dyDescent="0.25">
      <c r="A1038" s="4">
        <v>43760</v>
      </c>
      <c r="B1038" t="s">
        <v>9</v>
      </c>
      <c r="C1038">
        <v>1</v>
      </c>
      <c r="F1038">
        <v>304</v>
      </c>
      <c r="J1038">
        <v>1.0129999999999999</v>
      </c>
      <c r="K1038">
        <v>38</v>
      </c>
      <c r="L1038">
        <v>37.5</v>
      </c>
      <c r="M1038">
        <v>223</v>
      </c>
      <c r="N1038">
        <v>23</v>
      </c>
      <c r="O1038">
        <v>4</v>
      </c>
    </row>
    <row r="1039" spans="1:16" x14ac:dyDescent="0.25">
      <c r="A1039" s="4">
        <v>43760</v>
      </c>
      <c r="B1039" t="s">
        <v>9</v>
      </c>
      <c r="C1039">
        <v>2</v>
      </c>
      <c r="F1039">
        <v>250</v>
      </c>
      <c r="J1039">
        <v>0.83399999999999996</v>
      </c>
      <c r="K1039">
        <v>31.3</v>
      </c>
      <c r="L1039">
        <v>37.5</v>
      </c>
      <c r="M1039">
        <v>173</v>
      </c>
      <c r="N1039">
        <v>19</v>
      </c>
      <c r="O1039">
        <v>4</v>
      </c>
      <c r="P1039">
        <v>2</v>
      </c>
    </row>
    <row r="1040" spans="1:16" x14ac:dyDescent="0.25">
      <c r="A1040" s="4">
        <v>43760</v>
      </c>
      <c r="B1040" t="s">
        <v>10</v>
      </c>
      <c r="C1040" t="s">
        <v>78</v>
      </c>
      <c r="F1040">
        <v>169</v>
      </c>
      <c r="J1040">
        <v>0.622</v>
      </c>
      <c r="K1040">
        <v>21.1</v>
      </c>
      <c r="L1040">
        <v>33.9</v>
      </c>
      <c r="M1040">
        <v>117</v>
      </c>
      <c r="N1040">
        <v>13</v>
      </c>
      <c r="O1040">
        <v>3</v>
      </c>
      <c r="P1040">
        <v>1</v>
      </c>
    </row>
    <row r="1041" spans="1:16" x14ac:dyDescent="0.25">
      <c r="A1041" s="4">
        <v>43760</v>
      </c>
      <c r="B1041" t="s">
        <v>9</v>
      </c>
      <c r="C1041" t="s">
        <v>78</v>
      </c>
      <c r="F1041">
        <v>554</v>
      </c>
      <c r="J1041">
        <v>0.92400000000000004</v>
      </c>
      <c r="K1041">
        <v>34.6</v>
      </c>
      <c r="L1041">
        <v>37.5</v>
      </c>
      <c r="M1041">
        <v>396</v>
      </c>
      <c r="N1041">
        <v>42</v>
      </c>
      <c r="O1041">
        <v>8</v>
      </c>
      <c r="P1041">
        <v>2</v>
      </c>
    </row>
    <row r="1042" spans="1:16" x14ac:dyDescent="0.25">
      <c r="A1042" s="4">
        <v>43761</v>
      </c>
      <c r="B1042" t="s">
        <v>10</v>
      </c>
      <c r="C1042">
        <v>1</v>
      </c>
      <c r="F1042">
        <v>231</v>
      </c>
      <c r="J1042">
        <v>0.82</v>
      </c>
      <c r="K1042">
        <v>28.9</v>
      </c>
      <c r="L1042">
        <v>35.200000000000003</v>
      </c>
      <c r="M1042">
        <v>146</v>
      </c>
      <c r="N1042">
        <v>22</v>
      </c>
      <c r="O1042">
        <v>8</v>
      </c>
    </row>
    <row r="1043" spans="1:16" x14ac:dyDescent="0.25">
      <c r="A1043" s="4">
        <v>43761</v>
      </c>
      <c r="B1043" t="s">
        <v>9</v>
      </c>
      <c r="C1043">
        <v>1</v>
      </c>
      <c r="F1043">
        <v>236</v>
      </c>
      <c r="J1043">
        <v>0.77300000000000002</v>
      </c>
      <c r="K1043">
        <v>29.5</v>
      </c>
      <c r="L1043">
        <v>38.1</v>
      </c>
      <c r="M1043">
        <v>173</v>
      </c>
      <c r="N1043">
        <v>13</v>
      </c>
      <c r="O1043">
        <v>6</v>
      </c>
    </row>
    <row r="1044" spans="1:16" x14ac:dyDescent="0.25">
      <c r="A1044" s="4">
        <v>43761</v>
      </c>
      <c r="B1044" t="s">
        <v>9</v>
      </c>
      <c r="C1044">
        <v>2</v>
      </c>
      <c r="F1044">
        <v>300</v>
      </c>
      <c r="J1044">
        <v>1.0529999999999999</v>
      </c>
      <c r="K1044">
        <v>37.5</v>
      </c>
      <c r="L1044">
        <v>35.6</v>
      </c>
      <c r="M1044">
        <v>235</v>
      </c>
      <c r="N1044">
        <v>19</v>
      </c>
      <c r="O1044">
        <v>5</v>
      </c>
      <c r="P1044">
        <v>1</v>
      </c>
    </row>
    <row r="1045" spans="1:16" x14ac:dyDescent="0.25">
      <c r="A1045" s="4">
        <v>43761</v>
      </c>
      <c r="B1045" t="s">
        <v>10</v>
      </c>
      <c r="C1045" t="s">
        <v>78</v>
      </c>
      <c r="F1045">
        <v>231</v>
      </c>
      <c r="J1045">
        <v>0.82</v>
      </c>
      <c r="K1045">
        <v>28.9</v>
      </c>
      <c r="L1045">
        <v>35.200000000000003</v>
      </c>
      <c r="M1045">
        <v>146</v>
      </c>
      <c r="N1045">
        <v>22</v>
      </c>
      <c r="O1045">
        <v>8</v>
      </c>
    </row>
    <row r="1046" spans="1:16" x14ac:dyDescent="0.25">
      <c r="A1046" s="4">
        <v>43761</v>
      </c>
      <c r="B1046" t="s">
        <v>9</v>
      </c>
      <c r="C1046" t="s">
        <v>78</v>
      </c>
      <c r="F1046">
        <v>536</v>
      </c>
      <c r="J1046">
        <v>0.91300000000000003</v>
      </c>
      <c r="K1046">
        <v>33.5</v>
      </c>
      <c r="L1046">
        <v>36.700000000000003</v>
      </c>
      <c r="M1046">
        <v>408</v>
      </c>
      <c r="N1046">
        <v>32</v>
      </c>
      <c r="O1046">
        <v>11</v>
      </c>
      <c r="P1046">
        <v>1</v>
      </c>
    </row>
    <row r="1047" spans="1:16" x14ac:dyDescent="0.25">
      <c r="A1047" s="4">
        <v>43762</v>
      </c>
      <c r="B1047" t="s">
        <v>10</v>
      </c>
      <c r="C1047">
        <v>1</v>
      </c>
      <c r="F1047">
        <v>241</v>
      </c>
      <c r="J1047">
        <v>0.89600000000000002</v>
      </c>
      <c r="K1047">
        <v>30.1</v>
      </c>
      <c r="L1047">
        <v>33.6</v>
      </c>
      <c r="M1047">
        <v>155</v>
      </c>
      <c r="N1047">
        <v>28</v>
      </c>
      <c r="O1047">
        <v>3</v>
      </c>
      <c r="P1047">
        <v>1</v>
      </c>
    </row>
    <row r="1048" spans="1:16" x14ac:dyDescent="0.25">
      <c r="A1048" s="4">
        <v>43762</v>
      </c>
      <c r="B1048" t="s">
        <v>9</v>
      </c>
      <c r="C1048">
        <v>1</v>
      </c>
      <c r="F1048">
        <v>270</v>
      </c>
      <c r="J1048">
        <v>0.93899999999999995</v>
      </c>
      <c r="K1048">
        <v>33.799999999999997</v>
      </c>
      <c r="L1048">
        <v>36</v>
      </c>
      <c r="M1048">
        <v>212</v>
      </c>
      <c r="N1048">
        <v>18</v>
      </c>
      <c r="O1048">
        <v>3</v>
      </c>
    </row>
    <row r="1049" spans="1:16" x14ac:dyDescent="0.25">
      <c r="A1049" s="4">
        <v>43762</v>
      </c>
      <c r="B1049" t="s">
        <v>9</v>
      </c>
      <c r="C1049">
        <v>2</v>
      </c>
      <c r="F1049">
        <v>273</v>
      </c>
      <c r="J1049">
        <v>0.95299999999999996</v>
      </c>
      <c r="K1049">
        <v>34.1</v>
      </c>
      <c r="L1049">
        <v>35.799999999999997</v>
      </c>
      <c r="M1049">
        <v>203</v>
      </c>
      <c r="N1049">
        <v>17</v>
      </c>
      <c r="O1049">
        <v>4</v>
      </c>
      <c r="P1049">
        <v>2</v>
      </c>
    </row>
    <row r="1050" spans="1:16" x14ac:dyDescent="0.25">
      <c r="A1050" s="4">
        <v>43762</v>
      </c>
      <c r="B1050" t="s">
        <v>10</v>
      </c>
      <c r="C1050" t="s">
        <v>78</v>
      </c>
      <c r="F1050">
        <v>241</v>
      </c>
      <c r="J1050">
        <v>0.89600000000000002</v>
      </c>
      <c r="K1050">
        <v>30.1</v>
      </c>
      <c r="L1050">
        <v>33.6</v>
      </c>
      <c r="M1050">
        <v>155</v>
      </c>
      <c r="N1050">
        <v>28</v>
      </c>
      <c r="O1050">
        <v>3</v>
      </c>
      <c r="P1050">
        <v>1</v>
      </c>
    </row>
    <row r="1051" spans="1:16" x14ac:dyDescent="0.25">
      <c r="A1051" s="4">
        <v>43762</v>
      </c>
      <c r="B1051" t="s">
        <v>9</v>
      </c>
      <c r="C1051" t="s">
        <v>78</v>
      </c>
      <c r="F1051">
        <v>543</v>
      </c>
      <c r="J1051">
        <v>0.94599999999999995</v>
      </c>
      <c r="K1051">
        <v>33.9</v>
      </c>
      <c r="L1051">
        <v>35.9</v>
      </c>
      <c r="M1051">
        <v>415</v>
      </c>
      <c r="N1051">
        <v>35</v>
      </c>
      <c r="O1051">
        <v>7</v>
      </c>
      <c r="P1051">
        <v>2</v>
      </c>
    </row>
    <row r="1052" spans="1:16" x14ac:dyDescent="0.25">
      <c r="A1052" s="4">
        <v>43763</v>
      </c>
      <c r="B1052" t="s">
        <v>10</v>
      </c>
      <c r="C1052">
        <v>1</v>
      </c>
      <c r="F1052">
        <v>235</v>
      </c>
      <c r="J1052">
        <v>0.83199999999999996</v>
      </c>
      <c r="K1052">
        <v>29.4</v>
      </c>
      <c r="L1052">
        <v>35.299999999999997</v>
      </c>
      <c r="M1052">
        <v>145</v>
      </c>
      <c r="N1052">
        <v>18</v>
      </c>
      <c r="O1052">
        <v>10</v>
      </c>
      <c r="P1052">
        <v>1</v>
      </c>
    </row>
    <row r="1053" spans="1:16" x14ac:dyDescent="0.25">
      <c r="A1053" s="4">
        <v>43763</v>
      </c>
      <c r="B1053" t="s">
        <v>9</v>
      </c>
      <c r="C1053">
        <v>1</v>
      </c>
      <c r="F1053">
        <v>260</v>
      </c>
      <c r="J1053">
        <v>0.92</v>
      </c>
      <c r="K1053">
        <v>32.5</v>
      </c>
      <c r="L1053">
        <v>35.299999999999997</v>
      </c>
      <c r="M1053">
        <v>200</v>
      </c>
      <c r="N1053">
        <v>21</v>
      </c>
      <c r="O1053">
        <v>2</v>
      </c>
    </row>
    <row r="1054" spans="1:16" x14ac:dyDescent="0.25">
      <c r="A1054" s="4">
        <v>43763</v>
      </c>
      <c r="B1054" t="s">
        <v>9</v>
      </c>
      <c r="C1054">
        <v>2</v>
      </c>
      <c r="F1054">
        <v>266</v>
      </c>
      <c r="J1054">
        <v>0.92100000000000004</v>
      </c>
      <c r="K1054">
        <v>33.299999999999997</v>
      </c>
      <c r="L1054">
        <v>36.1</v>
      </c>
      <c r="M1054">
        <v>212</v>
      </c>
      <c r="N1054">
        <v>10</v>
      </c>
      <c r="O1054">
        <v>4</v>
      </c>
      <c r="P1054">
        <v>1</v>
      </c>
    </row>
    <row r="1055" spans="1:16" x14ac:dyDescent="0.25">
      <c r="A1055" s="4">
        <v>43763</v>
      </c>
      <c r="B1055" t="s">
        <v>10</v>
      </c>
      <c r="C1055" t="s">
        <v>78</v>
      </c>
      <c r="F1055">
        <v>235</v>
      </c>
      <c r="J1055">
        <v>0.83199999999999996</v>
      </c>
      <c r="K1055">
        <v>29.4</v>
      </c>
      <c r="L1055">
        <v>35.299999999999997</v>
      </c>
      <c r="M1055">
        <v>145</v>
      </c>
      <c r="N1055">
        <v>18</v>
      </c>
      <c r="O1055">
        <v>10</v>
      </c>
      <c r="P1055">
        <v>1</v>
      </c>
    </row>
    <row r="1056" spans="1:16" x14ac:dyDescent="0.25">
      <c r="A1056" s="4">
        <v>43763</v>
      </c>
      <c r="B1056" t="s">
        <v>9</v>
      </c>
      <c r="C1056" t="s">
        <v>78</v>
      </c>
      <c r="F1056">
        <v>526</v>
      </c>
      <c r="J1056">
        <v>0.92</v>
      </c>
      <c r="K1056">
        <v>32.9</v>
      </c>
      <c r="L1056">
        <v>35.700000000000003</v>
      </c>
      <c r="M1056">
        <v>412</v>
      </c>
      <c r="N1056">
        <v>31</v>
      </c>
      <c r="O1056">
        <v>6</v>
      </c>
      <c r="P1056">
        <v>1</v>
      </c>
    </row>
    <row r="1057" spans="1:16" x14ac:dyDescent="0.25">
      <c r="A1057" s="4">
        <v>43766</v>
      </c>
      <c r="B1057" t="s">
        <v>10</v>
      </c>
      <c r="C1057">
        <v>1</v>
      </c>
      <c r="F1057">
        <v>241</v>
      </c>
      <c r="J1057">
        <v>0.873</v>
      </c>
      <c r="K1057">
        <v>30.1</v>
      </c>
      <c r="L1057">
        <v>34.5</v>
      </c>
      <c r="M1057">
        <v>143</v>
      </c>
      <c r="N1057">
        <v>35</v>
      </c>
      <c r="O1057">
        <v>5</v>
      </c>
      <c r="P1057">
        <v>1</v>
      </c>
    </row>
    <row r="1058" spans="1:16" x14ac:dyDescent="0.25">
      <c r="A1058" s="4">
        <v>43766</v>
      </c>
      <c r="B1058" t="s">
        <v>9</v>
      </c>
      <c r="C1058">
        <v>1</v>
      </c>
      <c r="F1058">
        <v>302</v>
      </c>
      <c r="J1058">
        <v>1.03</v>
      </c>
      <c r="K1058">
        <v>37.799999999999997</v>
      </c>
      <c r="L1058">
        <v>36.700000000000003</v>
      </c>
      <c r="M1058">
        <v>217</v>
      </c>
      <c r="N1058">
        <v>25</v>
      </c>
      <c r="O1058">
        <v>6</v>
      </c>
    </row>
    <row r="1059" spans="1:16" x14ac:dyDescent="0.25">
      <c r="A1059" s="4">
        <v>43766</v>
      </c>
      <c r="B1059" t="s">
        <v>9</v>
      </c>
      <c r="C1059">
        <v>2</v>
      </c>
      <c r="F1059">
        <v>241</v>
      </c>
      <c r="J1059">
        <v>0.86099999999999999</v>
      </c>
      <c r="K1059">
        <v>30.1</v>
      </c>
      <c r="L1059">
        <v>35</v>
      </c>
      <c r="M1059">
        <v>206</v>
      </c>
      <c r="N1059">
        <v>9</v>
      </c>
      <c r="O1059">
        <v>2</v>
      </c>
      <c r="P1059">
        <v>1</v>
      </c>
    </row>
    <row r="1060" spans="1:16" x14ac:dyDescent="0.25">
      <c r="A1060" s="4">
        <v>43766</v>
      </c>
      <c r="B1060" t="s">
        <v>10</v>
      </c>
      <c r="C1060" t="s">
        <v>78</v>
      </c>
      <c r="F1060">
        <v>302</v>
      </c>
      <c r="J1060">
        <v>1.03</v>
      </c>
      <c r="K1060">
        <v>37.799999999999997</v>
      </c>
      <c r="L1060">
        <v>36.700000000000003</v>
      </c>
      <c r="M1060">
        <v>217</v>
      </c>
      <c r="N1060">
        <v>25</v>
      </c>
      <c r="O1060">
        <v>6</v>
      </c>
    </row>
    <row r="1061" spans="1:16" x14ac:dyDescent="0.25">
      <c r="A1061" s="4">
        <v>43766</v>
      </c>
      <c r="B1061" t="s">
        <v>9</v>
      </c>
      <c r="C1061" t="s">
        <v>78</v>
      </c>
      <c r="F1061">
        <v>543</v>
      </c>
      <c r="J1061">
        <v>0.94499999999999995</v>
      </c>
      <c r="K1061">
        <v>33.9</v>
      </c>
      <c r="L1061">
        <v>35.9</v>
      </c>
      <c r="M1061">
        <v>423</v>
      </c>
      <c r="N1061">
        <v>34</v>
      </c>
      <c r="O1061">
        <v>8</v>
      </c>
      <c r="P1061">
        <v>1</v>
      </c>
    </row>
    <row r="1062" spans="1:16" x14ac:dyDescent="0.25">
      <c r="A1062" s="4">
        <v>43767</v>
      </c>
      <c r="B1062" t="s">
        <v>10</v>
      </c>
      <c r="C1062">
        <v>1</v>
      </c>
      <c r="F1062">
        <v>232</v>
      </c>
      <c r="J1062">
        <v>0.84899999999999998</v>
      </c>
      <c r="K1062">
        <v>29</v>
      </c>
      <c r="L1062">
        <v>34.200000000000003</v>
      </c>
      <c r="M1062">
        <v>148</v>
      </c>
      <c r="N1062">
        <v>24</v>
      </c>
      <c r="O1062">
        <v>7</v>
      </c>
    </row>
    <row r="1063" spans="1:16" x14ac:dyDescent="0.25">
      <c r="A1063" s="4">
        <v>43767</v>
      </c>
      <c r="B1063" t="s">
        <v>9</v>
      </c>
      <c r="C1063">
        <v>1</v>
      </c>
      <c r="F1063">
        <v>233</v>
      </c>
      <c r="J1063">
        <v>0.80300000000000005</v>
      </c>
      <c r="K1063">
        <v>29.1</v>
      </c>
      <c r="L1063">
        <v>36.299999999999997</v>
      </c>
      <c r="M1063">
        <v>178</v>
      </c>
      <c r="N1063">
        <v>14</v>
      </c>
      <c r="O1063">
        <v>5</v>
      </c>
    </row>
    <row r="1064" spans="1:16" x14ac:dyDescent="0.25">
      <c r="A1064" s="4">
        <v>43767</v>
      </c>
      <c r="B1064" t="s">
        <v>9</v>
      </c>
      <c r="C1064">
        <v>2</v>
      </c>
      <c r="F1064">
        <v>255</v>
      </c>
      <c r="J1064">
        <v>0.92900000000000005</v>
      </c>
      <c r="K1064">
        <v>31.9</v>
      </c>
      <c r="L1064">
        <v>34.299999999999997</v>
      </c>
      <c r="M1064">
        <v>228</v>
      </c>
      <c r="N1064">
        <v>10</v>
      </c>
      <c r="O1064">
        <v>1</v>
      </c>
    </row>
    <row r="1065" spans="1:16" x14ac:dyDescent="0.25">
      <c r="A1065" s="4">
        <v>43767</v>
      </c>
      <c r="B1065" t="s">
        <v>10</v>
      </c>
      <c r="C1065" t="s">
        <v>78</v>
      </c>
      <c r="F1065">
        <v>232</v>
      </c>
      <c r="J1065">
        <v>0.84899999999999998</v>
      </c>
      <c r="K1065">
        <v>29</v>
      </c>
      <c r="L1065">
        <v>34.200000000000003</v>
      </c>
      <c r="M1065">
        <v>148</v>
      </c>
      <c r="N1065">
        <v>24</v>
      </c>
      <c r="O1065">
        <v>7</v>
      </c>
    </row>
    <row r="1066" spans="1:16" x14ac:dyDescent="0.25">
      <c r="A1066" s="4">
        <v>43767</v>
      </c>
      <c r="B1066" t="s">
        <v>9</v>
      </c>
      <c r="C1066" t="s">
        <v>78</v>
      </c>
      <c r="F1066">
        <v>488</v>
      </c>
      <c r="J1066">
        <v>0.86599999999999999</v>
      </c>
      <c r="K1066">
        <v>30.5</v>
      </c>
      <c r="L1066">
        <v>35.200000000000003</v>
      </c>
      <c r="M1066">
        <v>406</v>
      </c>
      <c r="N1066">
        <v>24</v>
      </c>
      <c r="O1066">
        <v>6</v>
      </c>
    </row>
    <row r="1067" spans="1:16" x14ac:dyDescent="0.25">
      <c r="A1067" s="4">
        <v>43768</v>
      </c>
      <c r="B1067" t="s">
        <v>10</v>
      </c>
      <c r="C1067">
        <v>1</v>
      </c>
      <c r="F1067">
        <v>241</v>
      </c>
      <c r="J1067">
        <v>0.89500000000000002</v>
      </c>
      <c r="K1067">
        <v>30.1</v>
      </c>
      <c r="L1067">
        <v>33.700000000000003</v>
      </c>
      <c r="M1067">
        <v>168</v>
      </c>
      <c r="N1067">
        <v>18</v>
      </c>
      <c r="O1067">
        <v>4</v>
      </c>
      <c r="P1067">
        <v>2</v>
      </c>
    </row>
    <row r="1068" spans="1:16" x14ac:dyDescent="0.25">
      <c r="A1068" s="4">
        <v>43768</v>
      </c>
      <c r="B1068" t="s">
        <v>9</v>
      </c>
      <c r="C1068">
        <v>1</v>
      </c>
      <c r="F1068">
        <v>224</v>
      </c>
      <c r="J1068">
        <v>0.77</v>
      </c>
      <c r="K1068">
        <v>28</v>
      </c>
      <c r="L1068">
        <v>36.4</v>
      </c>
      <c r="M1068">
        <v>172</v>
      </c>
      <c r="N1068">
        <v>15</v>
      </c>
      <c r="O1068">
        <v>2</v>
      </c>
    </row>
    <row r="1069" spans="1:16" x14ac:dyDescent="0.25">
      <c r="A1069" s="4">
        <v>43768</v>
      </c>
      <c r="B1069" t="s">
        <v>9</v>
      </c>
      <c r="C1069">
        <v>2</v>
      </c>
      <c r="F1069">
        <v>264</v>
      </c>
      <c r="J1069">
        <v>0.90600000000000003</v>
      </c>
      <c r="K1069">
        <v>33</v>
      </c>
      <c r="L1069">
        <v>36.4</v>
      </c>
      <c r="M1069">
        <v>192</v>
      </c>
      <c r="N1069">
        <v>17</v>
      </c>
      <c r="O1069">
        <v>8</v>
      </c>
    </row>
    <row r="1070" spans="1:16" x14ac:dyDescent="0.25">
      <c r="A1070" s="4">
        <v>43768</v>
      </c>
      <c r="B1070" t="s">
        <v>10</v>
      </c>
      <c r="C1070" t="s">
        <v>78</v>
      </c>
      <c r="F1070">
        <v>241</v>
      </c>
      <c r="J1070">
        <v>0.89500000000000002</v>
      </c>
      <c r="K1070">
        <v>30.1</v>
      </c>
      <c r="L1070">
        <v>33.700000000000003</v>
      </c>
      <c r="M1070">
        <v>168</v>
      </c>
      <c r="N1070">
        <v>18</v>
      </c>
      <c r="O1070">
        <v>4</v>
      </c>
      <c r="P1070">
        <v>2</v>
      </c>
    </row>
    <row r="1071" spans="1:16" x14ac:dyDescent="0.25">
      <c r="A1071" s="4">
        <v>43768</v>
      </c>
      <c r="B1071" t="s">
        <v>9</v>
      </c>
      <c r="C1071" t="s">
        <v>78</v>
      </c>
      <c r="F1071">
        <v>488</v>
      </c>
      <c r="J1071">
        <v>0.83799999999999997</v>
      </c>
      <c r="K1071">
        <v>30.5</v>
      </c>
      <c r="L1071">
        <v>36.4</v>
      </c>
      <c r="M1071">
        <v>364</v>
      </c>
      <c r="N1071">
        <v>32</v>
      </c>
      <c r="O1071">
        <v>10</v>
      </c>
    </row>
    <row r="1072" spans="1:16" x14ac:dyDescent="0.25">
      <c r="A1072" s="4">
        <v>43769</v>
      </c>
      <c r="B1072" t="s">
        <v>10</v>
      </c>
      <c r="C1072">
        <v>1</v>
      </c>
      <c r="F1072">
        <v>199</v>
      </c>
      <c r="J1072">
        <v>0.71799999999999997</v>
      </c>
      <c r="K1072">
        <v>24.9</v>
      </c>
      <c r="L1072">
        <v>34.6</v>
      </c>
      <c r="M1072">
        <v>118</v>
      </c>
      <c r="N1072">
        <v>27</v>
      </c>
      <c r="O1072">
        <v>4</v>
      </c>
    </row>
    <row r="1073" spans="1:16" x14ac:dyDescent="0.25">
      <c r="A1073" s="4">
        <v>43769</v>
      </c>
      <c r="B1073" t="s">
        <v>9</v>
      </c>
      <c r="C1073">
        <v>1</v>
      </c>
      <c r="F1073">
        <v>265</v>
      </c>
      <c r="J1073">
        <v>0.92300000000000004</v>
      </c>
      <c r="K1073">
        <v>33.1</v>
      </c>
      <c r="L1073">
        <v>35.9</v>
      </c>
      <c r="M1073">
        <v>200</v>
      </c>
      <c r="N1073">
        <v>20</v>
      </c>
      <c r="O1073">
        <v>4</v>
      </c>
    </row>
    <row r="1074" spans="1:16" x14ac:dyDescent="0.25">
      <c r="A1074" s="4">
        <v>43769</v>
      </c>
      <c r="B1074" t="s">
        <v>9</v>
      </c>
      <c r="C1074">
        <v>2</v>
      </c>
      <c r="F1074">
        <v>280</v>
      </c>
      <c r="J1074">
        <v>0.92700000000000005</v>
      </c>
      <c r="K1074">
        <v>35</v>
      </c>
      <c r="L1074">
        <v>37.700000000000003</v>
      </c>
      <c r="M1074">
        <v>199</v>
      </c>
      <c r="N1074">
        <v>15</v>
      </c>
      <c r="O1074">
        <v>8</v>
      </c>
      <c r="P1074">
        <v>2</v>
      </c>
    </row>
    <row r="1075" spans="1:16" x14ac:dyDescent="0.25">
      <c r="A1075" s="4">
        <v>43769</v>
      </c>
      <c r="B1075" t="s">
        <v>10</v>
      </c>
      <c r="C1075" t="s">
        <v>78</v>
      </c>
      <c r="F1075">
        <v>199</v>
      </c>
      <c r="J1075">
        <v>0.71799999999999997</v>
      </c>
      <c r="K1075">
        <v>24.9</v>
      </c>
      <c r="L1075">
        <v>34.6</v>
      </c>
      <c r="M1075">
        <v>118</v>
      </c>
      <c r="N1075">
        <v>27</v>
      </c>
      <c r="O1075">
        <v>4</v>
      </c>
    </row>
    <row r="1076" spans="1:16" x14ac:dyDescent="0.25">
      <c r="A1076" s="4">
        <v>43769</v>
      </c>
      <c r="B1076" t="s">
        <v>9</v>
      </c>
      <c r="C1076" t="s">
        <v>78</v>
      </c>
      <c r="F1076">
        <v>545</v>
      </c>
      <c r="J1076">
        <v>0.92500000000000004</v>
      </c>
      <c r="K1076">
        <v>34.1</v>
      </c>
      <c r="L1076">
        <v>36.799999999999997</v>
      </c>
      <c r="M1076">
        <v>399</v>
      </c>
      <c r="N1076">
        <v>35</v>
      </c>
      <c r="O1076">
        <v>12</v>
      </c>
      <c r="P1076">
        <v>2</v>
      </c>
    </row>
    <row r="1077" spans="1:16" x14ac:dyDescent="0.25">
      <c r="A1077" s="4">
        <v>43770</v>
      </c>
      <c r="B1077" t="s">
        <v>10</v>
      </c>
      <c r="C1077">
        <v>1</v>
      </c>
      <c r="F1077">
        <v>222</v>
      </c>
      <c r="J1077">
        <v>0.80700000000000005</v>
      </c>
      <c r="K1077">
        <v>27.8</v>
      </c>
      <c r="L1077">
        <v>34.4</v>
      </c>
      <c r="M1077">
        <v>145</v>
      </c>
      <c r="N1077">
        <v>16</v>
      </c>
      <c r="O1077">
        <v>11</v>
      </c>
    </row>
    <row r="1078" spans="1:16" x14ac:dyDescent="0.25">
      <c r="A1078" s="4">
        <v>43770</v>
      </c>
      <c r="B1078" t="s">
        <v>9</v>
      </c>
      <c r="C1078">
        <v>1</v>
      </c>
      <c r="F1078">
        <v>265</v>
      </c>
      <c r="J1078">
        <v>0.90800000000000003</v>
      </c>
      <c r="K1078">
        <v>33.1</v>
      </c>
      <c r="L1078">
        <v>36.5</v>
      </c>
      <c r="M1078">
        <v>216</v>
      </c>
      <c r="N1078">
        <v>13</v>
      </c>
      <c r="O1078">
        <v>3</v>
      </c>
    </row>
    <row r="1079" spans="1:16" x14ac:dyDescent="0.25">
      <c r="A1079" s="4">
        <v>43770</v>
      </c>
      <c r="B1079" t="s">
        <v>9</v>
      </c>
      <c r="C1079">
        <v>2</v>
      </c>
      <c r="F1079">
        <v>239</v>
      </c>
      <c r="J1079">
        <v>0.91100000000000003</v>
      </c>
      <c r="K1079">
        <v>31.9</v>
      </c>
      <c r="L1079">
        <v>35</v>
      </c>
      <c r="M1079">
        <v>193</v>
      </c>
      <c r="N1079">
        <v>14</v>
      </c>
      <c r="O1079">
        <v>2</v>
      </c>
      <c r="P1079">
        <v>1</v>
      </c>
    </row>
    <row r="1080" spans="1:16" x14ac:dyDescent="0.25">
      <c r="A1080" s="4">
        <v>43770</v>
      </c>
      <c r="B1080" t="s">
        <v>10</v>
      </c>
      <c r="C1080" t="s">
        <v>78</v>
      </c>
      <c r="F1080">
        <v>222</v>
      </c>
      <c r="J1080">
        <v>0.80700000000000005</v>
      </c>
      <c r="K1080">
        <v>27.8</v>
      </c>
      <c r="L1080">
        <v>34.4</v>
      </c>
      <c r="M1080">
        <v>145</v>
      </c>
      <c r="N1080">
        <v>16</v>
      </c>
      <c r="O1080">
        <v>11</v>
      </c>
    </row>
    <row r="1081" spans="1:16" x14ac:dyDescent="0.25">
      <c r="A1081" s="4">
        <v>43770</v>
      </c>
      <c r="B1081" t="s">
        <v>9</v>
      </c>
      <c r="C1081" t="s">
        <v>78</v>
      </c>
      <c r="F1081">
        <v>504</v>
      </c>
      <c r="J1081">
        <v>0.91</v>
      </c>
      <c r="K1081">
        <v>32.5</v>
      </c>
      <c r="L1081">
        <v>35.799999999999997</v>
      </c>
      <c r="M1081">
        <v>409</v>
      </c>
      <c r="N1081">
        <v>27</v>
      </c>
      <c r="O1081">
        <v>5</v>
      </c>
      <c r="P1081">
        <v>1</v>
      </c>
    </row>
    <row r="1082" spans="1:16" x14ac:dyDescent="0.25">
      <c r="A1082" s="4">
        <v>43773</v>
      </c>
      <c r="B1082" t="s">
        <v>10</v>
      </c>
      <c r="C1082">
        <v>1</v>
      </c>
      <c r="F1082">
        <v>239</v>
      </c>
      <c r="J1082">
        <v>0.877</v>
      </c>
      <c r="K1082">
        <v>29.9</v>
      </c>
      <c r="L1082">
        <v>34.1</v>
      </c>
      <c r="M1082">
        <v>154</v>
      </c>
      <c r="N1082">
        <v>33</v>
      </c>
      <c r="O1082">
        <v>5</v>
      </c>
    </row>
    <row r="1083" spans="1:16" x14ac:dyDescent="0.25">
      <c r="A1083" s="4">
        <v>43773</v>
      </c>
      <c r="B1083" t="s">
        <v>9</v>
      </c>
      <c r="C1083">
        <v>1</v>
      </c>
      <c r="F1083">
        <v>279</v>
      </c>
      <c r="J1083">
        <v>0.91700000000000004</v>
      </c>
      <c r="K1083">
        <v>34.9</v>
      </c>
      <c r="L1083">
        <v>38.01</v>
      </c>
      <c r="M1083">
        <v>192</v>
      </c>
      <c r="N1083">
        <v>27</v>
      </c>
      <c r="O1083">
        <v>5</v>
      </c>
    </row>
    <row r="1084" spans="1:16" x14ac:dyDescent="0.25">
      <c r="A1084" s="4">
        <v>43773</v>
      </c>
      <c r="B1084" t="s">
        <v>9</v>
      </c>
      <c r="C1084">
        <v>2</v>
      </c>
      <c r="F1084">
        <v>245</v>
      </c>
      <c r="J1084">
        <v>0.88</v>
      </c>
      <c r="K1084">
        <v>30.6</v>
      </c>
      <c r="L1084">
        <v>34.799999999999997</v>
      </c>
      <c r="M1084">
        <v>200</v>
      </c>
      <c r="N1084">
        <v>10</v>
      </c>
      <c r="O1084">
        <v>6</v>
      </c>
    </row>
    <row r="1085" spans="1:16" x14ac:dyDescent="0.25">
      <c r="A1085" s="4">
        <v>43773</v>
      </c>
      <c r="B1085" t="s">
        <v>10</v>
      </c>
      <c r="C1085" t="s">
        <v>78</v>
      </c>
      <c r="F1085">
        <v>239</v>
      </c>
      <c r="J1085">
        <v>0.877</v>
      </c>
      <c r="K1085">
        <v>29.9</v>
      </c>
      <c r="L1085">
        <v>34.1</v>
      </c>
      <c r="M1085">
        <v>154</v>
      </c>
      <c r="N1085">
        <v>33</v>
      </c>
      <c r="O1085">
        <v>5</v>
      </c>
    </row>
    <row r="1086" spans="1:16" x14ac:dyDescent="0.25">
      <c r="A1086" s="4">
        <v>43773</v>
      </c>
      <c r="B1086" t="s">
        <v>9</v>
      </c>
      <c r="C1086" t="s">
        <v>78</v>
      </c>
      <c r="F1086">
        <v>524</v>
      </c>
      <c r="J1086">
        <v>0.89800000000000002</v>
      </c>
      <c r="K1086">
        <v>32.799999999999997</v>
      </c>
      <c r="L1086">
        <v>36.5</v>
      </c>
      <c r="M1086">
        <v>392</v>
      </c>
      <c r="N1086">
        <v>37</v>
      </c>
      <c r="O1086">
        <v>11</v>
      </c>
    </row>
    <row r="1087" spans="1:16" x14ac:dyDescent="0.25">
      <c r="A1087" s="4">
        <v>43774</v>
      </c>
      <c r="B1087" t="s">
        <v>10</v>
      </c>
      <c r="C1087">
        <v>1</v>
      </c>
      <c r="F1087">
        <v>258</v>
      </c>
      <c r="J1087">
        <v>0.91600000000000004</v>
      </c>
      <c r="K1087">
        <v>32.299999999999997</v>
      </c>
      <c r="L1087">
        <v>35.200000000000003</v>
      </c>
      <c r="M1087">
        <v>155</v>
      </c>
      <c r="N1087">
        <v>34</v>
      </c>
      <c r="O1087">
        <v>5</v>
      </c>
    </row>
    <row r="1088" spans="1:16" x14ac:dyDescent="0.25">
      <c r="A1088" s="4">
        <v>43774</v>
      </c>
      <c r="B1088" t="s">
        <v>9</v>
      </c>
      <c r="C1088">
        <v>1</v>
      </c>
      <c r="F1088">
        <v>285</v>
      </c>
      <c r="J1088">
        <v>0.92200000000000004</v>
      </c>
      <c r="K1088">
        <v>35.6</v>
      </c>
      <c r="L1088">
        <v>38.6</v>
      </c>
      <c r="M1088">
        <v>195</v>
      </c>
      <c r="N1088">
        <v>25</v>
      </c>
      <c r="O1088">
        <v>3</v>
      </c>
      <c r="P1088">
        <v>2</v>
      </c>
    </row>
    <row r="1089" spans="1:16" x14ac:dyDescent="0.25">
      <c r="A1089" s="4">
        <v>43774</v>
      </c>
      <c r="B1089" t="s">
        <v>9</v>
      </c>
      <c r="C1089">
        <v>2</v>
      </c>
      <c r="F1089">
        <v>251</v>
      </c>
      <c r="J1089">
        <v>0.92900000000000005</v>
      </c>
      <c r="K1089">
        <v>31.4</v>
      </c>
      <c r="L1089">
        <v>33.799999999999997</v>
      </c>
      <c r="M1089">
        <v>209</v>
      </c>
      <c r="N1089">
        <v>10</v>
      </c>
      <c r="O1089">
        <v>4</v>
      </c>
      <c r="P1089">
        <v>1</v>
      </c>
    </row>
    <row r="1090" spans="1:16" x14ac:dyDescent="0.25">
      <c r="A1090" s="4">
        <v>43774</v>
      </c>
      <c r="B1090" t="s">
        <v>10</v>
      </c>
      <c r="C1090" t="s">
        <v>78</v>
      </c>
      <c r="F1090">
        <v>258</v>
      </c>
      <c r="J1090">
        <v>0.91600000000000004</v>
      </c>
      <c r="K1090">
        <v>32.299999999999997</v>
      </c>
      <c r="L1090">
        <v>35.200000000000003</v>
      </c>
      <c r="M1090">
        <v>155</v>
      </c>
      <c r="N1090">
        <v>34</v>
      </c>
      <c r="O1090">
        <v>5</v>
      </c>
    </row>
    <row r="1091" spans="1:16" x14ac:dyDescent="0.25">
      <c r="A1091" s="4">
        <v>43774</v>
      </c>
      <c r="B1091" t="s">
        <v>9</v>
      </c>
      <c r="C1091" t="s">
        <v>78</v>
      </c>
      <c r="F1091">
        <v>536</v>
      </c>
      <c r="J1091">
        <v>0.92500000000000004</v>
      </c>
      <c r="K1091">
        <v>33.5</v>
      </c>
      <c r="L1091">
        <v>36.200000000000003</v>
      </c>
      <c r="M1091">
        <v>404</v>
      </c>
      <c r="N1091">
        <v>35</v>
      </c>
      <c r="O1091">
        <v>7</v>
      </c>
      <c r="P1091">
        <v>3</v>
      </c>
    </row>
    <row r="1092" spans="1:16" x14ac:dyDescent="0.25">
      <c r="A1092" s="4">
        <v>43775</v>
      </c>
      <c r="B1092" t="s">
        <v>10</v>
      </c>
      <c r="C1092">
        <v>1</v>
      </c>
      <c r="F1092">
        <v>274</v>
      </c>
      <c r="J1092">
        <v>1.0069999999999999</v>
      </c>
      <c r="K1092">
        <v>34.299999999999997</v>
      </c>
      <c r="L1092">
        <v>34</v>
      </c>
      <c r="M1092">
        <v>181</v>
      </c>
      <c r="N1092">
        <v>22</v>
      </c>
      <c r="O1092">
        <v>9</v>
      </c>
      <c r="P1092">
        <v>2</v>
      </c>
    </row>
    <row r="1093" spans="1:16" x14ac:dyDescent="0.25">
      <c r="A1093" s="4">
        <v>43775</v>
      </c>
      <c r="B1093" t="s">
        <v>9</v>
      </c>
      <c r="C1093">
        <v>1</v>
      </c>
      <c r="F1093">
        <v>285</v>
      </c>
      <c r="J1093">
        <v>0.94699999999999995</v>
      </c>
      <c r="K1093">
        <v>35.6</v>
      </c>
      <c r="L1093">
        <v>37.6</v>
      </c>
      <c r="M1093">
        <v>212</v>
      </c>
      <c r="N1093">
        <v>16</v>
      </c>
      <c r="O1093">
        <v>6</v>
      </c>
    </row>
    <row r="1094" spans="1:16" x14ac:dyDescent="0.25">
      <c r="A1094" s="4">
        <v>43775</v>
      </c>
      <c r="B1094" t="s">
        <v>9</v>
      </c>
      <c r="C1094">
        <v>2</v>
      </c>
      <c r="F1094">
        <v>253</v>
      </c>
      <c r="J1094">
        <v>0.96899999999999997</v>
      </c>
      <c r="K1094">
        <v>33.700000000000003</v>
      </c>
      <c r="L1094">
        <v>34.799999999999997</v>
      </c>
      <c r="M1094">
        <v>216</v>
      </c>
      <c r="N1094">
        <v>11</v>
      </c>
      <c r="O1094">
        <v>3</v>
      </c>
    </row>
    <row r="1095" spans="1:16" x14ac:dyDescent="0.25">
      <c r="A1095" s="4">
        <v>43775</v>
      </c>
      <c r="B1095" t="s">
        <v>10</v>
      </c>
      <c r="C1095" t="s">
        <v>78</v>
      </c>
      <c r="F1095">
        <v>274</v>
      </c>
      <c r="J1095">
        <v>1.0069999999999999</v>
      </c>
      <c r="K1095">
        <v>34.299999999999997</v>
      </c>
      <c r="L1095">
        <v>34</v>
      </c>
      <c r="M1095">
        <v>181</v>
      </c>
      <c r="N1095">
        <v>22</v>
      </c>
      <c r="O1095">
        <v>9</v>
      </c>
      <c r="P1095">
        <v>2</v>
      </c>
    </row>
    <row r="1096" spans="1:16" x14ac:dyDescent="0.25">
      <c r="A1096" s="4">
        <v>43775</v>
      </c>
      <c r="B1096" t="s">
        <v>9</v>
      </c>
      <c r="C1096" t="s">
        <v>78</v>
      </c>
      <c r="F1096">
        <v>538</v>
      </c>
      <c r="J1096">
        <v>0.95799999999999996</v>
      </c>
      <c r="K1096">
        <v>34.700000000000003</v>
      </c>
      <c r="L1096">
        <v>36.200000000000003</v>
      </c>
      <c r="M1096">
        <v>428</v>
      </c>
      <c r="N1096">
        <v>27</v>
      </c>
      <c r="O1096">
        <v>9</v>
      </c>
    </row>
    <row r="1097" spans="1:16" x14ac:dyDescent="0.25">
      <c r="A1097" s="4">
        <v>43776</v>
      </c>
      <c r="B1097" t="s">
        <v>10</v>
      </c>
      <c r="C1097">
        <v>1</v>
      </c>
      <c r="F1097">
        <v>251</v>
      </c>
      <c r="J1097">
        <v>0.93899999999999995</v>
      </c>
      <c r="K1097">
        <v>31.4</v>
      </c>
      <c r="L1097">
        <v>33.4</v>
      </c>
      <c r="M1097">
        <v>169</v>
      </c>
      <c r="N1097">
        <v>21</v>
      </c>
      <c r="O1097">
        <v>6</v>
      </c>
      <c r="P1097">
        <v>1</v>
      </c>
    </row>
    <row r="1098" spans="1:16" x14ac:dyDescent="0.25">
      <c r="A1098" s="4">
        <v>43776</v>
      </c>
      <c r="B1098" t="s">
        <v>9</v>
      </c>
      <c r="C1098">
        <v>1</v>
      </c>
      <c r="F1098">
        <v>288</v>
      </c>
      <c r="J1098">
        <v>1</v>
      </c>
      <c r="K1098">
        <v>36</v>
      </c>
      <c r="L1098">
        <v>36</v>
      </c>
      <c r="M1098">
        <v>216</v>
      </c>
      <c r="N1098">
        <v>21</v>
      </c>
      <c r="O1098">
        <v>5</v>
      </c>
    </row>
    <row r="1099" spans="1:16" x14ac:dyDescent="0.25">
      <c r="A1099" s="4">
        <v>43776</v>
      </c>
      <c r="B1099" t="s">
        <v>9</v>
      </c>
      <c r="C1099">
        <v>2</v>
      </c>
      <c r="F1099">
        <v>213</v>
      </c>
      <c r="J1099">
        <v>1.018</v>
      </c>
      <c r="K1099">
        <v>35.5</v>
      </c>
      <c r="L1099">
        <v>34.9</v>
      </c>
      <c r="M1099">
        <v>168</v>
      </c>
      <c r="N1099">
        <v>18</v>
      </c>
      <c r="O1099">
        <v>2</v>
      </c>
    </row>
    <row r="1100" spans="1:16" x14ac:dyDescent="0.25">
      <c r="A1100" s="4">
        <v>43776</v>
      </c>
      <c r="B1100" t="s">
        <v>10</v>
      </c>
      <c r="C1100" t="s">
        <v>78</v>
      </c>
      <c r="F1100">
        <v>251</v>
      </c>
      <c r="J1100">
        <v>0.93899999999999995</v>
      </c>
      <c r="K1100">
        <v>31.4</v>
      </c>
      <c r="L1100">
        <v>33.4</v>
      </c>
      <c r="M1100">
        <v>169</v>
      </c>
      <c r="N1100">
        <v>21</v>
      </c>
      <c r="O1100">
        <v>6</v>
      </c>
      <c r="P1100">
        <v>1</v>
      </c>
    </row>
    <row r="1101" spans="1:16" x14ac:dyDescent="0.25">
      <c r="A1101" s="4">
        <v>43776</v>
      </c>
      <c r="B1101" t="s">
        <v>9</v>
      </c>
      <c r="C1101" t="s">
        <v>78</v>
      </c>
      <c r="F1101">
        <v>501</v>
      </c>
      <c r="J1101">
        <v>1.008</v>
      </c>
      <c r="K1101">
        <v>35.799999999999997</v>
      </c>
      <c r="L1101">
        <v>35.5</v>
      </c>
      <c r="M1101">
        <v>384</v>
      </c>
      <c r="N1101">
        <v>39</v>
      </c>
      <c r="O1101">
        <v>7</v>
      </c>
    </row>
    <row r="1102" spans="1:16" x14ac:dyDescent="0.25">
      <c r="A1102" s="4">
        <v>43777</v>
      </c>
      <c r="B1102" t="s">
        <v>10</v>
      </c>
      <c r="C1102">
        <v>1</v>
      </c>
      <c r="F1102">
        <v>251</v>
      </c>
      <c r="J1102">
        <v>0.90300000000000002</v>
      </c>
      <c r="K1102">
        <v>31.4</v>
      </c>
      <c r="L1102">
        <v>34.700000000000003</v>
      </c>
      <c r="M1102">
        <v>157</v>
      </c>
      <c r="N1102">
        <v>21</v>
      </c>
      <c r="O1102">
        <v>6</v>
      </c>
      <c r="P1102">
        <v>3</v>
      </c>
    </row>
    <row r="1103" spans="1:16" x14ac:dyDescent="0.25">
      <c r="A1103" s="4">
        <v>43777</v>
      </c>
      <c r="B1103" t="s">
        <v>9</v>
      </c>
      <c r="C1103">
        <v>1</v>
      </c>
      <c r="F1103">
        <v>307</v>
      </c>
      <c r="J1103">
        <v>1.0309999999999999</v>
      </c>
      <c r="K1103">
        <v>38.4</v>
      </c>
      <c r="L1103">
        <v>37.200000000000003</v>
      </c>
      <c r="M1103">
        <v>227</v>
      </c>
      <c r="N1103">
        <v>21</v>
      </c>
      <c r="O1103">
        <v>4</v>
      </c>
      <c r="P1103">
        <v>2</v>
      </c>
    </row>
    <row r="1104" spans="1:16" x14ac:dyDescent="0.25">
      <c r="A1104" s="4">
        <v>43777</v>
      </c>
      <c r="B1104" t="s">
        <v>9</v>
      </c>
      <c r="C1104">
        <v>2</v>
      </c>
      <c r="F1104">
        <v>142</v>
      </c>
      <c r="J1104">
        <v>0.98899999999999999</v>
      </c>
      <c r="K1104">
        <v>33.4</v>
      </c>
      <c r="L1104">
        <v>33.799999999999997</v>
      </c>
      <c r="M1104">
        <v>128</v>
      </c>
      <c r="N1104">
        <v>4</v>
      </c>
      <c r="O1104">
        <v>1</v>
      </c>
    </row>
    <row r="1105" spans="1:16" x14ac:dyDescent="0.25">
      <c r="A1105" s="4">
        <v>43777</v>
      </c>
      <c r="B1105" t="s">
        <v>10</v>
      </c>
      <c r="C1105" t="s">
        <v>78</v>
      </c>
      <c r="F1105">
        <v>251</v>
      </c>
      <c r="J1105">
        <v>0.90300000000000002</v>
      </c>
      <c r="K1105">
        <v>31.4</v>
      </c>
      <c r="L1105">
        <v>34.700000000000003</v>
      </c>
      <c r="M1105">
        <v>157</v>
      </c>
      <c r="N1105">
        <v>21</v>
      </c>
      <c r="O1105">
        <v>6</v>
      </c>
      <c r="P1105">
        <v>3</v>
      </c>
    </row>
    <row r="1106" spans="1:16" x14ac:dyDescent="0.25">
      <c r="A1106" s="4">
        <v>43777</v>
      </c>
      <c r="B1106" t="s">
        <v>9</v>
      </c>
      <c r="C1106" t="s">
        <v>78</v>
      </c>
      <c r="F1106">
        <v>449</v>
      </c>
      <c r="J1106">
        <v>1.0169999999999999</v>
      </c>
      <c r="K1106">
        <v>36.700000000000003</v>
      </c>
      <c r="L1106">
        <v>36.1</v>
      </c>
      <c r="M1106">
        <v>355</v>
      </c>
      <c r="N1106">
        <v>25</v>
      </c>
      <c r="O1106">
        <v>5</v>
      </c>
      <c r="P1106">
        <v>2</v>
      </c>
    </row>
    <row r="1107" spans="1:16" x14ac:dyDescent="0.25">
      <c r="A1107" s="4">
        <v>43780</v>
      </c>
      <c r="B1107" t="s">
        <v>10</v>
      </c>
      <c r="C1107">
        <v>1</v>
      </c>
      <c r="F1107">
        <v>261</v>
      </c>
      <c r="J1107">
        <v>0.89100000000000001</v>
      </c>
      <c r="K1107">
        <v>32.6</v>
      </c>
      <c r="L1107">
        <v>36.6</v>
      </c>
      <c r="M1107">
        <v>149</v>
      </c>
      <c r="N1107">
        <v>24</v>
      </c>
      <c r="O1107">
        <v>16</v>
      </c>
    </row>
    <row r="1108" spans="1:16" x14ac:dyDescent="0.25">
      <c r="A1108" s="4">
        <v>43780</v>
      </c>
      <c r="B1108" t="s">
        <v>9</v>
      </c>
      <c r="C1108">
        <v>1</v>
      </c>
      <c r="F1108">
        <v>162</v>
      </c>
      <c r="J1108">
        <v>1.0289999999999999</v>
      </c>
      <c r="K1108">
        <v>40.5</v>
      </c>
      <c r="L1108">
        <v>39.4</v>
      </c>
      <c r="M1108">
        <v>104</v>
      </c>
      <c r="N1108">
        <v>14</v>
      </c>
      <c r="O1108">
        <v>7</v>
      </c>
    </row>
    <row r="1109" spans="1:16" x14ac:dyDescent="0.25">
      <c r="A1109" s="4">
        <v>43780</v>
      </c>
      <c r="B1109" t="s">
        <v>9</v>
      </c>
      <c r="C1109">
        <v>2</v>
      </c>
      <c r="F1109">
        <v>234</v>
      </c>
      <c r="J1109">
        <v>0.84099999999999997</v>
      </c>
      <c r="K1109">
        <v>29.3</v>
      </c>
      <c r="L1109">
        <v>34.799999999999997</v>
      </c>
      <c r="M1109">
        <v>189</v>
      </c>
      <c r="N1109">
        <v>16</v>
      </c>
      <c r="O1109">
        <v>3</v>
      </c>
    </row>
    <row r="1110" spans="1:16" x14ac:dyDescent="0.25">
      <c r="A1110" s="4">
        <v>43780</v>
      </c>
      <c r="B1110" t="s">
        <v>10</v>
      </c>
      <c r="C1110" t="s">
        <v>78</v>
      </c>
      <c r="F1110">
        <v>261</v>
      </c>
      <c r="J1110">
        <v>0.89100000000000001</v>
      </c>
      <c r="K1110">
        <v>32.6</v>
      </c>
      <c r="L1110">
        <v>36.6</v>
      </c>
      <c r="M1110">
        <v>149</v>
      </c>
      <c r="N1110">
        <v>24</v>
      </c>
      <c r="O1110">
        <v>16</v>
      </c>
    </row>
    <row r="1111" spans="1:16" x14ac:dyDescent="0.25">
      <c r="A1111" s="4">
        <v>43780</v>
      </c>
      <c r="B1111" t="s">
        <v>9</v>
      </c>
      <c r="C1111" t="s">
        <v>78</v>
      </c>
      <c r="F1111">
        <v>396</v>
      </c>
      <c r="J1111">
        <v>0.90300000000000002</v>
      </c>
      <c r="K1111">
        <v>33</v>
      </c>
      <c r="L1111">
        <v>36.5</v>
      </c>
      <c r="M1111">
        <v>293</v>
      </c>
      <c r="N1111">
        <v>30</v>
      </c>
      <c r="O1111">
        <v>10</v>
      </c>
    </row>
    <row r="1112" spans="1:16" x14ac:dyDescent="0.25">
      <c r="A1112" s="4">
        <v>43781</v>
      </c>
      <c r="B1112" t="s">
        <v>10</v>
      </c>
      <c r="C1112">
        <v>1</v>
      </c>
      <c r="F1112">
        <v>220</v>
      </c>
      <c r="J1112">
        <v>0.82299999999999995</v>
      </c>
      <c r="K1112">
        <v>27.5</v>
      </c>
      <c r="L1112">
        <v>33.4</v>
      </c>
      <c r="M1112">
        <v>152</v>
      </c>
      <c r="N1112">
        <v>14</v>
      </c>
      <c r="O1112">
        <v>10</v>
      </c>
    </row>
    <row r="1113" spans="1:16" x14ac:dyDescent="0.25">
      <c r="A1113" s="4">
        <v>43781</v>
      </c>
      <c r="B1113" t="s">
        <v>9</v>
      </c>
      <c r="C1113">
        <v>1</v>
      </c>
      <c r="F1113">
        <v>260</v>
      </c>
      <c r="J1113">
        <v>0.88700000000000001</v>
      </c>
      <c r="K1113">
        <v>32.5</v>
      </c>
      <c r="L1113">
        <v>36.700000000000003</v>
      </c>
      <c r="M1113">
        <v>210</v>
      </c>
      <c r="N1113">
        <v>17</v>
      </c>
      <c r="O1113">
        <v>2</v>
      </c>
    </row>
    <row r="1114" spans="1:16" x14ac:dyDescent="0.25">
      <c r="A1114" s="4">
        <v>43781</v>
      </c>
      <c r="B1114" t="s">
        <v>9</v>
      </c>
      <c r="C1114">
        <v>2</v>
      </c>
      <c r="F1114">
        <v>244</v>
      </c>
      <c r="J1114">
        <v>0.92100000000000004</v>
      </c>
      <c r="K1114">
        <v>33.299999999999997</v>
      </c>
      <c r="L1114">
        <v>36.1</v>
      </c>
      <c r="M1114">
        <v>179</v>
      </c>
      <c r="N1114">
        <v>22</v>
      </c>
      <c r="O1114">
        <v>5</v>
      </c>
    </row>
    <row r="1115" spans="1:16" x14ac:dyDescent="0.25">
      <c r="A1115" s="4">
        <v>43781</v>
      </c>
      <c r="B1115" t="s">
        <v>10</v>
      </c>
      <c r="C1115" t="s">
        <v>78</v>
      </c>
      <c r="F1115">
        <v>220</v>
      </c>
      <c r="J1115">
        <v>0.82299999999999995</v>
      </c>
      <c r="K1115">
        <v>27.5</v>
      </c>
      <c r="L1115">
        <v>33.4</v>
      </c>
      <c r="M1115">
        <v>152</v>
      </c>
      <c r="N1115">
        <v>14</v>
      </c>
      <c r="O1115">
        <v>10</v>
      </c>
    </row>
    <row r="1116" spans="1:16" x14ac:dyDescent="0.25">
      <c r="A1116" s="4">
        <v>43781</v>
      </c>
      <c r="B1116" t="s">
        <v>9</v>
      </c>
      <c r="C1116" t="s">
        <v>78</v>
      </c>
      <c r="F1116">
        <v>504</v>
      </c>
      <c r="J1116">
        <v>0.90300000000000002</v>
      </c>
      <c r="K1116">
        <v>32.9</v>
      </c>
      <c r="L1116">
        <v>36.4</v>
      </c>
      <c r="M1116">
        <v>389</v>
      </c>
      <c r="N1116">
        <v>39</v>
      </c>
      <c r="O1116">
        <v>7</v>
      </c>
    </row>
    <row r="1117" spans="1:16" x14ac:dyDescent="0.25">
      <c r="A1117" s="4">
        <v>43782</v>
      </c>
      <c r="B1117" t="s">
        <v>10</v>
      </c>
      <c r="C1117">
        <v>1</v>
      </c>
      <c r="F1117">
        <v>262</v>
      </c>
      <c r="J1117">
        <v>0.96399999999999997</v>
      </c>
      <c r="K1117">
        <v>32.799999999999997</v>
      </c>
      <c r="L1117">
        <v>34</v>
      </c>
      <c r="M1117">
        <v>192</v>
      </c>
      <c r="N1117">
        <v>19</v>
      </c>
      <c r="O1117">
        <v>4</v>
      </c>
      <c r="P1117">
        <v>1</v>
      </c>
    </row>
    <row r="1118" spans="1:16" x14ac:dyDescent="0.25">
      <c r="A1118" s="4">
        <v>43782</v>
      </c>
      <c r="B1118" t="s">
        <v>9</v>
      </c>
      <c r="C1118">
        <v>1</v>
      </c>
      <c r="F1118">
        <v>259</v>
      </c>
      <c r="J1118">
        <v>0.879</v>
      </c>
      <c r="K1118">
        <v>32.4</v>
      </c>
      <c r="L1118">
        <v>36.799999999999997</v>
      </c>
      <c r="M1118">
        <v>187</v>
      </c>
      <c r="N1118">
        <v>28</v>
      </c>
      <c r="O1118">
        <v>1</v>
      </c>
    </row>
    <row r="1119" spans="1:16" x14ac:dyDescent="0.25">
      <c r="A1119" s="4">
        <v>43782</v>
      </c>
      <c r="B1119" t="s">
        <v>9</v>
      </c>
      <c r="C1119">
        <v>2</v>
      </c>
      <c r="F1119">
        <v>240</v>
      </c>
      <c r="J1119">
        <v>0.86399999999999999</v>
      </c>
      <c r="K1119">
        <v>30</v>
      </c>
      <c r="L1119">
        <v>34.71</v>
      </c>
      <c r="M1119">
        <v>188</v>
      </c>
      <c r="N1119">
        <v>19</v>
      </c>
      <c r="O1119">
        <v>3</v>
      </c>
    </row>
    <row r="1120" spans="1:16" x14ac:dyDescent="0.25">
      <c r="A1120" s="4">
        <v>43782</v>
      </c>
      <c r="B1120" t="s">
        <v>10</v>
      </c>
      <c r="C1120" t="s">
        <v>78</v>
      </c>
      <c r="F1120">
        <v>262</v>
      </c>
      <c r="J1120">
        <v>0.96399999999999997</v>
      </c>
      <c r="K1120">
        <v>32.799999999999997</v>
      </c>
      <c r="L1120">
        <v>34</v>
      </c>
      <c r="M1120">
        <v>192</v>
      </c>
      <c r="N1120">
        <v>19</v>
      </c>
      <c r="O1120">
        <v>4</v>
      </c>
      <c r="P1120">
        <v>1</v>
      </c>
    </row>
    <row r="1121" spans="1:16" x14ac:dyDescent="0.25">
      <c r="A1121" s="4">
        <v>43782</v>
      </c>
      <c r="B1121" t="s">
        <v>9</v>
      </c>
      <c r="C1121" t="s">
        <v>78</v>
      </c>
      <c r="F1121">
        <v>499</v>
      </c>
      <c r="J1121">
        <v>0.872</v>
      </c>
      <c r="K1121">
        <v>31.2</v>
      </c>
      <c r="L1121">
        <v>35.799999999999997</v>
      </c>
      <c r="M1121">
        <v>375</v>
      </c>
      <c r="N1121">
        <v>47</v>
      </c>
      <c r="O1121">
        <v>4</v>
      </c>
    </row>
    <row r="1122" spans="1:16" x14ac:dyDescent="0.25">
      <c r="A1122" s="4">
        <v>43783</v>
      </c>
      <c r="B1122" t="s">
        <v>10</v>
      </c>
      <c r="C1122">
        <v>1</v>
      </c>
      <c r="F1122">
        <v>205</v>
      </c>
      <c r="J1122">
        <v>0.78400000000000003</v>
      </c>
      <c r="K1122">
        <v>25.6</v>
      </c>
      <c r="L1122">
        <v>32.700000000000003</v>
      </c>
      <c r="M1122">
        <v>150</v>
      </c>
      <c r="N1122">
        <v>17</v>
      </c>
      <c r="O1122">
        <v>2</v>
      </c>
      <c r="P1122">
        <v>1</v>
      </c>
    </row>
    <row r="1123" spans="1:16" x14ac:dyDescent="0.25">
      <c r="A1123" s="4">
        <v>43783</v>
      </c>
      <c r="B1123" t="s">
        <v>9</v>
      </c>
      <c r="C1123">
        <v>1</v>
      </c>
      <c r="F1123">
        <v>216</v>
      </c>
      <c r="J1123">
        <v>0.74399999999999999</v>
      </c>
      <c r="K1123">
        <v>27</v>
      </c>
      <c r="L1123">
        <v>36.299999999999997</v>
      </c>
      <c r="M1123">
        <v>157</v>
      </c>
      <c r="N1123">
        <v>21</v>
      </c>
      <c r="O1123">
        <v>3</v>
      </c>
    </row>
    <row r="1124" spans="1:16" x14ac:dyDescent="0.25">
      <c r="A1124" s="4">
        <v>43783</v>
      </c>
      <c r="B1124" t="s">
        <v>9</v>
      </c>
      <c r="C1124">
        <v>2</v>
      </c>
      <c r="F1124">
        <v>239</v>
      </c>
      <c r="J1124">
        <v>0.86799999999999999</v>
      </c>
      <c r="K1124">
        <v>29.9</v>
      </c>
      <c r="L1124">
        <v>34.4</v>
      </c>
      <c r="M1124">
        <v>198</v>
      </c>
      <c r="N1124">
        <v>16</v>
      </c>
      <c r="O1124">
        <v>2</v>
      </c>
    </row>
    <row r="1125" spans="1:16" x14ac:dyDescent="0.25">
      <c r="A1125" s="4">
        <v>43783</v>
      </c>
      <c r="B1125" t="s">
        <v>10</v>
      </c>
      <c r="C1125" t="s">
        <v>78</v>
      </c>
      <c r="F1125">
        <v>205</v>
      </c>
      <c r="J1125">
        <v>0.78400000000000003</v>
      </c>
      <c r="K1125">
        <v>25.6</v>
      </c>
      <c r="L1125">
        <v>32.700000000000003</v>
      </c>
      <c r="M1125">
        <v>150</v>
      </c>
      <c r="N1125">
        <v>17</v>
      </c>
      <c r="O1125">
        <v>2</v>
      </c>
      <c r="P1125">
        <v>1</v>
      </c>
    </row>
    <row r="1126" spans="1:16" x14ac:dyDescent="0.25">
      <c r="A1126" s="4">
        <v>43783</v>
      </c>
      <c r="B1126" t="s">
        <v>9</v>
      </c>
      <c r="C1126" t="s">
        <v>78</v>
      </c>
      <c r="F1126">
        <v>455</v>
      </c>
      <c r="J1126">
        <v>0.80600000000000005</v>
      </c>
      <c r="K1126">
        <v>28.4</v>
      </c>
      <c r="L1126">
        <v>35.299999999999997</v>
      </c>
      <c r="M1126">
        <v>355</v>
      </c>
      <c r="N1126">
        <v>37</v>
      </c>
      <c r="O1126">
        <v>5</v>
      </c>
    </row>
    <row r="1127" spans="1:16" x14ac:dyDescent="0.25">
      <c r="A1127" s="4">
        <v>43784</v>
      </c>
      <c r="B1127" t="s">
        <v>10</v>
      </c>
      <c r="C1127">
        <v>1</v>
      </c>
      <c r="F1127">
        <v>128</v>
      </c>
      <c r="J1127">
        <v>0.99399999999999999</v>
      </c>
      <c r="K1127">
        <v>32</v>
      </c>
      <c r="L1127">
        <v>32.200000000000003</v>
      </c>
      <c r="M1127">
        <v>84</v>
      </c>
      <c r="N1127">
        <v>18</v>
      </c>
      <c r="O1127">
        <v>2</v>
      </c>
    </row>
    <row r="1128" spans="1:16" x14ac:dyDescent="0.25">
      <c r="A1128" s="4">
        <v>43784</v>
      </c>
      <c r="B1128" t="s">
        <v>9</v>
      </c>
      <c r="C1128">
        <v>1</v>
      </c>
      <c r="F1128">
        <v>314</v>
      </c>
      <c r="J1128">
        <v>1.0780000000000001</v>
      </c>
      <c r="K1128">
        <v>39.299999999999997</v>
      </c>
      <c r="L1128">
        <v>36.4</v>
      </c>
      <c r="M1128">
        <v>238</v>
      </c>
      <c r="N1128">
        <v>27</v>
      </c>
      <c r="O1128">
        <v>3</v>
      </c>
    </row>
    <row r="1129" spans="1:16" x14ac:dyDescent="0.25">
      <c r="A1129" s="4">
        <v>43784</v>
      </c>
      <c r="B1129" t="s">
        <v>9</v>
      </c>
      <c r="C1129">
        <v>2</v>
      </c>
      <c r="F1129">
        <v>258</v>
      </c>
      <c r="J1129">
        <v>0.92900000000000005</v>
      </c>
      <c r="K1129">
        <v>32.299999999999997</v>
      </c>
      <c r="L1129">
        <v>34.700000000000003</v>
      </c>
      <c r="M1129">
        <v>199</v>
      </c>
      <c r="N1129">
        <v>21</v>
      </c>
      <c r="O1129">
        <v>5</v>
      </c>
    </row>
    <row r="1130" spans="1:16" x14ac:dyDescent="0.25">
      <c r="A1130" s="4">
        <v>43784</v>
      </c>
      <c r="B1130" t="s">
        <v>10</v>
      </c>
      <c r="C1130" t="s">
        <v>78</v>
      </c>
      <c r="F1130">
        <v>128</v>
      </c>
      <c r="J1130">
        <v>0.99399999999999999</v>
      </c>
      <c r="K1130">
        <v>32</v>
      </c>
      <c r="L1130">
        <v>32.200000000000003</v>
      </c>
      <c r="M1130">
        <v>84</v>
      </c>
      <c r="N1130">
        <v>18</v>
      </c>
      <c r="O1130">
        <v>2</v>
      </c>
    </row>
    <row r="1131" spans="1:16" x14ac:dyDescent="0.25">
      <c r="A1131" s="4">
        <v>43784</v>
      </c>
      <c r="B1131" t="s">
        <v>9</v>
      </c>
      <c r="C1131" t="s">
        <v>78</v>
      </c>
      <c r="F1131">
        <v>572</v>
      </c>
      <c r="J1131">
        <v>1.004</v>
      </c>
      <c r="K1131">
        <v>35.799999999999997</v>
      </c>
      <c r="L1131">
        <v>35.6</v>
      </c>
      <c r="M1131">
        <v>437</v>
      </c>
      <c r="N1131">
        <v>48</v>
      </c>
      <c r="O1131">
        <v>8</v>
      </c>
    </row>
    <row r="1132" spans="1:16" x14ac:dyDescent="0.25">
      <c r="A1132" s="4">
        <v>43787</v>
      </c>
      <c r="B1132" t="s">
        <v>10</v>
      </c>
      <c r="C1132">
        <v>1</v>
      </c>
      <c r="F1132">
        <v>252</v>
      </c>
      <c r="J1132">
        <v>0.89200000000000002</v>
      </c>
      <c r="K1132">
        <v>31.5</v>
      </c>
      <c r="L1132">
        <v>35.299999999999997</v>
      </c>
      <c r="M1132">
        <v>149</v>
      </c>
      <c r="N1132">
        <v>32</v>
      </c>
      <c r="O1132">
        <v>8</v>
      </c>
    </row>
    <row r="1133" spans="1:16" x14ac:dyDescent="0.25">
      <c r="A1133" s="4">
        <v>43787</v>
      </c>
      <c r="B1133" t="s">
        <v>9</v>
      </c>
      <c r="C1133">
        <v>1</v>
      </c>
      <c r="F1133">
        <v>271</v>
      </c>
      <c r="J1133">
        <v>0.88700000000000001</v>
      </c>
      <c r="K1133">
        <v>33.9</v>
      </c>
      <c r="L1133">
        <v>38.200000000000003</v>
      </c>
      <c r="M1133">
        <v>178</v>
      </c>
      <c r="N1133">
        <v>26</v>
      </c>
      <c r="O1133">
        <v>9</v>
      </c>
      <c r="P1133">
        <v>1</v>
      </c>
    </row>
    <row r="1134" spans="1:16" x14ac:dyDescent="0.25">
      <c r="A1134" s="4">
        <v>43787</v>
      </c>
      <c r="B1134" t="s">
        <v>9</v>
      </c>
      <c r="C1134">
        <v>2</v>
      </c>
      <c r="F1134">
        <v>253</v>
      </c>
      <c r="J1134">
        <v>0.89200000000000002</v>
      </c>
      <c r="K1134">
        <v>31.6</v>
      </c>
      <c r="L1134">
        <v>35.5</v>
      </c>
      <c r="M1134">
        <v>204</v>
      </c>
      <c r="N1134">
        <v>12</v>
      </c>
      <c r="O1134">
        <v>5</v>
      </c>
    </row>
    <row r="1135" spans="1:16" x14ac:dyDescent="0.25">
      <c r="A1135" s="4">
        <v>43787</v>
      </c>
      <c r="B1135" t="s">
        <v>10</v>
      </c>
      <c r="C1135" t="s">
        <v>78</v>
      </c>
      <c r="F1135">
        <v>252</v>
      </c>
      <c r="J1135">
        <v>0.89200000000000002</v>
      </c>
      <c r="K1135">
        <v>31.5</v>
      </c>
      <c r="L1135">
        <v>35.299999999999997</v>
      </c>
      <c r="M1135">
        <v>149</v>
      </c>
      <c r="N1135">
        <v>32</v>
      </c>
      <c r="O1135">
        <v>8</v>
      </c>
    </row>
    <row r="1136" spans="1:16" x14ac:dyDescent="0.25">
      <c r="A1136" s="4">
        <v>43787</v>
      </c>
      <c r="B1136" t="s">
        <v>9</v>
      </c>
      <c r="C1136" t="s">
        <v>78</v>
      </c>
      <c r="F1136">
        <v>524</v>
      </c>
      <c r="J1136">
        <v>0.89</v>
      </c>
      <c r="K1136">
        <v>32.799999999999997</v>
      </c>
      <c r="L1136">
        <v>36.799999999999997</v>
      </c>
      <c r="M1136">
        <v>382</v>
      </c>
      <c r="N1136">
        <v>38</v>
      </c>
      <c r="O1136">
        <v>14</v>
      </c>
      <c r="P1136">
        <v>1</v>
      </c>
    </row>
    <row r="1137" spans="1:16" x14ac:dyDescent="0.25">
      <c r="A1137" s="4">
        <v>43788</v>
      </c>
      <c r="B1137" t="s">
        <v>10</v>
      </c>
      <c r="C1137">
        <v>1</v>
      </c>
      <c r="F1137">
        <v>240</v>
      </c>
      <c r="J1137">
        <v>0.9</v>
      </c>
      <c r="K1137">
        <v>30</v>
      </c>
      <c r="L1137">
        <v>33.299999999999997</v>
      </c>
      <c r="M1137">
        <v>167</v>
      </c>
      <c r="N1137">
        <v>22</v>
      </c>
      <c r="O1137">
        <v>5</v>
      </c>
    </row>
    <row r="1138" spans="1:16" x14ac:dyDescent="0.25">
      <c r="A1138" s="4">
        <v>43788</v>
      </c>
      <c r="B1138" t="s">
        <v>9</v>
      </c>
      <c r="C1138">
        <v>1</v>
      </c>
      <c r="F1138">
        <v>280</v>
      </c>
      <c r="J1138">
        <v>0.92500000000000004</v>
      </c>
      <c r="K1138">
        <v>35</v>
      </c>
      <c r="L1138">
        <v>37.799999999999997</v>
      </c>
      <c r="M1138">
        <v>205</v>
      </c>
      <c r="N1138">
        <v>18</v>
      </c>
      <c r="O1138">
        <v>3</v>
      </c>
      <c r="P1138">
        <v>2</v>
      </c>
    </row>
    <row r="1139" spans="1:16" x14ac:dyDescent="0.25">
      <c r="A1139" s="4">
        <v>43788</v>
      </c>
      <c r="B1139" t="s">
        <v>9</v>
      </c>
      <c r="C1139">
        <v>2</v>
      </c>
      <c r="F1139">
        <v>246</v>
      </c>
      <c r="J1139">
        <v>0.874</v>
      </c>
      <c r="K1139">
        <v>30.8</v>
      </c>
      <c r="L1139">
        <v>35.200000000000003</v>
      </c>
      <c r="M1139">
        <v>192</v>
      </c>
      <c r="N1139">
        <v>18</v>
      </c>
      <c r="O1139">
        <v>3</v>
      </c>
    </row>
    <row r="1140" spans="1:16" x14ac:dyDescent="0.25">
      <c r="A1140" s="4">
        <v>43788</v>
      </c>
      <c r="B1140" t="s">
        <v>10</v>
      </c>
      <c r="C1140" t="s">
        <v>78</v>
      </c>
      <c r="F1140">
        <v>240</v>
      </c>
      <c r="J1140">
        <v>0.9</v>
      </c>
      <c r="K1140">
        <v>30</v>
      </c>
      <c r="L1140">
        <v>33.299999999999997</v>
      </c>
      <c r="M1140">
        <v>167</v>
      </c>
      <c r="N1140">
        <v>22</v>
      </c>
      <c r="O1140">
        <v>5</v>
      </c>
    </row>
    <row r="1141" spans="1:16" x14ac:dyDescent="0.25">
      <c r="A1141" s="4">
        <v>43788</v>
      </c>
      <c r="B1141" t="s">
        <v>9</v>
      </c>
      <c r="C1141" t="s">
        <v>78</v>
      </c>
      <c r="F1141">
        <v>526</v>
      </c>
      <c r="J1141">
        <v>0.89900000000000002</v>
      </c>
      <c r="K1141">
        <v>32.9</v>
      </c>
      <c r="L1141">
        <v>36.6</v>
      </c>
      <c r="M1141">
        <v>397</v>
      </c>
      <c r="N1141">
        <v>36</v>
      </c>
      <c r="O1141">
        <v>6</v>
      </c>
      <c r="P1141">
        <v>2</v>
      </c>
    </row>
    <row r="1142" spans="1:16" x14ac:dyDescent="0.25">
      <c r="A1142" s="4">
        <v>43789</v>
      </c>
      <c r="B1142" t="s">
        <v>10</v>
      </c>
      <c r="C1142">
        <v>1</v>
      </c>
      <c r="F1142">
        <v>241</v>
      </c>
      <c r="J1142">
        <v>0.88700000000000001</v>
      </c>
      <c r="K1142">
        <v>30.1</v>
      </c>
      <c r="L1142">
        <v>34</v>
      </c>
      <c r="M1142">
        <v>169</v>
      </c>
      <c r="N1142">
        <v>24</v>
      </c>
      <c r="O1142">
        <v>2</v>
      </c>
      <c r="P1142">
        <v>1</v>
      </c>
    </row>
    <row r="1143" spans="1:16" x14ac:dyDescent="0.25">
      <c r="A1143" s="4">
        <v>43789</v>
      </c>
      <c r="B1143" t="s">
        <v>9</v>
      </c>
      <c r="C1143">
        <v>1</v>
      </c>
      <c r="F1143">
        <v>318</v>
      </c>
      <c r="J1143">
        <v>1.0569999999999999</v>
      </c>
      <c r="K1143">
        <v>39.799999999999997</v>
      </c>
      <c r="L1143">
        <v>37.6</v>
      </c>
      <c r="M1143">
        <v>233</v>
      </c>
      <c r="N1143">
        <v>23</v>
      </c>
      <c r="O1143">
        <v>3</v>
      </c>
      <c r="P1143">
        <v>1</v>
      </c>
    </row>
    <row r="1144" spans="1:16" x14ac:dyDescent="0.25">
      <c r="A1144" s="4">
        <v>43789</v>
      </c>
      <c r="B1144" t="s">
        <v>9</v>
      </c>
      <c r="C1144">
        <v>2</v>
      </c>
      <c r="F1144">
        <v>242</v>
      </c>
      <c r="J1144">
        <v>1</v>
      </c>
      <c r="K1144">
        <v>34.6</v>
      </c>
      <c r="L1144">
        <v>34.6</v>
      </c>
      <c r="M1144">
        <v>208</v>
      </c>
      <c r="N1144">
        <v>9</v>
      </c>
      <c r="O1144">
        <v>3</v>
      </c>
    </row>
    <row r="1145" spans="1:16" x14ac:dyDescent="0.25">
      <c r="A1145" s="4">
        <v>43789</v>
      </c>
      <c r="B1145" t="s">
        <v>10</v>
      </c>
      <c r="C1145" t="s">
        <v>78</v>
      </c>
      <c r="F1145">
        <v>241</v>
      </c>
      <c r="J1145">
        <v>0.88700000000000001</v>
      </c>
      <c r="K1145">
        <v>30.1</v>
      </c>
      <c r="L1145">
        <v>34</v>
      </c>
      <c r="M1145">
        <v>169</v>
      </c>
      <c r="N1145">
        <v>24</v>
      </c>
      <c r="O1145">
        <v>2</v>
      </c>
      <c r="P1145">
        <v>1</v>
      </c>
    </row>
    <row r="1146" spans="1:16" x14ac:dyDescent="0.25">
      <c r="A1146" s="4">
        <v>43789</v>
      </c>
      <c r="B1146" t="s">
        <v>9</v>
      </c>
      <c r="C1146" t="s">
        <v>78</v>
      </c>
      <c r="F1146">
        <v>560</v>
      </c>
      <c r="J1146">
        <v>1.0309999999999999</v>
      </c>
      <c r="K1146">
        <v>37.299999999999997</v>
      </c>
      <c r="L1146">
        <v>36.200000000000003</v>
      </c>
      <c r="M1146">
        <v>441</v>
      </c>
      <c r="N1146">
        <v>32</v>
      </c>
      <c r="O1146">
        <v>6</v>
      </c>
      <c r="P1146">
        <v>1</v>
      </c>
    </row>
    <row r="1147" spans="1:16" x14ac:dyDescent="0.25">
      <c r="A1147" s="4">
        <v>43790</v>
      </c>
      <c r="B1147" t="s">
        <v>10</v>
      </c>
      <c r="C1147">
        <v>1</v>
      </c>
      <c r="F1147">
        <v>249</v>
      </c>
      <c r="J1147">
        <v>0.92700000000000005</v>
      </c>
      <c r="K1147">
        <v>31.1</v>
      </c>
      <c r="L1147">
        <v>33.6</v>
      </c>
      <c r="M1147">
        <v>184</v>
      </c>
      <c r="N1147">
        <v>20</v>
      </c>
      <c r="O1147">
        <v>5</v>
      </c>
    </row>
    <row r="1148" spans="1:16" x14ac:dyDescent="0.25">
      <c r="A1148" s="4">
        <v>43790</v>
      </c>
      <c r="B1148" t="s">
        <v>9</v>
      </c>
      <c r="C1148">
        <v>1</v>
      </c>
      <c r="F1148">
        <v>127</v>
      </c>
      <c r="J1148">
        <v>1.0509999999999999</v>
      </c>
      <c r="K1148">
        <v>36.299999999999997</v>
      </c>
      <c r="L1148">
        <v>34.5</v>
      </c>
      <c r="M1148">
        <v>97</v>
      </c>
      <c r="N1148">
        <v>11</v>
      </c>
      <c r="O1148">
        <v>2</v>
      </c>
    </row>
    <row r="1149" spans="1:16" x14ac:dyDescent="0.25">
      <c r="A1149" s="4">
        <v>43790</v>
      </c>
      <c r="B1149" t="s">
        <v>9</v>
      </c>
      <c r="C1149">
        <v>2</v>
      </c>
      <c r="F1149">
        <v>253</v>
      </c>
      <c r="J1149">
        <v>0.9</v>
      </c>
      <c r="K1149">
        <v>31.6</v>
      </c>
      <c r="L1149">
        <v>35.200000000000003</v>
      </c>
      <c r="M1149">
        <v>197</v>
      </c>
      <c r="N1149">
        <v>11</v>
      </c>
      <c r="O1149">
        <v>4</v>
      </c>
      <c r="P1149">
        <v>2</v>
      </c>
    </row>
    <row r="1150" spans="1:16" x14ac:dyDescent="0.25">
      <c r="A1150" s="4">
        <v>43790</v>
      </c>
      <c r="B1150" t="s">
        <v>10</v>
      </c>
      <c r="C1150" t="s">
        <v>78</v>
      </c>
      <c r="F1150">
        <v>249</v>
      </c>
      <c r="J1150">
        <v>0.92700000000000005</v>
      </c>
      <c r="K1150">
        <v>31.1</v>
      </c>
      <c r="L1150">
        <v>33.6</v>
      </c>
      <c r="M1150">
        <v>184</v>
      </c>
      <c r="N1150">
        <v>20</v>
      </c>
      <c r="O1150">
        <v>5</v>
      </c>
    </row>
    <row r="1151" spans="1:16" x14ac:dyDescent="0.25">
      <c r="A1151" s="4">
        <v>43790</v>
      </c>
      <c r="B1151" t="s">
        <v>9</v>
      </c>
      <c r="C1151" t="s">
        <v>78</v>
      </c>
      <c r="F1151">
        <v>380</v>
      </c>
      <c r="J1151">
        <v>0.94599999999999995</v>
      </c>
      <c r="K1151">
        <v>33</v>
      </c>
      <c r="L1151">
        <v>34.9</v>
      </c>
      <c r="M1151">
        <v>294</v>
      </c>
      <c r="N1151">
        <v>22</v>
      </c>
      <c r="O1151">
        <v>6</v>
      </c>
      <c r="P1151">
        <v>2</v>
      </c>
    </row>
    <row r="1152" spans="1:16" x14ac:dyDescent="0.25">
      <c r="A1152" s="4">
        <v>43791</v>
      </c>
      <c r="B1152" t="s">
        <v>10</v>
      </c>
      <c r="C1152">
        <v>1</v>
      </c>
      <c r="F1152">
        <v>112</v>
      </c>
      <c r="J1152">
        <v>0.84699999999999998</v>
      </c>
      <c r="K1152">
        <v>28</v>
      </c>
      <c r="L1152">
        <v>33</v>
      </c>
      <c r="M1152">
        <v>83</v>
      </c>
      <c r="N1152">
        <v>7</v>
      </c>
      <c r="O1152">
        <v>3</v>
      </c>
    </row>
    <row r="1153" spans="1:16" x14ac:dyDescent="0.25">
      <c r="A1153" s="4">
        <v>43791</v>
      </c>
      <c r="B1153" t="s">
        <v>9</v>
      </c>
      <c r="C1153">
        <v>1</v>
      </c>
      <c r="F1153">
        <v>262</v>
      </c>
      <c r="J1153">
        <v>0.89600000000000002</v>
      </c>
      <c r="K1153">
        <v>32.799999999999997</v>
      </c>
      <c r="L1153">
        <v>36.5</v>
      </c>
      <c r="M1153">
        <v>200</v>
      </c>
      <c r="N1153">
        <v>22</v>
      </c>
      <c r="O1153">
        <v>3</v>
      </c>
    </row>
    <row r="1154" spans="1:16" x14ac:dyDescent="0.25">
      <c r="A1154" s="4">
        <v>43791</v>
      </c>
      <c r="B1154" t="s">
        <v>9</v>
      </c>
      <c r="C1154">
        <v>2</v>
      </c>
      <c r="F1154">
        <v>115</v>
      </c>
      <c r="J1154">
        <v>0.96899999999999997</v>
      </c>
      <c r="K1154">
        <v>32.9</v>
      </c>
      <c r="L1154">
        <v>33.9</v>
      </c>
      <c r="M1154">
        <v>98</v>
      </c>
      <c r="N1154">
        <v>6</v>
      </c>
      <c r="O1154">
        <v>1</v>
      </c>
    </row>
    <row r="1155" spans="1:16" x14ac:dyDescent="0.25">
      <c r="A1155" s="4">
        <v>43791</v>
      </c>
      <c r="B1155" t="s">
        <v>10</v>
      </c>
      <c r="C1155" t="s">
        <v>78</v>
      </c>
      <c r="F1155">
        <v>112</v>
      </c>
      <c r="J1155">
        <v>0.84699999999999998</v>
      </c>
      <c r="K1155">
        <v>28</v>
      </c>
      <c r="L1155">
        <v>33</v>
      </c>
      <c r="M1155">
        <v>83</v>
      </c>
      <c r="N1155">
        <v>7</v>
      </c>
      <c r="O1155">
        <v>3</v>
      </c>
    </row>
    <row r="1156" spans="1:16" x14ac:dyDescent="0.25">
      <c r="A1156" s="4">
        <v>43791</v>
      </c>
      <c r="B1156" t="s">
        <v>9</v>
      </c>
      <c r="C1156" t="s">
        <v>78</v>
      </c>
      <c r="F1156">
        <v>377</v>
      </c>
      <c r="J1156">
        <v>0.91800000000000004</v>
      </c>
      <c r="K1156">
        <v>32.799999999999997</v>
      </c>
      <c r="L1156">
        <v>35.700000000000003</v>
      </c>
      <c r="M1156">
        <v>298</v>
      </c>
      <c r="N1156">
        <v>28</v>
      </c>
      <c r="O1156">
        <v>4</v>
      </c>
    </row>
    <row r="1157" spans="1:16" x14ac:dyDescent="0.25">
      <c r="A1157" s="4">
        <v>43794</v>
      </c>
      <c r="B1157" t="s">
        <v>10</v>
      </c>
      <c r="C1157">
        <v>1</v>
      </c>
      <c r="F1157">
        <v>244</v>
      </c>
      <c r="J1157">
        <v>0.90400000000000003</v>
      </c>
      <c r="K1157">
        <v>30.5</v>
      </c>
      <c r="L1157">
        <v>33.799999999999997</v>
      </c>
      <c r="M1157">
        <v>152</v>
      </c>
      <c r="N1157">
        <v>24</v>
      </c>
      <c r="O1157">
        <v>9</v>
      </c>
      <c r="P1157">
        <v>1</v>
      </c>
    </row>
    <row r="1158" spans="1:16" x14ac:dyDescent="0.25">
      <c r="A1158" s="4">
        <v>43794</v>
      </c>
      <c r="B1158" t="s">
        <v>9</v>
      </c>
      <c r="C1158">
        <v>1</v>
      </c>
      <c r="F1158">
        <v>267</v>
      </c>
      <c r="J1158">
        <v>0.88</v>
      </c>
      <c r="K1158">
        <v>33.4</v>
      </c>
      <c r="L1158">
        <v>37.9</v>
      </c>
      <c r="M1158">
        <v>190</v>
      </c>
      <c r="N1158">
        <v>15</v>
      </c>
      <c r="O1158">
        <v>10</v>
      </c>
    </row>
    <row r="1159" spans="1:16" x14ac:dyDescent="0.25">
      <c r="A1159" s="4">
        <v>43794</v>
      </c>
      <c r="B1159" t="s">
        <v>9</v>
      </c>
      <c r="C1159">
        <v>2</v>
      </c>
      <c r="F1159">
        <v>247</v>
      </c>
      <c r="J1159">
        <v>0.84799999999999998</v>
      </c>
      <c r="K1159">
        <v>30.9</v>
      </c>
      <c r="L1159">
        <v>36.4</v>
      </c>
      <c r="M1159">
        <v>184</v>
      </c>
      <c r="N1159">
        <v>17</v>
      </c>
      <c r="O1159">
        <v>6</v>
      </c>
      <c r="P1159">
        <v>1</v>
      </c>
    </row>
    <row r="1160" spans="1:16" x14ac:dyDescent="0.25">
      <c r="A1160" s="4">
        <v>43794</v>
      </c>
      <c r="B1160" t="s">
        <v>10</v>
      </c>
      <c r="C1160" t="s">
        <v>78</v>
      </c>
      <c r="F1160">
        <v>244</v>
      </c>
      <c r="J1160">
        <v>0.90400000000000003</v>
      </c>
      <c r="K1160">
        <v>30.5</v>
      </c>
      <c r="L1160">
        <v>33.799999999999997</v>
      </c>
      <c r="M1160">
        <v>152</v>
      </c>
      <c r="N1160">
        <v>24</v>
      </c>
      <c r="O1160">
        <v>9</v>
      </c>
      <c r="P1160">
        <v>1</v>
      </c>
    </row>
    <row r="1161" spans="1:16" x14ac:dyDescent="0.25">
      <c r="A1161" s="4">
        <v>43794</v>
      </c>
      <c r="B1161" t="s">
        <v>9</v>
      </c>
      <c r="C1161" t="s">
        <v>78</v>
      </c>
      <c r="F1161">
        <v>514</v>
      </c>
      <c r="J1161">
        <v>0.86399999999999999</v>
      </c>
      <c r="K1161">
        <v>32.1</v>
      </c>
      <c r="L1161">
        <v>37.200000000000003</v>
      </c>
      <c r="M1161">
        <v>374</v>
      </c>
      <c r="N1161">
        <v>32</v>
      </c>
      <c r="O1161">
        <v>16</v>
      </c>
      <c r="P1161">
        <v>1</v>
      </c>
    </row>
    <row r="1162" spans="1:16" x14ac:dyDescent="0.25">
      <c r="A1162" s="4">
        <v>43795</v>
      </c>
      <c r="B1162" t="s">
        <v>10</v>
      </c>
      <c r="C1162">
        <v>1</v>
      </c>
      <c r="F1162">
        <v>230</v>
      </c>
      <c r="J1162">
        <v>0.81399999999999995</v>
      </c>
      <c r="K1162">
        <v>28.8</v>
      </c>
      <c r="L1162">
        <v>35.299999999999997</v>
      </c>
      <c r="M1162">
        <v>142</v>
      </c>
      <c r="N1162">
        <v>25</v>
      </c>
      <c r="O1162">
        <v>8</v>
      </c>
    </row>
    <row r="1163" spans="1:16" x14ac:dyDescent="0.25">
      <c r="A1163" s="4">
        <v>43795</v>
      </c>
      <c r="B1163" t="s">
        <v>9</v>
      </c>
      <c r="C1163">
        <v>1</v>
      </c>
      <c r="F1163">
        <v>313</v>
      </c>
      <c r="J1163">
        <v>1.028</v>
      </c>
      <c r="K1163">
        <v>39.1</v>
      </c>
      <c r="L1163">
        <v>38.1</v>
      </c>
      <c r="M1163">
        <v>215</v>
      </c>
      <c r="N1163">
        <v>24</v>
      </c>
      <c r="O1163">
        <v>8</v>
      </c>
      <c r="P1163">
        <v>1</v>
      </c>
    </row>
    <row r="1164" spans="1:16" x14ac:dyDescent="0.25">
      <c r="A1164" s="4">
        <v>43795</v>
      </c>
      <c r="B1164" t="s">
        <v>9</v>
      </c>
      <c r="C1164">
        <v>2</v>
      </c>
      <c r="F1164">
        <v>266</v>
      </c>
      <c r="J1164">
        <v>0.91600000000000004</v>
      </c>
      <c r="K1164">
        <v>33.299999999999997</v>
      </c>
      <c r="L1164">
        <v>36.299999999999997</v>
      </c>
      <c r="M1164">
        <v>209</v>
      </c>
      <c r="N1164">
        <v>10</v>
      </c>
      <c r="O1164">
        <v>3</v>
      </c>
      <c r="P1164">
        <v>2</v>
      </c>
    </row>
    <row r="1165" spans="1:16" x14ac:dyDescent="0.25">
      <c r="A1165" s="4">
        <v>43795</v>
      </c>
      <c r="B1165" t="s">
        <v>10</v>
      </c>
      <c r="C1165" t="s">
        <v>78</v>
      </c>
      <c r="F1165">
        <v>230</v>
      </c>
      <c r="J1165">
        <v>0.81399999999999995</v>
      </c>
      <c r="K1165">
        <v>28.8</v>
      </c>
      <c r="L1165">
        <v>35.299999999999997</v>
      </c>
      <c r="M1165">
        <v>142</v>
      </c>
      <c r="N1165">
        <v>25</v>
      </c>
      <c r="O1165">
        <v>8</v>
      </c>
    </row>
    <row r="1166" spans="1:16" x14ac:dyDescent="0.25">
      <c r="A1166" s="4">
        <v>43795</v>
      </c>
      <c r="B1166" t="s">
        <v>9</v>
      </c>
      <c r="C1166" t="s">
        <v>78</v>
      </c>
      <c r="F1166">
        <v>579</v>
      </c>
      <c r="J1166">
        <v>0.97199999999999998</v>
      </c>
      <c r="K1166">
        <v>36.200000000000003</v>
      </c>
      <c r="L1166">
        <v>37.200000000000003</v>
      </c>
      <c r="M1166">
        <v>424</v>
      </c>
      <c r="N1166">
        <v>34</v>
      </c>
      <c r="O1166">
        <v>11</v>
      </c>
      <c r="P1166">
        <v>3</v>
      </c>
    </row>
    <row r="1167" spans="1:16" x14ac:dyDescent="0.25">
      <c r="A1167" s="4">
        <v>43796</v>
      </c>
      <c r="B1167" t="s">
        <v>10</v>
      </c>
      <c r="C1167">
        <v>1</v>
      </c>
      <c r="F1167">
        <v>230</v>
      </c>
      <c r="J1167">
        <v>0.88600000000000001</v>
      </c>
      <c r="K1167">
        <v>28.8</v>
      </c>
      <c r="L1167">
        <v>32.5</v>
      </c>
      <c r="M1167">
        <v>172</v>
      </c>
      <c r="N1167">
        <v>16</v>
      </c>
      <c r="O1167">
        <v>5</v>
      </c>
    </row>
    <row r="1168" spans="1:16" x14ac:dyDescent="0.25">
      <c r="A1168" s="4">
        <v>43796</v>
      </c>
      <c r="B1168" t="s">
        <v>9</v>
      </c>
      <c r="C1168">
        <v>1</v>
      </c>
      <c r="F1168">
        <v>264</v>
      </c>
      <c r="J1168">
        <v>0.94799999999999995</v>
      </c>
      <c r="K1168">
        <v>33</v>
      </c>
      <c r="L1168">
        <v>34.799999999999997</v>
      </c>
      <c r="M1168">
        <v>217</v>
      </c>
      <c r="N1168">
        <v>13</v>
      </c>
      <c r="O1168">
        <v>5</v>
      </c>
    </row>
    <row r="1169" spans="1:16" x14ac:dyDescent="0.25">
      <c r="A1169" s="4">
        <v>43796</v>
      </c>
      <c r="B1169" t="s">
        <v>9</v>
      </c>
      <c r="C1169">
        <v>2</v>
      </c>
      <c r="F1169">
        <v>282</v>
      </c>
      <c r="J1169">
        <v>1.0049999999999999</v>
      </c>
      <c r="K1169">
        <v>35.299999999999997</v>
      </c>
      <c r="L1169">
        <v>35.1</v>
      </c>
      <c r="M1169">
        <v>201</v>
      </c>
      <c r="N1169">
        <v>24</v>
      </c>
      <c r="O1169">
        <v>6</v>
      </c>
      <c r="P1169">
        <v>1</v>
      </c>
    </row>
    <row r="1170" spans="1:16" x14ac:dyDescent="0.25">
      <c r="A1170" s="4">
        <v>43796</v>
      </c>
      <c r="B1170" t="s">
        <v>10</v>
      </c>
      <c r="C1170" t="s">
        <v>78</v>
      </c>
      <c r="F1170">
        <v>230</v>
      </c>
      <c r="J1170">
        <v>0.88600000000000001</v>
      </c>
      <c r="K1170">
        <v>28.8</v>
      </c>
      <c r="L1170">
        <v>32.5</v>
      </c>
      <c r="M1170">
        <v>172</v>
      </c>
      <c r="N1170">
        <v>16</v>
      </c>
      <c r="O1170">
        <v>5</v>
      </c>
    </row>
    <row r="1171" spans="1:16" x14ac:dyDescent="0.25">
      <c r="A1171" s="4">
        <v>43796</v>
      </c>
      <c r="B1171" t="s">
        <v>9</v>
      </c>
      <c r="C1171" t="s">
        <v>78</v>
      </c>
      <c r="F1171">
        <v>546</v>
      </c>
      <c r="J1171">
        <v>0.97699999999999998</v>
      </c>
      <c r="K1171">
        <v>34.1</v>
      </c>
      <c r="L1171">
        <v>35</v>
      </c>
      <c r="M1171">
        <v>418</v>
      </c>
      <c r="N1171">
        <v>37</v>
      </c>
      <c r="O1171">
        <v>11</v>
      </c>
      <c r="P1171">
        <v>1</v>
      </c>
    </row>
    <row r="1172" spans="1:16" x14ac:dyDescent="0.25">
      <c r="A1172" s="4">
        <v>43801</v>
      </c>
      <c r="B1172" t="s">
        <v>9</v>
      </c>
      <c r="C1172">
        <v>1</v>
      </c>
      <c r="F1172">
        <v>359</v>
      </c>
      <c r="J1172">
        <v>1.1160000000000001</v>
      </c>
      <c r="K1172">
        <v>44.9</v>
      </c>
      <c r="L1172">
        <v>40.200000000000003</v>
      </c>
      <c r="M1172">
        <v>196</v>
      </c>
      <c r="N1172">
        <v>18</v>
      </c>
      <c r="O1172">
        <v>1</v>
      </c>
    </row>
    <row r="1173" spans="1:16" x14ac:dyDescent="0.25">
      <c r="A1173" s="4">
        <v>43801</v>
      </c>
      <c r="B1173" t="s">
        <v>9</v>
      </c>
      <c r="C1173">
        <v>2</v>
      </c>
      <c r="F1173">
        <v>281</v>
      </c>
      <c r="J1173">
        <v>0.94</v>
      </c>
      <c r="K1173">
        <v>35.1</v>
      </c>
      <c r="L1173">
        <v>37.4</v>
      </c>
      <c r="M1173">
        <v>196</v>
      </c>
      <c r="N1173">
        <v>27</v>
      </c>
      <c r="O1173">
        <v>5</v>
      </c>
      <c r="P1173">
        <v>1</v>
      </c>
    </row>
    <row r="1174" spans="1:16" x14ac:dyDescent="0.25">
      <c r="A1174" s="4">
        <v>43801</v>
      </c>
      <c r="B1174" t="s">
        <v>9</v>
      </c>
      <c r="C1174" t="s">
        <v>78</v>
      </c>
      <c r="F1174">
        <v>640</v>
      </c>
      <c r="J1174">
        <v>1.028</v>
      </c>
      <c r="K1174">
        <v>40</v>
      </c>
      <c r="L1174">
        <v>38.9</v>
      </c>
      <c r="M1174">
        <v>392</v>
      </c>
      <c r="N1174">
        <v>71</v>
      </c>
      <c r="O1174">
        <v>23</v>
      </c>
      <c r="P1174">
        <v>2</v>
      </c>
    </row>
    <row r="1175" spans="1:16" x14ac:dyDescent="0.25">
      <c r="A1175" s="4">
        <v>43802</v>
      </c>
      <c r="B1175" t="s">
        <v>10</v>
      </c>
      <c r="C1175">
        <v>1</v>
      </c>
      <c r="F1175">
        <v>204</v>
      </c>
      <c r="J1175">
        <v>0.77500000000000002</v>
      </c>
      <c r="K1175">
        <v>25.5</v>
      </c>
      <c r="L1175">
        <v>32.9</v>
      </c>
      <c r="M1175">
        <v>160</v>
      </c>
      <c r="N1175">
        <v>13</v>
      </c>
      <c r="O1175">
        <v>3</v>
      </c>
    </row>
    <row r="1176" spans="1:16" x14ac:dyDescent="0.25">
      <c r="A1176" s="4">
        <v>43802</v>
      </c>
      <c r="B1176" t="s">
        <v>9</v>
      </c>
      <c r="C1176">
        <v>1</v>
      </c>
      <c r="F1176">
        <v>298</v>
      </c>
      <c r="J1176">
        <v>0.98799999999999999</v>
      </c>
      <c r="K1176">
        <v>37.299999999999997</v>
      </c>
      <c r="L1176">
        <v>37.700000000000003</v>
      </c>
      <c r="M1176">
        <v>221</v>
      </c>
      <c r="N1176">
        <v>21</v>
      </c>
      <c r="O1176">
        <v>4</v>
      </c>
      <c r="P1176">
        <v>1</v>
      </c>
    </row>
    <row r="1177" spans="1:16" x14ac:dyDescent="0.25">
      <c r="A1177" s="4">
        <v>43802</v>
      </c>
      <c r="B1177" t="s">
        <v>9</v>
      </c>
      <c r="C1177">
        <v>2</v>
      </c>
      <c r="F1177">
        <v>266</v>
      </c>
      <c r="J1177">
        <v>0.94499999999999995</v>
      </c>
      <c r="K1177">
        <v>33.299999999999997</v>
      </c>
      <c r="L1177">
        <v>35.200000000000003</v>
      </c>
      <c r="M1177">
        <v>208</v>
      </c>
      <c r="N1177">
        <v>19</v>
      </c>
      <c r="O1177">
        <v>5</v>
      </c>
    </row>
    <row r="1178" spans="1:16" x14ac:dyDescent="0.25">
      <c r="A1178" s="4">
        <v>43802</v>
      </c>
      <c r="B1178" t="s">
        <v>10</v>
      </c>
      <c r="C1178" t="s">
        <v>78</v>
      </c>
      <c r="F1178">
        <v>204</v>
      </c>
      <c r="J1178">
        <v>0.77500000000000002</v>
      </c>
      <c r="K1178">
        <v>25.5</v>
      </c>
      <c r="L1178">
        <v>32.9</v>
      </c>
      <c r="M1178">
        <v>160</v>
      </c>
      <c r="N1178">
        <v>13</v>
      </c>
      <c r="O1178">
        <v>3</v>
      </c>
    </row>
    <row r="1179" spans="1:16" x14ac:dyDescent="0.25">
      <c r="A1179" s="4">
        <v>43802</v>
      </c>
      <c r="B1179" t="s">
        <v>9</v>
      </c>
      <c r="C1179" t="s">
        <v>78</v>
      </c>
      <c r="F1179">
        <v>564</v>
      </c>
      <c r="J1179">
        <v>0.96699999999999997</v>
      </c>
      <c r="K1179">
        <v>35.299999999999997</v>
      </c>
      <c r="L1179">
        <v>36.5</v>
      </c>
      <c r="M1179">
        <v>429</v>
      </c>
      <c r="N1179">
        <v>40</v>
      </c>
      <c r="O1179">
        <v>9</v>
      </c>
      <c r="P1179">
        <v>1</v>
      </c>
    </row>
    <row r="1180" spans="1:16" x14ac:dyDescent="0.25">
      <c r="A1180" s="4">
        <v>43803</v>
      </c>
      <c r="B1180" t="s">
        <v>10</v>
      </c>
      <c r="C1180">
        <v>1</v>
      </c>
      <c r="F1180">
        <v>147</v>
      </c>
      <c r="J1180">
        <v>0.73199999999999998</v>
      </c>
      <c r="K1180">
        <v>24.5</v>
      </c>
      <c r="L1180">
        <v>33.5</v>
      </c>
      <c r="M1180">
        <v>117</v>
      </c>
      <c r="N1180">
        <v>10</v>
      </c>
    </row>
    <row r="1181" spans="1:16" x14ac:dyDescent="0.25">
      <c r="A1181" s="4">
        <v>43803</v>
      </c>
      <c r="B1181" t="s">
        <v>9</v>
      </c>
      <c r="C1181">
        <v>1</v>
      </c>
      <c r="F1181">
        <v>257</v>
      </c>
      <c r="J1181">
        <v>0.89900000000000002</v>
      </c>
      <c r="K1181">
        <v>32.1</v>
      </c>
      <c r="L1181">
        <v>35.799999999999997</v>
      </c>
      <c r="M1181">
        <v>203</v>
      </c>
      <c r="N1181">
        <v>20</v>
      </c>
      <c r="O1181">
        <v>2</v>
      </c>
    </row>
    <row r="1182" spans="1:16" x14ac:dyDescent="0.25">
      <c r="A1182" s="4">
        <v>43803</v>
      </c>
      <c r="B1182" t="s">
        <v>9</v>
      </c>
      <c r="C1182">
        <v>2</v>
      </c>
      <c r="F1182">
        <v>279</v>
      </c>
      <c r="J1182">
        <v>1.0229999999999999</v>
      </c>
      <c r="K1182">
        <v>34.9</v>
      </c>
      <c r="L1182">
        <v>34.1</v>
      </c>
      <c r="M1182">
        <v>235</v>
      </c>
      <c r="N1182">
        <v>11</v>
      </c>
      <c r="O1182">
        <v>6</v>
      </c>
    </row>
    <row r="1183" spans="1:16" x14ac:dyDescent="0.25">
      <c r="A1183" s="4">
        <v>43803</v>
      </c>
      <c r="B1183" t="s">
        <v>10</v>
      </c>
      <c r="C1183" t="s">
        <v>78</v>
      </c>
      <c r="F1183">
        <v>147</v>
      </c>
      <c r="J1183">
        <v>0.73199999999999998</v>
      </c>
      <c r="K1183">
        <v>24.5</v>
      </c>
      <c r="L1183">
        <v>33.5</v>
      </c>
      <c r="M1183">
        <v>117</v>
      </c>
      <c r="N1183">
        <v>10</v>
      </c>
    </row>
    <row r="1184" spans="1:16" x14ac:dyDescent="0.25">
      <c r="A1184" s="4">
        <v>43803</v>
      </c>
      <c r="B1184" t="s">
        <v>9</v>
      </c>
      <c r="C1184" t="s">
        <v>78</v>
      </c>
      <c r="F1184">
        <v>536</v>
      </c>
      <c r="J1184">
        <v>0.96099999999999997</v>
      </c>
      <c r="K1184">
        <v>33.5</v>
      </c>
      <c r="L1184">
        <v>34.9</v>
      </c>
      <c r="M1184">
        <v>438</v>
      </c>
      <c r="N1184">
        <v>31</v>
      </c>
      <c r="O1184">
        <v>8</v>
      </c>
    </row>
    <row r="1185" spans="1:16" x14ac:dyDescent="0.25">
      <c r="A1185" s="4">
        <v>43804</v>
      </c>
      <c r="B1185" t="s">
        <v>10</v>
      </c>
      <c r="C1185">
        <v>1</v>
      </c>
      <c r="F1185">
        <v>250</v>
      </c>
      <c r="J1185">
        <v>0.91500000000000004</v>
      </c>
      <c r="K1185">
        <v>31.3</v>
      </c>
      <c r="L1185">
        <v>34.200000000000003</v>
      </c>
      <c r="M1185">
        <v>170</v>
      </c>
      <c r="N1185">
        <v>22</v>
      </c>
      <c r="O1185">
        <v>6</v>
      </c>
      <c r="P1185">
        <v>1</v>
      </c>
    </row>
    <row r="1186" spans="1:16" x14ac:dyDescent="0.25">
      <c r="A1186" s="4">
        <v>43804</v>
      </c>
      <c r="B1186" t="s">
        <v>9</v>
      </c>
      <c r="C1186">
        <v>1</v>
      </c>
      <c r="F1186">
        <v>148</v>
      </c>
      <c r="J1186">
        <v>1.038</v>
      </c>
      <c r="K1186">
        <v>37</v>
      </c>
      <c r="L1186">
        <v>35.6</v>
      </c>
      <c r="M1186">
        <v>107</v>
      </c>
      <c r="N1186">
        <v>15</v>
      </c>
      <c r="O1186">
        <v>1</v>
      </c>
    </row>
    <row r="1187" spans="1:16" x14ac:dyDescent="0.25">
      <c r="A1187" s="4">
        <v>43804</v>
      </c>
      <c r="B1187" t="s">
        <v>9</v>
      </c>
      <c r="C1187">
        <v>2</v>
      </c>
      <c r="F1187">
        <v>217</v>
      </c>
      <c r="J1187">
        <v>0.751</v>
      </c>
      <c r="K1187">
        <v>27.1</v>
      </c>
      <c r="L1187">
        <v>36.1</v>
      </c>
      <c r="M1187">
        <v>172</v>
      </c>
      <c r="N1187">
        <v>7</v>
      </c>
      <c r="O1187">
        <v>2</v>
      </c>
      <c r="P1187">
        <v>2</v>
      </c>
    </row>
    <row r="1188" spans="1:16" x14ac:dyDescent="0.25">
      <c r="A1188" s="4">
        <v>43804</v>
      </c>
      <c r="B1188" t="s">
        <v>10</v>
      </c>
      <c r="C1188" t="s">
        <v>78</v>
      </c>
      <c r="F1188">
        <v>250</v>
      </c>
      <c r="J1188">
        <v>0.91500000000000004</v>
      </c>
      <c r="K1188">
        <v>31.3</v>
      </c>
      <c r="L1188">
        <v>34.200000000000003</v>
      </c>
      <c r="M1188">
        <v>170</v>
      </c>
      <c r="N1188">
        <v>22</v>
      </c>
      <c r="O1188">
        <v>6</v>
      </c>
      <c r="P1188">
        <v>1</v>
      </c>
    </row>
    <row r="1189" spans="1:16" x14ac:dyDescent="0.25">
      <c r="A1189" s="4">
        <v>43804</v>
      </c>
      <c r="B1189" t="s">
        <v>9</v>
      </c>
      <c r="C1189" t="s">
        <v>78</v>
      </c>
      <c r="F1189">
        <v>365</v>
      </c>
      <c r="J1189">
        <v>0.84699999999999998</v>
      </c>
      <c r="K1189">
        <v>30.4</v>
      </c>
      <c r="L1189">
        <v>35.9</v>
      </c>
      <c r="M1189">
        <v>279</v>
      </c>
      <c r="N1189">
        <v>22</v>
      </c>
      <c r="O1189">
        <v>3</v>
      </c>
      <c r="P1189">
        <v>2</v>
      </c>
    </row>
    <row r="1190" spans="1:16" x14ac:dyDescent="0.25">
      <c r="A1190" s="4">
        <v>43805</v>
      </c>
      <c r="B1190" t="s">
        <v>9</v>
      </c>
      <c r="C1190">
        <v>1</v>
      </c>
      <c r="F1190">
        <v>279</v>
      </c>
      <c r="J1190">
        <v>0.90900000000000003</v>
      </c>
      <c r="K1190">
        <v>34.9</v>
      </c>
      <c r="L1190">
        <v>38.4</v>
      </c>
      <c r="M1190">
        <v>185</v>
      </c>
      <c r="N1190">
        <v>17</v>
      </c>
      <c r="O1190">
        <v>14</v>
      </c>
    </row>
    <row r="1191" spans="1:16" x14ac:dyDescent="0.25">
      <c r="A1191" s="4">
        <v>43805</v>
      </c>
      <c r="B1191" t="s">
        <v>9</v>
      </c>
      <c r="C1191">
        <v>2</v>
      </c>
      <c r="F1191">
        <v>278</v>
      </c>
      <c r="J1191">
        <v>0.96499999999999997</v>
      </c>
      <c r="K1191">
        <v>34.799999999999997</v>
      </c>
      <c r="L1191">
        <v>36</v>
      </c>
      <c r="M1191">
        <v>217</v>
      </c>
      <c r="N1191">
        <v>16</v>
      </c>
      <c r="O1191">
        <v>7</v>
      </c>
    </row>
    <row r="1192" spans="1:16" x14ac:dyDescent="0.25">
      <c r="A1192" s="4">
        <v>43805</v>
      </c>
      <c r="B1192" t="s">
        <v>9</v>
      </c>
      <c r="C1192" t="s">
        <v>78</v>
      </c>
      <c r="F1192">
        <v>557</v>
      </c>
      <c r="J1192">
        <v>0.93700000000000006</v>
      </c>
      <c r="K1192">
        <v>34.799999999999997</v>
      </c>
      <c r="L1192">
        <v>37.200000000000003</v>
      </c>
      <c r="M1192">
        <v>402</v>
      </c>
      <c r="N1192">
        <v>33</v>
      </c>
      <c r="O1192">
        <v>21</v>
      </c>
    </row>
    <row r="1193" spans="1:16" x14ac:dyDescent="0.25">
      <c r="A1193" s="4">
        <v>43808</v>
      </c>
      <c r="B1193" t="s">
        <v>10</v>
      </c>
      <c r="C1193">
        <v>1</v>
      </c>
      <c r="F1193">
        <v>203</v>
      </c>
      <c r="J1193">
        <v>0.748</v>
      </c>
      <c r="K1193">
        <v>25.4</v>
      </c>
      <c r="L1193">
        <v>33.9</v>
      </c>
      <c r="M1193">
        <v>133</v>
      </c>
      <c r="N1193">
        <v>26</v>
      </c>
      <c r="O1193">
        <v>4</v>
      </c>
    </row>
    <row r="1194" spans="1:16" x14ac:dyDescent="0.25">
      <c r="A1194" s="4">
        <v>43808</v>
      </c>
      <c r="B1194" t="s">
        <v>9</v>
      </c>
      <c r="C1194">
        <v>1</v>
      </c>
      <c r="F1194">
        <v>271</v>
      </c>
      <c r="J1194">
        <v>0.86299999999999999</v>
      </c>
      <c r="K1194">
        <v>33.9</v>
      </c>
      <c r="L1194">
        <v>39.299999999999997</v>
      </c>
      <c r="M1194">
        <v>176</v>
      </c>
      <c r="N1194">
        <v>23</v>
      </c>
      <c r="O1194">
        <v>8</v>
      </c>
    </row>
    <row r="1195" spans="1:16" x14ac:dyDescent="0.25">
      <c r="A1195" s="4">
        <v>43808</v>
      </c>
      <c r="B1195" t="s">
        <v>9</v>
      </c>
      <c r="C1195">
        <v>2</v>
      </c>
      <c r="F1195">
        <v>259</v>
      </c>
      <c r="J1195">
        <v>0.91600000000000004</v>
      </c>
      <c r="K1195">
        <v>32.4</v>
      </c>
      <c r="L1195">
        <v>35.4</v>
      </c>
      <c r="M1195">
        <v>212</v>
      </c>
      <c r="N1195">
        <v>14</v>
      </c>
      <c r="O1195">
        <v>2</v>
      </c>
      <c r="P1195">
        <v>1</v>
      </c>
    </row>
    <row r="1196" spans="1:16" x14ac:dyDescent="0.25">
      <c r="A1196" s="4">
        <v>43808</v>
      </c>
      <c r="B1196" t="s">
        <v>10</v>
      </c>
      <c r="C1196" t="s">
        <v>78</v>
      </c>
      <c r="F1196">
        <v>203</v>
      </c>
      <c r="J1196">
        <v>0.748</v>
      </c>
      <c r="K1196">
        <v>25.4</v>
      </c>
      <c r="L1196">
        <v>33.9</v>
      </c>
      <c r="M1196">
        <v>133</v>
      </c>
      <c r="N1196">
        <v>26</v>
      </c>
      <c r="O1196">
        <v>4</v>
      </c>
    </row>
    <row r="1197" spans="1:16" x14ac:dyDescent="0.25">
      <c r="A1197" s="4">
        <v>43808</v>
      </c>
      <c r="B1197" t="s">
        <v>9</v>
      </c>
      <c r="C1197" t="s">
        <v>78</v>
      </c>
      <c r="F1197">
        <v>530</v>
      </c>
      <c r="J1197">
        <v>0.88900000000000001</v>
      </c>
      <c r="K1197">
        <v>33.1</v>
      </c>
      <c r="L1197">
        <v>37.200000000000003</v>
      </c>
      <c r="M1197">
        <v>388</v>
      </c>
      <c r="N1197">
        <v>37</v>
      </c>
      <c r="O1197">
        <v>10</v>
      </c>
      <c r="P1197">
        <v>1</v>
      </c>
    </row>
    <row r="1198" spans="1:16" x14ac:dyDescent="0.25">
      <c r="A1198" s="4">
        <v>43809</v>
      </c>
      <c r="B1198" t="s">
        <v>10</v>
      </c>
      <c r="C1198">
        <v>1</v>
      </c>
      <c r="F1198">
        <v>271</v>
      </c>
      <c r="J1198">
        <v>0.95499999999999996</v>
      </c>
      <c r="K1198">
        <v>33.9</v>
      </c>
      <c r="L1198">
        <v>35.5</v>
      </c>
      <c r="M1198">
        <v>161</v>
      </c>
      <c r="N1198">
        <v>41</v>
      </c>
      <c r="O1198">
        <v>3</v>
      </c>
      <c r="P1198">
        <v>2</v>
      </c>
    </row>
    <row r="1199" spans="1:16" x14ac:dyDescent="0.25">
      <c r="A1199" s="4">
        <v>43809</v>
      </c>
      <c r="B1199" t="s">
        <v>9</v>
      </c>
      <c r="C1199">
        <v>1</v>
      </c>
      <c r="F1199">
        <v>155</v>
      </c>
      <c r="J1199">
        <v>1.1259999999999999</v>
      </c>
      <c r="K1199">
        <v>44.3</v>
      </c>
      <c r="L1199">
        <v>39.299999999999997</v>
      </c>
      <c r="M1199">
        <v>91</v>
      </c>
      <c r="N1199">
        <v>23</v>
      </c>
      <c r="O1199">
        <v>4</v>
      </c>
    </row>
    <row r="1200" spans="1:16" x14ac:dyDescent="0.25">
      <c r="A1200" s="4">
        <v>43809</v>
      </c>
      <c r="B1200" t="s">
        <v>9</v>
      </c>
      <c r="C1200">
        <v>2</v>
      </c>
      <c r="F1200">
        <v>182</v>
      </c>
      <c r="J1200">
        <v>1.008</v>
      </c>
      <c r="K1200">
        <v>33.1</v>
      </c>
      <c r="L1200">
        <v>32.799999999999997</v>
      </c>
      <c r="M1200">
        <v>177</v>
      </c>
      <c r="N1200">
        <v>2</v>
      </c>
    </row>
    <row r="1201" spans="1:16" x14ac:dyDescent="0.25">
      <c r="A1201" s="4">
        <v>43809</v>
      </c>
      <c r="B1201" t="s">
        <v>10</v>
      </c>
      <c r="C1201" t="s">
        <v>78</v>
      </c>
      <c r="F1201">
        <v>271</v>
      </c>
      <c r="J1201">
        <v>0.95499999999999996</v>
      </c>
      <c r="K1201">
        <v>33.9</v>
      </c>
      <c r="L1201">
        <v>35.5</v>
      </c>
      <c r="M1201">
        <v>161</v>
      </c>
      <c r="N1201">
        <v>41</v>
      </c>
      <c r="O1201">
        <v>3</v>
      </c>
      <c r="P1201">
        <v>2</v>
      </c>
    </row>
    <row r="1202" spans="1:16" x14ac:dyDescent="0.25">
      <c r="A1202" s="4">
        <v>43809</v>
      </c>
      <c r="B1202" t="s">
        <v>9</v>
      </c>
      <c r="C1202" t="s">
        <v>78</v>
      </c>
      <c r="F1202">
        <v>337</v>
      </c>
      <c r="J1202">
        <v>1.054</v>
      </c>
      <c r="K1202">
        <v>37.4</v>
      </c>
      <c r="L1202">
        <v>35.5</v>
      </c>
      <c r="M1202">
        <v>268</v>
      </c>
      <c r="N1202">
        <v>25</v>
      </c>
      <c r="O1202">
        <v>4</v>
      </c>
    </row>
    <row r="1203" spans="1:16" x14ac:dyDescent="0.25">
      <c r="A1203" s="4">
        <v>43810</v>
      </c>
      <c r="B1203" t="s">
        <v>10</v>
      </c>
      <c r="C1203">
        <v>1</v>
      </c>
      <c r="F1203">
        <v>117</v>
      </c>
      <c r="J1203">
        <v>0.871</v>
      </c>
      <c r="K1203">
        <v>29.3</v>
      </c>
      <c r="L1203">
        <v>33.6</v>
      </c>
      <c r="M1203">
        <v>80</v>
      </c>
      <c r="N1203">
        <v>8</v>
      </c>
      <c r="O1203">
        <v>6</v>
      </c>
    </row>
    <row r="1204" spans="1:16" x14ac:dyDescent="0.25">
      <c r="A1204" s="4">
        <v>43810</v>
      </c>
      <c r="B1204" t="s">
        <v>9</v>
      </c>
      <c r="C1204">
        <v>1</v>
      </c>
      <c r="F1204">
        <v>278</v>
      </c>
      <c r="J1204">
        <v>0.92500000000000004</v>
      </c>
      <c r="K1204">
        <v>34.799999999999997</v>
      </c>
      <c r="L1204">
        <v>37.6</v>
      </c>
      <c r="M1204">
        <v>185</v>
      </c>
      <c r="N1204">
        <v>28</v>
      </c>
      <c r="O1204">
        <v>8</v>
      </c>
    </row>
    <row r="1205" spans="1:16" x14ac:dyDescent="0.25">
      <c r="A1205" s="4">
        <v>43810</v>
      </c>
      <c r="B1205" t="s">
        <v>9</v>
      </c>
      <c r="C1205">
        <v>2</v>
      </c>
      <c r="F1205">
        <v>227</v>
      </c>
      <c r="J1205">
        <v>1.0109999999999999</v>
      </c>
      <c r="K1205">
        <v>35.799999999999997</v>
      </c>
      <c r="L1205">
        <v>35.5</v>
      </c>
      <c r="M1205">
        <v>183</v>
      </c>
      <c r="N1205">
        <v>12</v>
      </c>
      <c r="O1205">
        <v>3</v>
      </c>
      <c r="P1205">
        <v>1</v>
      </c>
    </row>
    <row r="1206" spans="1:16" x14ac:dyDescent="0.25">
      <c r="A1206" s="4">
        <v>43810</v>
      </c>
      <c r="B1206" t="s">
        <v>10</v>
      </c>
      <c r="C1206" t="s">
        <v>78</v>
      </c>
      <c r="F1206">
        <v>117</v>
      </c>
      <c r="J1206">
        <v>0.871</v>
      </c>
      <c r="K1206">
        <v>29.3</v>
      </c>
      <c r="L1206">
        <v>33.6</v>
      </c>
      <c r="M1206">
        <v>80</v>
      </c>
      <c r="N1206">
        <v>8</v>
      </c>
      <c r="O1206">
        <v>6</v>
      </c>
    </row>
    <row r="1207" spans="1:16" x14ac:dyDescent="0.25">
      <c r="A1207" s="4">
        <v>43810</v>
      </c>
      <c r="B1207" t="s">
        <v>9</v>
      </c>
      <c r="C1207" t="s">
        <v>78</v>
      </c>
      <c r="F1207">
        <v>505</v>
      </c>
      <c r="J1207">
        <v>0.96299999999999997</v>
      </c>
      <c r="K1207">
        <v>35.200000000000003</v>
      </c>
      <c r="L1207">
        <v>36.6</v>
      </c>
      <c r="M1207">
        <v>368</v>
      </c>
      <c r="N1207">
        <v>40</v>
      </c>
      <c r="O1207">
        <v>11</v>
      </c>
      <c r="P1207">
        <v>1</v>
      </c>
    </row>
    <row r="1208" spans="1:16" x14ac:dyDescent="0.25">
      <c r="A1208" s="4">
        <v>43811</v>
      </c>
      <c r="B1208" t="s">
        <v>10</v>
      </c>
      <c r="C1208">
        <v>1</v>
      </c>
      <c r="F1208">
        <v>255</v>
      </c>
      <c r="J1208">
        <v>0.93799999999999994</v>
      </c>
      <c r="K1208">
        <v>31.9</v>
      </c>
      <c r="L1208">
        <v>34</v>
      </c>
      <c r="M1208">
        <v>184</v>
      </c>
      <c r="N1208">
        <v>16</v>
      </c>
      <c r="O1208">
        <v>7</v>
      </c>
    </row>
    <row r="1209" spans="1:16" x14ac:dyDescent="0.25">
      <c r="A1209" s="4">
        <v>43811</v>
      </c>
      <c r="B1209" t="s">
        <v>9</v>
      </c>
      <c r="C1209">
        <v>1</v>
      </c>
      <c r="F1209">
        <v>106</v>
      </c>
      <c r="J1209">
        <v>0.91800000000000004</v>
      </c>
      <c r="K1209">
        <v>35.299999999999997</v>
      </c>
      <c r="L1209">
        <v>38.5</v>
      </c>
      <c r="M1209">
        <v>74</v>
      </c>
      <c r="N1209">
        <v>7</v>
      </c>
      <c r="O1209">
        <v>1</v>
      </c>
    </row>
    <row r="1210" spans="1:16" x14ac:dyDescent="0.25">
      <c r="A1210" s="4">
        <v>43811</v>
      </c>
      <c r="B1210" t="s">
        <v>9</v>
      </c>
      <c r="C1210">
        <v>2</v>
      </c>
      <c r="F1210">
        <v>197</v>
      </c>
      <c r="J1210">
        <v>1.02</v>
      </c>
      <c r="K1210">
        <v>35.799999999999997</v>
      </c>
      <c r="L1210">
        <v>35.1</v>
      </c>
      <c r="M1210">
        <v>156</v>
      </c>
      <c r="N1210">
        <v>12</v>
      </c>
      <c r="O1210">
        <v>3</v>
      </c>
      <c r="P1210">
        <v>1</v>
      </c>
    </row>
    <row r="1211" spans="1:16" x14ac:dyDescent="0.25">
      <c r="A1211" s="4">
        <v>43811</v>
      </c>
      <c r="B1211" t="s">
        <v>10</v>
      </c>
      <c r="C1211" t="s">
        <v>78</v>
      </c>
      <c r="F1211">
        <v>255</v>
      </c>
      <c r="J1211">
        <v>0.93799999999999994</v>
      </c>
      <c r="K1211">
        <v>31.9</v>
      </c>
      <c r="L1211">
        <v>34</v>
      </c>
      <c r="M1211">
        <v>184</v>
      </c>
      <c r="N1211">
        <v>16</v>
      </c>
      <c r="O1211">
        <v>7</v>
      </c>
    </row>
    <row r="1212" spans="1:16" x14ac:dyDescent="0.25">
      <c r="A1212" s="4">
        <v>43811</v>
      </c>
      <c r="B1212" t="s">
        <v>9</v>
      </c>
      <c r="C1212" t="s">
        <v>78</v>
      </c>
      <c r="F1212">
        <v>303</v>
      </c>
      <c r="J1212">
        <v>0.98399999999999999</v>
      </c>
      <c r="K1212">
        <v>35.700000000000003</v>
      </c>
      <c r="L1212">
        <v>36.200000000000003</v>
      </c>
      <c r="M1212">
        <v>230</v>
      </c>
      <c r="N1212">
        <v>19</v>
      </c>
      <c r="O1212">
        <v>4</v>
      </c>
      <c r="P1212">
        <v>1</v>
      </c>
    </row>
    <row r="1213" spans="1:16" x14ac:dyDescent="0.25">
      <c r="A1213" s="4">
        <v>43812</v>
      </c>
      <c r="B1213" t="s">
        <v>10</v>
      </c>
      <c r="C1213">
        <v>1</v>
      </c>
      <c r="F1213">
        <v>62</v>
      </c>
      <c r="J1213">
        <v>0.75600000000000001</v>
      </c>
      <c r="K1213">
        <v>24.8</v>
      </c>
      <c r="L1213">
        <v>32.799999999999997</v>
      </c>
      <c r="M1213">
        <v>39</v>
      </c>
      <c r="N1213">
        <v>7</v>
      </c>
      <c r="O1213">
        <v>2</v>
      </c>
    </row>
    <row r="1214" spans="1:16" x14ac:dyDescent="0.25">
      <c r="A1214" s="4">
        <v>43812</v>
      </c>
      <c r="B1214" t="s">
        <v>9</v>
      </c>
      <c r="C1214">
        <v>1</v>
      </c>
      <c r="F1214">
        <v>189</v>
      </c>
      <c r="J1214">
        <v>0.76600000000000001</v>
      </c>
      <c r="K1214">
        <v>27</v>
      </c>
      <c r="L1214">
        <v>35.299999999999997</v>
      </c>
      <c r="M1214">
        <v>129</v>
      </c>
      <c r="N1214">
        <v>20</v>
      </c>
      <c r="O1214">
        <v>5</v>
      </c>
    </row>
    <row r="1215" spans="1:16" x14ac:dyDescent="0.25">
      <c r="A1215" s="4">
        <v>43812</v>
      </c>
      <c r="B1215" t="s">
        <v>9</v>
      </c>
      <c r="C1215">
        <v>2</v>
      </c>
      <c r="F1215">
        <v>185</v>
      </c>
      <c r="J1215">
        <v>1.0669999999999999</v>
      </c>
      <c r="K1215">
        <v>37</v>
      </c>
      <c r="L1215">
        <v>34.700000000000003</v>
      </c>
      <c r="M1215">
        <v>157</v>
      </c>
      <c r="N1215">
        <v>4</v>
      </c>
      <c r="O1215">
        <v>4</v>
      </c>
    </row>
    <row r="1216" spans="1:16" x14ac:dyDescent="0.25">
      <c r="A1216" s="4">
        <v>43812</v>
      </c>
      <c r="B1216" t="s">
        <v>10</v>
      </c>
      <c r="C1216" t="s">
        <v>78</v>
      </c>
      <c r="F1216">
        <v>62</v>
      </c>
      <c r="J1216">
        <v>0.75600000000000001</v>
      </c>
      <c r="K1216">
        <v>24.8</v>
      </c>
      <c r="L1216">
        <v>32.799999999999997</v>
      </c>
      <c r="M1216">
        <v>39</v>
      </c>
      <c r="N1216">
        <v>7</v>
      </c>
      <c r="O1216">
        <v>2</v>
      </c>
    </row>
    <row r="1217" spans="1:16" x14ac:dyDescent="0.25">
      <c r="A1217" s="4">
        <v>43812</v>
      </c>
      <c r="B1217" t="s">
        <v>9</v>
      </c>
      <c r="C1217" t="s">
        <v>78</v>
      </c>
      <c r="F1217">
        <v>374</v>
      </c>
      <c r="J1217">
        <v>0.89100000000000001</v>
      </c>
      <c r="K1217">
        <v>31.2</v>
      </c>
      <c r="L1217">
        <v>35</v>
      </c>
      <c r="M1217">
        <v>286</v>
      </c>
      <c r="N1217">
        <v>24</v>
      </c>
      <c r="O1217">
        <v>9</v>
      </c>
    </row>
    <row r="1218" spans="1:16" x14ac:dyDescent="0.25">
      <c r="A1218" s="4">
        <v>43815</v>
      </c>
      <c r="B1218" t="s">
        <v>10</v>
      </c>
      <c r="C1218">
        <v>1</v>
      </c>
      <c r="F1218">
        <v>127</v>
      </c>
      <c r="J1218">
        <v>0.93300000000000005</v>
      </c>
      <c r="K1218">
        <v>31.8</v>
      </c>
      <c r="L1218">
        <v>34</v>
      </c>
      <c r="M1218">
        <v>83</v>
      </c>
      <c r="N1218">
        <v>10</v>
      </c>
      <c r="O1218">
        <v>5</v>
      </c>
    </row>
    <row r="1219" spans="1:16" x14ac:dyDescent="0.25">
      <c r="A1219" s="4">
        <v>43815</v>
      </c>
      <c r="B1219" t="s">
        <v>9</v>
      </c>
      <c r="C1219">
        <v>1</v>
      </c>
      <c r="F1219">
        <v>256</v>
      </c>
      <c r="J1219">
        <v>1.1080000000000001</v>
      </c>
      <c r="K1219">
        <v>42.7</v>
      </c>
      <c r="L1219">
        <v>38.5</v>
      </c>
      <c r="M1219">
        <v>27</v>
      </c>
      <c r="N1219">
        <v>6</v>
      </c>
    </row>
    <row r="1220" spans="1:16" x14ac:dyDescent="0.25">
      <c r="A1220" s="4">
        <v>43815</v>
      </c>
      <c r="B1220" t="s">
        <v>9</v>
      </c>
      <c r="C1220">
        <v>2</v>
      </c>
      <c r="F1220">
        <v>183</v>
      </c>
      <c r="J1220">
        <v>0.91900000000000004</v>
      </c>
      <c r="K1220">
        <v>30.5</v>
      </c>
      <c r="L1220">
        <v>33.200000000000003</v>
      </c>
      <c r="M1220">
        <v>161</v>
      </c>
      <c r="N1220">
        <v>10</v>
      </c>
    </row>
    <row r="1221" spans="1:16" x14ac:dyDescent="0.25">
      <c r="A1221" s="4">
        <v>43815</v>
      </c>
      <c r="B1221" t="s">
        <v>10</v>
      </c>
      <c r="C1221" t="s">
        <v>78</v>
      </c>
      <c r="F1221">
        <v>127</v>
      </c>
      <c r="J1221">
        <v>0.93300000000000005</v>
      </c>
      <c r="K1221">
        <v>31.8</v>
      </c>
      <c r="L1221">
        <v>34</v>
      </c>
      <c r="M1221">
        <v>83</v>
      </c>
      <c r="N1221">
        <v>10</v>
      </c>
      <c r="O1221">
        <v>5</v>
      </c>
    </row>
    <row r="1222" spans="1:16" x14ac:dyDescent="0.25">
      <c r="A1222" s="4">
        <v>43815</v>
      </c>
      <c r="B1222" t="s">
        <v>9</v>
      </c>
      <c r="C1222" t="s">
        <v>78</v>
      </c>
      <c r="F1222">
        <v>439</v>
      </c>
      <c r="J1222">
        <v>1.0129999999999999</v>
      </c>
      <c r="K1222">
        <v>36.58</v>
      </c>
      <c r="L1222">
        <v>36.1</v>
      </c>
      <c r="M1222">
        <v>329</v>
      </c>
      <c r="N1222">
        <v>37</v>
      </c>
      <c r="O1222">
        <v>6</v>
      </c>
    </row>
    <row r="1223" spans="1:16" x14ac:dyDescent="0.25">
      <c r="A1223" s="4">
        <v>43816</v>
      </c>
      <c r="B1223" t="s">
        <v>10</v>
      </c>
      <c r="C1223">
        <v>1</v>
      </c>
      <c r="F1223">
        <v>223</v>
      </c>
      <c r="J1223">
        <v>0.82299999999999995</v>
      </c>
      <c r="K1223">
        <v>27.9</v>
      </c>
      <c r="L1223">
        <v>33.9</v>
      </c>
      <c r="M1223">
        <v>160</v>
      </c>
      <c r="N1223">
        <v>14</v>
      </c>
      <c r="O1223">
        <v>5</v>
      </c>
      <c r="P1223">
        <v>1</v>
      </c>
    </row>
    <row r="1224" spans="1:16" x14ac:dyDescent="0.25">
      <c r="A1224" s="4">
        <v>43816</v>
      </c>
      <c r="B1224" t="s">
        <v>9</v>
      </c>
      <c r="C1224">
        <v>1</v>
      </c>
      <c r="F1224">
        <v>158</v>
      </c>
      <c r="J1224">
        <v>1.1339999999999999</v>
      </c>
      <c r="K1224">
        <v>42.1</v>
      </c>
      <c r="L1224">
        <v>37.1</v>
      </c>
      <c r="M1224">
        <v>121</v>
      </c>
      <c r="N1224">
        <v>14</v>
      </c>
    </row>
    <row r="1225" spans="1:16" x14ac:dyDescent="0.25">
      <c r="A1225" s="4">
        <v>43816</v>
      </c>
      <c r="B1225" t="s">
        <v>9</v>
      </c>
      <c r="C1225">
        <v>2</v>
      </c>
      <c r="F1225">
        <v>221</v>
      </c>
      <c r="J1225">
        <v>0.90200000000000002</v>
      </c>
      <c r="K1225">
        <v>30.8</v>
      </c>
      <c r="L1225">
        <v>34.200000000000003</v>
      </c>
      <c r="M1225">
        <v>193</v>
      </c>
      <c r="N1225">
        <v>7</v>
      </c>
      <c r="O1225">
        <v>3</v>
      </c>
    </row>
    <row r="1226" spans="1:16" x14ac:dyDescent="0.25">
      <c r="A1226" s="4">
        <v>43816</v>
      </c>
      <c r="B1226" t="s">
        <v>10</v>
      </c>
      <c r="C1226" t="s">
        <v>78</v>
      </c>
      <c r="F1226">
        <v>223</v>
      </c>
      <c r="J1226">
        <v>0.82299999999999995</v>
      </c>
      <c r="K1226">
        <v>27.9</v>
      </c>
      <c r="L1226">
        <v>33.9</v>
      </c>
      <c r="M1226">
        <v>160</v>
      </c>
      <c r="N1226">
        <v>14</v>
      </c>
      <c r="O1226">
        <v>5</v>
      </c>
      <c r="P1226">
        <v>1</v>
      </c>
    </row>
    <row r="1227" spans="1:16" x14ac:dyDescent="0.25">
      <c r="A1227" s="4">
        <v>43816</v>
      </c>
      <c r="B1227" t="s">
        <v>9</v>
      </c>
      <c r="C1227" t="s">
        <v>78</v>
      </c>
      <c r="F1227">
        <v>379</v>
      </c>
      <c r="J1227">
        <v>0.98199999999999998</v>
      </c>
      <c r="K1227">
        <v>34.700000000000003</v>
      </c>
      <c r="L1227">
        <v>35.4</v>
      </c>
      <c r="M1227">
        <v>314</v>
      </c>
      <c r="N1227">
        <v>21</v>
      </c>
      <c r="O1227">
        <v>3</v>
      </c>
    </row>
    <row r="1228" spans="1:16" x14ac:dyDescent="0.25">
      <c r="A1228" s="4">
        <v>43817</v>
      </c>
      <c r="B1228" t="s">
        <v>10</v>
      </c>
      <c r="C1228">
        <v>1</v>
      </c>
      <c r="F1228">
        <v>69</v>
      </c>
      <c r="J1228">
        <v>1.0880000000000001</v>
      </c>
      <c r="K1228">
        <v>34.5</v>
      </c>
      <c r="L1228">
        <v>31.7</v>
      </c>
      <c r="M1228">
        <v>51</v>
      </c>
      <c r="N1228">
        <v>7</v>
      </c>
      <c r="O1228">
        <v>1</v>
      </c>
    </row>
    <row r="1229" spans="1:16" x14ac:dyDescent="0.25">
      <c r="A1229" s="4">
        <v>43817</v>
      </c>
      <c r="B1229" t="s">
        <v>9</v>
      </c>
      <c r="C1229">
        <v>1</v>
      </c>
      <c r="F1229">
        <v>250</v>
      </c>
      <c r="J1229">
        <v>0.84899999999999998</v>
      </c>
      <c r="K1229">
        <v>31.3</v>
      </c>
      <c r="L1229">
        <v>36.799999999999997</v>
      </c>
      <c r="M1229">
        <v>193</v>
      </c>
      <c r="N1229">
        <v>14</v>
      </c>
      <c r="O1229">
        <v>4</v>
      </c>
    </row>
    <row r="1230" spans="1:16" x14ac:dyDescent="0.25">
      <c r="A1230" s="4">
        <v>43817</v>
      </c>
      <c r="B1230" t="s">
        <v>9</v>
      </c>
      <c r="C1230">
        <v>2</v>
      </c>
      <c r="F1230">
        <v>128</v>
      </c>
      <c r="J1230">
        <v>1.052</v>
      </c>
      <c r="K1230">
        <v>36.6</v>
      </c>
      <c r="L1230">
        <v>34.799999999999997</v>
      </c>
      <c r="M1230">
        <v>106</v>
      </c>
      <c r="N1230">
        <v>4</v>
      </c>
      <c r="O1230">
        <v>2</v>
      </c>
      <c r="P1230">
        <v>1</v>
      </c>
    </row>
    <row r="1231" spans="1:16" x14ac:dyDescent="0.25">
      <c r="A1231" s="4">
        <v>43817</v>
      </c>
      <c r="B1231" t="s">
        <v>10</v>
      </c>
      <c r="C1231" t="s">
        <v>78</v>
      </c>
      <c r="F1231">
        <v>69</v>
      </c>
      <c r="J1231">
        <v>1.0880000000000001</v>
      </c>
      <c r="K1231">
        <v>34.5</v>
      </c>
      <c r="L1231">
        <v>31.7</v>
      </c>
      <c r="M1231">
        <v>51</v>
      </c>
      <c r="N1231">
        <v>7</v>
      </c>
      <c r="O1231">
        <v>1</v>
      </c>
    </row>
    <row r="1232" spans="1:16" x14ac:dyDescent="0.25">
      <c r="A1232" s="4">
        <v>43817</v>
      </c>
      <c r="B1232" t="s">
        <v>9</v>
      </c>
      <c r="C1232" t="s">
        <v>78</v>
      </c>
      <c r="F1232">
        <v>378</v>
      </c>
      <c r="J1232">
        <v>0.91100000000000003</v>
      </c>
      <c r="K1232">
        <v>32.9</v>
      </c>
      <c r="L1232">
        <v>36.1</v>
      </c>
      <c r="M1232">
        <v>299</v>
      </c>
      <c r="N1232">
        <v>18</v>
      </c>
      <c r="O1232">
        <v>6</v>
      </c>
      <c r="P1232">
        <v>1</v>
      </c>
    </row>
    <row r="1233" spans="1:16" x14ac:dyDescent="0.25">
      <c r="A1233" s="4">
        <v>43818</v>
      </c>
      <c r="B1233" t="s">
        <v>10</v>
      </c>
      <c r="C1233">
        <v>1</v>
      </c>
      <c r="F1233">
        <v>226</v>
      </c>
      <c r="J1233">
        <v>0.83299999999999996</v>
      </c>
      <c r="K1233">
        <v>28.3</v>
      </c>
      <c r="L1233">
        <v>33.9</v>
      </c>
      <c r="M1233">
        <v>164</v>
      </c>
      <c r="N1233">
        <v>17</v>
      </c>
      <c r="O1233">
        <v>4</v>
      </c>
      <c r="P1233">
        <v>1</v>
      </c>
    </row>
    <row r="1234" spans="1:16" x14ac:dyDescent="0.25">
      <c r="A1234" s="4">
        <v>43818</v>
      </c>
      <c r="B1234" t="s">
        <v>9</v>
      </c>
      <c r="C1234">
        <v>1</v>
      </c>
      <c r="F1234">
        <v>60</v>
      </c>
      <c r="J1234">
        <v>1.0049999999999999</v>
      </c>
      <c r="K1234">
        <v>40</v>
      </c>
      <c r="L1234">
        <v>39.799999999999997</v>
      </c>
      <c r="M1234">
        <v>43</v>
      </c>
      <c r="N1234">
        <v>3</v>
      </c>
      <c r="O1234">
        <v>1</v>
      </c>
    </row>
    <row r="1235" spans="1:16" x14ac:dyDescent="0.25">
      <c r="A1235" s="4">
        <v>43818</v>
      </c>
      <c r="B1235" t="s">
        <v>9</v>
      </c>
      <c r="C1235">
        <v>2</v>
      </c>
      <c r="F1235">
        <v>161</v>
      </c>
      <c r="J1235">
        <v>1.1919999999999999</v>
      </c>
      <c r="K1235">
        <v>40.299999999999997</v>
      </c>
      <c r="L1235">
        <v>33.799999999999997</v>
      </c>
      <c r="M1235">
        <v>148</v>
      </c>
      <c r="N1235">
        <v>5</v>
      </c>
    </row>
    <row r="1236" spans="1:16" x14ac:dyDescent="0.25">
      <c r="A1236" s="4">
        <v>43818</v>
      </c>
      <c r="B1236" t="s">
        <v>10</v>
      </c>
      <c r="C1236" t="s">
        <v>78</v>
      </c>
      <c r="F1236">
        <v>226</v>
      </c>
      <c r="J1236">
        <v>0.83299999999999996</v>
      </c>
      <c r="K1236">
        <v>28.3</v>
      </c>
      <c r="L1236">
        <v>33.9</v>
      </c>
      <c r="M1236">
        <v>164</v>
      </c>
      <c r="N1236">
        <v>17</v>
      </c>
      <c r="O1236">
        <v>4</v>
      </c>
      <c r="P1236">
        <v>1</v>
      </c>
    </row>
    <row r="1237" spans="1:16" x14ac:dyDescent="0.25">
      <c r="A1237" s="4">
        <v>43818</v>
      </c>
      <c r="B1237" t="s">
        <v>9</v>
      </c>
      <c r="C1237" t="s">
        <v>78</v>
      </c>
      <c r="F1237">
        <v>221</v>
      </c>
      <c r="J1237">
        <v>1.141</v>
      </c>
      <c r="K1237">
        <v>40.200000000000003</v>
      </c>
      <c r="L1237">
        <v>35.200000000000003</v>
      </c>
      <c r="M1237">
        <v>191</v>
      </c>
      <c r="N1237">
        <v>8</v>
      </c>
      <c r="O1237">
        <v>1</v>
      </c>
    </row>
    <row r="1238" spans="1:16" x14ac:dyDescent="0.25">
      <c r="A1238" s="4">
        <v>43819</v>
      </c>
      <c r="B1238" t="s">
        <v>9</v>
      </c>
      <c r="C1238">
        <v>1</v>
      </c>
      <c r="F1238">
        <v>279</v>
      </c>
      <c r="J1238">
        <v>0.94299999999999995</v>
      </c>
      <c r="K1238">
        <v>34.9</v>
      </c>
      <c r="L1238">
        <v>37</v>
      </c>
      <c r="M1238">
        <v>213</v>
      </c>
      <c r="N1238">
        <v>15</v>
      </c>
      <c r="O1238">
        <v>3</v>
      </c>
      <c r="P1238">
        <v>1</v>
      </c>
    </row>
    <row r="1239" spans="1:16" x14ac:dyDescent="0.25">
      <c r="A1239" s="4">
        <v>43819</v>
      </c>
      <c r="B1239" t="s">
        <v>10</v>
      </c>
      <c r="C1239">
        <v>2</v>
      </c>
      <c r="F1239">
        <v>16</v>
      </c>
      <c r="J1239">
        <v>0.66900000000000004</v>
      </c>
      <c r="K1239">
        <v>21.3</v>
      </c>
      <c r="L1239">
        <v>31.9</v>
      </c>
      <c r="M1239">
        <v>16</v>
      </c>
    </row>
    <row r="1240" spans="1:16" x14ac:dyDescent="0.25">
      <c r="A1240" s="4">
        <v>43819</v>
      </c>
      <c r="B1240" t="s">
        <v>9</v>
      </c>
      <c r="C1240">
        <v>2</v>
      </c>
      <c r="F1240">
        <v>121</v>
      </c>
      <c r="J1240">
        <v>0.872</v>
      </c>
      <c r="K1240">
        <v>30.3</v>
      </c>
      <c r="L1240">
        <v>34.700000000000003</v>
      </c>
      <c r="M1240">
        <v>102</v>
      </c>
      <c r="N1240">
        <v>7</v>
      </c>
    </row>
    <row r="1241" spans="1:16" x14ac:dyDescent="0.25">
      <c r="A1241" s="4">
        <v>43819</v>
      </c>
      <c r="B1241" t="s">
        <v>10</v>
      </c>
      <c r="C1241" t="s">
        <v>78</v>
      </c>
      <c r="F1241">
        <v>16</v>
      </c>
      <c r="J1241">
        <v>0.66900000000000004</v>
      </c>
      <c r="K1241">
        <v>21.3</v>
      </c>
      <c r="L1241">
        <v>31.9</v>
      </c>
      <c r="M1241">
        <v>16</v>
      </c>
    </row>
    <row r="1242" spans="1:16" x14ac:dyDescent="0.25">
      <c r="A1242" s="4">
        <v>43819</v>
      </c>
      <c r="B1242" t="s">
        <v>9</v>
      </c>
      <c r="C1242" t="s">
        <v>78</v>
      </c>
      <c r="F1242">
        <v>400</v>
      </c>
      <c r="J1242">
        <v>0.91900000000000004</v>
      </c>
      <c r="K1242">
        <v>33.299999999999997</v>
      </c>
      <c r="L1242">
        <v>36.299999999999997</v>
      </c>
      <c r="M1242">
        <v>315</v>
      </c>
      <c r="N1242">
        <v>22</v>
      </c>
      <c r="O1242">
        <v>3</v>
      </c>
      <c r="P1242">
        <v>1</v>
      </c>
    </row>
    <row r="1243" spans="1:16" x14ac:dyDescent="0.25">
      <c r="A1243" s="4">
        <v>43822</v>
      </c>
      <c r="B1243" t="s">
        <v>10</v>
      </c>
      <c r="C1243">
        <v>1</v>
      </c>
      <c r="F1243">
        <v>219</v>
      </c>
      <c r="J1243">
        <v>0.82099999999999995</v>
      </c>
      <c r="K1243">
        <v>27.4</v>
      </c>
      <c r="L1243">
        <v>33.4</v>
      </c>
      <c r="M1243">
        <v>145</v>
      </c>
      <c r="N1243">
        <v>16</v>
      </c>
      <c r="O1243">
        <v>5</v>
      </c>
      <c r="P1243">
        <v>2</v>
      </c>
    </row>
    <row r="1244" spans="1:16" x14ac:dyDescent="0.25">
      <c r="A1244" s="4">
        <v>43822</v>
      </c>
      <c r="B1244" t="s">
        <v>9</v>
      </c>
      <c r="C1244">
        <v>1</v>
      </c>
      <c r="F1244">
        <v>257</v>
      </c>
      <c r="J1244">
        <v>0.88300000000000001</v>
      </c>
      <c r="K1244">
        <v>32.1</v>
      </c>
      <c r="L1244">
        <v>36.4</v>
      </c>
      <c r="M1244">
        <v>198</v>
      </c>
      <c r="N1244">
        <v>13</v>
      </c>
      <c r="O1244">
        <v>6</v>
      </c>
      <c r="P1244">
        <v>1</v>
      </c>
    </row>
    <row r="1245" spans="1:16" x14ac:dyDescent="0.25">
      <c r="A1245" s="4">
        <v>43822</v>
      </c>
      <c r="B1245" t="s">
        <v>9</v>
      </c>
      <c r="C1245">
        <v>2</v>
      </c>
      <c r="F1245">
        <v>147</v>
      </c>
      <c r="J1245">
        <v>1.0609999999999999</v>
      </c>
      <c r="K1245">
        <v>36.799999999999997</v>
      </c>
      <c r="L1245">
        <v>34.6</v>
      </c>
      <c r="M1245">
        <v>111</v>
      </c>
      <c r="N1245">
        <v>16</v>
      </c>
    </row>
    <row r="1246" spans="1:16" x14ac:dyDescent="0.25">
      <c r="A1246" s="4">
        <v>43822</v>
      </c>
      <c r="B1246" t="s">
        <v>10</v>
      </c>
      <c r="C1246" t="s">
        <v>78</v>
      </c>
      <c r="F1246">
        <v>219</v>
      </c>
      <c r="J1246">
        <v>0.82099999999999995</v>
      </c>
      <c r="K1246">
        <v>27.4</v>
      </c>
      <c r="L1246">
        <v>33.4</v>
      </c>
      <c r="M1246">
        <v>145</v>
      </c>
      <c r="N1246">
        <v>16</v>
      </c>
      <c r="O1246">
        <v>5</v>
      </c>
      <c r="P1246">
        <v>2</v>
      </c>
    </row>
    <row r="1247" spans="1:16" x14ac:dyDescent="0.25">
      <c r="A1247" s="4">
        <v>43822</v>
      </c>
      <c r="B1247" t="s">
        <v>9</v>
      </c>
      <c r="C1247" t="s">
        <v>78</v>
      </c>
      <c r="F1247">
        <v>404</v>
      </c>
      <c r="J1247">
        <v>0.94299999999999995</v>
      </c>
      <c r="K1247">
        <v>33.700000000000003</v>
      </c>
      <c r="L1247">
        <v>35.700000000000003</v>
      </c>
      <c r="M1247">
        <v>309</v>
      </c>
      <c r="N1247">
        <v>29</v>
      </c>
      <c r="O1247">
        <v>6</v>
      </c>
      <c r="P1247">
        <v>1</v>
      </c>
    </row>
    <row r="1248" spans="1:16" x14ac:dyDescent="0.25">
      <c r="A1248" s="4">
        <v>43826</v>
      </c>
      <c r="B1248" t="s">
        <v>10</v>
      </c>
      <c r="C1248">
        <v>1</v>
      </c>
      <c r="F1248">
        <v>208</v>
      </c>
      <c r="J1248">
        <v>0.752</v>
      </c>
      <c r="K1248">
        <v>26</v>
      </c>
      <c r="L1248">
        <v>34.6</v>
      </c>
      <c r="M1248">
        <v>152</v>
      </c>
      <c r="N1248">
        <v>17</v>
      </c>
      <c r="O1248">
        <v>3</v>
      </c>
    </row>
    <row r="1249" spans="1:16" x14ac:dyDescent="0.25">
      <c r="A1249" s="4">
        <v>43826</v>
      </c>
      <c r="B1249" t="s">
        <v>9</v>
      </c>
      <c r="C1249">
        <v>1</v>
      </c>
      <c r="F1249">
        <v>140</v>
      </c>
      <c r="J1249">
        <v>0.97799999999999998</v>
      </c>
      <c r="K1249">
        <v>35</v>
      </c>
      <c r="L1249">
        <v>35.799999999999997</v>
      </c>
      <c r="M1249">
        <v>106</v>
      </c>
      <c r="N1249">
        <v>8</v>
      </c>
      <c r="O1249">
        <v>2</v>
      </c>
      <c r="P1249">
        <v>1</v>
      </c>
    </row>
    <row r="1250" spans="1:16" x14ac:dyDescent="0.25">
      <c r="A1250" s="4">
        <v>43826</v>
      </c>
      <c r="B1250" t="s">
        <v>9</v>
      </c>
      <c r="C1250">
        <v>2</v>
      </c>
      <c r="F1250">
        <v>154</v>
      </c>
      <c r="J1250">
        <v>1.1140000000000001</v>
      </c>
      <c r="K1250">
        <v>38.5</v>
      </c>
      <c r="L1250">
        <v>34.6</v>
      </c>
      <c r="M1250">
        <v>129</v>
      </c>
      <c r="N1250">
        <v>10</v>
      </c>
      <c r="O1250">
        <v>1</v>
      </c>
    </row>
    <row r="1251" spans="1:16" x14ac:dyDescent="0.25">
      <c r="A1251" s="4">
        <v>43826</v>
      </c>
      <c r="B1251" t="s">
        <v>10</v>
      </c>
      <c r="C1251" t="s">
        <v>78</v>
      </c>
      <c r="F1251">
        <v>208</v>
      </c>
      <c r="J1251">
        <v>0.752</v>
      </c>
      <c r="K1251">
        <v>26</v>
      </c>
      <c r="L1251">
        <v>34.6</v>
      </c>
      <c r="M1251">
        <v>152</v>
      </c>
      <c r="N1251">
        <v>17</v>
      </c>
      <c r="O1251">
        <v>3</v>
      </c>
    </row>
    <row r="1252" spans="1:16" x14ac:dyDescent="0.25">
      <c r="A1252" s="4">
        <v>43826</v>
      </c>
      <c r="B1252" t="s">
        <v>9</v>
      </c>
      <c r="C1252" t="s">
        <v>78</v>
      </c>
      <c r="F1252">
        <v>294</v>
      </c>
      <c r="J1252">
        <v>1.046</v>
      </c>
      <c r="K1252">
        <v>36.799999999999997</v>
      </c>
      <c r="L1252">
        <v>35.1</v>
      </c>
      <c r="M1252">
        <v>235</v>
      </c>
      <c r="N1252">
        <v>18</v>
      </c>
      <c r="O1252">
        <v>3</v>
      </c>
      <c r="P1252">
        <v>1</v>
      </c>
    </row>
    <row r="1253" spans="1:16" x14ac:dyDescent="0.25">
      <c r="A1253" s="4">
        <v>43829</v>
      </c>
      <c r="B1253" t="s">
        <v>9</v>
      </c>
      <c r="C1253">
        <v>1</v>
      </c>
      <c r="F1253">
        <v>277</v>
      </c>
      <c r="J1253">
        <v>0.96</v>
      </c>
      <c r="K1253">
        <v>34.6</v>
      </c>
      <c r="L1253">
        <v>36.1</v>
      </c>
      <c r="M1253">
        <v>218</v>
      </c>
      <c r="N1253">
        <v>23</v>
      </c>
      <c r="O1253">
        <v>2</v>
      </c>
    </row>
    <row r="1254" spans="1:16" x14ac:dyDescent="0.25">
      <c r="A1254" s="4">
        <v>43829</v>
      </c>
      <c r="B1254" t="s">
        <v>9</v>
      </c>
      <c r="C1254">
        <v>2</v>
      </c>
      <c r="F1254">
        <v>143</v>
      </c>
      <c r="J1254">
        <v>1.014</v>
      </c>
      <c r="K1254">
        <v>35.799999999999997</v>
      </c>
      <c r="L1254">
        <v>35.299999999999997</v>
      </c>
      <c r="M1254">
        <v>112</v>
      </c>
      <c r="N1254">
        <v>10</v>
      </c>
      <c r="O1254">
        <v>1</v>
      </c>
    </row>
    <row r="1255" spans="1:16" x14ac:dyDescent="0.25">
      <c r="A1255" s="4">
        <v>43829</v>
      </c>
      <c r="B1255" t="s">
        <v>9</v>
      </c>
      <c r="C1255" t="s">
        <v>78</v>
      </c>
      <c r="F1255">
        <v>420</v>
      </c>
      <c r="J1255">
        <v>0.97799999999999998</v>
      </c>
      <c r="K1255">
        <v>35</v>
      </c>
      <c r="L1255">
        <v>35.799999999999997</v>
      </c>
      <c r="M1255">
        <v>330</v>
      </c>
      <c r="N1255">
        <v>33</v>
      </c>
      <c r="O1255">
        <v>3</v>
      </c>
    </row>
    <row r="1256" spans="1:16" x14ac:dyDescent="0.25">
      <c r="A1256" s="4">
        <v>43830</v>
      </c>
      <c r="B1256" t="s">
        <v>10</v>
      </c>
      <c r="C1256">
        <v>1</v>
      </c>
      <c r="F1256">
        <v>231</v>
      </c>
      <c r="J1256">
        <v>0.88</v>
      </c>
      <c r="K1256">
        <v>28.9</v>
      </c>
      <c r="L1256">
        <v>32.799999999999997</v>
      </c>
      <c r="M1256">
        <v>188</v>
      </c>
      <c r="N1256">
        <v>9</v>
      </c>
      <c r="O1256">
        <v>6</v>
      </c>
    </row>
    <row r="1257" spans="1:16" x14ac:dyDescent="0.25">
      <c r="A1257" s="4">
        <v>43830</v>
      </c>
      <c r="B1257" t="s">
        <v>9</v>
      </c>
      <c r="C1257">
        <v>2</v>
      </c>
      <c r="F1257">
        <v>57</v>
      </c>
      <c r="J1257">
        <v>0.87</v>
      </c>
      <c r="K1257">
        <v>28.5</v>
      </c>
      <c r="L1257">
        <v>32.799999999999997</v>
      </c>
      <c r="M1257">
        <v>53</v>
      </c>
      <c r="N1257">
        <v>2</v>
      </c>
    </row>
    <row r="1258" spans="1:16" x14ac:dyDescent="0.25">
      <c r="A1258" s="4">
        <v>43830</v>
      </c>
      <c r="B1258" t="s">
        <v>10</v>
      </c>
      <c r="C1258" t="s">
        <v>78</v>
      </c>
      <c r="F1258">
        <v>231</v>
      </c>
      <c r="J1258">
        <v>0.88</v>
      </c>
      <c r="K1258">
        <v>28.9</v>
      </c>
      <c r="L1258">
        <v>32.799999999999997</v>
      </c>
      <c r="M1258">
        <v>188</v>
      </c>
      <c r="N1258">
        <v>9</v>
      </c>
      <c r="O1258">
        <v>6</v>
      </c>
    </row>
    <row r="1259" spans="1:16" x14ac:dyDescent="0.25">
      <c r="A1259" s="4">
        <v>43830</v>
      </c>
      <c r="B1259" t="s">
        <v>9</v>
      </c>
      <c r="C1259" t="s">
        <v>78</v>
      </c>
      <c r="F1259">
        <v>57</v>
      </c>
      <c r="J1259">
        <v>0.87</v>
      </c>
      <c r="K1259">
        <v>28.5</v>
      </c>
      <c r="L1259">
        <v>32.799999999999997</v>
      </c>
      <c r="M1259">
        <v>53</v>
      </c>
      <c r="N1259">
        <v>2</v>
      </c>
    </row>
    <row r="1260" spans="1:16" x14ac:dyDescent="0.25">
      <c r="A1260" s="4">
        <v>43832</v>
      </c>
      <c r="B1260" t="s">
        <v>10</v>
      </c>
      <c r="C1260">
        <v>1</v>
      </c>
      <c r="F1260">
        <v>109</v>
      </c>
      <c r="J1260">
        <v>0.8</v>
      </c>
      <c r="K1260">
        <v>29.7</v>
      </c>
      <c r="L1260">
        <v>37.1</v>
      </c>
      <c r="M1260">
        <v>66</v>
      </c>
      <c r="N1260">
        <v>8</v>
      </c>
      <c r="O1260">
        <v>4</v>
      </c>
      <c r="P1260">
        <v>1</v>
      </c>
    </row>
    <row r="1261" spans="1:16" x14ac:dyDescent="0.25">
      <c r="A1261" s="4">
        <v>43832</v>
      </c>
      <c r="B1261" t="s">
        <v>9</v>
      </c>
      <c r="C1261">
        <v>2</v>
      </c>
      <c r="F1261">
        <v>255</v>
      </c>
      <c r="J1261">
        <v>0.88300000000000001</v>
      </c>
      <c r="K1261">
        <v>31.9</v>
      </c>
      <c r="L1261">
        <v>36.1</v>
      </c>
      <c r="M1261">
        <v>193</v>
      </c>
      <c r="N1261">
        <v>24</v>
      </c>
      <c r="O1261">
        <v>1</v>
      </c>
    </row>
    <row r="1262" spans="1:16" x14ac:dyDescent="0.25">
      <c r="A1262" s="4">
        <v>43832</v>
      </c>
      <c r="B1262" t="s">
        <v>10</v>
      </c>
      <c r="C1262" t="s">
        <v>78</v>
      </c>
      <c r="F1262">
        <v>109</v>
      </c>
      <c r="J1262">
        <v>0.8</v>
      </c>
      <c r="K1262">
        <v>29.7</v>
      </c>
      <c r="L1262">
        <v>37.1</v>
      </c>
      <c r="M1262">
        <v>66</v>
      </c>
      <c r="N1262">
        <v>8</v>
      </c>
      <c r="O1262">
        <v>4</v>
      </c>
      <c r="P1262">
        <v>1</v>
      </c>
    </row>
    <row r="1263" spans="1:16" x14ac:dyDescent="0.25">
      <c r="A1263" s="4">
        <v>43832</v>
      </c>
      <c r="B1263" t="s">
        <v>9</v>
      </c>
      <c r="C1263" t="s">
        <v>78</v>
      </c>
      <c r="F1263">
        <v>394</v>
      </c>
      <c r="J1263">
        <v>0.93799999999999994</v>
      </c>
      <c r="K1263">
        <v>32.799999999999997</v>
      </c>
      <c r="L1263">
        <v>35</v>
      </c>
      <c r="M1263">
        <v>310</v>
      </c>
      <c r="N1263">
        <v>31</v>
      </c>
      <c r="O1263">
        <v>3</v>
      </c>
    </row>
    <row r="1264" spans="1:16" x14ac:dyDescent="0.25">
      <c r="A1264" s="4">
        <v>43833</v>
      </c>
      <c r="B1264" t="s">
        <v>10</v>
      </c>
      <c r="C1264">
        <v>1</v>
      </c>
      <c r="F1264">
        <v>188</v>
      </c>
      <c r="J1264">
        <v>0.80300000000000005</v>
      </c>
      <c r="K1264">
        <v>25.6</v>
      </c>
      <c r="L1264">
        <v>31.9</v>
      </c>
      <c r="M1264">
        <v>164</v>
      </c>
      <c r="N1264">
        <v>4</v>
      </c>
      <c r="O1264">
        <v>3</v>
      </c>
    </row>
    <row r="1265" spans="1:16" x14ac:dyDescent="0.25">
      <c r="A1265" s="4">
        <v>43833</v>
      </c>
      <c r="B1265" t="s">
        <v>9</v>
      </c>
      <c r="C1265">
        <v>2</v>
      </c>
      <c r="F1265">
        <v>95</v>
      </c>
      <c r="J1265">
        <v>1.038</v>
      </c>
      <c r="K1265">
        <v>36.5</v>
      </c>
      <c r="L1265">
        <v>35.200000000000003</v>
      </c>
      <c r="M1265">
        <v>78</v>
      </c>
      <c r="N1265">
        <v>7</v>
      </c>
    </row>
    <row r="1266" spans="1:16" x14ac:dyDescent="0.25">
      <c r="A1266" s="4">
        <v>43833</v>
      </c>
      <c r="B1266" t="s">
        <v>9</v>
      </c>
      <c r="C1266">
        <v>2</v>
      </c>
      <c r="F1266">
        <v>172</v>
      </c>
      <c r="J1266">
        <v>1.244</v>
      </c>
      <c r="K1266">
        <v>43</v>
      </c>
      <c r="L1266">
        <v>34.6</v>
      </c>
      <c r="M1266">
        <v>143</v>
      </c>
      <c r="N1266">
        <v>10</v>
      </c>
      <c r="O1266">
        <v>2</v>
      </c>
    </row>
    <row r="1267" spans="1:16" x14ac:dyDescent="0.25">
      <c r="A1267" s="4">
        <v>43833</v>
      </c>
      <c r="B1267" t="s">
        <v>10</v>
      </c>
      <c r="C1267" t="s">
        <v>78</v>
      </c>
      <c r="F1267">
        <v>188</v>
      </c>
      <c r="J1267">
        <v>0.80300000000000005</v>
      </c>
      <c r="K1267">
        <v>25.6</v>
      </c>
      <c r="L1267">
        <v>31.9</v>
      </c>
      <c r="M1267">
        <v>164</v>
      </c>
      <c r="N1267">
        <v>4</v>
      </c>
      <c r="O1267">
        <v>3</v>
      </c>
    </row>
    <row r="1268" spans="1:16" x14ac:dyDescent="0.25">
      <c r="A1268" s="4">
        <v>43833</v>
      </c>
      <c r="B1268" t="s">
        <v>9</v>
      </c>
      <c r="C1268" t="s">
        <v>78</v>
      </c>
      <c r="F1268">
        <v>267</v>
      </c>
      <c r="J1268">
        <v>1.163</v>
      </c>
      <c r="K1268">
        <v>40.5</v>
      </c>
      <c r="L1268">
        <v>34.799999999999997</v>
      </c>
      <c r="M1268">
        <v>221</v>
      </c>
      <c r="N1268">
        <v>17</v>
      </c>
      <c r="O1268">
        <v>2</v>
      </c>
    </row>
    <row r="1269" spans="1:16" x14ac:dyDescent="0.25">
      <c r="A1269" s="4">
        <v>43836</v>
      </c>
      <c r="B1269" t="s">
        <v>9</v>
      </c>
      <c r="C1269">
        <v>1</v>
      </c>
      <c r="F1269">
        <v>258</v>
      </c>
      <c r="J1269">
        <v>0.91200000000000003</v>
      </c>
      <c r="K1269">
        <v>32.299999999999997</v>
      </c>
      <c r="L1269">
        <v>35.4</v>
      </c>
      <c r="M1269">
        <v>190</v>
      </c>
      <c r="N1269">
        <v>28</v>
      </c>
      <c r="O1269">
        <v>2</v>
      </c>
    </row>
    <row r="1270" spans="1:16" x14ac:dyDescent="0.25">
      <c r="A1270" s="4">
        <v>43836</v>
      </c>
      <c r="B1270" t="s">
        <v>9</v>
      </c>
      <c r="C1270">
        <v>2</v>
      </c>
      <c r="F1270">
        <v>268</v>
      </c>
      <c r="J1270">
        <v>0.97699999999999998</v>
      </c>
      <c r="K1270">
        <v>33.5</v>
      </c>
      <c r="L1270">
        <v>34.299999999999997</v>
      </c>
      <c r="M1270">
        <v>231</v>
      </c>
      <c r="N1270">
        <v>11</v>
      </c>
      <c r="O1270">
        <v>2</v>
      </c>
    </row>
    <row r="1271" spans="1:16" x14ac:dyDescent="0.25">
      <c r="A1271" s="4">
        <v>43836</v>
      </c>
      <c r="B1271" t="s">
        <v>9</v>
      </c>
      <c r="C1271" t="s">
        <v>78</v>
      </c>
      <c r="F1271">
        <v>526</v>
      </c>
      <c r="J1271">
        <v>0.94399999999999995</v>
      </c>
      <c r="K1271">
        <v>32.9</v>
      </c>
      <c r="L1271">
        <v>34.799999999999997</v>
      </c>
      <c r="M1271">
        <v>421</v>
      </c>
      <c r="N1271">
        <v>39</v>
      </c>
      <c r="O1271">
        <v>4</v>
      </c>
    </row>
    <row r="1272" spans="1:16" x14ac:dyDescent="0.25">
      <c r="A1272" s="4">
        <v>43837</v>
      </c>
      <c r="B1272" t="s">
        <v>9</v>
      </c>
      <c r="C1272">
        <v>1</v>
      </c>
      <c r="F1272">
        <v>301</v>
      </c>
      <c r="J1272">
        <v>1.0880000000000001</v>
      </c>
      <c r="K1272">
        <v>37.6</v>
      </c>
      <c r="L1272">
        <v>34.6</v>
      </c>
      <c r="M1272">
        <v>264</v>
      </c>
      <c r="N1272">
        <v>11</v>
      </c>
      <c r="O1272">
        <v>2</v>
      </c>
    </row>
    <row r="1273" spans="1:16" x14ac:dyDescent="0.25">
      <c r="A1273" s="4">
        <v>43837</v>
      </c>
      <c r="B1273" t="s">
        <v>9</v>
      </c>
      <c r="C1273">
        <v>2</v>
      </c>
      <c r="F1273">
        <v>263</v>
      </c>
      <c r="J1273">
        <v>0.93799999999999994</v>
      </c>
      <c r="K1273">
        <v>32.9</v>
      </c>
      <c r="L1273">
        <v>35.1</v>
      </c>
      <c r="M1273">
        <v>229</v>
      </c>
      <c r="N1273">
        <v>8</v>
      </c>
      <c r="O1273">
        <v>4</v>
      </c>
    </row>
    <row r="1274" spans="1:16" x14ac:dyDescent="0.25">
      <c r="A1274" s="4">
        <v>43837</v>
      </c>
      <c r="B1274" t="s">
        <v>9</v>
      </c>
      <c r="C1274" t="s">
        <v>78</v>
      </c>
      <c r="F1274">
        <v>564</v>
      </c>
      <c r="J1274">
        <v>1.0129999999999999</v>
      </c>
      <c r="K1274">
        <v>35.299999999999997</v>
      </c>
      <c r="L1274">
        <v>34.799999999999997</v>
      </c>
      <c r="M1274">
        <v>493</v>
      </c>
      <c r="N1274">
        <v>19</v>
      </c>
      <c r="O1274">
        <v>6</v>
      </c>
    </row>
    <row r="1275" spans="1:16" x14ac:dyDescent="0.25">
      <c r="A1275" s="4">
        <v>43838</v>
      </c>
      <c r="B1275" t="s">
        <v>9</v>
      </c>
      <c r="C1275">
        <v>1</v>
      </c>
      <c r="F1275">
        <v>309</v>
      </c>
      <c r="J1275">
        <v>1.0289999999999999</v>
      </c>
      <c r="K1275">
        <v>38.6</v>
      </c>
      <c r="L1275">
        <v>37.5</v>
      </c>
      <c r="M1275">
        <v>223</v>
      </c>
      <c r="N1275">
        <v>31</v>
      </c>
      <c r="O1275">
        <v>5</v>
      </c>
    </row>
    <row r="1276" spans="1:16" x14ac:dyDescent="0.25">
      <c r="A1276" s="4">
        <v>43838</v>
      </c>
      <c r="B1276" t="s">
        <v>9</v>
      </c>
      <c r="C1276">
        <v>2</v>
      </c>
      <c r="F1276">
        <v>190</v>
      </c>
      <c r="J1276">
        <v>0.88700000000000001</v>
      </c>
      <c r="K1276">
        <v>31.7</v>
      </c>
      <c r="L1276">
        <v>35.700000000000003</v>
      </c>
      <c r="M1276">
        <v>159</v>
      </c>
      <c r="N1276">
        <v>12</v>
      </c>
      <c r="O1276">
        <v>1</v>
      </c>
    </row>
    <row r="1277" spans="1:16" x14ac:dyDescent="0.25">
      <c r="A1277" s="4">
        <v>43838</v>
      </c>
      <c r="B1277" t="s">
        <v>9</v>
      </c>
      <c r="C1277" t="s">
        <v>78</v>
      </c>
      <c r="F1277">
        <v>499</v>
      </c>
      <c r="J1277">
        <v>0.96799999999999997</v>
      </c>
      <c r="K1277">
        <v>35.6</v>
      </c>
      <c r="L1277">
        <v>36.799999999999997</v>
      </c>
      <c r="M1277">
        <v>382</v>
      </c>
      <c r="N1277">
        <v>43</v>
      </c>
      <c r="O1277">
        <v>6</v>
      </c>
    </row>
    <row r="1278" spans="1:16" x14ac:dyDescent="0.25">
      <c r="A1278" s="4">
        <v>43839</v>
      </c>
      <c r="B1278" t="s">
        <v>9</v>
      </c>
      <c r="C1278">
        <v>1</v>
      </c>
      <c r="F1278">
        <v>318</v>
      </c>
      <c r="J1278">
        <v>1.0860000000000001</v>
      </c>
      <c r="K1278">
        <v>39.799999999999997</v>
      </c>
      <c r="L1278">
        <v>36.6</v>
      </c>
      <c r="M1278">
        <v>231</v>
      </c>
      <c r="N1278">
        <v>24</v>
      </c>
      <c r="O1278">
        <v>7</v>
      </c>
      <c r="P1278">
        <v>1</v>
      </c>
    </row>
    <row r="1279" spans="1:16" x14ac:dyDescent="0.25">
      <c r="A1279" s="4">
        <v>43839</v>
      </c>
      <c r="B1279" t="s">
        <v>9</v>
      </c>
      <c r="C1279">
        <v>2</v>
      </c>
      <c r="F1279">
        <v>270</v>
      </c>
      <c r="J1279">
        <v>1.042</v>
      </c>
      <c r="K1279">
        <v>36</v>
      </c>
      <c r="L1279">
        <v>34.5</v>
      </c>
      <c r="M1279">
        <v>229</v>
      </c>
      <c r="N1279">
        <v>9</v>
      </c>
      <c r="O1279">
        <v>6</v>
      </c>
    </row>
    <row r="1280" spans="1:16" x14ac:dyDescent="0.25">
      <c r="A1280" s="4">
        <v>43839</v>
      </c>
      <c r="B1280" t="s">
        <v>9</v>
      </c>
      <c r="C1280" t="s">
        <v>78</v>
      </c>
      <c r="F1280">
        <v>588</v>
      </c>
      <c r="J1280">
        <v>1.0649999999999999</v>
      </c>
      <c r="K1280">
        <v>37.9</v>
      </c>
      <c r="L1280">
        <v>35.6</v>
      </c>
      <c r="M1280">
        <v>460</v>
      </c>
      <c r="N1280">
        <v>33</v>
      </c>
      <c r="O1280">
        <v>13</v>
      </c>
      <c r="P1280">
        <v>1</v>
      </c>
    </row>
    <row r="1281" spans="1:16" x14ac:dyDescent="0.25">
      <c r="A1281" s="4">
        <v>43840</v>
      </c>
      <c r="B1281" t="s">
        <v>9</v>
      </c>
      <c r="C1281">
        <v>1</v>
      </c>
      <c r="F1281">
        <v>329</v>
      </c>
      <c r="J1281">
        <v>1.046</v>
      </c>
      <c r="K1281">
        <v>41.1</v>
      </c>
      <c r="L1281">
        <v>39.299999999999997</v>
      </c>
      <c r="M1281">
        <v>22</v>
      </c>
      <c r="N1281">
        <v>5</v>
      </c>
      <c r="O1281">
        <v>3</v>
      </c>
    </row>
    <row r="1282" spans="1:16" x14ac:dyDescent="0.25">
      <c r="A1282" s="4">
        <v>43840</v>
      </c>
      <c r="B1282" t="s">
        <v>9</v>
      </c>
      <c r="C1282">
        <v>2</v>
      </c>
      <c r="F1282">
        <v>174</v>
      </c>
      <c r="J1282">
        <v>1.014</v>
      </c>
      <c r="K1282">
        <v>33.1</v>
      </c>
      <c r="L1282">
        <v>32.700000000000003</v>
      </c>
      <c r="M1282">
        <v>168</v>
      </c>
      <c r="N1282">
        <v>2</v>
      </c>
    </row>
    <row r="1283" spans="1:16" x14ac:dyDescent="0.25">
      <c r="A1283" s="4">
        <v>43840</v>
      </c>
      <c r="B1283" t="s">
        <v>9</v>
      </c>
      <c r="C1283" t="s">
        <v>78</v>
      </c>
      <c r="F1283">
        <v>503</v>
      </c>
      <c r="J1283">
        <v>1.0109999999999999</v>
      </c>
      <c r="K1283">
        <v>37.1</v>
      </c>
      <c r="L1283">
        <v>36.700000000000003</v>
      </c>
      <c r="M1283">
        <v>399</v>
      </c>
      <c r="N1283">
        <v>24</v>
      </c>
      <c r="O1283">
        <v>5</v>
      </c>
      <c r="P1283">
        <v>3</v>
      </c>
    </row>
    <row r="1284" spans="1:16" x14ac:dyDescent="0.25">
      <c r="A1284" s="4">
        <v>43843</v>
      </c>
      <c r="B1284" t="s">
        <v>9</v>
      </c>
      <c r="C1284">
        <v>1</v>
      </c>
      <c r="F1284">
        <v>304</v>
      </c>
      <c r="J1284">
        <v>0.93300000000000005</v>
      </c>
      <c r="K1284">
        <v>38</v>
      </c>
      <c r="L1284">
        <v>40.700000000000003</v>
      </c>
      <c r="M1284">
        <v>178</v>
      </c>
      <c r="N1284">
        <v>29</v>
      </c>
      <c r="O1284">
        <v>16</v>
      </c>
      <c r="P1284">
        <v>1</v>
      </c>
    </row>
    <row r="1285" spans="1:16" x14ac:dyDescent="0.25">
      <c r="A1285" s="4">
        <v>43843</v>
      </c>
      <c r="B1285" t="s">
        <v>9</v>
      </c>
      <c r="C1285">
        <v>2</v>
      </c>
      <c r="F1285">
        <v>314</v>
      </c>
      <c r="J1285">
        <v>1.1120000000000001</v>
      </c>
      <c r="K1285">
        <v>39.299999999999997</v>
      </c>
      <c r="L1285">
        <v>35.299999999999997</v>
      </c>
      <c r="M1285">
        <v>257</v>
      </c>
      <c r="N1285">
        <v>18</v>
      </c>
      <c r="O1285">
        <v>4</v>
      </c>
    </row>
    <row r="1286" spans="1:16" x14ac:dyDescent="0.25">
      <c r="A1286" s="4">
        <v>43843</v>
      </c>
      <c r="B1286" t="s">
        <v>9</v>
      </c>
      <c r="C1286" t="s">
        <v>78</v>
      </c>
      <c r="F1286">
        <v>618</v>
      </c>
      <c r="J1286">
        <v>1.022</v>
      </c>
      <c r="K1286">
        <v>38.6</v>
      </c>
      <c r="L1286">
        <v>37.799999999999997</v>
      </c>
      <c r="M1286">
        <v>435</v>
      </c>
      <c r="N1286">
        <v>47</v>
      </c>
      <c r="O1286">
        <v>20</v>
      </c>
      <c r="P1286">
        <v>1</v>
      </c>
    </row>
    <row r="1287" spans="1:16" x14ac:dyDescent="0.25">
      <c r="A1287" s="4">
        <v>43844</v>
      </c>
      <c r="B1287" t="s">
        <v>9</v>
      </c>
      <c r="C1287">
        <v>1</v>
      </c>
      <c r="F1287">
        <v>290</v>
      </c>
      <c r="J1287">
        <v>0.94099999999999995</v>
      </c>
      <c r="K1287">
        <v>36.700000000000003</v>
      </c>
      <c r="L1287">
        <v>39</v>
      </c>
      <c r="M1287">
        <v>179</v>
      </c>
      <c r="N1287">
        <v>35</v>
      </c>
      <c r="O1287">
        <v>8</v>
      </c>
      <c r="P1287">
        <v>1</v>
      </c>
    </row>
    <row r="1288" spans="1:16" x14ac:dyDescent="0.25">
      <c r="A1288" s="4">
        <v>43844</v>
      </c>
      <c r="B1288" t="s">
        <v>9</v>
      </c>
      <c r="C1288">
        <v>2</v>
      </c>
      <c r="F1288">
        <v>267</v>
      </c>
      <c r="J1288">
        <v>0.96</v>
      </c>
      <c r="K1288">
        <v>33.799999999999997</v>
      </c>
      <c r="L1288">
        <v>35.200000000000003</v>
      </c>
      <c r="M1288">
        <v>206</v>
      </c>
      <c r="N1288">
        <v>21</v>
      </c>
      <c r="O1288">
        <v>1</v>
      </c>
      <c r="P1288">
        <v>1</v>
      </c>
    </row>
    <row r="1289" spans="1:16" x14ac:dyDescent="0.25">
      <c r="A1289" s="4">
        <v>43844</v>
      </c>
      <c r="B1289" t="s">
        <v>9</v>
      </c>
      <c r="C1289" t="s">
        <v>78</v>
      </c>
      <c r="F1289">
        <v>557</v>
      </c>
      <c r="J1289">
        <v>0.95099999999999996</v>
      </c>
      <c r="K1289">
        <v>35.299999999999997</v>
      </c>
      <c r="L1289">
        <v>37.1</v>
      </c>
      <c r="M1289">
        <v>385</v>
      </c>
      <c r="N1289">
        <v>56</v>
      </c>
      <c r="O1289">
        <v>9</v>
      </c>
      <c r="P1289">
        <v>2</v>
      </c>
    </row>
    <row r="1290" spans="1:16" x14ac:dyDescent="0.25">
      <c r="A1290" s="4">
        <v>43845</v>
      </c>
      <c r="B1290" t="s">
        <v>9</v>
      </c>
      <c r="C1290">
        <v>1</v>
      </c>
      <c r="F1290">
        <v>277</v>
      </c>
      <c r="J1290">
        <v>0.94499999999999995</v>
      </c>
      <c r="K1290">
        <v>34.6</v>
      </c>
      <c r="L1290">
        <v>36.6</v>
      </c>
      <c r="M1290">
        <v>199</v>
      </c>
      <c r="N1290">
        <v>26</v>
      </c>
      <c r="O1290">
        <v>6</v>
      </c>
    </row>
    <row r="1291" spans="1:16" x14ac:dyDescent="0.25">
      <c r="A1291" s="4">
        <v>43845</v>
      </c>
      <c r="B1291" t="s">
        <v>9</v>
      </c>
      <c r="C1291">
        <v>2</v>
      </c>
      <c r="F1291">
        <v>270</v>
      </c>
      <c r="J1291">
        <v>0.94599999999999995</v>
      </c>
      <c r="K1291">
        <v>33.799999999999997</v>
      </c>
      <c r="L1291">
        <v>35.700000000000003</v>
      </c>
      <c r="M1291">
        <v>216</v>
      </c>
      <c r="N1291">
        <v>18</v>
      </c>
      <c r="O1291">
        <v>4</v>
      </c>
    </row>
    <row r="1292" spans="1:16" x14ac:dyDescent="0.25">
      <c r="A1292" s="4">
        <v>43845</v>
      </c>
      <c r="B1292" t="s">
        <v>9</v>
      </c>
      <c r="C1292" t="s">
        <v>78</v>
      </c>
      <c r="F1292">
        <v>547</v>
      </c>
      <c r="J1292">
        <v>0.94599999999999995</v>
      </c>
      <c r="K1292">
        <v>34.200000000000003</v>
      </c>
      <c r="L1292">
        <v>36.200000000000003</v>
      </c>
      <c r="M1292">
        <v>415</v>
      </c>
      <c r="N1292">
        <v>44</v>
      </c>
      <c r="O1292">
        <v>10</v>
      </c>
    </row>
    <row r="1293" spans="1:16" x14ac:dyDescent="0.25">
      <c r="A1293" s="4">
        <v>43846</v>
      </c>
      <c r="B1293" t="s">
        <v>9</v>
      </c>
      <c r="C1293">
        <v>1</v>
      </c>
      <c r="F1293">
        <v>290</v>
      </c>
      <c r="J1293">
        <v>0.94499999999999995</v>
      </c>
      <c r="K1293">
        <v>36.299999999999997</v>
      </c>
      <c r="L1293">
        <v>38.4</v>
      </c>
      <c r="M1293">
        <v>201</v>
      </c>
      <c r="N1293">
        <v>22</v>
      </c>
      <c r="O1293">
        <v>4</v>
      </c>
      <c r="P1293">
        <v>2</v>
      </c>
    </row>
    <row r="1294" spans="1:16" x14ac:dyDescent="0.25">
      <c r="A1294" s="4">
        <v>43846</v>
      </c>
      <c r="B1294" t="s">
        <v>9</v>
      </c>
      <c r="C1294">
        <v>2</v>
      </c>
      <c r="F1294">
        <v>301</v>
      </c>
      <c r="J1294">
        <v>1.0189999999999999</v>
      </c>
      <c r="K1294">
        <v>37.6</v>
      </c>
      <c r="L1294">
        <v>36.9</v>
      </c>
      <c r="M1294">
        <v>228</v>
      </c>
      <c r="N1294">
        <v>17</v>
      </c>
      <c r="O1294">
        <v>5</v>
      </c>
      <c r="P1294">
        <v>1</v>
      </c>
    </row>
    <row r="1295" spans="1:16" x14ac:dyDescent="0.25">
      <c r="A1295" s="4">
        <v>43846</v>
      </c>
      <c r="B1295" t="s">
        <v>9</v>
      </c>
      <c r="C1295" t="s">
        <v>78</v>
      </c>
      <c r="F1295">
        <v>591</v>
      </c>
      <c r="J1295">
        <v>0.98199999999999998</v>
      </c>
      <c r="K1295">
        <v>36.9</v>
      </c>
      <c r="L1295">
        <v>37.6</v>
      </c>
      <c r="M1295">
        <v>429</v>
      </c>
      <c r="N1295">
        <v>39</v>
      </c>
      <c r="O1295">
        <v>9</v>
      </c>
      <c r="P1295">
        <v>3</v>
      </c>
    </row>
    <row r="1296" spans="1:16" x14ac:dyDescent="0.25">
      <c r="A1296" s="4">
        <v>43847</v>
      </c>
      <c r="B1296" t="s">
        <v>9</v>
      </c>
      <c r="C1296">
        <v>1</v>
      </c>
      <c r="F1296">
        <v>251</v>
      </c>
      <c r="J1296">
        <v>0.97</v>
      </c>
      <c r="K1296">
        <v>35.9</v>
      </c>
      <c r="L1296">
        <v>37</v>
      </c>
      <c r="M1296">
        <v>197</v>
      </c>
      <c r="N1296">
        <v>15</v>
      </c>
      <c r="O1296">
        <v>6</v>
      </c>
    </row>
    <row r="1297" spans="1:16" x14ac:dyDescent="0.25">
      <c r="A1297" s="4">
        <v>43847</v>
      </c>
      <c r="B1297" t="s">
        <v>9</v>
      </c>
      <c r="C1297">
        <v>2</v>
      </c>
      <c r="F1297">
        <v>233</v>
      </c>
      <c r="J1297">
        <v>0.95599999999999996</v>
      </c>
      <c r="K1297">
        <v>33.299999999999997</v>
      </c>
      <c r="L1297">
        <v>34.799999999999997</v>
      </c>
      <c r="M1297">
        <v>187</v>
      </c>
      <c r="N1297">
        <v>10</v>
      </c>
      <c r="O1297">
        <v>4</v>
      </c>
      <c r="P1297">
        <v>1</v>
      </c>
    </row>
    <row r="1298" spans="1:16" x14ac:dyDescent="0.25">
      <c r="A1298" s="4">
        <v>43847</v>
      </c>
      <c r="B1298" t="s">
        <v>9</v>
      </c>
      <c r="C1298" t="s">
        <v>78</v>
      </c>
      <c r="F1298">
        <v>484</v>
      </c>
      <c r="J1298">
        <v>0.96299999999999997</v>
      </c>
      <c r="K1298">
        <v>34.6</v>
      </c>
      <c r="L1298">
        <v>35.9</v>
      </c>
      <c r="M1298">
        <v>384</v>
      </c>
      <c r="N1298">
        <v>25</v>
      </c>
      <c r="O1298">
        <v>10</v>
      </c>
      <c r="P1298">
        <v>1</v>
      </c>
    </row>
    <row r="1299" spans="1:16" x14ac:dyDescent="0.25">
      <c r="A1299" s="4">
        <v>43850</v>
      </c>
      <c r="B1299" t="s">
        <v>10</v>
      </c>
      <c r="C1299">
        <v>1</v>
      </c>
      <c r="F1299">
        <v>248</v>
      </c>
      <c r="J1299">
        <v>0.88200000000000001</v>
      </c>
      <c r="K1299">
        <v>31</v>
      </c>
      <c r="L1299">
        <v>35.200000000000003</v>
      </c>
      <c r="M1299">
        <v>162</v>
      </c>
      <c r="N1299">
        <v>19</v>
      </c>
      <c r="O1299">
        <v>11</v>
      </c>
    </row>
    <row r="1300" spans="1:16" x14ac:dyDescent="0.25">
      <c r="A1300" s="4">
        <v>43850</v>
      </c>
      <c r="B1300" t="s">
        <v>9</v>
      </c>
      <c r="C1300">
        <v>1</v>
      </c>
      <c r="F1300">
        <v>365</v>
      </c>
      <c r="J1300">
        <v>1.1879999999999999</v>
      </c>
      <c r="K1300">
        <v>45.6</v>
      </c>
      <c r="L1300">
        <v>38.4</v>
      </c>
      <c r="M1300">
        <v>236</v>
      </c>
      <c r="N1300">
        <v>39</v>
      </c>
      <c r="O1300">
        <v>10</v>
      </c>
      <c r="P1300">
        <v>1</v>
      </c>
    </row>
    <row r="1301" spans="1:16" x14ac:dyDescent="0.25">
      <c r="A1301" s="4">
        <v>43850</v>
      </c>
      <c r="B1301" t="s">
        <v>9</v>
      </c>
      <c r="C1301">
        <v>2</v>
      </c>
      <c r="F1301">
        <v>271</v>
      </c>
      <c r="J1301">
        <v>1.024</v>
      </c>
      <c r="K1301">
        <v>33.9</v>
      </c>
      <c r="L1301">
        <v>33.1</v>
      </c>
      <c r="M1301">
        <v>240</v>
      </c>
      <c r="N1301">
        <v>15</v>
      </c>
    </row>
    <row r="1302" spans="1:16" x14ac:dyDescent="0.25">
      <c r="A1302" s="4">
        <v>43850</v>
      </c>
      <c r="B1302" t="s">
        <v>10</v>
      </c>
      <c r="C1302" t="s">
        <v>78</v>
      </c>
      <c r="F1302">
        <v>248</v>
      </c>
      <c r="J1302">
        <v>0.88200000000000001</v>
      </c>
      <c r="K1302">
        <v>31</v>
      </c>
      <c r="L1302">
        <v>35.200000000000003</v>
      </c>
      <c r="M1302">
        <v>162</v>
      </c>
      <c r="N1302">
        <v>19</v>
      </c>
      <c r="O1302">
        <v>11</v>
      </c>
    </row>
    <row r="1303" spans="1:16" x14ac:dyDescent="0.25">
      <c r="A1303" s="4">
        <v>43850</v>
      </c>
      <c r="B1303" t="s">
        <v>9</v>
      </c>
      <c r="C1303" t="s">
        <v>78</v>
      </c>
      <c r="F1303">
        <v>636</v>
      </c>
      <c r="J1303">
        <v>1.1060000000000001</v>
      </c>
      <c r="K1303">
        <v>39.799999999999997</v>
      </c>
      <c r="L1303">
        <v>35.9</v>
      </c>
      <c r="M1303">
        <v>476</v>
      </c>
      <c r="N1303">
        <v>54</v>
      </c>
      <c r="O1303">
        <v>10</v>
      </c>
      <c r="P1303">
        <v>1</v>
      </c>
    </row>
    <row r="1304" spans="1:16" x14ac:dyDescent="0.25">
      <c r="A1304" s="4">
        <v>43851</v>
      </c>
      <c r="B1304" t="s">
        <v>10</v>
      </c>
      <c r="C1304">
        <v>1</v>
      </c>
      <c r="F1304">
        <v>227</v>
      </c>
      <c r="J1304">
        <v>0.879</v>
      </c>
      <c r="K1304">
        <v>28.4</v>
      </c>
      <c r="L1304">
        <v>32.299999999999997</v>
      </c>
      <c r="M1304">
        <v>195</v>
      </c>
      <c r="N1304">
        <v>12</v>
      </c>
    </row>
    <row r="1305" spans="1:16" x14ac:dyDescent="0.25">
      <c r="A1305" s="4">
        <v>43851</v>
      </c>
      <c r="B1305" t="s">
        <v>9</v>
      </c>
      <c r="C1305">
        <v>1</v>
      </c>
      <c r="F1305">
        <v>300</v>
      </c>
      <c r="J1305">
        <v>1.0760000000000001</v>
      </c>
      <c r="K1305">
        <v>37.5</v>
      </c>
      <c r="L1305">
        <v>34.9</v>
      </c>
      <c r="M1305">
        <v>252</v>
      </c>
      <c r="N1305">
        <v>17</v>
      </c>
      <c r="O1305">
        <v>2</v>
      </c>
    </row>
    <row r="1306" spans="1:16" x14ac:dyDescent="0.25">
      <c r="A1306" s="4">
        <v>43851</v>
      </c>
      <c r="B1306" t="s">
        <v>9</v>
      </c>
      <c r="C1306">
        <v>2</v>
      </c>
      <c r="F1306">
        <v>245</v>
      </c>
      <c r="J1306">
        <v>0.88900000000000001</v>
      </c>
      <c r="K1306">
        <v>32.700000000000003</v>
      </c>
      <c r="L1306">
        <v>36.700000000000003</v>
      </c>
      <c r="M1306">
        <v>216</v>
      </c>
      <c r="N1306">
        <v>7</v>
      </c>
      <c r="O1306">
        <v>1</v>
      </c>
      <c r="P1306">
        <v>1</v>
      </c>
    </row>
    <row r="1307" spans="1:16" x14ac:dyDescent="0.25">
      <c r="A1307" s="4">
        <v>43851</v>
      </c>
      <c r="B1307" t="s">
        <v>10</v>
      </c>
      <c r="C1307" t="s">
        <v>78</v>
      </c>
      <c r="F1307">
        <v>227</v>
      </c>
      <c r="J1307">
        <v>0.879</v>
      </c>
      <c r="K1307">
        <v>28.4</v>
      </c>
      <c r="L1307">
        <v>32.299999999999997</v>
      </c>
      <c r="M1307">
        <v>195</v>
      </c>
      <c r="N1307">
        <v>12</v>
      </c>
    </row>
    <row r="1308" spans="1:16" x14ac:dyDescent="0.25">
      <c r="A1308" s="4">
        <v>43851</v>
      </c>
      <c r="B1308" t="s">
        <v>9</v>
      </c>
      <c r="C1308" t="s">
        <v>78</v>
      </c>
      <c r="F1308">
        <v>545</v>
      </c>
      <c r="J1308">
        <v>0.98499999999999999</v>
      </c>
      <c r="K1308">
        <v>35.200000000000003</v>
      </c>
      <c r="L1308">
        <v>35.700000000000003</v>
      </c>
      <c r="M1308">
        <v>468</v>
      </c>
      <c r="N1308">
        <v>24</v>
      </c>
      <c r="O1308">
        <v>3</v>
      </c>
      <c r="P1308">
        <v>1</v>
      </c>
    </row>
    <row r="1309" spans="1:16" x14ac:dyDescent="0.25">
      <c r="A1309" s="4">
        <v>43852</v>
      </c>
      <c r="B1309" t="s">
        <v>10</v>
      </c>
      <c r="C1309">
        <v>1</v>
      </c>
      <c r="F1309">
        <v>244</v>
      </c>
      <c r="J1309">
        <v>0.93600000000000005</v>
      </c>
      <c r="K1309">
        <v>30.5</v>
      </c>
      <c r="L1309">
        <v>32.6</v>
      </c>
      <c r="M1309">
        <v>187</v>
      </c>
      <c r="N1309">
        <v>16</v>
      </c>
      <c r="O1309">
        <v>7</v>
      </c>
    </row>
    <row r="1310" spans="1:16" x14ac:dyDescent="0.25">
      <c r="A1310" s="4">
        <v>43852</v>
      </c>
      <c r="B1310" t="s">
        <v>9</v>
      </c>
      <c r="C1310">
        <v>1</v>
      </c>
      <c r="F1310">
        <v>251</v>
      </c>
      <c r="J1310">
        <v>0.89</v>
      </c>
      <c r="K1310">
        <v>31.4</v>
      </c>
      <c r="L1310">
        <v>35.299999999999997</v>
      </c>
      <c r="M1310">
        <v>213</v>
      </c>
      <c r="N1310">
        <v>10</v>
      </c>
      <c r="O1310">
        <v>2</v>
      </c>
    </row>
    <row r="1311" spans="1:16" x14ac:dyDescent="0.25">
      <c r="A1311" s="4">
        <v>43852</v>
      </c>
      <c r="B1311" t="s">
        <v>10</v>
      </c>
      <c r="C1311">
        <v>2</v>
      </c>
      <c r="F1311">
        <v>246</v>
      </c>
      <c r="J1311">
        <v>0.92700000000000005</v>
      </c>
      <c r="K1311">
        <v>30.8</v>
      </c>
      <c r="L1311">
        <v>33.200000000000003</v>
      </c>
      <c r="M1311">
        <v>213</v>
      </c>
      <c r="N1311">
        <v>8</v>
      </c>
      <c r="O1311">
        <v>4</v>
      </c>
    </row>
    <row r="1312" spans="1:16" x14ac:dyDescent="0.25">
      <c r="A1312" s="4">
        <v>43852</v>
      </c>
      <c r="B1312" t="s">
        <v>10</v>
      </c>
      <c r="C1312" t="s">
        <v>78</v>
      </c>
      <c r="F1312">
        <v>490</v>
      </c>
      <c r="J1312">
        <v>0.93200000000000005</v>
      </c>
      <c r="K1312">
        <v>30.6</v>
      </c>
      <c r="L1312">
        <v>32.9</v>
      </c>
      <c r="M1312">
        <v>400</v>
      </c>
      <c r="N1312">
        <v>24</v>
      </c>
      <c r="O1312">
        <v>11</v>
      </c>
    </row>
    <row r="1313" spans="1:16" x14ac:dyDescent="0.25">
      <c r="A1313" s="4">
        <v>43852</v>
      </c>
      <c r="B1313" t="s">
        <v>9</v>
      </c>
      <c r="C1313" t="s">
        <v>78</v>
      </c>
      <c r="F1313">
        <v>251</v>
      </c>
      <c r="J1313">
        <v>0.89</v>
      </c>
      <c r="K1313">
        <v>31.4</v>
      </c>
      <c r="L1313">
        <v>35.299999999999997</v>
      </c>
      <c r="M1313">
        <v>213</v>
      </c>
      <c r="N1313">
        <v>10</v>
      </c>
      <c r="O1313">
        <v>2</v>
      </c>
    </row>
    <row r="1314" spans="1:16" x14ac:dyDescent="0.25">
      <c r="A1314" s="4">
        <v>43853</v>
      </c>
      <c r="B1314" t="s">
        <v>10</v>
      </c>
      <c r="C1314">
        <v>1</v>
      </c>
      <c r="F1314">
        <v>122</v>
      </c>
      <c r="J1314">
        <v>0.47099999999999997</v>
      </c>
      <c r="K1314">
        <v>15.3</v>
      </c>
      <c r="L1314">
        <v>32.4</v>
      </c>
      <c r="M1314">
        <v>99</v>
      </c>
      <c r="N1314">
        <v>9</v>
      </c>
      <c r="O1314">
        <v>1</v>
      </c>
    </row>
    <row r="1315" spans="1:16" x14ac:dyDescent="0.25">
      <c r="A1315" s="4">
        <v>43853</v>
      </c>
      <c r="B1315" t="s">
        <v>9</v>
      </c>
      <c r="C1315">
        <v>1</v>
      </c>
      <c r="F1315">
        <v>251</v>
      </c>
      <c r="J1315">
        <v>0.875</v>
      </c>
      <c r="K1315">
        <v>31.4</v>
      </c>
      <c r="L1315">
        <v>35.799999999999997</v>
      </c>
      <c r="M1315">
        <v>194</v>
      </c>
      <c r="N1315">
        <v>15</v>
      </c>
      <c r="O1315">
        <v>4</v>
      </c>
    </row>
    <row r="1316" spans="1:16" x14ac:dyDescent="0.25">
      <c r="A1316" s="4">
        <v>43853</v>
      </c>
      <c r="B1316" t="s">
        <v>9</v>
      </c>
      <c r="C1316">
        <v>2</v>
      </c>
      <c r="F1316">
        <v>168</v>
      </c>
      <c r="J1316">
        <v>1.0009999999999999</v>
      </c>
      <c r="K1316">
        <v>33.6</v>
      </c>
      <c r="L1316">
        <v>33.6</v>
      </c>
      <c r="M1316">
        <v>140</v>
      </c>
      <c r="N1316">
        <v>11</v>
      </c>
      <c r="O1316">
        <v>1</v>
      </c>
    </row>
    <row r="1317" spans="1:16" x14ac:dyDescent="0.25">
      <c r="A1317" s="4">
        <v>43853</v>
      </c>
      <c r="B1317" t="s">
        <v>10</v>
      </c>
      <c r="C1317" t="s">
        <v>78</v>
      </c>
      <c r="F1317">
        <v>122</v>
      </c>
      <c r="J1317">
        <v>0.47099999999999997</v>
      </c>
      <c r="K1317">
        <v>15.3</v>
      </c>
      <c r="L1317">
        <v>32.4</v>
      </c>
      <c r="M1317">
        <v>99</v>
      </c>
      <c r="N1317">
        <v>9</v>
      </c>
      <c r="O1317">
        <v>1</v>
      </c>
    </row>
    <row r="1318" spans="1:16" x14ac:dyDescent="0.25">
      <c r="A1318" s="4">
        <v>43853</v>
      </c>
      <c r="B1318" t="s">
        <v>9</v>
      </c>
      <c r="C1318" t="s">
        <v>78</v>
      </c>
      <c r="F1318">
        <v>419</v>
      </c>
      <c r="J1318">
        <v>0.92300000000000004</v>
      </c>
      <c r="K1318">
        <v>32.200000000000003</v>
      </c>
      <c r="L1318">
        <v>34.9</v>
      </c>
      <c r="M1318">
        <v>334</v>
      </c>
      <c r="N1318">
        <v>26</v>
      </c>
      <c r="O1318">
        <v>5</v>
      </c>
    </row>
    <row r="1319" spans="1:16" x14ac:dyDescent="0.25">
      <c r="A1319" s="4">
        <v>43854</v>
      </c>
      <c r="B1319" t="s">
        <v>10</v>
      </c>
      <c r="C1319">
        <v>1</v>
      </c>
      <c r="F1319">
        <v>232</v>
      </c>
      <c r="J1319">
        <v>0.86599999999999999</v>
      </c>
      <c r="K1319">
        <v>29</v>
      </c>
      <c r="L1319">
        <v>33.5</v>
      </c>
      <c r="M1319">
        <v>175</v>
      </c>
      <c r="N1319">
        <v>15</v>
      </c>
      <c r="O1319">
        <v>5</v>
      </c>
      <c r="P1319">
        <v>1</v>
      </c>
    </row>
    <row r="1320" spans="1:16" x14ac:dyDescent="0.25">
      <c r="A1320" s="4">
        <v>43854</v>
      </c>
      <c r="B1320" t="s">
        <v>9</v>
      </c>
      <c r="C1320">
        <v>1</v>
      </c>
      <c r="F1320">
        <v>101</v>
      </c>
      <c r="J1320">
        <v>1.0149999999999999</v>
      </c>
      <c r="K1320">
        <v>40.4</v>
      </c>
      <c r="L1320">
        <v>38.4</v>
      </c>
      <c r="M1320">
        <v>70</v>
      </c>
      <c r="N1320">
        <v>5</v>
      </c>
      <c r="O1320">
        <v>2</v>
      </c>
      <c r="P1320">
        <v>1</v>
      </c>
    </row>
    <row r="1321" spans="1:16" x14ac:dyDescent="0.25">
      <c r="A1321" s="4">
        <v>43854</v>
      </c>
      <c r="B1321" t="s">
        <v>9</v>
      </c>
      <c r="C1321">
        <v>2</v>
      </c>
      <c r="F1321">
        <v>160</v>
      </c>
      <c r="J1321">
        <v>0.94199999999999995</v>
      </c>
      <c r="K1321">
        <v>32</v>
      </c>
      <c r="L1321">
        <v>34</v>
      </c>
      <c r="M1321">
        <v>133</v>
      </c>
      <c r="N1321">
        <v>8</v>
      </c>
      <c r="O1321">
        <v>2</v>
      </c>
    </row>
    <row r="1322" spans="1:16" x14ac:dyDescent="0.25">
      <c r="A1322" s="4">
        <v>43854</v>
      </c>
      <c r="B1322" t="s">
        <v>10</v>
      </c>
      <c r="C1322" t="s">
        <v>78</v>
      </c>
      <c r="F1322">
        <v>232</v>
      </c>
      <c r="J1322">
        <v>0.86599999999999999</v>
      </c>
      <c r="K1322">
        <v>29</v>
      </c>
      <c r="L1322">
        <v>33.5</v>
      </c>
      <c r="M1322">
        <v>175</v>
      </c>
      <c r="N1322">
        <v>15</v>
      </c>
      <c r="O1322">
        <v>5</v>
      </c>
      <c r="P1322">
        <v>1</v>
      </c>
    </row>
    <row r="1323" spans="1:16" x14ac:dyDescent="0.25">
      <c r="A1323" s="4">
        <v>43854</v>
      </c>
      <c r="B1323" t="s">
        <v>9</v>
      </c>
      <c r="C1323" t="s">
        <v>78</v>
      </c>
      <c r="F1323">
        <v>261</v>
      </c>
      <c r="J1323">
        <v>0.97899999999999998</v>
      </c>
      <c r="K1323">
        <v>34.799999999999997</v>
      </c>
      <c r="L1323">
        <v>35.6</v>
      </c>
      <c r="M1323">
        <v>203</v>
      </c>
      <c r="N1323">
        <v>13</v>
      </c>
      <c r="O1323">
        <v>4</v>
      </c>
      <c r="P1323">
        <v>1</v>
      </c>
    </row>
    <row r="1324" spans="1:16" x14ac:dyDescent="0.25">
      <c r="A1324" s="4">
        <v>43857</v>
      </c>
      <c r="B1324" t="s">
        <v>10</v>
      </c>
      <c r="C1324">
        <v>1</v>
      </c>
      <c r="F1324">
        <v>265</v>
      </c>
      <c r="J1324">
        <v>0.93600000000000005</v>
      </c>
      <c r="K1324">
        <v>33.1</v>
      </c>
      <c r="L1324">
        <v>35.4</v>
      </c>
      <c r="M1324">
        <v>171</v>
      </c>
      <c r="N1324">
        <v>20</v>
      </c>
      <c r="O1324">
        <v>6</v>
      </c>
      <c r="P1324">
        <v>3</v>
      </c>
    </row>
    <row r="1325" spans="1:16" x14ac:dyDescent="0.25">
      <c r="A1325" s="4">
        <v>43857</v>
      </c>
      <c r="B1325" t="s">
        <v>9</v>
      </c>
      <c r="C1325">
        <v>1</v>
      </c>
      <c r="F1325">
        <v>300</v>
      </c>
      <c r="J1325">
        <v>1.038</v>
      </c>
      <c r="K1325">
        <v>37.5</v>
      </c>
      <c r="L1325">
        <v>36.1</v>
      </c>
      <c r="M1325">
        <v>234</v>
      </c>
      <c r="N1325">
        <v>23</v>
      </c>
      <c r="O1325">
        <v>3</v>
      </c>
    </row>
    <row r="1326" spans="1:16" x14ac:dyDescent="0.25">
      <c r="A1326" s="4">
        <v>43857</v>
      </c>
      <c r="B1326" t="s">
        <v>10</v>
      </c>
      <c r="C1326" t="s">
        <v>78</v>
      </c>
      <c r="F1326">
        <v>265</v>
      </c>
      <c r="J1326">
        <v>0.93600000000000005</v>
      </c>
      <c r="K1326">
        <v>33.1</v>
      </c>
      <c r="L1326">
        <v>35.4</v>
      </c>
      <c r="M1326">
        <v>171</v>
      </c>
      <c r="N1326">
        <v>20</v>
      </c>
      <c r="O1326">
        <v>6</v>
      </c>
      <c r="P1326">
        <v>3</v>
      </c>
    </row>
    <row r="1327" spans="1:16" x14ac:dyDescent="0.25">
      <c r="A1327" s="4">
        <v>43857</v>
      </c>
      <c r="B1327" t="s">
        <v>9</v>
      </c>
      <c r="C1327" t="s">
        <v>78</v>
      </c>
      <c r="F1327">
        <v>300</v>
      </c>
      <c r="J1327">
        <v>1.038</v>
      </c>
      <c r="K1327">
        <v>37.5</v>
      </c>
      <c r="L1327">
        <v>36.1</v>
      </c>
      <c r="M1327">
        <v>234</v>
      </c>
      <c r="N1327">
        <v>23</v>
      </c>
      <c r="O1327">
        <v>3</v>
      </c>
    </row>
    <row r="1328" spans="1:16" x14ac:dyDescent="0.25">
      <c r="A1328" s="4">
        <v>43858</v>
      </c>
      <c r="B1328" t="s">
        <v>10</v>
      </c>
      <c r="C1328">
        <v>1</v>
      </c>
      <c r="F1328">
        <v>250</v>
      </c>
      <c r="J1328">
        <v>0.97099999999999997</v>
      </c>
      <c r="K1328">
        <v>31.3</v>
      </c>
      <c r="L1328">
        <v>32.200000000000003</v>
      </c>
      <c r="M1328">
        <v>207</v>
      </c>
      <c r="N1328">
        <v>16</v>
      </c>
      <c r="O1328">
        <v>1</v>
      </c>
    </row>
    <row r="1329" spans="1:16" x14ac:dyDescent="0.25">
      <c r="A1329" s="4">
        <v>43858</v>
      </c>
      <c r="B1329" t="s">
        <v>9</v>
      </c>
      <c r="C1329">
        <v>1</v>
      </c>
      <c r="F1329">
        <v>310</v>
      </c>
      <c r="J1329">
        <v>1.0760000000000001</v>
      </c>
      <c r="K1329">
        <v>38.799999999999997</v>
      </c>
      <c r="L1329">
        <v>36</v>
      </c>
      <c r="M1329">
        <v>245</v>
      </c>
      <c r="N1329">
        <v>21</v>
      </c>
      <c r="O1329">
        <v>4</v>
      </c>
    </row>
    <row r="1330" spans="1:16" x14ac:dyDescent="0.25">
      <c r="A1330" s="4">
        <v>43858</v>
      </c>
      <c r="B1330" t="s">
        <v>10</v>
      </c>
      <c r="C1330" t="s">
        <v>78</v>
      </c>
      <c r="F1330">
        <v>250</v>
      </c>
      <c r="J1330">
        <v>0.97099999999999997</v>
      </c>
      <c r="K1330">
        <v>31.3</v>
      </c>
      <c r="L1330">
        <v>32.200000000000003</v>
      </c>
      <c r="M1330">
        <v>207</v>
      </c>
      <c r="N1330">
        <v>16</v>
      </c>
      <c r="O1330">
        <v>1</v>
      </c>
    </row>
    <row r="1331" spans="1:16" x14ac:dyDescent="0.25">
      <c r="A1331" s="4">
        <v>43858</v>
      </c>
      <c r="B1331" t="s">
        <v>9</v>
      </c>
      <c r="C1331" t="s">
        <v>78</v>
      </c>
      <c r="F1331">
        <v>310</v>
      </c>
      <c r="J1331">
        <v>1.0760000000000001</v>
      </c>
      <c r="K1331">
        <v>38.799999999999997</v>
      </c>
      <c r="L1331">
        <v>36</v>
      </c>
      <c r="M1331">
        <v>245</v>
      </c>
      <c r="N1331">
        <v>21</v>
      </c>
      <c r="O1331">
        <v>4</v>
      </c>
    </row>
    <row r="1332" spans="1:16" x14ac:dyDescent="0.25">
      <c r="A1332" s="4">
        <v>43859</v>
      </c>
      <c r="B1332" t="s">
        <v>10</v>
      </c>
      <c r="C1332">
        <v>1</v>
      </c>
      <c r="F1332">
        <v>225</v>
      </c>
      <c r="J1332">
        <v>0.82</v>
      </c>
      <c r="K1332">
        <v>28.1</v>
      </c>
      <c r="L1332">
        <v>34.299999999999997</v>
      </c>
      <c r="M1332">
        <v>160</v>
      </c>
      <c r="N1332">
        <v>13</v>
      </c>
      <c r="O1332">
        <v>8</v>
      </c>
      <c r="P1332">
        <v>1</v>
      </c>
    </row>
    <row r="1333" spans="1:16" x14ac:dyDescent="0.25">
      <c r="A1333" s="4">
        <v>43859</v>
      </c>
      <c r="B1333" t="s">
        <v>9</v>
      </c>
      <c r="C1333">
        <v>1</v>
      </c>
      <c r="F1333">
        <v>326</v>
      </c>
      <c r="J1333">
        <v>1.133</v>
      </c>
      <c r="K1333">
        <v>40.799999999999997</v>
      </c>
      <c r="L1333">
        <v>36</v>
      </c>
      <c r="M1333">
        <v>249</v>
      </c>
      <c r="N1333">
        <v>25</v>
      </c>
      <c r="O1333">
        <v>4</v>
      </c>
    </row>
    <row r="1334" spans="1:16" x14ac:dyDescent="0.25">
      <c r="A1334" s="4">
        <v>43859</v>
      </c>
      <c r="B1334" t="s">
        <v>10</v>
      </c>
      <c r="C1334" t="s">
        <v>78</v>
      </c>
      <c r="F1334">
        <v>225</v>
      </c>
      <c r="J1334">
        <v>0.82</v>
      </c>
      <c r="K1334">
        <v>28.1</v>
      </c>
      <c r="L1334">
        <v>34.299999999999997</v>
      </c>
      <c r="M1334">
        <v>160</v>
      </c>
      <c r="N1334">
        <v>13</v>
      </c>
      <c r="O1334">
        <v>8</v>
      </c>
      <c r="P1334">
        <v>1</v>
      </c>
    </row>
    <row r="1335" spans="1:16" x14ac:dyDescent="0.25">
      <c r="A1335" s="4">
        <v>43859</v>
      </c>
      <c r="B1335" t="s">
        <v>9</v>
      </c>
      <c r="C1335" t="s">
        <v>78</v>
      </c>
      <c r="F1335">
        <v>326</v>
      </c>
      <c r="J1335">
        <v>1.133</v>
      </c>
      <c r="K1335">
        <v>40.799999999999997</v>
      </c>
      <c r="L1335">
        <v>36</v>
      </c>
      <c r="M1335">
        <v>249</v>
      </c>
      <c r="N1335">
        <v>25</v>
      </c>
      <c r="O1335">
        <v>4</v>
      </c>
    </row>
    <row r="1336" spans="1:16" x14ac:dyDescent="0.25">
      <c r="A1336" s="4">
        <v>43860</v>
      </c>
      <c r="B1336" t="s">
        <v>10</v>
      </c>
      <c r="C1336">
        <v>1</v>
      </c>
      <c r="F1336">
        <v>248</v>
      </c>
      <c r="J1336">
        <v>0.89800000000000002</v>
      </c>
      <c r="K1336">
        <v>31</v>
      </c>
      <c r="L1336">
        <v>34.5</v>
      </c>
      <c r="M1336">
        <v>165</v>
      </c>
      <c r="N1336">
        <v>20</v>
      </c>
      <c r="O1336">
        <v>6</v>
      </c>
      <c r="P1336">
        <v>1</v>
      </c>
    </row>
    <row r="1337" spans="1:16" x14ac:dyDescent="0.25">
      <c r="A1337" s="4">
        <v>43860</v>
      </c>
      <c r="B1337" t="s">
        <v>9</v>
      </c>
      <c r="C1337">
        <v>1</v>
      </c>
      <c r="F1337">
        <v>296</v>
      </c>
      <c r="J1337">
        <v>1.03</v>
      </c>
      <c r="K1337">
        <v>37</v>
      </c>
      <c r="L1337">
        <v>35.9</v>
      </c>
      <c r="M1337">
        <v>236</v>
      </c>
      <c r="N1337">
        <v>15</v>
      </c>
      <c r="O1337">
        <v>3</v>
      </c>
      <c r="P1337">
        <v>1</v>
      </c>
    </row>
    <row r="1338" spans="1:16" x14ac:dyDescent="0.25">
      <c r="A1338" s="4">
        <v>43860</v>
      </c>
      <c r="B1338" t="s">
        <v>10</v>
      </c>
      <c r="C1338" t="s">
        <v>78</v>
      </c>
      <c r="F1338">
        <v>248</v>
      </c>
      <c r="J1338">
        <v>0.89800000000000002</v>
      </c>
      <c r="K1338">
        <v>31</v>
      </c>
      <c r="L1338">
        <v>34.5</v>
      </c>
      <c r="M1338">
        <v>165</v>
      </c>
      <c r="N1338">
        <v>20</v>
      </c>
      <c r="O1338">
        <v>6</v>
      </c>
      <c r="P1338">
        <v>1</v>
      </c>
    </row>
    <row r="1339" spans="1:16" x14ac:dyDescent="0.25">
      <c r="A1339" s="4">
        <v>43860</v>
      </c>
      <c r="B1339" t="s">
        <v>9</v>
      </c>
      <c r="C1339" t="s">
        <v>78</v>
      </c>
      <c r="F1339">
        <v>296</v>
      </c>
      <c r="J1339">
        <v>1.03</v>
      </c>
      <c r="K1339">
        <v>37</v>
      </c>
      <c r="L1339">
        <v>35.9</v>
      </c>
      <c r="M1339">
        <v>236</v>
      </c>
      <c r="N1339">
        <v>15</v>
      </c>
      <c r="O1339">
        <v>3</v>
      </c>
      <c r="P1339">
        <v>1</v>
      </c>
    </row>
    <row r="1340" spans="1:16" x14ac:dyDescent="0.25">
      <c r="A1340" s="4">
        <v>43861</v>
      </c>
      <c r="B1340" t="s">
        <v>10</v>
      </c>
      <c r="C1340">
        <v>1</v>
      </c>
      <c r="F1340">
        <v>277</v>
      </c>
      <c r="J1340">
        <v>1.099</v>
      </c>
      <c r="K1340">
        <v>34.6</v>
      </c>
      <c r="L1340">
        <v>31.5</v>
      </c>
      <c r="M1340">
        <v>214</v>
      </c>
      <c r="N1340">
        <v>21</v>
      </c>
      <c r="O1340">
        <v>4</v>
      </c>
    </row>
    <row r="1341" spans="1:16" x14ac:dyDescent="0.25">
      <c r="A1341" s="4">
        <v>43861</v>
      </c>
      <c r="B1341" t="s">
        <v>9</v>
      </c>
      <c r="C1341">
        <v>1</v>
      </c>
      <c r="F1341">
        <v>359</v>
      </c>
      <c r="J1341">
        <v>1.276</v>
      </c>
      <c r="K1341">
        <v>44.9</v>
      </c>
      <c r="L1341">
        <v>35.200000000000003</v>
      </c>
      <c r="M1341">
        <v>291</v>
      </c>
      <c r="N1341">
        <v>19</v>
      </c>
      <c r="O1341">
        <v>5</v>
      </c>
      <c r="P1341">
        <v>1</v>
      </c>
    </row>
    <row r="1342" spans="1:16" x14ac:dyDescent="0.25">
      <c r="A1342" s="4">
        <v>43861</v>
      </c>
      <c r="B1342" t="s">
        <v>10</v>
      </c>
      <c r="C1342" t="s">
        <v>78</v>
      </c>
      <c r="F1342">
        <v>277</v>
      </c>
      <c r="J1342">
        <v>1.099</v>
      </c>
      <c r="K1342">
        <v>34.6</v>
      </c>
      <c r="L1342">
        <v>31.5</v>
      </c>
      <c r="M1342">
        <v>214</v>
      </c>
      <c r="N1342">
        <v>21</v>
      </c>
      <c r="O1342">
        <v>4</v>
      </c>
    </row>
    <row r="1343" spans="1:16" x14ac:dyDescent="0.25">
      <c r="A1343" s="4">
        <v>43861</v>
      </c>
      <c r="B1343" t="s">
        <v>9</v>
      </c>
      <c r="C1343" t="s">
        <v>78</v>
      </c>
      <c r="F1343">
        <v>359</v>
      </c>
      <c r="J1343">
        <v>1.276</v>
      </c>
      <c r="K1343">
        <v>44.9</v>
      </c>
      <c r="L1343">
        <v>35.200000000000003</v>
      </c>
      <c r="M1343">
        <v>291</v>
      </c>
      <c r="N1343">
        <v>19</v>
      </c>
      <c r="O1343">
        <v>5</v>
      </c>
      <c r="P1343">
        <v>1</v>
      </c>
    </row>
    <row r="1344" spans="1:16" x14ac:dyDescent="0.25">
      <c r="A1344" s="4">
        <v>43864</v>
      </c>
      <c r="B1344" t="s">
        <v>9</v>
      </c>
      <c r="C1344">
        <v>1</v>
      </c>
      <c r="F1344">
        <v>322</v>
      </c>
      <c r="J1344">
        <v>1.0369999999999999</v>
      </c>
      <c r="K1344">
        <v>40.299999999999997</v>
      </c>
      <c r="L1344">
        <v>38.799999999999997</v>
      </c>
      <c r="M1344">
        <v>193</v>
      </c>
      <c r="N1344">
        <v>47</v>
      </c>
      <c r="O1344">
        <v>9</v>
      </c>
    </row>
    <row r="1345" spans="1:16" x14ac:dyDescent="0.25">
      <c r="A1345" s="4">
        <v>43864</v>
      </c>
      <c r="B1345" t="s">
        <v>9</v>
      </c>
      <c r="C1345">
        <v>2</v>
      </c>
      <c r="F1345">
        <v>325</v>
      </c>
      <c r="J1345">
        <v>1.131</v>
      </c>
      <c r="K1345">
        <v>40.6</v>
      </c>
      <c r="L1345">
        <v>35.9</v>
      </c>
      <c r="M1345">
        <v>238</v>
      </c>
      <c r="N1345">
        <v>26</v>
      </c>
      <c r="O1345">
        <v>8</v>
      </c>
      <c r="P1345">
        <v>1</v>
      </c>
    </row>
    <row r="1346" spans="1:16" x14ac:dyDescent="0.25">
      <c r="A1346" s="4">
        <v>43864</v>
      </c>
      <c r="B1346" t="s">
        <v>9</v>
      </c>
      <c r="C1346" t="s">
        <v>78</v>
      </c>
      <c r="F1346">
        <v>647</v>
      </c>
      <c r="J1346">
        <v>1.0840000000000001</v>
      </c>
      <c r="K1346">
        <v>40.4</v>
      </c>
      <c r="L1346">
        <v>37.299999999999997</v>
      </c>
      <c r="M1346">
        <v>431</v>
      </c>
      <c r="N1346">
        <v>73</v>
      </c>
      <c r="O1346">
        <v>17</v>
      </c>
      <c r="P1346">
        <v>1</v>
      </c>
    </row>
    <row r="1347" spans="1:16" x14ac:dyDescent="0.25">
      <c r="A1347" s="4">
        <v>43865</v>
      </c>
      <c r="B1347" t="s">
        <v>9</v>
      </c>
      <c r="C1347">
        <v>1</v>
      </c>
      <c r="F1347">
        <v>330</v>
      </c>
      <c r="J1347">
        <v>1.099</v>
      </c>
      <c r="K1347">
        <v>41.3</v>
      </c>
      <c r="L1347">
        <v>37.5</v>
      </c>
      <c r="M1347">
        <v>227</v>
      </c>
      <c r="N1347">
        <v>31</v>
      </c>
      <c r="O1347">
        <v>5</v>
      </c>
      <c r="P1347">
        <v>3</v>
      </c>
    </row>
    <row r="1348" spans="1:16" x14ac:dyDescent="0.25">
      <c r="A1348" s="4">
        <v>43865</v>
      </c>
      <c r="B1348" t="s">
        <v>9</v>
      </c>
      <c r="C1348">
        <v>2</v>
      </c>
      <c r="F1348">
        <v>243</v>
      </c>
      <c r="J1348">
        <v>0.89400000000000002</v>
      </c>
      <c r="K1348">
        <v>30.4</v>
      </c>
      <c r="L1348">
        <v>34</v>
      </c>
      <c r="M1348">
        <v>205</v>
      </c>
      <c r="N1348">
        <v>14</v>
      </c>
      <c r="O1348">
        <v>2</v>
      </c>
    </row>
    <row r="1349" spans="1:16" x14ac:dyDescent="0.25">
      <c r="A1349" s="4">
        <v>43865</v>
      </c>
      <c r="B1349" t="s">
        <v>9</v>
      </c>
      <c r="C1349" t="s">
        <v>78</v>
      </c>
      <c r="F1349">
        <v>573</v>
      </c>
      <c r="J1349">
        <v>0.996</v>
      </c>
      <c r="K1349">
        <v>35.799999999999997</v>
      </c>
      <c r="L1349">
        <v>35.9</v>
      </c>
      <c r="M1349">
        <v>432</v>
      </c>
      <c r="N1349">
        <v>45</v>
      </c>
      <c r="O1349">
        <v>7</v>
      </c>
      <c r="P1349">
        <v>3</v>
      </c>
    </row>
    <row r="1350" spans="1:16" x14ac:dyDescent="0.25">
      <c r="A1350" s="4">
        <v>43866</v>
      </c>
      <c r="B1350" t="s">
        <v>9</v>
      </c>
      <c r="C1350">
        <v>1</v>
      </c>
      <c r="F1350">
        <v>278</v>
      </c>
      <c r="J1350">
        <v>0.91</v>
      </c>
      <c r="K1350">
        <v>34.799999999999997</v>
      </c>
      <c r="L1350">
        <v>38.200000000000003</v>
      </c>
      <c r="M1350">
        <v>193</v>
      </c>
      <c r="N1350">
        <v>23</v>
      </c>
      <c r="O1350">
        <v>4</v>
      </c>
      <c r="P1350">
        <v>1</v>
      </c>
    </row>
    <row r="1351" spans="1:16" x14ac:dyDescent="0.25">
      <c r="A1351" s="4">
        <v>43866</v>
      </c>
      <c r="B1351" t="s">
        <v>9</v>
      </c>
      <c r="C1351">
        <v>2</v>
      </c>
      <c r="F1351">
        <v>333</v>
      </c>
      <c r="J1351">
        <v>1.1359999999999999</v>
      </c>
      <c r="K1351">
        <v>41.6</v>
      </c>
      <c r="L1351">
        <v>36.6</v>
      </c>
      <c r="M1351">
        <v>249</v>
      </c>
      <c r="N1351">
        <v>29</v>
      </c>
      <c r="O1351">
        <v>4</v>
      </c>
      <c r="P1351">
        <v>1</v>
      </c>
    </row>
    <row r="1352" spans="1:16" x14ac:dyDescent="0.25">
      <c r="A1352" s="4">
        <v>43866</v>
      </c>
      <c r="B1352" t="s">
        <v>9</v>
      </c>
      <c r="C1352" t="s">
        <v>78</v>
      </c>
      <c r="F1352">
        <v>611</v>
      </c>
      <c r="J1352">
        <v>1.0229999999999999</v>
      </c>
      <c r="K1352">
        <v>38.200000000000003</v>
      </c>
      <c r="L1352">
        <v>37.299999999999997</v>
      </c>
      <c r="M1352">
        <v>442</v>
      </c>
      <c r="N1352">
        <v>52</v>
      </c>
      <c r="O1352">
        <v>8</v>
      </c>
      <c r="P1352">
        <v>2</v>
      </c>
    </row>
    <row r="1353" spans="1:16" x14ac:dyDescent="0.25">
      <c r="A1353" s="4">
        <v>43867</v>
      </c>
      <c r="B1353" t="s">
        <v>9</v>
      </c>
      <c r="C1353">
        <v>1</v>
      </c>
      <c r="F1353">
        <v>307</v>
      </c>
      <c r="J1353">
        <v>1.036</v>
      </c>
      <c r="K1353">
        <v>38.4</v>
      </c>
      <c r="L1353">
        <v>37</v>
      </c>
      <c r="M1353">
        <v>230</v>
      </c>
      <c r="N1353">
        <v>15</v>
      </c>
      <c r="O1353">
        <v>4</v>
      </c>
      <c r="P1353">
        <v>2</v>
      </c>
    </row>
    <row r="1354" spans="1:16" x14ac:dyDescent="0.25">
      <c r="A1354" s="4">
        <v>43867</v>
      </c>
      <c r="B1354" t="s">
        <v>9</v>
      </c>
      <c r="C1354">
        <v>2</v>
      </c>
      <c r="F1354">
        <v>358</v>
      </c>
      <c r="J1354">
        <v>1.2170000000000001</v>
      </c>
      <c r="K1354">
        <v>44.8</v>
      </c>
      <c r="L1354">
        <v>36.799999999999997</v>
      </c>
      <c r="M1354">
        <v>255</v>
      </c>
      <c r="N1354">
        <v>36</v>
      </c>
      <c r="O1354">
        <v>5</v>
      </c>
      <c r="P1354">
        <v>1</v>
      </c>
    </row>
    <row r="1355" spans="1:16" x14ac:dyDescent="0.25">
      <c r="A1355" s="4">
        <v>43867</v>
      </c>
      <c r="B1355" t="s">
        <v>9</v>
      </c>
      <c r="C1355" t="s">
        <v>78</v>
      </c>
      <c r="F1355">
        <v>665</v>
      </c>
      <c r="J1355">
        <v>1.127</v>
      </c>
      <c r="K1355">
        <v>41.6</v>
      </c>
      <c r="L1355">
        <v>36.9</v>
      </c>
      <c r="M1355">
        <v>485</v>
      </c>
      <c r="N1355">
        <v>51</v>
      </c>
      <c r="O1355">
        <v>9</v>
      </c>
      <c r="P1355">
        <v>3</v>
      </c>
    </row>
    <row r="1356" spans="1:16" x14ac:dyDescent="0.25">
      <c r="A1356" s="4">
        <v>43868</v>
      </c>
      <c r="B1356" t="s">
        <v>9</v>
      </c>
      <c r="C1356">
        <v>1</v>
      </c>
      <c r="F1356">
        <v>314</v>
      </c>
      <c r="J1356">
        <v>1.089</v>
      </c>
      <c r="K1356">
        <v>39.299999999999997</v>
      </c>
      <c r="L1356">
        <v>36.1</v>
      </c>
      <c r="M1356">
        <v>237</v>
      </c>
      <c r="N1356">
        <v>22</v>
      </c>
      <c r="O1356">
        <v>7</v>
      </c>
    </row>
    <row r="1357" spans="1:16" x14ac:dyDescent="0.25">
      <c r="A1357" s="4">
        <v>43868</v>
      </c>
      <c r="B1357" t="s">
        <v>9</v>
      </c>
      <c r="C1357">
        <v>2</v>
      </c>
      <c r="F1357">
        <v>292</v>
      </c>
      <c r="J1357">
        <v>1.0840000000000001</v>
      </c>
      <c r="K1357">
        <v>36.5</v>
      </c>
      <c r="L1357">
        <v>33.700000000000003</v>
      </c>
      <c r="M1357">
        <v>251</v>
      </c>
      <c r="N1357">
        <v>15</v>
      </c>
      <c r="O1357">
        <v>2</v>
      </c>
    </row>
    <row r="1358" spans="1:16" x14ac:dyDescent="0.25">
      <c r="A1358" s="4">
        <v>43868</v>
      </c>
      <c r="B1358" t="s">
        <v>9</v>
      </c>
      <c r="C1358" t="s">
        <v>78</v>
      </c>
      <c r="F1358">
        <v>606</v>
      </c>
      <c r="J1358">
        <v>1.087</v>
      </c>
      <c r="K1358">
        <v>37.9</v>
      </c>
      <c r="L1358">
        <v>34.9</v>
      </c>
      <c r="M1358">
        <v>488</v>
      </c>
      <c r="N1358">
        <v>37</v>
      </c>
      <c r="O1358">
        <v>9</v>
      </c>
    </row>
    <row r="1359" spans="1:16" x14ac:dyDescent="0.25">
      <c r="A1359" s="4">
        <v>43871</v>
      </c>
      <c r="B1359" t="s">
        <v>10</v>
      </c>
      <c r="C1359">
        <v>1</v>
      </c>
      <c r="F1359">
        <v>228</v>
      </c>
      <c r="J1359">
        <v>0.80200000000000005</v>
      </c>
      <c r="K1359">
        <v>28.5</v>
      </c>
      <c r="L1359">
        <v>35.6</v>
      </c>
      <c r="M1359">
        <v>158</v>
      </c>
      <c r="N1359">
        <v>17</v>
      </c>
      <c r="O1359">
        <v>8</v>
      </c>
    </row>
    <row r="1360" spans="1:16" x14ac:dyDescent="0.25">
      <c r="A1360" s="4">
        <v>43871</v>
      </c>
      <c r="B1360" t="s">
        <v>9</v>
      </c>
      <c r="C1360">
        <v>1</v>
      </c>
      <c r="F1360">
        <v>272</v>
      </c>
      <c r="J1360">
        <v>0.93300000000000005</v>
      </c>
      <c r="K1360">
        <v>34</v>
      </c>
      <c r="L1360">
        <v>36.5</v>
      </c>
      <c r="M1360">
        <v>217</v>
      </c>
      <c r="N1360">
        <v>15</v>
      </c>
      <c r="O1360">
        <v>3</v>
      </c>
      <c r="P1360">
        <v>1</v>
      </c>
    </row>
    <row r="1361" spans="1:16" x14ac:dyDescent="0.25">
      <c r="A1361" s="4">
        <v>43871</v>
      </c>
      <c r="B1361" t="s">
        <v>9</v>
      </c>
      <c r="C1361">
        <v>2</v>
      </c>
      <c r="F1361">
        <v>262</v>
      </c>
      <c r="J1361">
        <v>0.94</v>
      </c>
      <c r="K1361">
        <v>32.799999999999997</v>
      </c>
      <c r="L1361">
        <v>34.9</v>
      </c>
      <c r="M1361">
        <v>230</v>
      </c>
      <c r="N1361">
        <v>15</v>
      </c>
    </row>
    <row r="1362" spans="1:16" x14ac:dyDescent="0.25">
      <c r="A1362" s="4">
        <v>43871</v>
      </c>
      <c r="B1362" t="s">
        <v>10</v>
      </c>
      <c r="C1362" t="s">
        <v>78</v>
      </c>
      <c r="F1362">
        <v>228</v>
      </c>
      <c r="J1362">
        <v>0.80200000000000005</v>
      </c>
      <c r="K1362">
        <v>28.5</v>
      </c>
      <c r="L1362">
        <v>35.6</v>
      </c>
      <c r="M1362">
        <v>158</v>
      </c>
      <c r="N1362">
        <v>17</v>
      </c>
      <c r="O1362">
        <v>8</v>
      </c>
    </row>
    <row r="1363" spans="1:16" x14ac:dyDescent="0.25">
      <c r="A1363" s="4">
        <v>43871</v>
      </c>
      <c r="B1363" t="s">
        <v>9</v>
      </c>
      <c r="C1363" t="s">
        <v>78</v>
      </c>
      <c r="F1363">
        <v>534</v>
      </c>
      <c r="J1363">
        <v>0.93600000000000005</v>
      </c>
      <c r="K1363">
        <v>33.4</v>
      </c>
      <c r="L1363">
        <v>35.6</v>
      </c>
      <c r="M1363">
        <v>447</v>
      </c>
      <c r="N1363">
        <v>30</v>
      </c>
      <c r="O1363">
        <v>3</v>
      </c>
      <c r="P1363">
        <v>1</v>
      </c>
    </row>
    <row r="1364" spans="1:16" x14ac:dyDescent="0.25">
      <c r="A1364" s="4">
        <v>43872</v>
      </c>
      <c r="B1364" t="s">
        <v>10</v>
      </c>
      <c r="C1364">
        <v>1</v>
      </c>
      <c r="F1364">
        <v>242</v>
      </c>
      <c r="J1364">
        <v>0.93400000000000005</v>
      </c>
      <c r="K1364">
        <v>30.3</v>
      </c>
      <c r="L1364">
        <v>32.4</v>
      </c>
      <c r="M1364">
        <v>201</v>
      </c>
      <c r="N1364">
        <v>14</v>
      </c>
      <c r="O1364">
        <v>2</v>
      </c>
    </row>
    <row r="1365" spans="1:16" x14ac:dyDescent="0.25">
      <c r="A1365" s="4">
        <v>43872</v>
      </c>
      <c r="B1365" t="s">
        <v>9</v>
      </c>
      <c r="C1365">
        <v>1</v>
      </c>
      <c r="F1365">
        <v>251</v>
      </c>
      <c r="J1365">
        <v>0.89600000000000002</v>
      </c>
      <c r="K1365">
        <v>31.4</v>
      </c>
      <c r="L1365">
        <v>35</v>
      </c>
      <c r="M1365">
        <v>202</v>
      </c>
      <c r="N1365">
        <v>18</v>
      </c>
      <c r="O1365">
        <v>2</v>
      </c>
    </row>
    <row r="1366" spans="1:16" x14ac:dyDescent="0.25">
      <c r="A1366" s="4">
        <v>43872</v>
      </c>
      <c r="B1366" t="s">
        <v>9</v>
      </c>
      <c r="C1366">
        <v>2</v>
      </c>
      <c r="F1366">
        <v>187</v>
      </c>
      <c r="J1366">
        <v>0.98299999999999998</v>
      </c>
      <c r="K1366">
        <v>34</v>
      </c>
      <c r="L1366">
        <v>34.6</v>
      </c>
      <c r="M1366">
        <v>147</v>
      </c>
      <c r="N1366">
        <v>15</v>
      </c>
      <c r="O1366">
        <v>1</v>
      </c>
    </row>
    <row r="1367" spans="1:16" x14ac:dyDescent="0.25">
      <c r="A1367" s="4">
        <v>43872</v>
      </c>
      <c r="B1367" t="s">
        <v>10</v>
      </c>
      <c r="C1367" t="s">
        <v>78</v>
      </c>
      <c r="F1367">
        <v>242</v>
      </c>
      <c r="J1367">
        <v>0.93400000000000005</v>
      </c>
      <c r="K1367">
        <v>30.3</v>
      </c>
      <c r="L1367">
        <v>32.4</v>
      </c>
      <c r="M1367">
        <v>201</v>
      </c>
      <c r="N1367">
        <v>14</v>
      </c>
      <c r="O1367">
        <v>2</v>
      </c>
    </row>
    <row r="1368" spans="1:16" x14ac:dyDescent="0.25">
      <c r="A1368" s="4">
        <v>43872</v>
      </c>
      <c r="B1368" t="s">
        <v>9</v>
      </c>
      <c r="C1368" t="s">
        <v>78</v>
      </c>
      <c r="F1368">
        <v>438</v>
      </c>
      <c r="J1368">
        <v>0.93200000000000005</v>
      </c>
      <c r="K1368">
        <v>32.4</v>
      </c>
      <c r="L1368">
        <v>34.799999999999997</v>
      </c>
      <c r="M1368">
        <v>349</v>
      </c>
      <c r="N1368">
        <v>33</v>
      </c>
      <c r="O1368">
        <v>3</v>
      </c>
    </row>
    <row r="1369" spans="1:16" x14ac:dyDescent="0.25">
      <c r="A1369" s="4">
        <v>43873</v>
      </c>
      <c r="B1369" t="s">
        <v>10</v>
      </c>
      <c r="C1369">
        <v>1</v>
      </c>
      <c r="F1369">
        <v>234</v>
      </c>
      <c r="J1369">
        <v>0.89500000000000002</v>
      </c>
      <c r="K1369">
        <v>29.3</v>
      </c>
      <c r="L1369">
        <v>32.700000000000003</v>
      </c>
      <c r="M1369">
        <v>169</v>
      </c>
      <c r="N1369">
        <v>21</v>
      </c>
      <c r="O1369">
        <v>5</v>
      </c>
    </row>
    <row r="1370" spans="1:16" x14ac:dyDescent="0.25">
      <c r="A1370" s="4">
        <v>43873</v>
      </c>
      <c r="B1370" t="s">
        <v>9</v>
      </c>
      <c r="C1370">
        <v>1</v>
      </c>
      <c r="F1370">
        <v>259</v>
      </c>
      <c r="J1370">
        <v>0.88200000000000001</v>
      </c>
      <c r="K1370">
        <v>32.4</v>
      </c>
      <c r="L1370">
        <v>36.700000000000003</v>
      </c>
      <c r="M1370">
        <v>181</v>
      </c>
      <c r="N1370">
        <v>20</v>
      </c>
      <c r="O1370">
        <v>6</v>
      </c>
      <c r="P1370">
        <v>2</v>
      </c>
    </row>
    <row r="1371" spans="1:16" x14ac:dyDescent="0.25">
      <c r="A1371" s="4">
        <v>43873</v>
      </c>
      <c r="B1371" t="s">
        <v>9</v>
      </c>
      <c r="C1371">
        <v>2</v>
      </c>
      <c r="F1371">
        <v>183</v>
      </c>
      <c r="J1371">
        <v>0.94799999999999995</v>
      </c>
      <c r="K1371">
        <v>33.299999999999997</v>
      </c>
      <c r="L1371">
        <v>35.1</v>
      </c>
      <c r="M1371">
        <v>151</v>
      </c>
      <c r="N1371">
        <v>10</v>
      </c>
      <c r="O1371">
        <v>3</v>
      </c>
    </row>
    <row r="1372" spans="1:16" x14ac:dyDescent="0.25">
      <c r="A1372" s="4">
        <v>43873</v>
      </c>
      <c r="B1372" t="s">
        <v>10</v>
      </c>
      <c r="C1372" t="s">
        <v>78</v>
      </c>
      <c r="F1372">
        <v>234</v>
      </c>
      <c r="J1372">
        <v>0.89500000000000002</v>
      </c>
      <c r="K1372">
        <v>29.3</v>
      </c>
      <c r="L1372">
        <v>32.700000000000003</v>
      </c>
      <c r="M1372">
        <v>169</v>
      </c>
      <c r="N1372">
        <v>21</v>
      </c>
      <c r="O1372">
        <v>5</v>
      </c>
    </row>
    <row r="1373" spans="1:16" x14ac:dyDescent="0.25">
      <c r="A1373" s="4">
        <v>43873</v>
      </c>
      <c r="B1373" t="s">
        <v>9</v>
      </c>
      <c r="C1373" t="s">
        <v>78</v>
      </c>
      <c r="F1373">
        <v>442</v>
      </c>
      <c r="J1373">
        <v>0.90900000000000003</v>
      </c>
      <c r="K1373">
        <v>32.700000000000003</v>
      </c>
      <c r="L1373">
        <v>36</v>
      </c>
      <c r="M1373">
        <v>332</v>
      </c>
      <c r="N1373">
        <v>30</v>
      </c>
      <c r="O1373">
        <v>9</v>
      </c>
      <c r="P1373">
        <v>2</v>
      </c>
    </row>
    <row r="1374" spans="1:16" x14ac:dyDescent="0.25">
      <c r="A1374" s="4">
        <v>43874</v>
      </c>
      <c r="B1374" t="s">
        <v>10</v>
      </c>
      <c r="C1374">
        <v>1</v>
      </c>
      <c r="F1374">
        <v>109</v>
      </c>
      <c r="J1374">
        <v>0.88200000000000001</v>
      </c>
      <c r="K1374">
        <v>27.3</v>
      </c>
      <c r="L1374">
        <v>30.9</v>
      </c>
      <c r="M1374">
        <v>92</v>
      </c>
      <c r="N1374">
        <v>6</v>
      </c>
    </row>
    <row r="1375" spans="1:16" x14ac:dyDescent="0.25">
      <c r="A1375" s="4">
        <v>43874</v>
      </c>
      <c r="B1375" t="s">
        <v>9</v>
      </c>
      <c r="C1375">
        <v>1</v>
      </c>
      <c r="F1375">
        <v>291</v>
      </c>
      <c r="J1375">
        <v>1.0049999999999999</v>
      </c>
      <c r="K1375">
        <v>36.4</v>
      </c>
      <c r="L1375">
        <v>36.200000000000003</v>
      </c>
      <c r="M1375">
        <v>229</v>
      </c>
      <c r="N1375">
        <v>15</v>
      </c>
      <c r="O1375">
        <v>8</v>
      </c>
    </row>
    <row r="1376" spans="1:16" x14ac:dyDescent="0.25">
      <c r="A1376" s="4">
        <v>43874</v>
      </c>
      <c r="B1376" t="s">
        <v>9</v>
      </c>
      <c r="C1376">
        <v>2</v>
      </c>
      <c r="F1376">
        <v>155</v>
      </c>
      <c r="J1376">
        <v>1.03</v>
      </c>
      <c r="K1376">
        <v>36.5</v>
      </c>
      <c r="L1376">
        <v>35.4</v>
      </c>
      <c r="M1376">
        <v>124</v>
      </c>
      <c r="N1376">
        <v>10</v>
      </c>
      <c r="O1376">
        <v>2</v>
      </c>
    </row>
    <row r="1377" spans="1:16" x14ac:dyDescent="0.25">
      <c r="A1377" s="4">
        <v>43874</v>
      </c>
      <c r="B1377" t="s">
        <v>10</v>
      </c>
      <c r="C1377" t="s">
        <v>78</v>
      </c>
      <c r="F1377">
        <v>109</v>
      </c>
      <c r="J1377">
        <v>0.88200000000000001</v>
      </c>
      <c r="K1377">
        <v>27.3</v>
      </c>
      <c r="L1377">
        <v>30.9</v>
      </c>
      <c r="M1377">
        <v>92</v>
      </c>
      <c r="N1377">
        <v>6</v>
      </c>
    </row>
    <row r="1378" spans="1:16" x14ac:dyDescent="0.25">
      <c r="A1378" s="4">
        <v>43874</v>
      </c>
      <c r="B1378" t="s">
        <v>9</v>
      </c>
      <c r="C1378" t="s">
        <v>78</v>
      </c>
      <c r="F1378">
        <v>446</v>
      </c>
      <c r="J1378">
        <v>1.0129999999999999</v>
      </c>
      <c r="K1378">
        <v>36.4</v>
      </c>
      <c r="L1378">
        <v>35.9</v>
      </c>
      <c r="M1378">
        <v>353</v>
      </c>
      <c r="N1378">
        <v>25</v>
      </c>
      <c r="O1378">
        <v>10</v>
      </c>
    </row>
    <row r="1379" spans="1:16" x14ac:dyDescent="0.25">
      <c r="A1379" s="4">
        <v>43875</v>
      </c>
      <c r="B1379" t="s">
        <v>10</v>
      </c>
      <c r="C1379">
        <v>1</v>
      </c>
      <c r="F1379">
        <v>108</v>
      </c>
      <c r="J1379">
        <v>0.78200000000000003</v>
      </c>
      <c r="K1379">
        <v>27</v>
      </c>
      <c r="L1379">
        <v>34.5</v>
      </c>
      <c r="M1379">
        <v>76</v>
      </c>
      <c r="N1379">
        <v>6</v>
      </c>
      <c r="O1379">
        <v>4</v>
      </c>
    </row>
    <row r="1380" spans="1:16" x14ac:dyDescent="0.25">
      <c r="A1380" s="4">
        <v>43875</v>
      </c>
      <c r="B1380" t="s">
        <v>9</v>
      </c>
      <c r="C1380">
        <v>1</v>
      </c>
      <c r="F1380">
        <v>218</v>
      </c>
      <c r="J1380">
        <v>0.80100000000000005</v>
      </c>
      <c r="K1380">
        <v>27.3</v>
      </c>
      <c r="L1380">
        <v>34</v>
      </c>
      <c r="M1380">
        <v>181</v>
      </c>
      <c r="N1380">
        <v>12</v>
      </c>
      <c r="O1380">
        <v>2</v>
      </c>
    </row>
    <row r="1381" spans="1:16" x14ac:dyDescent="0.25">
      <c r="A1381" s="4">
        <v>43875</v>
      </c>
      <c r="B1381" t="s">
        <v>9</v>
      </c>
      <c r="C1381">
        <v>2</v>
      </c>
      <c r="F1381">
        <v>193</v>
      </c>
      <c r="J1381">
        <v>0.86499999999999999</v>
      </c>
      <c r="K1381">
        <v>32.200000000000003</v>
      </c>
      <c r="L1381">
        <v>37.200000000000003</v>
      </c>
      <c r="M1381">
        <v>142</v>
      </c>
      <c r="N1381">
        <v>12</v>
      </c>
      <c r="O1381">
        <v>4</v>
      </c>
      <c r="P1381">
        <v>1</v>
      </c>
    </row>
    <row r="1382" spans="1:16" x14ac:dyDescent="0.25">
      <c r="A1382" s="4">
        <v>43875</v>
      </c>
      <c r="B1382" t="s">
        <v>10</v>
      </c>
      <c r="C1382" t="s">
        <v>78</v>
      </c>
      <c r="F1382">
        <v>108</v>
      </c>
      <c r="J1382">
        <v>0.78200000000000003</v>
      </c>
      <c r="K1382">
        <v>27</v>
      </c>
      <c r="L1382">
        <v>34.5</v>
      </c>
      <c r="M1382">
        <v>76</v>
      </c>
      <c r="N1382">
        <v>6</v>
      </c>
      <c r="O1382">
        <v>4</v>
      </c>
    </row>
    <row r="1383" spans="1:16" x14ac:dyDescent="0.25">
      <c r="A1383" s="4">
        <v>43875</v>
      </c>
      <c r="B1383" t="s">
        <v>9</v>
      </c>
      <c r="C1383" t="s">
        <v>78</v>
      </c>
      <c r="F1383">
        <v>411</v>
      </c>
      <c r="J1383">
        <v>0.82899999999999996</v>
      </c>
      <c r="K1383">
        <v>29.4</v>
      </c>
      <c r="L1383">
        <v>35.4</v>
      </c>
      <c r="M1383">
        <v>323</v>
      </c>
      <c r="N1383">
        <v>24</v>
      </c>
      <c r="O1383">
        <v>6</v>
      </c>
      <c r="P1383">
        <v>1</v>
      </c>
    </row>
    <row r="1384" spans="1:16" x14ac:dyDescent="0.25">
      <c r="A1384" s="4">
        <v>43878</v>
      </c>
      <c r="B1384" t="s">
        <v>9</v>
      </c>
      <c r="C1384">
        <v>1</v>
      </c>
      <c r="F1384">
        <v>302</v>
      </c>
      <c r="J1384">
        <v>0.95</v>
      </c>
      <c r="K1384">
        <v>37.799999999999997</v>
      </c>
      <c r="L1384">
        <v>39.700000000000003</v>
      </c>
      <c r="M1384">
        <v>162</v>
      </c>
      <c r="N1384">
        <v>36</v>
      </c>
      <c r="O1384">
        <v>16</v>
      </c>
      <c r="P1384">
        <v>1</v>
      </c>
    </row>
    <row r="1385" spans="1:16" x14ac:dyDescent="0.25">
      <c r="A1385" s="4">
        <v>43878</v>
      </c>
      <c r="B1385" t="s">
        <v>9</v>
      </c>
      <c r="C1385">
        <v>2</v>
      </c>
      <c r="F1385">
        <v>294</v>
      </c>
      <c r="J1385">
        <v>1.0429999999999999</v>
      </c>
      <c r="K1385">
        <v>36.799999999999997</v>
      </c>
      <c r="L1385">
        <v>35.200000000000003</v>
      </c>
      <c r="M1385">
        <v>248</v>
      </c>
      <c r="N1385">
        <v>18</v>
      </c>
      <c r="O1385">
        <v>2</v>
      </c>
    </row>
    <row r="1386" spans="1:16" x14ac:dyDescent="0.25">
      <c r="A1386" s="4">
        <v>43878</v>
      </c>
      <c r="B1386" t="s">
        <v>9</v>
      </c>
      <c r="C1386" t="s">
        <v>78</v>
      </c>
      <c r="F1386">
        <v>596</v>
      </c>
      <c r="J1386">
        <v>0.997</v>
      </c>
      <c r="K1386">
        <v>37.299999999999997</v>
      </c>
      <c r="L1386">
        <v>37.4</v>
      </c>
      <c r="M1386">
        <v>410</v>
      </c>
      <c r="N1386">
        <v>54</v>
      </c>
      <c r="O1386">
        <v>18</v>
      </c>
      <c r="P1386">
        <v>1</v>
      </c>
    </row>
    <row r="1387" spans="1:16" x14ac:dyDescent="0.25">
      <c r="A1387" s="4">
        <v>43879</v>
      </c>
      <c r="B1387" t="s">
        <v>9</v>
      </c>
      <c r="C1387">
        <v>1</v>
      </c>
      <c r="F1387">
        <v>289</v>
      </c>
      <c r="J1387">
        <v>0.96099999999999997</v>
      </c>
      <c r="K1387">
        <v>36.1</v>
      </c>
      <c r="L1387">
        <v>37.6</v>
      </c>
      <c r="M1387">
        <v>195</v>
      </c>
      <c r="N1387">
        <v>26</v>
      </c>
      <c r="O1387">
        <v>8</v>
      </c>
      <c r="P1387">
        <v>1</v>
      </c>
    </row>
    <row r="1388" spans="1:16" x14ac:dyDescent="0.25">
      <c r="A1388" s="4">
        <v>43879</v>
      </c>
      <c r="B1388" t="s">
        <v>9</v>
      </c>
      <c r="C1388">
        <v>2</v>
      </c>
      <c r="F1388">
        <v>283</v>
      </c>
      <c r="J1388">
        <v>0.98599999999999999</v>
      </c>
      <c r="K1388">
        <v>35.4</v>
      </c>
      <c r="L1388">
        <v>35.9</v>
      </c>
      <c r="M1388">
        <v>213</v>
      </c>
      <c r="N1388">
        <v>20</v>
      </c>
      <c r="O1388">
        <v>8</v>
      </c>
    </row>
    <row r="1389" spans="1:16" x14ac:dyDescent="0.25">
      <c r="A1389" s="4">
        <v>43879</v>
      </c>
      <c r="B1389" t="s">
        <v>9</v>
      </c>
      <c r="C1389" t="s">
        <v>78</v>
      </c>
      <c r="F1389">
        <v>572</v>
      </c>
      <c r="J1389">
        <v>0.97299999999999998</v>
      </c>
      <c r="K1389">
        <v>35.799999999999997</v>
      </c>
      <c r="L1389">
        <v>36.700000000000003</v>
      </c>
      <c r="M1389">
        <v>408</v>
      </c>
      <c r="N1389">
        <v>46</v>
      </c>
      <c r="O1389">
        <v>16</v>
      </c>
      <c r="P1389">
        <v>1</v>
      </c>
    </row>
    <row r="1390" spans="1:16" x14ac:dyDescent="0.25">
      <c r="A1390" s="4">
        <v>43880</v>
      </c>
      <c r="B1390" t="s">
        <v>9</v>
      </c>
      <c r="C1390">
        <v>1</v>
      </c>
      <c r="F1390">
        <v>385</v>
      </c>
      <c r="J1390">
        <v>1.212</v>
      </c>
      <c r="K1390">
        <v>48.1</v>
      </c>
      <c r="L1390">
        <v>39.700000000000003</v>
      </c>
      <c r="M1390">
        <v>206</v>
      </c>
      <c r="N1390">
        <v>41</v>
      </c>
      <c r="O1390">
        <v>26</v>
      </c>
    </row>
    <row r="1391" spans="1:16" x14ac:dyDescent="0.25">
      <c r="A1391" s="4">
        <v>43880</v>
      </c>
      <c r="B1391" t="s">
        <v>9</v>
      </c>
      <c r="C1391">
        <v>2</v>
      </c>
      <c r="F1391">
        <v>302</v>
      </c>
      <c r="J1391">
        <v>1.0960000000000001</v>
      </c>
      <c r="K1391">
        <v>37.799999999999997</v>
      </c>
      <c r="L1391">
        <v>34.5</v>
      </c>
      <c r="M1391">
        <v>241</v>
      </c>
      <c r="N1391">
        <v>16</v>
      </c>
      <c r="O1391">
        <v>9</v>
      </c>
    </row>
    <row r="1392" spans="1:16" x14ac:dyDescent="0.25">
      <c r="A1392" s="4">
        <v>43880</v>
      </c>
      <c r="B1392" t="s">
        <v>9</v>
      </c>
      <c r="C1392" t="s">
        <v>78</v>
      </c>
      <c r="F1392">
        <v>687</v>
      </c>
      <c r="J1392">
        <v>1.1539999999999999</v>
      </c>
      <c r="K1392">
        <v>42.9</v>
      </c>
      <c r="L1392">
        <v>37.200000000000003</v>
      </c>
      <c r="M1392">
        <v>447</v>
      </c>
      <c r="N1392">
        <v>57</v>
      </c>
      <c r="O1392">
        <v>35</v>
      </c>
    </row>
    <row r="1393" spans="1:16" x14ac:dyDescent="0.25">
      <c r="A1393" s="4">
        <v>43881</v>
      </c>
      <c r="B1393" t="s">
        <v>9</v>
      </c>
      <c r="C1393">
        <v>1</v>
      </c>
      <c r="F1393">
        <v>317</v>
      </c>
      <c r="J1393">
        <v>1.093</v>
      </c>
      <c r="K1393">
        <v>39.6</v>
      </c>
      <c r="L1393">
        <v>36.200000000000003</v>
      </c>
      <c r="M1393">
        <v>209</v>
      </c>
      <c r="N1393">
        <v>34</v>
      </c>
      <c r="O1393">
        <v>5</v>
      </c>
    </row>
    <row r="1394" spans="1:16" x14ac:dyDescent="0.25">
      <c r="A1394" s="4">
        <v>43881</v>
      </c>
      <c r="B1394" t="s">
        <v>9</v>
      </c>
      <c r="C1394">
        <v>2</v>
      </c>
      <c r="F1394">
        <v>295</v>
      </c>
      <c r="J1394">
        <v>1.0189999999999999</v>
      </c>
      <c r="K1394">
        <v>36.9</v>
      </c>
      <c r="L1394">
        <v>36.200000000000003</v>
      </c>
      <c r="M1394">
        <v>236</v>
      </c>
      <c r="N1394">
        <v>13</v>
      </c>
      <c r="O1394">
        <v>5</v>
      </c>
      <c r="P1394">
        <v>1</v>
      </c>
    </row>
    <row r="1395" spans="1:16" x14ac:dyDescent="0.25">
      <c r="A1395" s="4">
        <v>43881</v>
      </c>
      <c r="B1395" t="s">
        <v>9</v>
      </c>
      <c r="C1395" t="s">
        <v>78</v>
      </c>
      <c r="F1395">
        <v>612</v>
      </c>
      <c r="J1395">
        <v>1.056</v>
      </c>
      <c r="K1395">
        <v>38.299999999999997</v>
      </c>
      <c r="L1395">
        <v>36.200000000000003</v>
      </c>
      <c r="M1395">
        <v>445</v>
      </c>
      <c r="N1395">
        <v>47</v>
      </c>
      <c r="O1395">
        <v>10</v>
      </c>
      <c r="P1395">
        <v>1</v>
      </c>
    </row>
    <row r="1396" spans="1:16" x14ac:dyDescent="0.25">
      <c r="A1396" s="4">
        <v>43882</v>
      </c>
      <c r="B1396" t="s">
        <v>9</v>
      </c>
      <c r="C1396">
        <v>1</v>
      </c>
      <c r="F1396">
        <v>285</v>
      </c>
      <c r="J1396">
        <v>0.998</v>
      </c>
      <c r="K1396">
        <v>35.6</v>
      </c>
      <c r="L1396">
        <v>35.700000000000003</v>
      </c>
      <c r="M1396">
        <v>206</v>
      </c>
      <c r="N1396">
        <v>26</v>
      </c>
      <c r="O1396">
        <v>1</v>
      </c>
      <c r="P1396">
        <v>3</v>
      </c>
    </row>
    <row r="1397" spans="1:16" x14ac:dyDescent="0.25">
      <c r="A1397" s="4">
        <v>43882</v>
      </c>
      <c r="B1397" t="s">
        <v>9</v>
      </c>
      <c r="C1397">
        <v>2</v>
      </c>
      <c r="F1397">
        <v>235</v>
      </c>
      <c r="J1397">
        <v>0.80400000000000005</v>
      </c>
      <c r="K1397">
        <v>29.4</v>
      </c>
      <c r="L1397">
        <v>36.6</v>
      </c>
      <c r="M1397">
        <v>176</v>
      </c>
      <c r="N1397">
        <v>16</v>
      </c>
      <c r="O1397">
        <v>4</v>
      </c>
      <c r="P1397">
        <v>1</v>
      </c>
    </row>
    <row r="1398" spans="1:16" x14ac:dyDescent="0.25">
      <c r="A1398" s="4">
        <v>43882</v>
      </c>
      <c r="B1398" t="s">
        <v>9</v>
      </c>
      <c r="C1398" t="s">
        <v>78</v>
      </c>
      <c r="F1398">
        <v>520</v>
      </c>
      <c r="J1398">
        <v>0.90100000000000002</v>
      </c>
      <c r="K1398">
        <v>32.5</v>
      </c>
      <c r="L1398">
        <v>36.1</v>
      </c>
      <c r="M1398">
        <v>382</v>
      </c>
      <c r="N1398">
        <v>42</v>
      </c>
      <c r="O1398">
        <v>5</v>
      </c>
      <c r="P1398">
        <v>4</v>
      </c>
    </row>
    <row r="1399" spans="1:16" x14ac:dyDescent="0.25">
      <c r="A1399" s="4">
        <v>43885</v>
      </c>
      <c r="B1399" t="s">
        <v>9</v>
      </c>
      <c r="C1399">
        <v>1</v>
      </c>
      <c r="F1399">
        <v>284</v>
      </c>
      <c r="J1399">
        <v>0.93300000000000005</v>
      </c>
      <c r="K1399">
        <v>35.5</v>
      </c>
      <c r="L1399">
        <v>38.1</v>
      </c>
      <c r="M1399">
        <v>183</v>
      </c>
      <c r="N1399">
        <v>28</v>
      </c>
      <c r="O1399">
        <v>12</v>
      </c>
    </row>
    <row r="1400" spans="1:16" x14ac:dyDescent="0.25">
      <c r="A1400" s="4">
        <v>43885</v>
      </c>
      <c r="B1400" t="s">
        <v>9</v>
      </c>
      <c r="C1400">
        <v>2</v>
      </c>
      <c r="F1400">
        <v>292</v>
      </c>
      <c r="J1400">
        <v>1.02</v>
      </c>
      <c r="K1400">
        <v>36.5</v>
      </c>
      <c r="L1400">
        <v>35.799999999999997</v>
      </c>
      <c r="M1400">
        <v>212</v>
      </c>
      <c r="N1400">
        <v>30</v>
      </c>
      <c r="O1400">
        <v>6</v>
      </c>
    </row>
    <row r="1401" spans="1:16" x14ac:dyDescent="0.25">
      <c r="A1401" s="4">
        <v>43885</v>
      </c>
      <c r="B1401" t="s">
        <v>9</v>
      </c>
      <c r="C1401" t="s">
        <v>78</v>
      </c>
      <c r="F1401">
        <v>576</v>
      </c>
      <c r="J1401">
        <v>0.97699999999999998</v>
      </c>
      <c r="K1401">
        <v>36</v>
      </c>
      <c r="L1401">
        <v>36.9</v>
      </c>
      <c r="M1401">
        <v>395</v>
      </c>
      <c r="N1401">
        <v>58</v>
      </c>
      <c r="O1401">
        <v>18</v>
      </c>
    </row>
    <row r="1402" spans="1:16" x14ac:dyDescent="0.25">
      <c r="A1402" s="4">
        <v>43886</v>
      </c>
      <c r="B1402" t="s">
        <v>10</v>
      </c>
      <c r="C1402">
        <v>1</v>
      </c>
      <c r="F1402">
        <v>138</v>
      </c>
      <c r="J1402">
        <v>1.0389999999999999</v>
      </c>
      <c r="K1402">
        <v>36</v>
      </c>
      <c r="L1402">
        <v>34.700000000000003</v>
      </c>
      <c r="M1402">
        <v>68</v>
      </c>
      <c r="N1402">
        <v>29</v>
      </c>
      <c r="O1402">
        <v>3</v>
      </c>
    </row>
    <row r="1403" spans="1:16" x14ac:dyDescent="0.25">
      <c r="A1403" s="4">
        <v>43886</v>
      </c>
      <c r="B1403" t="s">
        <v>9</v>
      </c>
      <c r="C1403">
        <v>1</v>
      </c>
      <c r="F1403">
        <v>372</v>
      </c>
      <c r="J1403">
        <v>1.246</v>
      </c>
      <c r="K1403">
        <v>46.5</v>
      </c>
      <c r="L1403">
        <v>37.299999999999997</v>
      </c>
      <c r="M1403">
        <v>253</v>
      </c>
      <c r="N1403">
        <v>31</v>
      </c>
      <c r="O1403">
        <v>9</v>
      </c>
      <c r="P1403">
        <v>1</v>
      </c>
    </row>
    <row r="1404" spans="1:16" x14ac:dyDescent="0.25">
      <c r="A1404" s="4">
        <v>43886</v>
      </c>
      <c r="B1404" t="s">
        <v>9</v>
      </c>
      <c r="C1404">
        <v>2</v>
      </c>
      <c r="F1404">
        <v>322</v>
      </c>
      <c r="J1404">
        <v>1.0960000000000001</v>
      </c>
      <c r="K1404">
        <v>40.299999999999997</v>
      </c>
      <c r="L1404">
        <v>36.700000000000003</v>
      </c>
      <c r="M1404">
        <v>230</v>
      </c>
      <c r="N1404">
        <v>32</v>
      </c>
      <c r="O1404">
        <v>6</v>
      </c>
    </row>
    <row r="1405" spans="1:16" x14ac:dyDescent="0.25">
      <c r="A1405" s="4">
        <v>43886</v>
      </c>
      <c r="B1405" t="s">
        <v>10</v>
      </c>
      <c r="C1405" t="s">
        <v>78</v>
      </c>
      <c r="F1405">
        <v>138</v>
      </c>
      <c r="J1405">
        <v>1.0389999999999999</v>
      </c>
      <c r="K1405">
        <v>36</v>
      </c>
      <c r="L1405">
        <v>34.700000000000003</v>
      </c>
      <c r="M1405">
        <v>68</v>
      </c>
      <c r="N1405">
        <v>29</v>
      </c>
      <c r="O1405">
        <v>3</v>
      </c>
    </row>
    <row r="1406" spans="1:16" x14ac:dyDescent="0.25">
      <c r="A1406" s="4">
        <v>43886</v>
      </c>
      <c r="B1406" t="s">
        <v>9</v>
      </c>
      <c r="C1406" t="s">
        <v>78</v>
      </c>
      <c r="F1406">
        <v>694</v>
      </c>
      <c r="J1406">
        <v>1.171</v>
      </c>
      <c r="K1406">
        <v>43.4</v>
      </c>
      <c r="L1406">
        <v>37</v>
      </c>
      <c r="M1406">
        <v>483</v>
      </c>
      <c r="N1406">
        <v>63</v>
      </c>
      <c r="O1406">
        <v>15</v>
      </c>
      <c r="P1406">
        <v>1</v>
      </c>
    </row>
    <row r="1407" spans="1:16" x14ac:dyDescent="0.25">
      <c r="A1407" s="4">
        <v>43887</v>
      </c>
      <c r="B1407" t="s">
        <v>10</v>
      </c>
      <c r="C1407">
        <v>1</v>
      </c>
      <c r="F1407">
        <v>127</v>
      </c>
      <c r="J1407">
        <v>1.024</v>
      </c>
      <c r="K1407">
        <v>33.9</v>
      </c>
      <c r="L1407">
        <v>33.1</v>
      </c>
      <c r="M1407">
        <v>96</v>
      </c>
      <c r="N1407">
        <v>8</v>
      </c>
      <c r="O1407">
        <v>2</v>
      </c>
      <c r="P1407">
        <v>1</v>
      </c>
    </row>
    <row r="1408" spans="1:16" x14ac:dyDescent="0.25">
      <c r="A1408" s="4">
        <v>43887</v>
      </c>
      <c r="B1408" t="s">
        <v>9</v>
      </c>
      <c r="C1408">
        <v>1</v>
      </c>
      <c r="F1408">
        <v>319</v>
      </c>
      <c r="J1408">
        <v>1.113</v>
      </c>
      <c r="K1408">
        <v>39.9</v>
      </c>
      <c r="L1408">
        <v>35.799999999999997</v>
      </c>
      <c r="M1408">
        <v>235</v>
      </c>
      <c r="N1408">
        <v>29</v>
      </c>
      <c r="O1408">
        <v>4</v>
      </c>
    </row>
    <row r="1409" spans="1:16" x14ac:dyDescent="0.25">
      <c r="A1409" s="4">
        <v>43887</v>
      </c>
      <c r="B1409" t="s">
        <v>9</v>
      </c>
      <c r="C1409">
        <v>2</v>
      </c>
      <c r="F1409">
        <v>288</v>
      </c>
      <c r="J1409">
        <v>1.01</v>
      </c>
      <c r="K1409">
        <v>36</v>
      </c>
      <c r="L1409">
        <v>35.700000000000003</v>
      </c>
      <c r="M1409">
        <v>228</v>
      </c>
      <c r="N1409">
        <v>17</v>
      </c>
      <c r="O1409">
        <v>8</v>
      </c>
    </row>
    <row r="1410" spans="1:16" x14ac:dyDescent="0.25">
      <c r="A1410" s="4">
        <v>43887</v>
      </c>
      <c r="B1410" t="s">
        <v>10</v>
      </c>
      <c r="C1410" t="s">
        <v>78</v>
      </c>
      <c r="F1410">
        <v>127</v>
      </c>
      <c r="J1410">
        <v>1.024</v>
      </c>
      <c r="K1410">
        <v>33.9</v>
      </c>
      <c r="L1410">
        <v>33.1</v>
      </c>
      <c r="M1410">
        <v>96</v>
      </c>
      <c r="N1410">
        <v>8</v>
      </c>
      <c r="O1410">
        <v>2</v>
      </c>
      <c r="P1410">
        <v>1</v>
      </c>
    </row>
    <row r="1411" spans="1:16" x14ac:dyDescent="0.25">
      <c r="A1411" s="4">
        <v>43887</v>
      </c>
      <c r="B1411" t="s">
        <v>9</v>
      </c>
      <c r="C1411" t="s">
        <v>78</v>
      </c>
      <c r="F1411">
        <v>607</v>
      </c>
      <c r="J1411">
        <v>1.0609999999999999</v>
      </c>
      <c r="K1411">
        <v>37.9</v>
      </c>
      <c r="L1411">
        <v>35.799999999999997</v>
      </c>
      <c r="M1411">
        <v>463</v>
      </c>
      <c r="N1411">
        <v>46</v>
      </c>
      <c r="O1411">
        <v>12</v>
      </c>
    </row>
    <row r="1412" spans="1:16" x14ac:dyDescent="0.25">
      <c r="A1412" s="4">
        <v>43888</v>
      </c>
      <c r="B1412" t="s">
        <v>10</v>
      </c>
      <c r="C1412">
        <v>1</v>
      </c>
      <c r="F1412">
        <v>121</v>
      </c>
      <c r="J1412">
        <v>0.92600000000000005</v>
      </c>
      <c r="K1412">
        <v>32.299999999999997</v>
      </c>
      <c r="L1412">
        <v>34.799999999999997</v>
      </c>
      <c r="M1412">
        <v>79</v>
      </c>
      <c r="N1412">
        <v>12</v>
      </c>
      <c r="O1412">
        <v>5</v>
      </c>
    </row>
    <row r="1413" spans="1:16" x14ac:dyDescent="0.25">
      <c r="A1413" s="4">
        <v>43888</v>
      </c>
      <c r="B1413" t="s">
        <v>9</v>
      </c>
      <c r="C1413">
        <v>1</v>
      </c>
      <c r="F1413">
        <v>324</v>
      </c>
      <c r="J1413">
        <v>1.087</v>
      </c>
      <c r="K1413">
        <v>40.5</v>
      </c>
      <c r="L1413">
        <v>37.299999999999997</v>
      </c>
      <c r="M1413">
        <v>207</v>
      </c>
      <c r="N1413">
        <v>25</v>
      </c>
      <c r="O1413">
        <v>18</v>
      </c>
      <c r="P1413">
        <v>1</v>
      </c>
    </row>
    <row r="1414" spans="1:16" x14ac:dyDescent="0.25">
      <c r="A1414" s="4">
        <v>43888</v>
      </c>
      <c r="B1414" t="s">
        <v>9</v>
      </c>
      <c r="C1414">
        <v>2</v>
      </c>
      <c r="F1414">
        <v>301</v>
      </c>
      <c r="J1414">
        <v>1.073</v>
      </c>
      <c r="K1414">
        <v>37.6</v>
      </c>
      <c r="L1414">
        <v>35.1</v>
      </c>
      <c r="M1414">
        <v>230</v>
      </c>
      <c r="N1414">
        <v>22</v>
      </c>
      <c r="O1414">
        <v>7</v>
      </c>
    </row>
    <row r="1415" spans="1:16" x14ac:dyDescent="0.25">
      <c r="A1415" s="4">
        <v>43888</v>
      </c>
      <c r="B1415" t="s">
        <v>10</v>
      </c>
      <c r="C1415" t="s">
        <v>78</v>
      </c>
      <c r="F1415">
        <v>121</v>
      </c>
      <c r="J1415">
        <v>0.92600000000000005</v>
      </c>
      <c r="K1415">
        <v>32.299999999999997</v>
      </c>
      <c r="L1415">
        <v>34.799999999999997</v>
      </c>
      <c r="M1415">
        <v>79</v>
      </c>
      <c r="N1415">
        <v>12</v>
      </c>
      <c r="O1415">
        <v>5</v>
      </c>
    </row>
    <row r="1416" spans="1:16" x14ac:dyDescent="0.25">
      <c r="A1416" s="4">
        <v>43888</v>
      </c>
      <c r="B1416" t="s">
        <v>9</v>
      </c>
      <c r="C1416" t="s">
        <v>78</v>
      </c>
      <c r="F1416">
        <v>625</v>
      </c>
      <c r="J1416">
        <v>1.08</v>
      </c>
      <c r="K1416">
        <v>39.1</v>
      </c>
      <c r="L1416">
        <v>36.200000000000003</v>
      </c>
      <c r="M1416">
        <v>437</v>
      </c>
      <c r="N1416">
        <v>47</v>
      </c>
      <c r="O1416">
        <v>25</v>
      </c>
      <c r="P1416">
        <v>1</v>
      </c>
    </row>
    <row r="1417" spans="1:16" x14ac:dyDescent="0.25">
      <c r="A1417" s="4">
        <v>43889</v>
      </c>
      <c r="B1417" t="s">
        <v>10</v>
      </c>
      <c r="C1417">
        <v>1</v>
      </c>
      <c r="F1417">
        <v>95</v>
      </c>
      <c r="J1417">
        <v>0.79500000000000004</v>
      </c>
      <c r="K1417">
        <v>27.1</v>
      </c>
      <c r="L1417">
        <v>34.1</v>
      </c>
      <c r="M1417">
        <v>64</v>
      </c>
      <c r="N1417">
        <v>11</v>
      </c>
      <c r="P1417">
        <v>1</v>
      </c>
    </row>
    <row r="1418" spans="1:16" x14ac:dyDescent="0.25">
      <c r="A1418" s="4">
        <v>43889</v>
      </c>
      <c r="B1418" t="s">
        <v>9</v>
      </c>
      <c r="C1418">
        <v>1</v>
      </c>
      <c r="F1418">
        <v>299</v>
      </c>
      <c r="J1418">
        <v>1.0449999999999999</v>
      </c>
      <c r="K1418">
        <v>37.4</v>
      </c>
      <c r="L1418">
        <v>35.799999999999997</v>
      </c>
      <c r="M1418">
        <v>202</v>
      </c>
      <c r="N1418">
        <v>35</v>
      </c>
      <c r="O1418">
        <v>5</v>
      </c>
    </row>
    <row r="1419" spans="1:16" x14ac:dyDescent="0.25">
      <c r="A1419" s="4">
        <v>43889</v>
      </c>
      <c r="B1419" t="s">
        <v>9</v>
      </c>
      <c r="C1419">
        <v>2</v>
      </c>
      <c r="F1419">
        <v>198</v>
      </c>
      <c r="J1419">
        <v>1.165</v>
      </c>
      <c r="K1419">
        <v>39.6</v>
      </c>
      <c r="L1419">
        <v>34</v>
      </c>
      <c r="M1419">
        <v>168</v>
      </c>
      <c r="N1419">
        <v>6</v>
      </c>
      <c r="O1419">
        <v>5</v>
      </c>
    </row>
    <row r="1420" spans="1:16" x14ac:dyDescent="0.25">
      <c r="A1420" s="4">
        <v>43889</v>
      </c>
      <c r="B1420" t="s">
        <v>10</v>
      </c>
      <c r="C1420" t="s">
        <v>78</v>
      </c>
      <c r="F1420">
        <v>95</v>
      </c>
      <c r="J1420">
        <v>0.79500000000000004</v>
      </c>
      <c r="K1420">
        <v>27.1</v>
      </c>
      <c r="L1420">
        <v>34.1</v>
      </c>
      <c r="M1420">
        <v>64</v>
      </c>
      <c r="N1420">
        <v>11</v>
      </c>
      <c r="P1420">
        <v>1</v>
      </c>
    </row>
    <row r="1421" spans="1:16" x14ac:dyDescent="0.25">
      <c r="A1421" s="4">
        <v>43889</v>
      </c>
      <c r="B1421" t="s">
        <v>9</v>
      </c>
      <c r="C1421" t="s">
        <v>78</v>
      </c>
      <c r="F1421">
        <v>497</v>
      </c>
      <c r="J1421">
        <v>1.091</v>
      </c>
      <c r="K1421">
        <v>38.200000000000003</v>
      </c>
      <c r="L1421">
        <v>35</v>
      </c>
      <c r="M1421">
        <v>370</v>
      </c>
      <c r="N1421">
        <v>41</v>
      </c>
      <c r="O1421">
        <v>10</v>
      </c>
    </row>
    <row r="1422" spans="1:16" x14ac:dyDescent="0.25">
      <c r="A1422" s="4">
        <v>43892</v>
      </c>
      <c r="B1422" t="s">
        <v>9</v>
      </c>
      <c r="C1422">
        <v>1</v>
      </c>
      <c r="F1422">
        <v>303</v>
      </c>
      <c r="J1422">
        <v>1.012</v>
      </c>
      <c r="K1422">
        <v>37.9</v>
      </c>
      <c r="L1422">
        <v>37.4</v>
      </c>
      <c r="M1422">
        <v>162</v>
      </c>
      <c r="N1422">
        <v>35</v>
      </c>
      <c r="O1422">
        <v>16</v>
      </c>
      <c r="P1422">
        <v>1</v>
      </c>
    </row>
    <row r="1423" spans="1:16" x14ac:dyDescent="0.25">
      <c r="A1423" s="4">
        <v>43892</v>
      </c>
      <c r="B1423" t="s">
        <v>9</v>
      </c>
      <c r="C1423">
        <v>2</v>
      </c>
      <c r="F1423">
        <v>307</v>
      </c>
      <c r="J1423">
        <v>1.038</v>
      </c>
      <c r="K1423">
        <v>38.4</v>
      </c>
      <c r="L1423">
        <v>37</v>
      </c>
      <c r="M1423">
        <v>227</v>
      </c>
      <c r="N1423">
        <v>22</v>
      </c>
      <c r="O1423">
        <v>7</v>
      </c>
      <c r="P1423">
        <v>1</v>
      </c>
    </row>
    <row r="1424" spans="1:16" x14ac:dyDescent="0.25">
      <c r="A1424" s="4">
        <v>43892</v>
      </c>
      <c r="B1424" t="s">
        <v>9</v>
      </c>
      <c r="C1424" t="s">
        <v>78</v>
      </c>
      <c r="F1424">
        <v>610</v>
      </c>
      <c r="J1424">
        <v>1.0249999999999999</v>
      </c>
      <c r="K1424">
        <v>38.1</v>
      </c>
      <c r="L1424">
        <v>37.200000000000003</v>
      </c>
      <c r="M1424">
        <v>389</v>
      </c>
      <c r="N1424">
        <v>57</v>
      </c>
      <c r="O1424">
        <v>23</v>
      </c>
      <c r="P1424">
        <v>2</v>
      </c>
    </row>
    <row r="1425" spans="1:16" x14ac:dyDescent="0.25">
      <c r="A1425" s="4">
        <v>43893</v>
      </c>
      <c r="B1425" t="s">
        <v>9</v>
      </c>
      <c r="C1425">
        <v>1</v>
      </c>
      <c r="F1425">
        <v>312</v>
      </c>
      <c r="J1425">
        <v>1.071</v>
      </c>
      <c r="K1425">
        <v>39</v>
      </c>
      <c r="L1425">
        <v>36.4</v>
      </c>
      <c r="M1425">
        <v>237</v>
      </c>
      <c r="N1425">
        <v>16</v>
      </c>
      <c r="O1425">
        <v>4</v>
      </c>
      <c r="P1425">
        <v>2</v>
      </c>
    </row>
    <row r="1426" spans="1:16" x14ac:dyDescent="0.25">
      <c r="A1426" s="4">
        <v>43893</v>
      </c>
      <c r="B1426" t="s">
        <v>9</v>
      </c>
      <c r="C1426">
        <v>2</v>
      </c>
      <c r="F1426">
        <v>316</v>
      </c>
      <c r="J1426">
        <v>1.0609999999999999</v>
      </c>
      <c r="K1426">
        <v>39.5</v>
      </c>
      <c r="L1426">
        <v>37.200000000000003</v>
      </c>
      <c r="M1426">
        <v>215</v>
      </c>
      <c r="N1426">
        <v>34</v>
      </c>
      <c r="O1426">
        <v>6</v>
      </c>
      <c r="P1426">
        <v>1</v>
      </c>
    </row>
    <row r="1427" spans="1:16" x14ac:dyDescent="0.25">
      <c r="A1427" s="4">
        <v>43893</v>
      </c>
      <c r="B1427" t="s">
        <v>9</v>
      </c>
      <c r="C1427" t="s">
        <v>78</v>
      </c>
      <c r="F1427">
        <v>628</v>
      </c>
      <c r="J1427">
        <v>1.0660000000000001</v>
      </c>
      <c r="K1427">
        <v>39.299999999999997</v>
      </c>
      <c r="L1427">
        <v>36.799999999999997</v>
      </c>
      <c r="M1427">
        <v>452</v>
      </c>
      <c r="N1427">
        <v>50</v>
      </c>
      <c r="O1427">
        <v>10</v>
      </c>
      <c r="P1427">
        <v>3</v>
      </c>
    </row>
    <row r="1428" spans="1:16" x14ac:dyDescent="0.25">
      <c r="A1428" s="4">
        <v>43894</v>
      </c>
      <c r="B1428" t="s">
        <v>9</v>
      </c>
      <c r="C1428">
        <v>1</v>
      </c>
      <c r="F1428">
        <v>269</v>
      </c>
      <c r="J1428">
        <v>0.88700000000000001</v>
      </c>
      <c r="K1428">
        <v>33.6</v>
      </c>
      <c r="L1428">
        <v>37.9</v>
      </c>
      <c r="M1428">
        <v>171</v>
      </c>
      <c r="N1428">
        <v>32</v>
      </c>
      <c r="O1428">
        <v>6</v>
      </c>
      <c r="P1428">
        <v>1</v>
      </c>
    </row>
    <row r="1429" spans="1:16" x14ac:dyDescent="0.25">
      <c r="A1429" s="4">
        <v>43894</v>
      </c>
      <c r="B1429" t="s">
        <v>9</v>
      </c>
      <c r="C1429">
        <v>2</v>
      </c>
      <c r="F1429">
        <v>309</v>
      </c>
      <c r="J1429">
        <v>1.0289999999999999</v>
      </c>
      <c r="K1429">
        <v>38.6</v>
      </c>
      <c r="L1429">
        <v>37.5</v>
      </c>
      <c r="M1429">
        <v>197</v>
      </c>
      <c r="N1429">
        <v>36</v>
      </c>
      <c r="O1429">
        <v>9</v>
      </c>
      <c r="P1429">
        <v>1</v>
      </c>
    </row>
    <row r="1430" spans="1:16" x14ac:dyDescent="0.25">
      <c r="A1430" s="4">
        <v>43894</v>
      </c>
      <c r="B1430" t="s">
        <v>9</v>
      </c>
      <c r="C1430" t="s">
        <v>78</v>
      </c>
      <c r="F1430">
        <v>578</v>
      </c>
      <c r="J1430">
        <v>0.95799999999999996</v>
      </c>
      <c r="K1430">
        <v>36.1</v>
      </c>
      <c r="L1430">
        <v>37.700000000000003</v>
      </c>
      <c r="M1430">
        <v>368</v>
      </c>
      <c r="N1430">
        <v>68</v>
      </c>
      <c r="O1430">
        <v>15</v>
      </c>
      <c r="P1430">
        <v>2</v>
      </c>
    </row>
    <row r="1431" spans="1:16" x14ac:dyDescent="0.25">
      <c r="A1431" s="4">
        <v>43895</v>
      </c>
      <c r="B1431" t="s">
        <v>9</v>
      </c>
      <c r="C1431">
        <v>1</v>
      </c>
      <c r="F1431">
        <v>300</v>
      </c>
      <c r="J1431">
        <v>1.0720000000000001</v>
      </c>
      <c r="K1431">
        <v>37.5</v>
      </c>
      <c r="L1431">
        <v>35</v>
      </c>
      <c r="M1431">
        <v>239</v>
      </c>
      <c r="N1431">
        <v>19</v>
      </c>
      <c r="O1431">
        <v>5</v>
      </c>
    </row>
    <row r="1432" spans="1:16" x14ac:dyDescent="0.25">
      <c r="A1432" s="4">
        <v>43895</v>
      </c>
      <c r="B1432" t="s">
        <v>9</v>
      </c>
      <c r="C1432">
        <v>2</v>
      </c>
      <c r="F1432">
        <v>342</v>
      </c>
      <c r="J1432">
        <v>1.248</v>
      </c>
      <c r="K1432">
        <v>42.8</v>
      </c>
      <c r="L1432">
        <v>34.299999999999997</v>
      </c>
      <c r="M1432">
        <v>299</v>
      </c>
      <c r="N1432">
        <v>15</v>
      </c>
      <c r="O1432">
        <v>2</v>
      </c>
    </row>
    <row r="1433" spans="1:16" x14ac:dyDescent="0.25">
      <c r="A1433" s="4">
        <v>43895</v>
      </c>
      <c r="B1433" t="s">
        <v>9</v>
      </c>
      <c r="C1433" t="s">
        <v>78</v>
      </c>
      <c r="F1433">
        <v>642</v>
      </c>
      <c r="J1433">
        <v>1.1599999999999999</v>
      </c>
      <c r="K1433">
        <v>40.1</v>
      </c>
      <c r="L1433">
        <v>34.6</v>
      </c>
      <c r="M1433">
        <v>538</v>
      </c>
      <c r="N1433">
        <v>34</v>
      </c>
      <c r="O1433">
        <v>7</v>
      </c>
    </row>
    <row r="1434" spans="1:16" x14ac:dyDescent="0.25">
      <c r="A1434" s="4">
        <v>43896</v>
      </c>
      <c r="B1434" t="s">
        <v>9</v>
      </c>
      <c r="C1434">
        <v>1</v>
      </c>
      <c r="F1434">
        <v>302</v>
      </c>
      <c r="J1434">
        <v>0.96199999999999997</v>
      </c>
      <c r="K1434">
        <v>37.799999999999997</v>
      </c>
      <c r="L1434">
        <v>39.200000000000003</v>
      </c>
      <c r="M1434">
        <v>183</v>
      </c>
      <c r="N1434">
        <v>39</v>
      </c>
      <c r="O1434">
        <v>9</v>
      </c>
      <c r="P1434">
        <v>1</v>
      </c>
    </row>
    <row r="1435" spans="1:16" x14ac:dyDescent="0.25">
      <c r="A1435" s="4">
        <v>43896</v>
      </c>
      <c r="B1435" t="s">
        <v>9</v>
      </c>
      <c r="C1435">
        <v>2</v>
      </c>
      <c r="F1435">
        <v>359</v>
      </c>
      <c r="J1435">
        <v>1.32</v>
      </c>
      <c r="K1435">
        <v>44.9</v>
      </c>
      <c r="L1435">
        <v>34</v>
      </c>
      <c r="M1435">
        <v>295</v>
      </c>
      <c r="N1435">
        <v>27</v>
      </c>
      <c r="O1435">
        <v>2</v>
      </c>
    </row>
    <row r="1436" spans="1:16" x14ac:dyDescent="0.25">
      <c r="A1436" s="4">
        <v>43896</v>
      </c>
      <c r="B1436" t="s">
        <v>9</v>
      </c>
      <c r="C1436" t="s">
        <v>78</v>
      </c>
      <c r="F1436">
        <v>661</v>
      </c>
      <c r="J1436">
        <v>1.141</v>
      </c>
      <c r="K1436">
        <v>41.3</v>
      </c>
      <c r="L1436">
        <v>36.200000000000003</v>
      </c>
      <c r="M1436">
        <v>478</v>
      </c>
      <c r="N1436">
        <v>66</v>
      </c>
      <c r="O1436">
        <v>11</v>
      </c>
      <c r="P1436">
        <v>1</v>
      </c>
    </row>
    <row r="1437" spans="1:16" x14ac:dyDescent="0.25">
      <c r="A1437" s="4">
        <v>43899</v>
      </c>
      <c r="B1437" t="s">
        <v>9</v>
      </c>
      <c r="C1437">
        <v>1</v>
      </c>
      <c r="F1437">
        <v>272</v>
      </c>
      <c r="J1437">
        <v>0.85799999999999998</v>
      </c>
      <c r="K1437">
        <v>34</v>
      </c>
      <c r="L1437">
        <v>39.6</v>
      </c>
      <c r="M1437">
        <v>159</v>
      </c>
      <c r="N1437">
        <v>29</v>
      </c>
      <c r="O1437">
        <v>14</v>
      </c>
    </row>
    <row r="1438" spans="1:16" x14ac:dyDescent="0.25">
      <c r="A1438" s="4">
        <v>43899</v>
      </c>
      <c r="B1438" t="s">
        <v>9</v>
      </c>
      <c r="C1438">
        <v>2</v>
      </c>
      <c r="F1438">
        <v>298</v>
      </c>
      <c r="J1438">
        <v>1.0209999999999999</v>
      </c>
      <c r="K1438">
        <v>37.299999999999997</v>
      </c>
      <c r="L1438">
        <v>36.5</v>
      </c>
      <c r="M1438">
        <v>228</v>
      </c>
      <c r="N1438">
        <v>26</v>
      </c>
      <c r="O1438">
        <v>4</v>
      </c>
    </row>
    <row r="1439" spans="1:16" x14ac:dyDescent="0.25">
      <c r="A1439" s="4">
        <v>43899</v>
      </c>
      <c r="B1439" t="s">
        <v>9</v>
      </c>
      <c r="C1439" t="s">
        <v>78</v>
      </c>
      <c r="F1439">
        <v>570</v>
      </c>
      <c r="J1439">
        <v>0.94</v>
      </c>
      <c r="K1439">
        <v>35.6</v>
      </c>
      <c r="L1439">
        <v>37.9</v>
      </c>
      <c r="M1439">
        <v>387</v>
      </c>
      <c r="N1439">
        <v>55</v>
      </c>
      <c r="O1439">
        <v>18</v>
      </c>
    </row>
    <row r="1440" spans="1:16" x14ac:dyDescent="0.25">
      <c r="A1440" s="4">
        <v>43900</v>
      </c>
      <c r="B1440" t="s">
        <v>9</v>
      </c>
      <c r="C1440">
        <v>1</v>
      </c>
      <c r="F1440">
        <v>405</v>
      </c>
      <c r="J1440">
        <v>1.3120000000000001</v>
      </c>
      <c r="K1440">
        <v>50.6</v>
      </c>
      <c r="L1440">
        <v>38.6</v>
      </c>
      <c r="M1440">
        <v>247</v>
      </c>
      <c r="N1440">
        <v>39</v>
      </c>
      <c r="O1440">
        <v>17</v>
      </c>
      <c r="P1440">
        <v>1</v>
      </c>
    </row>
    <row r="1441" spans="1:16" x14ac:dyDescent="0.25">
      <c r="A1441" s="4">
        <v>43900</v>
      </c>
      <c r="B1441" t="s">
        <v>9</v>
      </c>
      <c r="C1441">
        <v>2</v>
      </c>
      <c r="F1441">
        <v>295</v>
      </c>
      <c r="J1441">
        <v>1.073</v>
      </c>
      <c r="K1441">
        <v>36.880000000000003</v>
      </c>
      <c r="L1441">
        <v>34.4</v>
      </c>
      <c r="M1441">
        <v>248</v>
      </c>
      <c r="N1441">
        <v>16</v>
      </c>
      <c r="O1441">
        <v>4</v>
      </c>
    </row>
    <row r="1442" spans="1:16" x14ac:dyDescent="0.25">
      <c r="A1442" s="4">
        <v>43900</v>
      </c>
      <c r="B1442" t="s">
        <v>9</v>
      </c>
      <c r="C1442" t="s">
        <v>78</v>
      </c>
      <c r="F1442">
        <v>700</v>
      </c>
      <c r="J1442">
        <v>1.1930000000000001</v>
      </c>
      <c r="K1442">
        <v>43.8</v>
      </c>
      <c r="L1442">
        <v>36.700000000000003</v>
      </c>
      <c r="M1442">
        <v>495</v>
      </c>
      <c r="N1442">
        <v>55</v>
      </c>
      <c r="O1442">
        <v>21</v>
      </c>
      <c r="P1442">
        <v>1</v>
      </c>
    </row>
    <row r="1443" spans="1:16" x14ac:dyDescent="0.25">
      <c r="A1443" s="4">
        <v>43901</v>
      </c>
      <c r="B1443" t="s">
        <v>9</v>
      </c>
      <c r="C1443">
        <v>1</v>
      </c>
      <c r="F1443">
        <v>313</v>
      </c>
      <c r="J1443">
        <v>1.0489999999999999</v>
      </c>
      <c r="K1443">
        <v>39.1</v>
      </c>
      <c r="L1443">
        <v>37.299999999999997</v>
      </c>
      <c r="M1443">
        <v>208</v>
      </c>
      <c r="N1443">
        <v>32</v>
      </c>
      <c r="O1443">
        <v>6</v>
      </c>
      <c r="P1443">
        <v>2</v>
      </c>
    </row>
    <row r="1444" spans="1:16" x14ac:dyDescent="0.25">
      <c r="A1444" s="4">
        <v>43901</v>
      </c>
      <c r="B1444" t="s">
        <v>9</v>
      </c>
      <c r="C1444">
        <v>2</v>
      </c>
      <c r="F1444">
        <v>303</v>
      </c>
      <c r="J1444">
        <v>1.056</v>
      </c>
      <c r="K1444">
        <v>37.9</v>
      </c>
      <c r="L1444">
        <v>35.9</v>
      </c>
      <c r="M1444">
        <v>227</v>
      </c>
      <c r="N1444">
        <v>25</v>
      </c>
      <c r="O1444">
        <v>7</v>
      </c>
    </row>
    <row r="1445" spans="1:16" x14ac:dyDescent="0.25">
      <c r="A1445" s="4">
        <v>43901</v>
      </c>
      <c r="B1445" t="s">
        <v>9</v>
      </c>
      <c r="C1445" t="s">
        <v>78</v>
      </c>
      <c r="F1445">
        <v>616</v>
      </c>
      <c r="J1445">
        <v>1.0529999999999999</v>
      </c>
      <c r="K1445">
        <v>38.5</v>
      </c>
      <c r="L1445">
        <v>36.6</v>
      </c>
      <c r="M1445">
        <v>435</v>
      </c>
      <c r="N1445">
        <v>57</v>
      </c>
      <c r="O1445">
        <v>13</v>
      </c>
      <c r="P1445">
        <v>2</v>
      </c>
    </row>
    <row r="1446" spans="1:16" x14ac:dyDescent="0.25">
      <c r="A1446" s="4">
        <v>43902</v>
      </c>
      <c r="B1446" t="s">
        <v>9</v>
      </c>
      <c r="C1446">
        <v>1</v>
      </c>
      <c r="F1446">
        <v>304</v>
      </c>
      <c r="J1446">
        <v>1.034</v>
      </c>
      <c r="K1446">
        <v>38</v>
      </c>
      <c r="L1446">
        <v>36.799999999999997</v>
      </c>
      <c r="M1446">
        <v>217</v>
      </c>
      <c r="N1446">
        <v>27</v>
      </c>
      <c r="O1446">
        <v>6</v>
      </c>
    </row>
    <row r="1447" spans="1:16" x14ac:dyDescent="0.25">
      <c r="A1447" s="4">
        <v>43902</v>
      </c>
      <c r="B1447" t="s">
        <v>9</v>
      </c>
      <c r="C1447">
        <v>2</v>
      </c>
      <c r="F1447">
        <v>323</v>
      </c>
      <c r="J1447">
        <v>1.133</v>
      </c>
      <c r="K1447">
        <v>40.4</v>
      </c>
      <c r="L1447">
        <v>35.6</v>
      </c>
      <c r="M1447">
        <v>247</v>
      </c>
      <c r="N1447">
        <v>22</v>
      </c>
      <c r="O1447">
        <v>8</v>
      </c>
    </row>
    <row r="1448" spans="1:16" x14ac:dyDescent="0.25">
      <c r="A1448" s="4">
        <v>43902</v>
      </c>
      <c r="B1448" t="s">
        <v>9</v>
      </c>
      <c r="C1448" t="s">
        <v>78</v>
      </c>
      <c r="F1448">
        <v>627</v>
      </c>
      <c r="J1448">
        <v>1.0840000000000001</v>
      </c>
      <c r="K1448">
        <v>39.200000000000003</v>
      </c>
      <c r="L1448">
        <v>36.200000000000003</v>
      </c>
      <c r="M1448">
        <v>464</v>
      </c>
      <c r="N1448">
        <v>49</v>
      </c>
      <c r="O1448">
        <v>14</v>
      </c>
    </row>
    <row r="1449" spans="1:16" x14ac:dyDescent="0.25">
      <c r="A1449" s="4">
        <v>43903</v>
      </c>
      <c r="B1449" t="s">
        <v>9</v>
      </c>
      <c r="C1449">
        <v>1</v>
      </c>
      <c r="F1449">
        <v>292</v>
      </c>
      <c r="J1449">
        <v>0.95499999999999996</v>
      </c>
      <c r="K1449">
        <v>36.5</v>
      </c>
      <c r="L1449">
        <v>38.200000000000003</v>
      </c>
      <c r="M1449">
        <v>182</v>
      </c>
      <c r="N1449">
        <v>30</v>
      </c>
      <c r="O1449">
        <v>11</v>
      </c>
      <c r="P1449">
        <v>1</v>
      </c>
    </row>
    <row r="1450" spans="1:16" x14ac:dyDescent="0.25">
      <c r="A1450" s="4">
        <v>43903</v>
      </c>
      <c r="B1450" t="s">
        <v>9</v>
      </c>
      <c r="C1450">
        <v>2</v>
      </c>
      <c r="F1450">
        <v>286</v>
      </c>
      <c r="J1450">
        <v>1.1819999999999999</v>
      </c>
      <c r="K1450">
        <v>41</v>
      </c>
      <c r="L1450">
        <v>34.700000000000003</v>
      </c>
      <c r="M1450">
        <v>259</v>
      </c>
      <c r="N1450">
        <v>22</v>
      </c>
      <c r="O1450">
        <v>5</v>
      </c>
    </row>
    <row r="1451" spans="1:16" x14ac:dyDescent="0.25">
      <c r="A1451" s="4">
        <v>43903</v>
      </c>
      <c r="B1451" t="s">
        <v>9</v>
      </c>
      <c r="C1451" t="s">
        <v>78</v>
      </c>
      <c r="F1451">
        <v>620</v>
      </c>
      <c r="J1451">
        <v>1.0680000000000001</v>
      </c>
      <c r="K1451">
        <v>38.799999999999997</v>
      </c>
      <c r="L1451">
        <v>36.299999999999997</v>
      </c>
      <c r="M1451">
        <v>441</v>
      </c>
      <c r="N1451">
        <v>52</v>
      </c>
      <c r="O1451">
        <v>16</v>
      </c>
      <c r="P1451">
        <v>1</v>
      </c>
    </row>
    <row r="1452" spans="1:16" x14ac:dyDescent="0.25">
      <c r="A1452" s="4">
        <v>43906</v>
      </c>
      <c r="B1452" t="s">
        <v>9</v>
      </c>
      <c r="C1452">
        <v>1</v>
      </c>
      <c r="F1452">
        <v>271</v>
      </c>
      <c r="J1452">
        <v>0.89500000000000002</v>
      </c>
      <c r="K1452">
        <v>33.9</v>
      </c>
      <c r="L1452">
        <v>37.9</v>
      </c>
      <c r="M1452">
        <v>187</v>
      </c>
      <c r="N1452">
        <v>19</v>
      </c>
      <c r="O1452">
        <v>10</v>
      </c>
      <c r="P1452">
        <v>1</v>
      </c>
    </row>
    <row r="1453" spans="1:16" x14ac:dyDescent="0.25">
      <c r="A1453" s="4">
        <v>43906</v>
      </c>
      <c r="B1453" t="s">
        <v>9</v>
      </c>
      <c r="C1453">
        <v>2</v>
      </c>
      <c r="F1453">
        <v>283</v>
      </c>
      <c r="J1453">
        <v>0.96399999999999997</v>
      </c>
      <c r="K1453">
        <v>35.4</v>
      </c>
      <c r="L1453">
        <v>36.700000000000003</v>
      </c>
      <c r="M1453">
        <v>206</v>
      </c>
      <c r="N1453">
        <v>29</v>
      </c>
      <c r="O1453">
        <v>4</v>
      </c>
    </row>
    <row r="1454" spans="1:16" x14ac:dyDescent="0.25">
      <c r="A1454" s="4">
        <v>43906</v>
      </c>
      <c r="B1454" t="s">
        <v>9</v>
      </c>
      <c r="C1454" t="s">
        <v>78</v>
      </c>
      <c r="F1454">
        <v>554</v>
      </c>
      <c r="J1454">
        <v>0.92900000000000005</v>
      </c>
      <c r="K1454">
        <v>34.6</v>
      </c>
      <c r="L1454">
        <v>37.299999999999997</v>
      </c>
      <c r="M1454">
        <v>393</v>
      </c>
      <c r="N1454">
        <v>48</v>
      </c>
      <c r="O1454">
        <v>14</v>
      </c>
      <c r="P1454">
        <v>1</v>
      </c>
    </row>
    <row r="1455" spans="1:16" x14ac:dyDescent="0.25">
      <c r="A1455" s="4">
        <v>43907</v>
      </c>
      <c r="B1455" t="s">
        <v>9</v>
      </c>
      <c r="C1455">
        <v>1</v>
      </c>
      <c r="F1455">
        <v>323</v>
      </c>
      <c r="J1455">
        <v>1.109</v>
      </c>
      <c r="K1455">
        <v>40.4</v>
      </c>
      <c r="L1455">
        <v>36.4</v>
      </c>
      <c r="M1455">
        <v>234</v>
      </c>
      <c r="N1455">
        <v>22</v>
      </c>
      <c r="O1455">
        <v>7</v>
      </c>
      <c r="P1455">
        <v>2</v>
      </c>
    </row>
    <row r="1456" spans="1:16" x14ac:dyDescent="0.25">
      <c r="A1456" s="4">
        <v>43907</v>
      </c>
      <c r="B1456" t="s">
        <v>9</v>
      </c>
      <c r="C1456">
        <v>2</v>
      </c>
      <c r="F1456">
        <v>304</v>
      </c>
      <c r="J1456">
        <v>1.079</v>
      </c>
      <c r="K1456">
        <v>38</v>
      </c>
      <c r="L1456">
        <v>35.200000000000003</v>
      </c>
      <c r="M1456">
        <v>228</v>
      </c>
      <c r="N1456">
        <v>27</v>
      </c>
      <c r="O1456">
        <v>5</v>
      </c>
    </row>
    <row r="1457" spans="1:16" x14ac:dyDescent="0.25">
      <c r="A1457" s="4">
        <v>43907</v>
      </c>
      <c r="B1457" t="s">
        <v>9</v>
      </c>
      <c r="C1457" t="s">
        <v>78</v>
      </c>
      <c r="F1457">
        <v>627</v>
      </c>
      <c r="J1457">
        <v>1.0940000000000001</v>
      </c>
      <c r="K1457">
        <v>39.200000000000003</v>
      </c>
      <c r="L1457">
        <v>35.799999999999997</v>
      </c>
      <c r="M1457">
        <v>462</v>
      </c>
      <c r="N1457">
        <v>49</v>
      </c>
      <c r="O1457">
        <v>12</v>
      </c>
      <c r="P1457">
        <v>2</v>
      </c>
    </row>
    <row r="1458" spans="1:16" x14ac:dyDescent="0.25">
      <c r="A1458" s="4">
        <v>43908</v>
      </c>
      <c r="B1458" t="s">
        <v>10</v>
      </c>
      <c r="C1458">
        <v>1</v>
      </c>
      <c r="F1458">
        <v>83</v>
      </c>
      <c r="J1458">
        <v>0.86899999999999999</v>
      </c>
      <c r="K1458">
        <v>29.3</v>
      </c>
      <c r="L1458">
        <v>33.700000000000003</v>
      </c>
      <c r="M1458">
        <v>59</v>
      </c>
      <c r="N1458">
        <v>11</v>
      </c>
    </row>
    <row r="1459" spans="1:16" x14ac:dyDescent="0.25">
      <c r="A1459" s="4">
        <v>43908</v>
      </c>
      <c r="B1459" t="s">
        <v>9</v>
      </c>
      <c r="C1459">
        <v>1</v>
      </c>
      <c r="F1459">
        <v>191</v>
      </c>
      <c r="J1459">
        <v>0.64300000000000002</v>
      </c>
      <c r="K1459">
        <v>23.9</v>
      </c>
      <c r="L1459">
        <v>37.1</v>
      </c>
      <c r="M1459">
        <v>134</v>
      </c>
      <c r="N1459">
        <v>12</v>
      </c>
      <c r="O1459">
        <v>5</v>
      </c>
      <c r="P1459">
        <v>1</v>
      </c>
    </row>
    <row r="1460" spans="1:16" x14ac:dyDescent="0.25">
      <c r="A1460" s="4">
        <v>43908</v>
      </c>
      <c r="B1460" t="s">
        <v>9</v>
      </c>
      <c r="C1460">
        <v>2</v>
      </c>
      <c r="F1460">
        <v>125</v>
      </c>
      <c r="J1460">
        <v>0.92100000000000004</v>
      </c>
      <c r="K1460">
        <v>31.3</v>
      </c>
      <c r="L1460">
        <v>33.9</v>
      </c>
      <c r="M1460">
        <v>103</v>
      </c>
      <c r="N1460">
        <v>9</v>
      </c>
      <c r="O1460">
        <v>1</v>
      </c>
    </row>
    <row r="1461" spans="1:16" x14ac:dyDescent="0.25">
      <c r="A1461" s="4">
        <v>43908</v>
      </c>
      <c r="B1461" t="s">
        <v>10</v>
      </c>
      <c r="C1461" t="s">
        <v>78</v>
      </c>
      <c r="F1461">
        <v>83</v>
      </c>
      <c r="J1461">
        <v>0.86899999999999999</v>
      </c>
      <c r="K1461">
        <v>29.3</v>
      </c>
      <c r="L1461">
        <v>33.700000000000003</v>
      </c>
      <c r="M1461">
        <v>59</v>
      </c>
      <c r="N1461">
        <v>11</v>
      </c>
    </row>
    <row r="1462" spans="1:16" x14ac:dyDescent="0.25">
      <c r="A1462" s="4">
        <v>43908</v>
      </c>
      <c r="B1462" t="s">
        <v>9</v>
      </c>
      <c r="C1462" t="s">
        <v>78</v>
      </c>
      <c r="F1462">
        <v>316</v>
      </c>
      <c r="J1462">
        <v>0.73599999999999999</v>
      </c>
      <c r="K1462">
        <v>26.3</v>
      </c>
      <c r="L1462">
        <v>35.799999999999997</v>
      </c>
      <c r="M1462">
        <v>237</v>
      </c>
      <c r="N1462">
        <v>21</v>
      </c>
      <c r="O1462">
        <v>6</v>
      </c>
      <c r="P1462">
        <v>1</v>
      </c>
    </row>
    <row r="1463" spans="1:16" x14ac:dyDescent="0.25">
      <c r="A1463" s="4">
        <v>43909</v>
      </c>
      <c r="B1463" t="s">
        <v>9</v>
      </c>
      <c r="C1463">
        <v>1</v>
      </c>
      <c r="F1463">
        <v>315</v>
      </c>
      <c r="J1463">
        <v>1.097</v>
      </c>
      <c r="K1463">
        <v>39.4</v>
      </c>
      <c r="L1463">
        <v>35.9</v>
      </c>
      <c r="M1463">
        <v>254</v>
      </c>
      <c r="N1463">
        <v>14</v>
      </c>
      <c r="O1463">
        <v>6</v>
      </c>
    </row>
    <row r="1464" spans="1:16" x14ac:dyDescent="0.25">
      <c r="A1464" s="4">
        <v>43909</v>
      </c>
      <c r="B1464" t="s">
        <v>9</v>
      </c>
      <c r="C1464">
        <v>2</v>
      </c>
      <c r="F1464">
        <v>225</v>
      </c>
      <c r="J1464">
        <v>0.8</v>
      </c>
      <c r="K1464">
        <v>28.1</v>
      </c>
      <c r="L1464">
        <v>35.1</v>
      </c>
      <c r="M1464">
        <v>169</v>
      </c>
      <c r="N1464">
        <v>19</v>
      </c>
      <c r="O1464">
        <v>1</v>
      </c>
      <c r="P1464">
        <v>1</v>
      </c>
    </row>
    <row r="1465" spans="1:16" x14ac:dyDescent="0.25">
      <c r="A1465" s="4">
        <v>43909</v>
      </c>
      <c r="B1465" t="s">
        <v>9</v>
      </c>
      <c r="C1465" t="s">
        <v>78</v>
      </c>
      <c r="F1465">
        <v>540</v>
      </c>
      <c r="J1465">
        <v>0.94899999999999995</v>
      </c>
      <c r="K1465">
        <v>33.799999999999997</v>
      </c>
      <c r="L1465">
        <v>35.6</v>
      </c>
      <c r="M1465">
        <v>423</v>
      </c>
      <c r="N1465">
        <v>33</v>
      </c>
      <c r="O1465">
        <v>7</v>
      </c>
      <c r="P1465">
        <v>1</v>
      </c>
    </row>
    <row r="1466" spans="1:16" x14ac:dyDescent="0.25">
      <c r="A1466" s="4">
        <v>43910</v>
      </c>
      <c r="B1466" t="s">
        <v>9</v>
      </c>
      <c r="C1466">
        <v>1</v>
      </c>
      <c r="F1466">
        <v>317</v>
      </c>
      <c r="J1466">
        <v>1.123</v>
      </c>
      <c r="K1466">
        <v>39.6</v>
      </c>
      <c r="L1466">
        <v>35.299999999999997</v>
      </c>
      <c r="M1466">
        <v>240</v>
      </c>
      <c r="N1466">
        <v>25</v>
      </c>
      <c r="O1466">
        <v>3</v>
      </c>
    </row>
    <row r="1467" spans="1:16" x14ac:dyDescent="0.25">
      <c r="A1467" s="4">
        <v>43910</v>
      </c>
      <c r="B1467" t="s">
        <v>9</v>
      </c>
      <c r="C1467">
        <v>2</v>
      </c>
      <c r="F1467">
        <v>211</v>
      </c>
      <c r="J1467">
        <v>1.4510000000000001</v>
      </c>
      <c r="K1467">
        <v>50.6</v>
      </c>
      <c r="L1467">
        <v>34.9</v>
      </c>
      <c r="M1467">
        <v>174</v>
      </c>
      <c r="N1467">
        <v>12</v>
      </c>
    </row>
    <row r="1468" spans="1:16" x14ac:dyDescent="0.25">
      <c r="A1468" s="4">
        <v>43910</v>
      </c>
      <c r="B1468" t="s">
        <v>9</v>
      </c>
      <c r="C1468" t="s">
        <v>78</v>
      </c>
      <c r="F1468">
        <v>528</v>
      </c>
      <c r="J1468">
        <v>1.2350000000000001</v>
      </c>
      <c r="K1468">
        <v>43.4</v>
      </c>
      <c r="L1468">
        <v>35.1</v>
      </c>
      <c r="M1468">
        <v>414</v>
      </c>
      <c r="N1468">
        <v>37</v>
      </c>
      <c r="O1468">
        <v>3</v>
      </c>
    </row>
    <row r="1469" spans="1:16" x14ac:dyDescent="0.25">
      <c r="A1469" s="4">
        <v>43913</v>
      </c>
      <c r="B1469" t="s">
        <v>9</v>
      </c>
      <c r="C1469">
        <v>1</v>
      </c>
      <c r="F1469">
        <v>308</v>
      </c>
      <c r="J1469">
        <v>1.0860000000000001</v>
      </c>
      <c r="K1469">
        <v>41.1</v>
      </c>
      <c r="L1469">
        <v>37.799999999999997</v>
      </c>
      <c r="M1469">
        <v>211</v>
      </c>
      <c r="N1469">
        <v>26</v>
      </c>
      <c r="O1469">
        <v>12</v>
      </c>
    </row>
    <row r="1470" spans="1:16" x14ac:dyDescent="0.25">
      <c r="A1470" s="4">
        <v>43913</v>
      </c>
      <c r="B1470" t="s">
        <v>9</v>
      </c>
      <c r="C1470">
        <v>2</v>
      </c>
      <c r="F1470">
        <v>294</v>
      </c>
      <c r="J1470">
        <v>1.0489999999999999</v>
      </c>
      <c r="K1470">
        <v>36.799999999999997</v>
      </c>
      <c r="L1470">
        <v>35</v>
      </c>
      <c r="M1470">
        <v>228</v>
      </c>
      <c r="N1470">
        <v>17</v>
      </c>
      <c r="O1470">
        <v>6</v>
      </c>
      <c r="P1470">
        <v>1</v>
      </c>
    </row>
    <row r="1471" spans="1:16" x14ac:dyDescent="0.25">
      <c r="A1471" s="4">
        <v>43913</v>
      </c>
      <c r="B1471" t="s">
        <v>9</v>
      </c>
      <c r="C1471" t="s">
        <v>78</v>
      </c>
      <c r="F1471">
        <v>602</v>
      </c>
      <c r="J1471">
        <v>1.0669999999999999</v>
      </c>
      <c r="K1471">
        <v>38.799999999999997</v>
      </c>
      <c r="L1471">
        <v>36.4</v>
      </c>
      <c r="M1471">
        <v>439</v>
      </c>
      <c r="N1471">
        <v>43</v>
      </c>
      <c r="O1471">
        <v>18</v>
      </c>
      <c r="P1471">
        <v>1</v>
      </c>
    </row>
    <row r="1472" spans="1:16" x14ac:dyDescent="0.25">
      <c r="A1472" s="4">
        <v>43914</v>
      </c>
      <c r="B1472" t="s">
        <v>9</v>
      </c>
      <c r="C1472">
        <v>1</v>
      </c>
      <c r="F1472">
        <v>326</v>
      </c>
      <c r="J1472">
        <v>1.1850000000000001</v>
      </c>
      <c r="K1472">
        <v>40.799999999999997</v>
      </c>
      <c r="L1472">
        <v>34.4</v>
      </c>
      <c r="M1472">
        <v>239</v>
      </c>
      <c r="N1472">
        <v>32</v>
      </c>
      <c r="O1472">
        <v>5</v>
      </c>
    </row>
    <row r="1473" spans="1:16" x14ac:dyDescent="0.25">
      <c r="A1473" s="4">
        <v>43914</v>
      </c>
      <c r="B1473" t="s">
        <v>9</v>
      </c>
      <c r="C1473">
        <v>2</v>
      </c>
      <c r="F1473">
        <v>110</v>
      </c>
      <c r="J1473">
        <v>1.137</v>
      </c>
      <c r="K1473">
        <v>36.700000000000003</v>
      </c>
      <c r="L1473">
        <v>32.200000000000003</v>
      </c>
      <c r="M1473">
        <v>102</v>
      </c>
      <c r="N1473">
        <v>1</v>
      </c>
      <c r="O1473">
        <v>1</v>
      </c>
    </row>
    <row r="1474" spans="1:16" x14ac:dyDescent="0.25">
      <c r="A1474" s="4">
        <v>43914</v>
      </c>
      <c r="B1474" t="s">
        <v>9</v>
      </c>
      <c r="C1474" t="s">
        <v>78</v>
      </c>
      <c r="F1474">
        <v>436</v>
      </c>
      <c r="J1474">
        <v>1.1719999999999999</v>
      </c>
      <c r="K1474">
        <v>39.6</v>
      </c>
      <c r="L1474">
        <v>33.799999999999997</v>
      </c>
      <c r="M1474">
        <v>341</v>
      </c>
      <c r="N1474">
        <v>33</v>
      </c>
      <c r="O1474">
        <v>6</v>
      </c>
    </row>
    <row r="1475" spans="1:16" x14ac:dyDescent="0.25">
      <c r="A1475" s="4">
        <v>43915</v>
      </c>
      <c r="B1475" t="s">
        <v>9</v>
      </c>
      <c r="C1475">
        <v>1</v>
      </c>
      <c r="F1475">
        <v>268</v>
      </c>
      <c r="J1475">
        <v>0.97099999999999997</v>
      </c>
      <c r="K1475">
        <v>35.700000000000003</v>
      </c>
      <c r="L1475">
        <v>36.799999999999997</v>
      </c>
      <c r="M1475">
        <v>167</v>
      </c>
      <c r="N1475">
        <v>33</v>
      </c>
      <c r="O1475">
        <v>9</v>
      </c>
    </row>
    <row r="1476" spans="1:16" x14ac:dyDescent="0.25">
      <c r="A1476" s="4">
        <v>43915</v>
      </c>
      <c r="B1476" t="s">
        <v>9</v>
      </c>
      <c r="C1476">
        <v>2</v>
      </c>
      <c r="F1476">
        <v>283</v>
      </c>
      <c r="J1476">
        <v>1.0229999999999999</v>
      </c>
      <c r="K1476">
        <v>35.4</v>
      </c>
      <c r="L1476">
        <v>34.6</v>
      </c>
      <c r="M1476">
        <v>239</v>
      </c>
      <c r="N1476">
        <v>18</v>
      </c>
      <c r="O1476">
        <v>1</v>
      </c>
    </row>
    <row r="1477" spans="1:16" x14ac:dyDescent="0.25">
      <c r="A1477" s="4">
        <v>43915</v>
      </c>
      <c r="B1477" t="s">
        <v>9</v>
      </c>
      <c r="C1477" t="s">
        <v>78</v>
      </c>
      <c r="F1477">
        <v>551</v>
      </c>
      <c r="J1477">
        <v>0.998</v>
      </c>
      <c r="K1477">
        <v>35.549999999999997</v>
      </c>
      <c r="L1477">
        <v>35.6</v>
      </c>
      <c r="M1477">
        <v>406</v>
      </c>
      <c r="N1477">
        <v>51</v>
      </c>
      <c r="O1477">
        <v>10</v>
      </c>
    </row>
    <row r="1478" spans="1:16" x14ac:dyDescent="0.25">
      <c r="A1478" s="4">
        <v>43916</v>
      </c>
      <c r="B1478" t="s">
        <v>9</v>
      </c>
      <c r="C1478">
        <v>1</v>
      </c>
      <c r="F1478">
        <v>239</v>
      </c>
      <c r="J1478">
        <v>1.1539999999999999</v>
      </c>
      <c r="K1478">
        <v>41.6</v>
      </c>
      <c r="L1478">
        <v>36</v>
      </c>
      <c r="M1478">
        <v>183</v>
      </c>
      <c r="N1478">
        <v>16</v>
      </c>
      <c r="O1478">
        <v>1</v>
      </c>
      <c r="P1478">
        <v>2</v>
      </c>
    </row>
    <row r="1479" spans="1:16" x14ac:dyDescent="0.25">
      <c r="A1479" s="4">
        <v>43916</v>
      </c>
      <c r="B1479" t="s">
        <v>9</v>
      </c>
      <c r="C1479">
        <v>2</v>
      </c>
      <c r="F1479">
        <v>154</v>
      </c>
      <c r="J1479">
        <v>1.0620000000000001</v>
      </c>
      <c r="K1479">
        <v>38.5</v>
      </c>
      <c r="L1479">
        <v>36.299999999999997</v>
      </c>
      <c r="M1479">
        <v>116</v>
      </c>
      <c r="N1479">
        <v>4</v>
      </c>
      <c r="O1479">
        <v>7</v>
      </c>
      <c r="P1479">
        <v>1</v>
      </c>
    </row>
    <row r="1480" spans="1:16" x14ac:dyDescent="0.25">
      <c r="A1480" s="4">
        <v>43916</v>
      </c>
      <c r="B1480" t="s">
        <v>9</v>
      </c>
      <c r="C1480" t="s">
        <v>78</v>
      </c>
      <c r="F1480">
        <v>393</v>
      </c>
      <c r="J1480">
        <v>1.1160000000000001</v>
      </c>
      <c r="K1480">
        <v>40.299999999999997</v>
      </c>
      <c r="L1480">
        <v>36.1</v>
      </c>
      <c r="M1480">
        <v>299</v>
      </c>
      <c r="N1480">
        <v>20</v>
      </c>
      <c r="O1480">
        <v>8</v>
      </c>
      <c r="P1480">
        <v>3</v>
      </c>
    </row>
    <row r="1481" spans="1:16" x14ac:dyDescent="0.25">
      <c r="A1481" s="4">
        <v>43917</v>
      </c>
      <c r="B1481" t="s">
        <v>9</v>
      </c>
      <c r="C1481">
        <v>1</v>
      </c>
      <c r="F1481">
        <v>244</v>
      </c>
      <c r="J1481">
        <v>1.167</v>
      </c>
      <c r="K1481">
        <v>42.4</v>
      </c>
      <c r="L1481">
        <v>36.4</v>
      </c>
      <c r="M1481">
        <v>170</v>
      </c>
      <c r="N1481">
        <v>27</v>
      </c>
      <c r="O1481">
        <v>4</v>
      </c>
    </row>
    <row r="1482" spans="1:16" x14ac:dyDescent="0.25">
      <c r="A1482" s="4">
        <v>43917</v>
      </c>
      <c r="B1482" t="s">
        <v>9</v>
      </c>
      <c r="C1482">
        <v>2</v>
      </c>
      <c r="F1482">
        <v>188</v>
      </c>
      <c r="J1482">
        <v>1.0049999999999999</v>
      </c>
      <c r="K1482">
        <v>35.700000000000003</v>
      </c>
      <c r="L1482">
        <v>35.5</v>
      </c>
      <c r="M1482">
        <v>150</v>
      </c>
      <c r="N1482">
        <v>12</v>
      </c>
      <c r="O1482">
        <v>3</v>
      </c>
    </row>
    <row r="1483" spans="1:16" x14ac:dyDescent="0.25">
      <c r="A1483" s="4">
        <v>43917</v>
      </c>
      <c r="B1483" t="s">
        <v>9</v>
      </c>
      <c r="C1483" t="s">
        <v>78</v>
      </c>
      <c r="F1483">
        <v>432</v>
      </c>
      <c r="J1483">
        <v>1.089</v>
      </c>
      <c r="K1483">
        <v>39.200000000000003</v>
      </c>
      <c r="L1483">
        <v>36</v>
      </c>
      <c r="M1483">
        <v>320</v>
      </c>
      <c r="N1483">
        <v>39</v>
      </c>
      <c r="O1483">
        <v>7</v>
      </c>
    </row>
    <row r="1484" spans="1:16" x14ac:dyDescent="0.25">
      <c r="A1484" s="4">
        <v>43920</v>
      </c>
      <c r="B1484" t="s">
        <v>9</v>
      </c>
      <c r="C1484">
        <v>1</v>
      </c>
      <c r="F1484">
        <v>430</v>
      </c>
      <c r="J1484">
        <v>1.335</v>
      </c>
      <c r="K1484">
        <v>53.8</v>
      </c>
      <c r="L1484">
        <v>40.299999999999997</v>
      </c>
      <c r="M1484">
        <v>251</v>
      </c>
      <c r="N1484">
        <v>32</v>
      </c>
      <c r="O1484">
        <v>31</v>
      </c>
      <c r="P1484">
        <v>2</v>
      </c>
    </row>
    <row r="1485" spans="1:16" x14ac:dyDescent="0.25">
      <c r="A1485" s="4">
        <v>43920</v>
      </c>
      <c r="B1485" t="s">
        <v>9</v>
      </c>
      <c r="C1485" t="s">
        <v>78</v>
      </c>
      <c r="F1485">
        <v>430</v>
      </c>
      <c r="J1485">
        <v>1.335</v>
      </c>
      <c r="K1485">
        <v>53.8</v>
      </c>
      <c r="L1485">
        <v>40.299999999999997</v>
      </c>
      <c r="M1485">
        <v>251</v>
      </c>
      <c r="N1485">
        <v>32</v>
      </c>
      <c r="O1485">
        <v>31</v>
      </c>
      <c r="P1485">
        <v>2</v>
      </c>
    </row>
    <row r="1486" spans="1:16" x14ac:dyDescent="0.25">
      <c r="A1486" s="4">
        <v>43921</v>
      </c>
      <c r="B1486" t="s">
        <v>9</v>
      </c>
      <c r="C1486">
        <v>1</v>
      </c>
      <c r="F1486">
        <v>382</v>
      </c>
      <c r="J1486">
        <v>1.39</v>
      </c>
      <c r="K1486">
        <v>47.8</v>
      </c>
      <c r="L1486">
        <v>34.4</v>
      </c>
      <c r="M1486">
        <v>323</v>
      </c>
      <c r="N1486">
        <v>24</v>
      </c>
      <c r="O1486">
        <v>1</v>
      </c>
    </row>
    <row r="1487" spans="1:16" x14ac:dyDescent="0.25">
      <c r="A1487" s="4">
        <v>43921</v>
      </c>
      <c r="B1487" t="s">
        <v>9</v>
      </c>
      <c r="C1487" t="s">
        <v>78</v>
      </c>
      <c r="F1487">
        <v>382</v>
      </c>
      <c r="J1487">
        <v>1.39</v>
      </c>
      <c r="K1487">
        <v>47.8</v>
      </c>
      <c r="L1487">
        <v>34.4</v>
      </c>
      <c r="M1487">
        <v>323</v>
      </c>
      <c r="N1487">
        <v>24</v>
      </c>
      <c r="O1487">
        <v>1</v>
      </c>
    </row>
    <row r="1488" spans="1:16" x14ac:dyDescent="0.25">
      <c r="A1488" s="4">
        <v>43922</v>
      </c>
      <c r="B1488" t="s">
        <v>9</v>
      </c>
      <c r="C1488">
        <v>1</v>
      </c>
      <c r="F1488">
        <v>334</v>
      </c>
      <c r="J1488">
        <v>1.1399999999999999</v>
      </c>
      <c r="K1488">
        <v>41.8</v>
      </c>
      <c r="L1488">
        <v>36.6</v>
      </c>
      <c r="M1488">
        <v>266</v>
      </c>
      <c r="N1488">
        <v>18</v>
      </c>
      <c r="O1488">
        <v>4</v>
      </c>
      <c r="P1488">
        <v>1</v>
      </c>
    </row>
    <row r="1489" spans="1:16" x14ac:dyDescent="0.25">
      <c r="A1489" s="4">
        <v>43922</v>
      </c>
      <c r="B1489" t="s">
        <v>9</v>
      </c>
      <c r="C1489" t="s">
        <v>78</v>
      </c>
      <c r="F1489">
        <v>334</v>
      </c>
      <c r="J1489">
        <v>1.1399999999999999</v>
      </c>
      <c r="K1489">
        <v>41.8</v>
      </c>
      <c r="L1489">
        <v>36.6</v>
      </c>
      <c r="M1489">
        <v>266</v>
      </c>
      <c r="N1489">
        <v>18</v>
      </c>
      <c r="O1489">
        <v>4</v>
      </c>
      <c r="P1489">
        <v>1</v>
      </c>
    </row>
    <row r="1490" spans="1:16" x14ac:dyDescent="0.25">
      <c r="A1490" s="4">
        <v>43923</v>
      </c>
      <c r="B1490" t="s">
        <v>9</v>
      </c>
      <c r="C1490">
        <v>1</v>
      </c>
      <c r="F1490">
        <v>331</v>
      </c>
      <c r="J1490">
        <v>1.18</v>
      </c>
      <c r="K1490">
        <v>41.4</v>
      </c>
      <c r="L1490">
        <v>35.1</v>
      </c>
      <c r="M1490">
        <v>282</v>
      </c>
      <c r="N1490">
        <v>16</v>
      </c>
      <c r="O1490">
        <v>2</v>
      </c>
    </row>
    <row r="1491" spans="1:16" x14ac:dyDescent="0.25">
      <c r="A1491" s="4">
        <v>43923</v>
      </c>
      <c r="B1491" t="s">
        <v>9</v>
      </c>
      <c r="C1491" t="s">
        <v>78</v>
      </c>
      <c r="F1491">
        <v>331</v>
      </c>
      <c r="J1491">
        <v>1.18</v>
      </c>
      <c r="K1491">
        <v>41.4</v>
      </c>
      <c r="L1491">
        <v>35.1</v>
      </c>
      <c r="M1491">
        <v>282</v>
      </c>
      <c r="N1491">
        <v>16</v>
      </c>
      <c r="O1491">
        <v>2</v>
      </c>
    </row>
    <row r="1492" spans="1:16" x14ac:dyDescent="0.25">
      <c r="A1492" s="4">
        <v>43924</v>
      </c>
      <c r="B1492" t="s">
        <v>9</v>
      </c>
      <c r="C1492">
        <v>1</v>
      </c>
      <c r="F1492">
        <v>300</v>
      </c>
      <c r="J1492">
        <v>1.06</v>
      </c>
      <c r="K1492">
        <v>37.5</v>
      </c>
      <c r="L1492">
        <v>35.4</v>
      </c>
      <c r="M1492">
        <v>250</v>
      </c>
      <c r="N1492">
        <v>15</v>
      </c>
      <c r="O1492">
        <v>2</v>
      </c>
      <c r="P1492">
        <v>1</v>
      </c>
    </row>
    <row r="1493" spans="1:16" x14ac:dyDescent="0.25">
      <c r="A1493" s="4">
        <v>43924</v>
      </c>
      <c r="B1493" t="s">
        <v>9</v>
      </c>
      <c r="C1493" t="s">
        <v>78</v>
      </c>
      <c r="F1493">
        <v>300</v>
      </c>
      <c r="J1493">
        <v>1.06</v>
      </c>
      <c r="K1493">
        <v>37.5</v>
      </c>
      <c r="L1493">
        <v>35.4</v>
      </c>
      <c r="M1493">
        <v>250</v>
      </c>
      <c r="N1493">
        <v>15</v>
      </c>
      <c r="O1493">
        <v>2</v>
      </c>
      <c r="P1493">
        <v>1</v>
      </c>
    </row>
    <row r="1494" spans="1:16" x14ac:dyDescent="0.25">
      <c r="A1494" s="4">
        <v>43927</v>
      </c>
      <c r="B1494" t="s">
        <v>9</v>
      </c>
      <c r="C1494">
        <v>1</v>
      </c>
      <c r="F1494">
        <v>301</v>
      </c>
      <c r="J1494">
        <v>1.0449999999999999</v>
      </c>
      <c r="K1494">
        <v>37.6</v>
      </c>
      <c r="L1494">
        <v>36</v>
      </c>
      <c r="M1494">
        <v>240</v>
      </c>
      <c r="N1494">
        <v>13</v>
      </c>
      <c r="O1494">
        <v>6</v>
      </c>
      <c r="P1494">
        <v>1</v>
      </c>
    </row>
    <row r="1495" spans="1:16" x14ac:dyDescent="0.25">
      <c r="A1495" s="4">
        <v>43927</v>
      </c>
      <c r="B1495" t="s">
        <v>9</v>
      </c>
      <c r="C1495" t="s">
        <v>78</v>
      </c>
      <c r="F1495">
        <v>301</v>
      </c>
      <c r="J1495">
        <v>1.0449999999999999</v>
      </c>
      <c r="K1495">
        <v>37.6</v>
      </c>
      <c r="L1495">
        <v>36</v>
      </c>
      <c r="M1495">
        <v>240</v>
      </c>
      <c r="N1495">
        <v>13</v>
      </c>
      <c r="O1495">
        <v>6</v>
      </c>
      <c r="P1495">
        <v>1</v>
      </c>
    </row>
    <row r="1496" spans="1:16" x14ac:dyDescent="0.25">
      <c r="A1496" s="4">
        <v>43928</v>
      </c>
      <c r="B1496" t="s">
        <v>9</v>
      </c>
      <c r="C1496">
        <v>1</v>
      </c>
      <c r="F1496">
        <v>323</v>
      </c>
      <c r="J1496">
        <v>1.169</v>
      </c>
      <c r="K1496">
        <v>40.4</v>
      </c>
      <c r="L1496">
        <v>34.6</v>
      </c>
      <c r="M1496">
        <v>258</v>
      </c>
      <c r="N1496">
        <v>22</v>
      </c>
      <c r="O1496">
        <v>6</v>
      </c>
    </row>
    <row r="1497" spans="1:16" x14ac:dyDescent="0.25">
      <c r="A1497" s="4">
        <v>43928</v>
      </c>
      <c r="B1497" t="s">
        <v>9</v>
      </c>
      <c r="C1497" t="s">
        <v>78</v>
      </c>
      <c r="F1497">
        <v>323</v>
      </c>
      <c r="J1497">
        <v>1.169</v>
      </c>
      <c r="K1497">
        <v>40.4</v>
      </c>
      <c r="L1497">
        <v>34.6</v>
      </c>
      <c r="M1497">
        <v>258</v>
      </c>
      <c r="N1497">
        <v>22</v>
      </c>
      <c r="O1497">
        <v>6</v>
      </c>
    </row>
    <row r="1498" spans="1:16" x14ac:dyDescent="0.25">
      <c r="A1498" s="4">
        <v>43929</v>
      </c>
      <c r="B1498" t="s">
        <v>10</v>
      </c>
      <c r="C1498">
        <v>1</v>
      </c>
      <c r="F1498">
        <v>181</v>
      </c>
      <c r="J1498">
        <v>0.82799999999999996</v>
      </c>
      <c r="K1498">
        <v>25.9</v>
      </c>
      <c r="L1498">
        <v>31.2</v>
      </c>
      <c r="M1498">
        <v>170</v>
      </c>
      <c r="N1498">
        <v>4</v>
      </c>
    </row>
    <row r="1499" spans="1:16" x14ac:dyDescent="0.25">
      <c r="A1499" s="4">
        <v>43929</v>
      </c>
      <c r="B1499" t="s">
        <v>9</v>
      </c>
      <c r="C1499">
        <v>1</v>
      </c>
      <c r="F1499">
        <v>41</v>
      </c>
      <c r="J1499">
        <v>1.1559999999999999</v>
      </c>
      <c r="K1499">
        <v>41</v>
      </c>
      <c r="L1499">
        <v>35.5</v>
      </c>
      <c r="M1499">
        <v>35</v>
      </c>
      <c r="N1499">
        <v>3</v>
      </c>
    </row>
    <row r="1500" spans="1:16" x14ac:dyDescent="0.25">
      <c r="A1500" s="4">
        <v>43929</v>
      </c>
      <c r="B1500" t="s">
        <v>10</v>
      </c>
      <c r="C1500" t="s">
        <v>78</v>
      </c>
      <c r="F1500">
        <v>181</v>
      </c>
      <c r="J1500">
        <v>0.82799999999999996</v>
      </c>
      <c r="K1500">
        <v>25.9</v>
      </c>
      <c r="L1500">
        <v>31.2</v>
      </c>
      <c r="M1500">
        <v>170</v>
      </c>
      <c r="N1500">
        <v>4</v>
      </c>
    </row>
    <row r="1501" spans="1:16" x14ac:dyDescent="0.25">
      <c r="A1501" s="4">
        <v>43929</v>
      </c>
      <c r="B1501" t="s">
        <v>9</v>
      </c>
      <c r="C1501" t="s">
        <v>78</v>
      </c>
      <c r="F1501">
        <v>41</v>
      </c>
      <c r="J1501">
        <v>1.1559999999999999</v>
      </c>
      <c r="K1501">
        <v>41</v>
      </c>
      <c r="L1501">
        <v>35.5</v>
      </c>
      <c r="M1501">
        <v>35</v>
      </c>
      <c r="N1501">
        <v>3</v>
      </c>
    </row>
    <row r="1502" spans="1:16" x14ac:dyDescent="0.25">
      <c r="A1502" s="4">
        <v>43930</v>
      </c>
      <c r="B1502" t="s">
        <v>9</v>
      </c>
      <c r="C1502">
        <v>1</v>
      </c>
      <c r="F1502">
        <v>236</v>
      </c>
      <c r="J1502">
        <v>1.079</v>
      </c>
      <c r="K1502">
        <v>39.299999999999997</v>
      </c>
      <c r="L1502">
        <v>36.5</v>
      </c>
      <c r="M1502">
        <v>183</v>
      </c>
      <c r="N1502">
        <v>13</v>
      </c>
      <c r="O1502">
        <v>5</v>
      </c>
      <c r="P1502" t="s">
        <v>95</v>
      </c>
    </row>
    <row r="1503" spans="1:16" x14ac:dyDescent="0.25">
      <c r="A1503" s="4">
        <v>43930</v>
      </c>
      <c r="B1503" t="s">
        <v>9</v>
      </c>
      <c r="C1503" t="s">
        <v>78</v>
      </c>
      <c r="F1503">
        <v>236</v>
      </c>
      <c r="J1503">
        <v>1.079</v>
      </c>
      <c r="K1503">
        <v>39.299999999999997</v>
      </c>
      <c r="L1503">
        <v>36.5</v>
      </c>
      <c r="M1503">
        <v>183</v>
      </c>
      <c r="N1503">
        <v>13</v>
      </c>
      <c r="O1503">
        <v>5</v>
      </c>
    </row>
    <row r="1504" spans="1:16" x14ac:dyDescent="0.25">
      <c r="A1504" s="4">
        <v>43934</v>
      </c>
      <c r="B1504" t="s">
        <v>9</v>
      </c>
      <c r="C1504">
        <v>1</v>
      </c>
      <c r="F1504">
        <v>252</v>
      </c>
      <c r="J1504">
        <v>1.1499999999999999</v>
      </c>
      <c r="K1504">
        <v>42</v>
      </c>
      <c r="L1504">
        <v>36.5</v>
      </c>
      <c r="M1504">
        <v>209</v>
      </c>
      <c r="N1504">
        <v>18</v>
      </c>
      <c r="O1504">
        <v>1</v>
      </c>
    </row>
    <row r="1505" spans="1:16" x14ac:dyDescent="0.25">
      <c r="A1505" s="4">
        <v>43934</v>
      </c>
      <c r="B1505" t="s">
        <v>9</v>
      </c>
      <c r="C1505" t="s">
        <v>78</v>
      </c>
      <c r="F1505">
        <v>252</v>
      </c>
      <c r="J1505">
        <v>1.1499999999999999</v>
      </c>
      <c r="K1505">
        <v>42</v>
      </c>
      <c r="L1505">
        <v>36.5</v>
      </c>
      <c r="M1505">
        <v>209</v>
      </c>
      <c r="N1505">
        <v>18</v>
      </c>
      <c r="O1505">
        <v>1</v>
      </c>
    </row>
    <row r="1506" spans="1:16" x14ac:dyDescent="0.25">
      <c r="A1506" s="4">
        <v>43935</v>
      </c>
      <c r="B1506" t="s">
        <v>9</v>
      </c>
      <c r="C1506">
        <v>1</v>
      </c>
      <c r="F1506">
        <v>252</v>
      </c>
      <c r="J1506">
        <v>0.86199999999999999</v>
      </c>
      <c r="K1506">
        <v>31.5</v>
      </c>
      <c r="L1506">
        <v>36.5</v>
      </c>
      <c r="M1506">
        <v>209</v>
      </c>
      <c r="N1506">
        <v>18</v>
      </c>
      <c r="O1506">
        <v>1</v>
      </c>
    </row>
    <row r="1507" spans="1:16" x14ac:dyDescent="0.25">
      <c r="A1507" s="4">
        <v>43935</v>
      </c>
      <c r="B1507" t="s">
        <v>9</v>
      </c>
      <c r="C1507" t="s">
        <v>78</v>
      </c>
      <c r="F1507">
        <v>252</v>
      </c>
      <c r="J1507">
        <v>0.86199999999999999</v>
      </c>
      <c r="K1507">
        <v>31.5</v>
      </c>
      <c r="L1507">
        <v>36.5</v>
      </c>
      <c r="M1507">
        <v>209</v>
      </c>
      <c r="N1507">
        <v>18</v>
      </c>
      <c r="O1507">
        <v>1</v>
      </c>
    </row>
    <row r="1508" spans="1:16" x14ac:dyDescent="0.25">
      <c r="A1508" s="4">
        <v>43936</v>
      </c>
      <c r="B1508" t="s">
        <v>9</v>
      </c>
      <c r="C1508">
        <v>1</v>
      </c>
      <c r="F1508">
        <v>349</v>
      </c>
      <c r="J1508">
        <v>1.1859999999999999</v>
      </c>
      <c r="K1508">
        <v>43.6</v>
      </c>
      <c r="L1508">
        <v>36.799999999999997</v>
      </c>
      <c r="M1508">
        <v>249</v>
      </c>
      <c r="N1508">
        <v>23</v>
      </c>
      <c r="O1508">
        <v>8</v>
      </c>
      <c r="P1508">
        <v>3</v>
      </c>
    </row>
    <row r="1509" spans="1:16" x14ac:dyDescent="0.25">
      <c r="A1509" s="4">
        <v>43936</v>
      </c>
      <c r="B1509" t="s">
        <v>9</v>
      </c>
      <c r="C1509" t="s">
        <v>78</v>
      </c>
      <c r="F1509">
        <v>349</v>
      </c>
      <c r="J1509">
        <v>1.1859999999999999</v>
      </c>
      <c r="K1509">
        <v>43.6</v>
      </c>
      <c r="L1509">
        <v>36.799999999999997</v>
      </c>
      <c r="M1509">
        <v>249</v>
      </c>
      <c r="N1509">
        <v>23</v>
      </c>
      <c r="O1509">
        <v>8</v>
      </c>
      <c r="P1509">
        <v>3</v>
      </c>
    </row>
    <row r="1510" spans="1:16" x14ac:dyDescent="0.25">
      <c r="A1510" s="4">
        <v>43937</v>
      </c>
      <c r="B1510" t="s">
        <v>9</v>
      </c>
      <c r="C1510">
        <v>1</v>
      </c>
      <c r="F1510">
        <v>330</v>
      </c>
      <c r="J1510">
        <v>1.1519999999999999</v>
      </c>
      <c r="K1510">
        <v>41.3</v>
      </c>
      <c r="L1510">
        <v>35.799999999999997</v>
      </c>
      <c r="M1510">
        <v>259</v>
      </c>
      <c r="N1510">
        <v>10</v>
      </c>
      <c r="O1510">
        <v>11</v>
      </c>
      <c r="P1510">
        <v>1</v>
      </c>
    </row>
    <row r="1511" spans="1:16" x14ac:dyDescent="0.25">
      <c r="A1511" s="4">
        <v>43937</v>
      </c>
      <c r="B1511" t="s">
        <v>9</v>
      </c>
      <c r="C1511" t="s">
        <v>78</v>
      </c>
      <c r="F1511">
        <v>330</v>
      </c>
      <c r="J1511">
        <v>1.1519999999999999</v>
      </c>
      <c r="K1511">
        <v>41.3</v>
      </c>
      <c r="L1511">
        <v>35.799999999999997</v>
      </c>
      <c r="M1511">
        <v>259</v>
      </c>
      <c r="N1511">
        <v>10</v>
      </c>
      <c r="O1511">
        <v>11</v>
      </c>
      <c r="P1511">
        <v>1</v>
      </c>
    </row>
    <row r="1512" spans="1:16" x14ac:dyDescent="0.25">
      <c r="A1512" s="4">
        <v>43938</v>
      </c>
      <c r="B1512" t="s">
        <v>9</v>
      </c>
      <c r="C1512">
        <v>1</v>
      </c>
      <c r="F1512">
        <v>343</v>
      </c>
      <c r="J1512">
        <v>1.18</v>
      </c>
      <c r="K1512">
        <v>42.9</v>
      </c>
      <c r="L1512">
        <v>36.299999999999997</v>
      </c>
      <c r="M1512">
        <v>259</v>
      </c>
      <c r="N1512">
        <v>20</v>
      </c>
      <c r="O1512">
        <v>7</v>
      </c>
      <c r="P1512">
        <v>1</v>
      </c>
    </row>
    <row r="1513" spans="1:16" x14ac:dyDescent="0.25">
      <c r="A1513" s="4">
        <v>43938</v>
      </c>
      <c r="B1513" t="s">
        <v>9</v>
      </c>
      <c r="C1513" t="s">
        <v>78</v>
      </c>
      <c r="F1513">
        <v>343</v>
      </c>
      <c r="J1513">
        <v>1.18</v>
      </c>
      <c r="K1513">
        <v>42.9</v>
      </c>
      <c r="L1513">
        <v>36.299999999999997</v>
      </c>
      <c r="M1513">
        <v>259</v>
      </c>
      <c r="N1513">
        <v>20</v>
      </c>
      <c r="O1513">
        <v>7</v>
      </c>
      <c r="P1513">
        <v>1</v>
      </c>
    </row>
    <row r="1514" spans="1:16" x14ac:dyDescent="0.25">
      <c r="A1514" s="4">
        <v>43941</v>
      </c>
      <c r="B1514" t="s">
        <v>10</v>
      </c>
      <c r="C1514">
        <v>1</v>
      </c>
      <c r="F1514">
        <v>223</v>
      </c>
      <c r="J1514">
        <v>0.83599999999999997</v>
      </c>
      <c r="K1514">
        <v>27.9</v>
      </c>
      <c r="L1514">
        <v>33.4</v>
      </c>
      <c r="M1514">
        <v>170</v>
      </c>
      <c r="N1514">
        <v>17</v>
      </c>
      <c r="O1514">
        <v>3</v>
      </c>
    </row>
    <row r="1515" spans="1:16" x14ac:dyDescent="0.25">
      <c r="A1515" s="4">
        <v>43941</v>
      </c>
      <c r="B1515" t="s">
        <v>10</v>
      </c>
      <c r="C1515" t="s">
        <v>78</v>
      </c>
      <c r="F1515">
        <v>223</v>
      </c>
      <c r="J1515">
        <v>0.83599999999999997</v>
      </c>
      <c r="K1515">
        <v>27.9</v>
      </c>
      <c r="L1515">
        <v>33.4</v>
      </c>
      <c r="M1515">
        <v>170</v>
      </c>
      <c r="N1515">
        <v>17</v>
      </c>
      <c r="O1515">
        <v>3</v>
      </c>
    </row>
    <row r="1516" spans="1:16" x14ac:dyDescent="0.25">
      <c r="A1516" s="4">
        <v>43942</v>
      </c>
      <c r="B1516" t="s">
        <v>9</v>
      </c>
      <c r="C1516">
        <v>1</v>
      </c>
      <c r="F1516">
        <v>295</v>
      </c>
      <c r="J1516">
        <v>1.02</v>
      </c>
      <c r="K1516">
        <v>36.9</v>
      </c>
      <c r="L1516">
        <v>36.200000000000003</v>
      </c>
      <c r="M1516">
        <v>233</v>
      </c>
      <c r="N1516">
        <v>15</v>
      </c>
      <c r="O1516">
        <v>4</v>
      </c>
    </row>
    <row r="1517" spans="1:16" x14ac:dyDescent="0.25">
      <c r="A1517" s="4">
        <v>43942</v>
      </c>
      <c r="B1517" t="s">
        <v>9</v>
      </c>
      <c r="C1517" t="s">
        <v>78</v>
      </c>
      <c r="F1517">
        <v>295</v>
      </c>
      <c r="J1517">
        <v>1.02</v>
      </c>
      <c r="K1517">
        <v>36.9</v>
      </c>
      <c r="L1517">
        <v>36.200000000000003</v>
      </c>
      <c r="M1517">
        <v>233</v>
      </c>
      <c r="N1517">
        <v>15</v>
      </c>
      <c r="O1517">
        <v>4</v>
      </c>
    </row>
    <row r="1518" spans="1:16" x14ac:dyDescent="0.25">
      <c r="A1518" s="4">
        <v>43943</v>
      </c>
      <c r="B1518" t="s">
        <v>9</v>
      </c>
      <c r="C1518">
        <v>1</v>
      </c>
      <c r="F1518">
        <v>304</v>
      </c>
      <c r="J1518">
        <v>1.0620000000000001</v>
      </c>
      <c r="K1518">
        <v>38</v>
      </c>
      <c r="L1518">
        <v>35.799999999999997</v>
      </c>
      <c r="M1518">
        <v>220</v>
      </c>
      <c r="N1518">
        <v>28</v>
      </c>
      <c r="O1518">
        <v>6</v>
      </c>
    </row>
    <row r="1519" spans="1:16" x14ac:dyDescent="0.25">
      <c r="A1519" s="4">
        <v>43943</v>
      </c>
      <c r="B1519" t="s">
        <v>9</v>
      </c>
      <c r="C1519" t="s">
        <v>78</v>
      </c>
      <c r="F1519">
        <v>304</v>
      </c>
      <c r="J1519">
        <v>1.0620000000000001</v>
      </c>
      <c r="K1519">
        <v>38</v>
      </c>
      <c r="L1519">
        <v>35.799999999999997</v>
      </c>
      <c r="M1519">
        <v>220</v>
      </c>
      <c r="N1519">
        <v>28</v>
      </c>
      <c r="O1519">
        <v>6</v>
      </c>
    </row>
    <row r="1520" spans="1:16" x14ac:dyDescent="0.25">
      <c r="A1520" s="4">
        <v>43944</v>
      </c>
      <c r="B1520" t="s">
        <v>9</v>
      </c>
      <c r="C1520">
        <v>1</v>
      </c>
      <c r="F1520">
        <v>270</v>
      </c>
      <c r="J1520">
        <v>0.94099999999999995</v>
      </c>
      <c r="K1520">
        <v>33.799999999999997</v>
      </c>
      <c r="L1520">
        <v>35.9</v>
      </c>
      <c r="M1520">
        <v>184</v>
      </c>
      <c r="N1520">
        <v>29</v>
      </c>
      <c r="O1520">
        <v>6</v>
      </c>
    </row>
    <row r="1521" spans="1:16" x14ac:dyDescent="0.25">
      <c r="A1521" s="4">
        <v>43944</v>
      </c>
      <c r="B1521" t="s">
        <v>9</v>
      </c>
      <c r="C1521" t="s">
        <v>78</v>
      </c>
      <c r="F1521">
        <v>270</v>
      </c>
      <c r="J1521">
        <v>0.94099999999999995</v>
      </c>
      <c r="K1521">
        <v>33.799999999999997</v>
      </c>
      <c r="L1521">
        <v>35.9</v>
      </c>
      <c r="M1521">
        <v>184</v>
      </c>
      <c r="N1521">
        <v>29</v>
      </c>
      <c r="O1521">
        <v>6</v>
      </c>
    </row>
    <row r="1522" spans="1:16" x14ac:dyDescent="0.25">
      <c r="A1522" s="4">
        <v>43945</v>
      </c>
      <c r="B1522" t="s">
        <v>9</v>
      </c>
      <c r="C1522">
        <v>1</v>
      </c>
      <c r="F1522">
        <v>333</v>
      </c>
      <c r="J1522">
        <v>1.1220000000000001</v>
      </c>
      <c r="K1522">
        <v>41.6</v>
      </c>
      <c r="L1522">
        <v>37.1</v>
      </c>
      <c r="M1522">
        <v>230</v>
      </c>
      <c r="N1522">
        <v>35</v>
      </c>
      <c r="O1522">
        <v>7</v>
      </c>
    </row>
    <row r="1523" spans="1:16" x14ac:dyDescent="0.25">
      <c r="A1523" s="4">
        <v>43945</v>
      </c>
      <c r="B1523" t="s">
        <v>9</v>
      </c>
      <c r="C1523" t="s">
        <v>78</v>
      </c>
      <c r="F1523">
        <v>333</v>
      </c>
      <c r="J1523">
        <v>1.1220000000000001</v>
      </c>
      <c r="K1523">
        <v>41.6</v>
      </c>
      <c r="L1523">
        <v>37.1</v>
      </c>
      <c r="M1523">
        <v>230</v>
      </c>
      <c r="N1523">
        <v>35</v>
      </c>
      <c r="O1523">
        <v>7</v>
      </c>
    </row>
    <row r="1524" spans="1:16" x14ac:dyDescent="0.25">
      <c r="A1524" s="4">
        <v>43948</v>
      </c>
      <c r="B1524" t="s">
        <v>9</v>
      </c>
      <c r="C1524">
        <v>1</v>
      </c>
      <c r="F1524">
        <v>279</v>
      </c>
      <c r="J1524">
        <v>0.94499999999999995</v>
      </c>
      <c r="K1524">
        <v>34.9</v>
      </c>
      <c r="L1524">
        <v>36.9</v>
      </c>
      <c r="M1524">
        <v>183</v>
      </c>
      <c r="N1524">
        <v>27</v>
      </c>
      <c r="O1524">
        <v>4</v>
      </c>
      <c r="P1524">
        <v>2</v>
      </c>
    </row>
    <row r="1525" spans="1:16" x14ac:dyDescent="0.25">
      <c r="A1525" s="4">
        <v>43948</v>
      </c>
      <c r="B1525" t="s">
        <v>9</v>
      </c>
      <c r="C1525" t="s">
        <v>78</v>
      </c>
      <c r="F1525">
        <v>279</v>
      </c>
      <c r="J1525">
        <v>0.94499999999999995</v>
      </c>
      <c r="K1525">
        <v>34.9</v>
      </c>
      <c r="L1525">
        <v>36.9</v>
      </c>
      <c r="M1525">
        <v>183</v>
      </c>
      <c r="N1525">
        <v>27</v>
      </c>
      <c r="O1525">
        <v>4</v>
      </c>
      <c r="P1525">
        <v>2</v>
      </c>
    </row>
    <row r="1526" spans="1:16" x14ac:dyDescent="0.25">
      <c r="A1526" s="4">
        <v>43949</v>
      </c>
      <c r="B1526" t="s">
        <v>9</v>
      </c>
      <c r="C1526">
        <v>1</v>
      </c>
      <c r="F1526">
        <v>305</v>
      </c>
      <c r="J1526">
        <v>1.117</v>
      </c>
      <c r="K1526">
        <v>38.1</v>
      </c>
      <c r="L1526">
        <v>34.200000000000003</v>
      </c>
      <c r="M1526">
        <v>226</v>
      </c>
      <c r="N1526">
        <v>28</v>
      </c>
      <c r="O1526">
        <v>6</v>
      </c>
    </row>
    <row r="1527" spans="1:16" x14ac:dyDescent="0.25">
      <c r="A1527" s="4">
        <v>43949</v>
      </c>
      <c r="B1527" t="s">
        <v>9</v>
      </c>
      <c r="C1527" t="s">
        <v>78</v>
      </c>
      <c r="F1527">
        <v>305</v>
      </c>
      <c r="J1527">
        <v>1.117</v>
      </c>
      <c r="K1527">
        <v>38.1</v>
      </c>
      <c r="L1527">
        <v>34.200000000000003</v>
      </c>
      <c r="M1527">
        <v>226</v>
      </c>
      <c r="N1527">
        <v>28</v>
      </c>
      <c r="O1527">
        <v>6</v>
      </c>
    </row>
    <row r="1528" spans="1:16" x14ac:dyDescent="0.25">
      <c r="A1528" s="4">
        <v>43950</v>
      </c>
      <c r="B1528" t="s">
        <v>9</v>
      </c>
      <c r="C1528">
        <v>1</v>
      </c>
      <c r="F1528">
        <v>323</v>
      </c>
      <c r="J1528">
        <v>1.099</v>
      </c>
      <c r="K1528">
        <v>40.4</v>
      </c>
      <c r="L1528">
        <v>36.700000000000003</v>
      </c>
      <c r="M1528">
        <v>235</v>
      </c>
      <c r="N1528">
        <v>17</v>
      </c>
      <c r="O1528">
        <v>10</v>
      </c>
      <c r="P1528">
        <v>1</v>
      </c>
    </row>
    <row r="1529" spans="1:16" x14ac:dyDescent="0.25">
      <c r="A1529" s="4">
        <v>43950</v>
      </c>
      <c r="B1529" t="s">
        <v>9</v>
      </c>
      <c r="C1529" t="s">
        <v>78</v>
      </c>
      <c r="F1529">
        <v>323</v>
      </c>
      <c r="J1529">
        <v>1.099</v>
      </c>
      <c r="K1529">
        <v>40.4</v>
      </c>
      <c r="L1529">
        <v>36.700000000000003</v>
      </c>
      <c r="M1529">
        <v>235</v>
      </c>
      <c r="N1529">
        <v>17</v>
      </c>
      <c r="O1529">
        <v>10</v>
      </c>
      <c r="P1529">
        <v>1</v>
      </c>
    </row>
    <row r="1530" spans="1:16" x14ac:dyDescent="0.25">
      <c r="A1530" s="4">
        <v>43951</v>
      </c>
      <c r="B1530" t="s">
        <v>9</v>
      </c>
      <c r="C1530">
        <v>1</v>
      </c>
      <c r="F1530">
        <v>314</v>
      </c>
      <c r="J1530">
        <v>1.1100000000000001</v>
      </c>
      <c r="K1530">
        <v>39.299999999999997</v>
      </c>
      <c r="L1530">
        <v>35.4</v>
      </c>
      <c r="M1530">
        <v>229</v>
      </c>
      <c r="N1530">
        <v>33</v>
      </c>
      <c r="O1530">
        <v>3</v>
      </c>
      <c r="P1530">
        <v>1</v>
      </c>
    </row>
    <row r="1531" spans="1:16" x14ac:dyDescent="0.25">
      <c r="A1531" s="4">
        <v>43951</v>
      </c>
      <c r="B1531" t="s">
        <v>9</v>
      </c>
      <c r="C1531" t="s">
        <v>78</v>
      </c>
      <c r="F1531">
        <v>314</v>
      </c>
      <c r="J1531">
        <v>1.1100000000000001</v>
      </c>
      <c r="K1531">
        <v>39.299999999999997</v>
      </c>
      <c r="L1531">
        <v>35.4</v>
      </c>
      <c r="M1531">
        <v>229</v>
      </c>
      <c r="N1531">
        <v>33</v>
      </c>
      <c r="O1531">
        <v>3</v>
      </c>
      <c r="P1531">
        <v>1</v>
      </c>
    </row>
    <row r="1532" spans="1:16" x14ac:dyDescent="0.25">
      <c r="A1532" s="4">
        <v>43952</v>
      </c>
      <c r="B1532" t="s">
        <v>9</v>
      </c>
      <c r="C1532">
        <v>1</v>
      </c>
      <c r="F1532">
        <v>413</v>
      </c>
      <c r="J1532">
        <v>1.181</v>
      </c>
      <c r="K1532">
        <v>41.3</v>
      </c>
      <c r="L1532">
        <v>35</v>
      </c>
      <c r="M1532">
        <v>328</v>
      </c>
      <c r="N1532">
        <v>23</v>
      </c>
      <c r="O1532">
        <v>3</v>
      </c>
      <c r="P1532">
        <v>1</v>
      </c>
    </row>
    <row r="1533" spans="1:16" x14ac:dyDescent="0.25">
      <c r="A1533" s="4">
        <v>43952</v>
      </c>
      <c r="B1533" t="s">
        <v>9</v>
      </c>
      <c r="C1533" t="s">
        <v>78</v>
      </c>
      <c r="F1533">
        <v>413</v>
      </c>
      <c r="J1533">
        <v>1.181</v>
      </c>
      <c r="K1533">
        <v>41.3</v>
      </c>
      <c r="L1533">
        <v>35</v>
      </c>
      <c r="M1533">
        <v>328</v>
      </c>
      <c r="N1533">
        <v>23</v>
      </c>
      <c r="O1533">
        <v>3</v>
      </c>
      <c r="P1533">
        <v>1</v>
      </c>
    </row>
    <row r="1534" spans="1:16" x14ac:dyDescent="0.25">
      <c r="A1534" s="4">
        <v>43955</v>
      </c>
      <c r="B1534" t="s">
        <v>9</v>
      </c>
      <c r="C1534">
        <v>1</v>
      </c>
      <c r="F1534">
        <v>300</v>
      </c>
      <c r="J1534">
        <v>1.0229999999999999</v>
      </c>
      <c r="K1534">
        <v>37.5</v>
      </c>
      <c r="L1534">
        <v>36.6</v>
      </c>
      <c r="M1534">
        <v>231</v>
      </c>
      <c r="N1534">
        <v>24</v>
      </c>
      <c r="O1534">
        <v>5</v>
      </c>
    </row>
    <row r="1535" spans="1:16" x14ac:dyDescent="0.25">
      <c r="A1535" s="4">
        <v>43955</v>
      </c>
      <c r="B1535" t="s">
        <v>9</v>
      </c>
      <c r="C1535" t="s">
        <v>78</v>
      </c>
      <c r="F1535">
        <v>300</v>
      </c>
      <c r="J1535">
        <v>1.0229999999999999</v>
      </c>
      <c r="K1535">
        <v>37.5</v>
      </c>
      <c r="L1535">
        <v>36.6</v>
      </c>
      <c r="M1535">
        <v>231</v>
      </c>
      <c r="N1535">
        <v>24</v>
      </c>
      <c r="O1535">
        <v>5</v>
      </c>
    </row>
    <row r="1536" spans="1:16" x14ac:dyDescent="0.25">
      <c r="A1536" s="4">
        <v>43956</v>
      </c>
      <c r="B1536" t="s">
        <v>9</v>
      </c>
      <c r="C1536">
        <v>1</v>
      </c>
      <c r="F1536">
        <v>301</v>
      </c>
      <c r="J1536">
        <v>1.0369999999999999</v>
      </c>
      <c r="K1536">
        <v>37.6</v>
      </c>
      <c r="L1536">
        <v>36.299999999999997</v>
      </c>
      <c r="M1536">
        <v>225</v>
      </c>
      <c r="N1536">
        <v>21</v>
      </c>
      <c r="O1536">
        <v>7</v>
      </c>
    </row>
    <row r="1537" spans="1:16" x14ac:dyDescent="0.25">
      <c r="A1537" s="4">
        <v>43956</v>
      </c>
      <c r="B1537" t="s">
        <v>9</v>
      </c>
      <c r="C1537" t="s">
        <v>78</v>
      </c>
      <c r="F1537">
        <v>301</v>
      </c>
      <c r="J1537">
        <v>1.0369999999999999</v>
      </c>
      <c r="K1537">
        <v>37.6</v>
      </c>
      <c r="L1537">
        <v>36.299999999999997</v>
      </c>
      <c r="M1537">
        <v>225</v>
      </c>
      <c r="N1537">
        <v>21</v>
      </c>
      <c r="O1537">
        <v>7</v>
      </c>
    </row>
    <row r="1538" spans="1:16" x14ac:dyDescent="0.25">
      <c r="A1538" s="4">
        <v>43957</v>
      </c>
      <c r="B1538" t="s">
        <v>9</v>
      </c>
      <c r="C1538">
        <v>1</v>
      </c>
      <c r="F1538">
        <v>317</v>
      </c>
      <c r="J1538">
        <v>1.083</v>
      </c>
      <c r="K1538">
        <v>39.6</v>
      </c>
      <c r="L1538">
        <v>36.6</v>
      </c>
      <c r="M1538">
        <v>231</v>
      </c>
      <c r="N1538">
        <v>27</v>
      </c>
      <c r="O1538">
        <v>6</v>
      </c>
      <c r="P1538">
        <v>1</v>
      </c>
    </row>
    <row r="1539" spans="1:16" x14ac:dyDescent="0.25">
      <c r="A1539" s="4">
        <v>43957</v>
      </c>
      <c r="B1539" t="s">
        <v>9</v>
      </c>
      <c r="C1539" t="s">
        <v>78</v>
      </c>
      <c r="F1539">
        <v>317</v>
      </c>
      <c r="J1539">
        <v>1.083</v>
      </c>
      <c r="K1539">
        <v>39.6</v>
      </c>
      <c r="L1539">
        <v>36.6</v>
      </c>
      <c r="M1539">
        <v>231</v>
      </c>
      <c r="N1539">
        <v>27</v>
      </c>
      <c r="O1539">
        <v>6</v>
      </c>
      <c r="P1539">
        <v>1</v>
      </c>
    </row>
    <row r="1540" spans="1:16" x14ac:dyDescent="0.25">
      <c r="A1540" s="4">
        <v>43958</v>
      </c>
      <c r="B1540" t="s">
        <v>9</v>
      </c>
      <c r="C1540">
        <v>1</v>
      </c>
      <c r="F1540">
        <v>333</v>
      </c>
      <c r="J1540">
        <v>1.1579999999999999</v>
      </c>
      <c r="K1540">
        <v>41.6</v>
      </c>
      <c r="L1540">
        <v>36</v>
      </c>
      <c r="M1540">
        <v>235</v>
      </c>
      <c r="N1540">
        <v>27</v>
      </c>
      <c r="O1540">
        <v>10</v>
      </c>
    </row>
    <row r="1541" spans="1:16" x14ac:dyDescent="0.25">
      <c r="A1541" s="4">
        <v>43958</v>
      </c>
      <c r="B1541" t="s">
        <v>9</v>
      </c>
      <c r="C1541" t="s">
        <v>78</v>
      </c>
      <c r="F1541">
        <v>333</v>
      </c>
      <c r="J1541">
        <v>1.1579999999999999</v>
      </c>
      <c r="K1541">
        <v>41.6</v>
      </c>
      <c r="L1541">
        <v>36</v>
      </c>
      <c r="M1541">
        <v>235</v>
      </c>
      <c r="N1541">
        <v>27</v>
      </c>
      <c r="O1541">
        <v>10</v>
      </c>
    </row>
    <row r="1542" spans="1:16" x14ac:dyDescent="0.25">
      <c r="A1542" s="4">
        <v>43959</v>
      </c>
      <c r="B1542" t="s">
        <v>9</v>
      </c>
      <c r="C1542">
        <v>1</v>
      </c>
      <c r="F1542">
        <v>310</v>
      </c>
      <c r="J1542">
        <v>1.0940000000000001</v>
      </c>
      <c r="K1542">
        <v>38.799999999999997</v>
      </c>
      <c r="L1542">
        <v>35.4</v>
      </c>
      <c r="M1542">
        <v>242</v>
      </c>
      <c r="N1542">
        <v>21</v>
      </c>
      <c r="O1542">
        <v>3</v>
      </c>
      <c r="P1542">
        <v>1</v>
      </c>
    </row>
    <row r="1543" spans="1:16" x14ac:dyDescent="0.25">
      <c r="A1543" s="4">
        <v>43959</v>
      </c>
      <c r="B1543" t="s">
        <v>9</v>
      </c>
      <c r="C1543" t="s">
        <v>78</v>
      </c>
      <c r="F1543">
        <v>310</v>
      </c>
      <c r="J1543">
        <v>1.0940000000000001</v>
      </c>
      <c r="K1543">
        <v>38.799999999999997</v>
      </c>
      <c r="L1543">
        <v>35.4</v>
      </c>
      <c r="M1543">
        <v>242</v>
      </c>
      <c r="N1543">
        <v>21</v>
      </c>
      <c r="O1543">
        <v>3</v>
      </c>
      <c r="P1543">
        <v>1</v>
      </c>
    </row>
    <row r="1544" spans="1:16" x14ac:dyDescent="0.25">
      <c r="A1544" s="4">
        <v>43962</v>
      </c>
      <c r="B1544" t="s">
        <v>9</v>
      </c>
      <c r="C1544">
        <v>1</v>
      </c>
      <c r="F1544">
        <v>334</v>
      </c>
      <c r="J1544">
        <v>1.149</v>
      </c>
      <c r="K1544">
        <v>41.8</v>
      </c>
      <c r="L1544">
        <v>36.299999999999997</v>
      </c>
      <c r="M1544">
        <v>246</v>
      </c>
      <c r="N1544">
        <v>24</v>
      </c>
      <c r="O1544">
        <v>6</v>
      </c>
      <c r="P1544">
        <v>2</v>
      </c>
    </row>
    <row r="1545" spans="1:16" x14ac:dyDescent="0.25">
      <c r="A1545" s="4">
        <v>43962</v>
      </c>
      <c r="B1545" t="s">
        <v>9</v>
      </c>
      <c r="C1545" t="s">
        <v>78</v>
      </c>
      <c r="F1545">
        <v>334</v>
      </c>
      <c r="J1545">
        <v>1.149</v>
      </c>
      <c r="K1545">
        <v>41.8</v>
      </c>
      <c r="L1545">
        <v>36.299999999999997</v>
      </c>
      <c r="M1545">
        <v>246</v>
      </c>
      <c r="N1545">
        <v>24</v>
      </c>
      <c r="O1545">
        <v>6</v>
      </c>
      <c r="P1545">
        <v>2</v>
      </c>
    </row>
    <row r="1546" spans="1:16" x14ac:dyDescent="0.25">
      <c r="A1546" s="4">
        <v>43963</v>
      </c>
      <c r="B1546" t="s">
        <v>9</v>
      </c>
      <c r="C1546">
        <v>1</v>
      </c>
      <c r="F1546">
        <v>399</v>
      </c>
      <c r="J1546">
        <v>1.056</v>
      </c>
      <c r="K1546">
        <v>38</v>
      </c>
      <c r="L1546">
        <v>36</v>
      </c>
      <c r="M1546">
        <v>286</v>
      </c>
      <c r="N1546">
        <v>39</v>
      </c>
      <c r="O1546">
        <v>8</v>
      </c>
    </row>
    <row r="1547" spans="1:16" x14ac:dyDescent="0.25">
      <c r="A1547" s="4">
        <v>43963</v>
      </c>
      <c r="B1547" t="s">
        <v>9</v>
      </c>
      <c r="C1547" t="s">
        <v>78</v>
      </c>
      <c r="F1547">
        <v>399</v>
      </c>
      <c r="J1547">
        <v>1.056</v>
      </c>
      <c r="K1547">
        <v>38</v>
      </c>
      <c r="L1547">
        <v>36</v>
      </c>
      <c r="M1547">
        <v>286</v>
      </c>
      <c r="N1547">
        <v>39</v>
      </c>
      <c r="O1547">
        <v>8</v>
      </c>
    </row>
    <row r="1548" spans="1:16" x14ac:dyDescent="0.25">
      <c r="A1548" s="4">
        <v>43964</v>
      </c>
      <c r="B1548" t="s">
        <v>9</v>
      </c>
      <c r="C1548">
        <v>1</v>
      </c>
      <c r="F1548">
        <v>361</v>
      </c>
      <c r="J1548">
        <v>1.2769999999999999</v>
      </c>
      <c r="K1548">
        <v>45.1</v>
      </c>
      <c r="L1548">
        <v>35.4</v>
      </c>
      <c r="M1548">
        <v>271</v>
      </c>
      <c r="N1548">
        <v>30</v>
      </c>
      <c r="O1548">
        <v>7</v>
      </c>
    </row>
    <row r="1549" spans="1:16" x14ac:dyDescent="0.25">
      <c r="A1549" s="4">
        <v>43964</v>
      </c>
      <c r="B1549" t="s">
        <v>9</v>
      </c>
      <c r="C1549" t="s">
        <v>78</v>
      </c>
      <c r="F1549">
        <v>361</v>
      </c>
      <c r="J1549">
        <v>1.2769999999999999</v>
      </c>
      <c r="K1549">
        <v>45.1</v>
      </c>
      <c r="L1549">
        <v>35.4</v>
      </c>
      <c r="M1549">
        <v>271</v>
      </c>
      <c r="N1549">
        <v>30</v>
      </c>
      <c r="O1549">
        <v>7</v>
      </c>
    </row>
    <row r="1550" spans="1:16" x14ac:dyDescent="0.25">
      <c r="A1550" s="4">
        <v>43965</v>
      </c>
      <c r="B1550" t="s">
        <v>9</v>
      </c>
      <c r="C1550">
        <v>1</v>
      </c>
      <c r="F1550">
        <v>368</v>
      </c>
      <c r="J1550">
        <v>1.2689999999999999</v>
      </c>
      <c r="K1550">
        <v>46</v>
      </c>
      <c r="L1550">
        <v>36.200000000000003</v>
      </c>
      <c r="M1550">
        <v>277</v>
      </c>
      <c r="N1550">
        <v>25</v>
      </c>
      <c r="O1550">
        <v>10</v>
      </c>
    </row>
    <row r="1551" spans="1:16" x14ac:dyDescent="0.25">
      <c r="A1551" s="4">
        <v>43965</v>
      </c>
      <c r="B1551" t="s">
        <v>9</v>
      </c>
      <c r="C1551" t="s">
        <v>78</v>
      </c>
      <c r="F1551">
        <v>368</v>
      </c>
      <c r="J1551">
        <v>1.2689999999999999</v>
      </c>
      <c r="K1551">
        <v>46</v>
      </c>
      <c r="L1551">
        <v>36.200000000000003</v>
      </c>
      <c r="M1551">
        <v>277</v>
      </c>
      <c r="N1551">
        <v>25</v>
      </c>
      <c r="O1551">
        <v>10</v>
      </c>
    </row>
    <row r="1552" spans="1:16" x14ac:dyDescent="0.25">
      <c r="A1552" s="4">
        <v>43966</v>
      </c>
      <c r="B1552" t="s">
        <v>9</v>
      </c>
      <c r="C1552">
        <v>1</v>
      </c>
      <c r="F1552">
        <v>328</v>
      </c>
      <c r="J1552">
        <v>1.206</v>
      </c>
      <c r="K1552">
        <v>41</v>
      </c>
      <c r="L1552">
        <v>34</v>
      </c>
      <c r="M1552">
        <v>283</v>
      </c>
      <c r="N1552">
        <v>8</v>
      </c>
      <c r="O1552">
        <v>7</v>
      </c>
    </row>
    <row r="1553" spans="1:16" x14ac:dyDescent="0.25">
      <c r="A1553" s="4">
        <v>43966</v>
      </c>
      <c r="B1553" t="s">
        <v>9</v>
      </c>
      <c r="C1553" t="s">
        <v>78</v>
      </c>
      <c r="F1553">
        <v>328</v>
      </c>
      <c r="J1553">
        <v>1.206</v>
      </c>
      <c r="K1553">
        <v>41</v>
      </c>
      <c r="L1553">
        <v>34</v>
      </c>
      <c r="M1553">
        <v>283</v>
      </c>
      <c r="N1553">
        <v>8</v>
      </c>
      <c r="O1553">
        <v>7</v>
      </c>
    </row>
    <row r="1554" spans="1:16" x14ac:dyDescent="0.25">
      <c r="A1554" s="4">
        <v>43969</v>
      </c>
      <c r="B1554" t="s">
        <v>9</v>
      </c>
      <c r="C1554">
        <v>1</v>
      </c>
      <c r="F1554">
        <v>300</v>
      </c>
      <c r="J1554">
        <v>1.044</v>
      </c>
      <c r="K1554">
        <v>37.5</v>
      </c>
      <c r="L1554">
        <v>35.9</v>
      </c>
      <c r="M1554">
        <v>195</v>
      </c>
      <c r="N1554">
        <v>35</v>
      </c>
      <c r="O1554">
        <v>9</v>
      </c>
    </row>
    <row r="1555" spans="1:16" x14ac:dyDescent="0.25">
      <c r="A1555" s="4">
        <v>43969</v>
      </c>
      <c r="B1555" t="s">
        <v>9</v>
      </c>
      <c r="C1555" t="s">
        <v>78</v>
      </c>
      <c r="F1555">
        <v>300</v>
      </c>
      <c r="J1555">
        <v>1.044</v>
      </c>
      <c r="K1555">
        <v>37.5</v>
      </c>
      <c r="L1555">
        <v>35.9</v>
      </c>
      <c r="M1555">
        <v>195</v>
      </c>
      <c r="N1555">
        <v>35</v>
      </c>
      <c r="O1555">
        <v>9</v>
      </c>
    </row>
    <row r="1556" spans="1:16" x14ac:dyDescent="0.25">
      <c r="A1556" s="4">
        <v>43970</v>
      </c>
      <c r="B1556" t="s">
        <v>9</v>
      </c>
      <c r="C1556">
        <v>1</v>
      </c>
      <c r="F1556">
        <v>279</v>
      </c>
      <c r="J1556">
        <v>0.95799999999999996</v>
      </c>
      <c r="K1556">
        <v>34.9</v>
      </c>
      <c r="L1556">
        <v>36.4</v>
      </c>
      <c r="M1556">
        <v>197</v>
      </c>
      <c r="N1556">
        <v>25</v>
      </c>
      <c r="O1556">
        <v>6</v>
      </c>
      <c r="P1556">
        <v>1</v>
      </c>
    </row>
    <row r="1557" spans="1:16" x14ac:dyDescent="0.25">
      <c r="A1557" s="4">
        <v>43970</v>
      </c>
      <c r="B1557" t="s">
        <v>9</v>
      </c>
      <c r="C1557" t="s">
        <v>78</v>
      </c>
      <c r="F1557">
        <v>279</v>
      </c>
      <c r="J1557">
        <v>0.95799999999999996</v>
      </c>
      <c r="K1557">
        <v>34.9</v>
      </c>
      <c r="L1557">
        <v>36.4</v>
      </c>
      <c r="M1557">
        <v>197</v>
      </c>
      <c r="N1557">
        <v>25</v>
      </c>
      <c r="O1557">
        <v>6</v>
      </c>
      <c r="P1557">
        <v>1</v>
      </c>
    </row>
    <row r="1558" spans="1:16" x14ac:dyDescent="0.25">
      <c r="A1558" s="4">
        <v>43971</v>
      </c>
      <c r="B1558" t="s">
        <v>9</v>
      </c>
      <c r="C1558">
        <v>1</v>
      </c>
      <c r="F1558">
        <v>370</v>
      </c>
      <c r="J1558">
        <v>0.98699999999999999</v>
      </c>
      <c r="K1558">
        <v>37</v>
      </c>
      <c r="L1558">
        <v>37.5</v>
      </c>
      <c r="M1558">
        <v>256</v>
      </c>
      <c r="N1558">
        <v>29</v>
      </c>
      <c r="O1558">
        <v>8</v>
      </c>
      <c r="P1558">
        <v>2</v>
      </c>
    </row>
    <row r="1559" spans="1:16" x14ac:dyDescent="0.25">
      <c r="A1559" s="4">
        <v>43971</v>
      </c>
      <c r="B1559" t="s">
        <v>9</v>
      </c>
      <c r="C1559" t="s">
        <v>78</v>
      </c>
      <c r="F1559">
        <v>370</v>
      </c>
      <c r="J1559">
        <v>0.98699999999999999</v>
      </c>
      <c r="K1559">
        <v>37</v>
      </c>
      <c r="L1559">
        <v>37.5</v>
      </c>
      <c r="M1559">
        <v>256</v>
      </c>
      <c r="N1559">
        <v>29</v>
      </c>
      <c r="O1559">
        <v>8</v>
      </c>
      <c r="P1559">
        <v>2</v>
      </c>
    </row>
    <row r="1560" spans="1:16" x14ac:dyDescent="0.25">
      <c r="A1560" s="4">
        <v>43972</v>
      </c>
      <c r="B1560" t="s">
        <v>9</v>
      </c>
      <c r="C1560">
        <v>1</v>
      </c>
      <c r="F1560">
        <v>412</v>
      </c>
      <c r="J1560">
        <v>1.1399999999999999</v>
      </c>
      <c r="K1560">
        <v>41.2</v>
      </c>
      <c r="L1560">
        <v>36.200000000000003</v>
      </c>
      <c r="M1560">
        <v>296</v>
      </c>
      <c r="N1560">
        <v>33</v>
      </c>
      <c r="O1560">
        <v>9</v>
      </c>
      <c r="P1560">
        <v>1</v>
      </c>
    </row>
    <row r="1561" spans="1:16" x14ac:dyDescent="0.25">
      <c r="A1561" s="4">
        <v>43972</v>
      </c>
      <c r="B1561" t="s">
        <v>9</v>
      </c>
      <c r="C1561" t="s">
        <v>78</v>
      </c>
      <c r="F1561">
        <v>412</v>
      </c>
      <c r="J1561">
        <v>1.1399999999999999</v>
      </c>
      <c r="K1561">
        <v>41.2</v>
      </c>
      <c r="L1561">
        <v>36.200000000000003</v>
      </c>
      <c r="M1561">
        <v>296</v>
      </c>
      <c r="N1561">
        <v>33</v>
      </c>
      <c r="O1561">
        <v>9</v>
      </c>
      <c r="P1561">
        <v>1</v>
      </c>
    </row>
    <row r="1562" spans="1:16" x14ac:dyDescent="0.25">
      <c r="A1562" s="4">
        <v>43973</v>
      </c>
      <c r="B1562" t="s">
        <v>9</v>
      </c>
      <c r="C1562">
        <v>1</v>
      </c>
      <c r="F1562">
        <v>314</v>
      </c>
      <c r="J1562">
        <v>1.1000000000000001</v>
      </c>
      <c r="K1562">
        <v>39.299999999999997</v>
      </c>
      <c r="L1562">
        <v>35.700000000000003</v>
      </c>
      <c r="M1562">
        <v>243</v>
      </c>
      <c r="N1562">
        <v>18</v>
      </c>
      <c r="O1562">
        <v>6</v>
      </c>
      <c r="P1562">
        <v>2</v>
      </c>
    </row>
    <row r="1563" spans="1:16" x14ac:dyDescent="0.25">
      <c r="A1563" s="4">
        <v>43973</v>
      </c>
      <c r="B1563" t="s">
        <v>9</v>
      </c>
      <c r="C1563" t="s">
        <v>78</v>
      </c>
      <c r="F1563">
        <v>314</v>
      </c>
      <c r="J1563">
        <v>1.1000000000000001</v>
      </c>
      <c r="K1563">
        <v>39.299999999999997</v>
      </c>
      <c r="L1563">
        <v>35.700000000000003</v>
      </c>
      <c r="M1563">
        <v>243</v>
      </c>
      <c r="N1563">
        <v>18</v>
      </c>
      <c r="O1563">
        <v>6</v>
      </c>
      <c r="P1563">
        <v>2</v>
      </c>
    </row>
    <row r="1564" spans="1:16" x14ac:dyDescent="0.25">
      <c r="A1564" s="4">
        <v>43978</v>
      </c>
      <c r="B1564" t="s">
        <v>9</v>
      </c>
      <c r="C1564">
        <v>1</v>
      </c>
      <c r="F1564">
        <v>408</v>
      </c>
      <c r="J1564">
        <v>1.129</v>
      </c>
      <c r="K1564">
        <v>40.799999999999997</v>
      </c>
      <c r="L1564">
        <v>36.1</v>
      </c>
      <c r="M1564">
        <v>294</v>
      </c>
      <c r="N1564">
        <v>36</v>
      </c>
      <c r="O1564">
        <v>7</v>
      </c>
      <c r="P1564">
        <v>2</v>
      </c>
    </row>
    <row r="1565" spans="1:16" x14ac:dyDescent="0.25">
      <c r="A1565" s="4">
        <v>43978</v>
      </c>
      <c r="B1565" t="s">
        <v>9</v>
      </c>
      <c r="C1565" t="s">
        <v>78</v>
      </c>
      <c r="F1565">
        <v>408</v>
      </c>
      <c r="J1565">
        <v>1.129</v>
      </c>
      <c r="K1565">
        <v>40.799999999999997</v>
      </c>
      <c r="L1565">
        <v>36.1</v>
      </c>
      <c r="M1565">
        <v>294</v>
      </c>
      <c r="N1565">
        <v>36</v>
      </c>
      <c r="O1565">
        <v>7</v>
      </c>
      <c r="P1565">
        <v>2</v>
      </c>
    </row>
    <row r="1566" spans="1:16" x14ac:dyDescent="0.25">
      <c r="A1566" s="4">
        <v>43979</v>
      </c>
      <c r="B1566" t="s">
        <v>9</v>
      </c>
      <c r="C1566">
        <v>1</v>
      </c>
      <c r="F1566">
        <v>434</v>
      </c>
      <c r="J1566">
        <v>1.1819999999999999</v>
      </c>
      <c r="K1566">
        <v>43.4</v>
      </c>
      <c r="L1566">
        <v>36.700000000000003</v>
      </c>
      <c r="M1566">
        <v>307</v>
      </c>
      <c r="N1566">
        <v>43</v>
      </c>
      <c r="O1566">
        <v>7</v>
      </c>
      <c r="P1566">
        <v>1</v>
      </c>
    </row>
    <row r="1567" spans="1:16" x14ac:dyDescent="0.25">
      <c r="A1567" s="4">
        <v>43979</v>
      </c>
      <c r="B1567" t="s">
        <v>9</v>
      </c>
      <c r="C1567" t="s">
        <v>78</v>
      </c>
      <c r="F1567">
        <v>434</v>
      </c>
      <c r="J1567">
        <v>1.1819999999999999</v>
      </c>
      <c r="K1567">
        <v>43.4</v>
      </c>
      <c r="L1567">
        <v>36.700000000000003</v>
      </c>
      <c r="M1567">
        <v>307</v>
      </c>
      <c r="N1567">
        <v>43</v>
      </c>
      <c r="O1567">
        <v>7</v>
      </c>
      <c r="P1567">
        <v>1</v>
      </c>
    </row>
    <row r="1568" spans="1:16" x14ac:dyDescent="0.25">
      <c r="A1568" s="4">
        <v>43980</v>
      </c>
      <c r="B1568" t="s">
        <v>9</v>
      </c>
      <c r="C1568">
        <v>1</v>
      </c>
      <c r="F1568">
        <v>430</v>
      </c>
      <c r="J1568">
        <v>1.202</v>
      </c>
      <c r="K1568">
        <v>43</v>
      </c>
      <c r="L1568">
        <v>35.799999999999997</v>
      </c>
      <c r="M1568">
        <v>325</v>
      </c>
      <c r="N1568">
        <v>33</v>
      </c>
      <c r="O1568">
        <v>8</v>
      </c>
    </row>
    <row r="1569" spans="1:16" x14ac:dyDescent="0.25">
      <c r="A1569" s="4">
        <v>43980</v>
      </c>
      <c r="B1569" t="s">
        <v>9</v>
      </c>
      <c r="C1569" t="s">
        <v>78</v>
      </c>
      <c r="F1569">
        <v>430</v>
      </c>
      <c r="J1569">
        <v>1.202</v>
      </c>
      <c r="K1569">
        <v>43</v>
      </c>
      <c r="L1569">
        <v>35.799999999999997</v>
      </c>
      <c r="M1569">
        <v>325</v>
      </c>
      <c r="N1569">
        <v>33</v>
      </c>
      <c r="O1569">
        <v>8</v>
      </c>
    </row>
    <row r="1570" spans="1:16" x14ac:dyDescent="0.25">
      <c r="A1570" s="4">
        <v>43981</v>
      </c>
      <c r="B1570" t="s">
        <v>9</v>
      </c>
      <c r="C1570">
        <v>1</v>
      </c>
      <c r="F1570">
        <v>184</v>
      </c>
      <c r="J1570">
        <v>1.3140000000000001</v>
      </c>
      <c r="K1570">
        <v>46</v>
      </c>
      <c r="L1570">
        <v>35.01</v>
      </c>
      <c r="M1570">
        <v>154</v>
      </c>
      <c r="N1570">
        <v>12</v>
      </c>
      <c r="O1570">
        <v>1</v>
      </c>
    </row>
    <row r="1571" spans="1:16" x14ac:dyDescent="0.25">
      <c r="A1571" s="4">
        <v>43981</v>
      </c>
      <c r="B1571" t="s">
        <v>9</v>
      </c>
      <c r="C1571" t="s">
        <v>78</v>
      </c>
      <c r="F1571">
        <v>184</v>
      </c>
      <c r="J1571">
        <v>1.3140000000000001</v>
      </c>
      <c r="K1571">
        <v>46</v>
      </c>
      <c r="L1571">
        <v>35.01</v>
      </c>
      <c r="M1571">
        <v>154</v>
      </c>
      <c r="N1571">
        <v>12</v>
      </c>
      <c r="O1571">
        <v>1</v>
      </c>
    </row>
    <row r="1572" spans="1:16" x14ac:dyDescent="0.25">
      <c r="A1572" s="4">
        <v>43983</v>
      </c>
      <c r="B1572" t="s">
        <v>9</v>
      </c>
      <c r="C1572">
        <v>1</v>
      </c>
      <c r="F1572">
        <v>248</v>
      </c>
      <c r="J1572">
        <v>0.84899999999999998</v>
      </c>
      <c r="K1572">
        <v>31</v>
      </c>
      <c r="L1572">
        <v>36.5</v>
      </c>
      <c r="M1572">
        <v>158</v>
      </c>
      <c r="N1572">
        <v>21</v>
      </c>
      <c r="O1572">
        <v>8</v>
      </c>
      <c r="P1572">
        <v>1</v>
      </c>
    </row>
    <row r="1573" spans="1:16" x14ac:dyDescent="0.25">
      <c r="A1573" s="4">
        <v>43983</v>
      </c>
      <c r="B1573" t="s">
        <v>9</v>
      </c>
      <c r="C1573" t="s">
        <v>78</v>
      </c>
      <c r="F1573">
        <v>248</v>
      </c>
      <c r="J1573">
        <v>0.84899999999999998</v>
      </c>
      <c r="K1573">
        <v>31</v>
      </c>
      <c r="L1573">
        <v>36.5</v>
      </c>
      <c r="M1573">
        <v>158</v>
      </c>
      <c r="N1573">
        <v>21</v>
      </c>
      <c r="O1573">
        <v>8</v>
      </c>
      <c r="P1573">
        <v>1</v>
      </c>
    </row>
    <row r="1574" spans="1:16" x14ac:dyDescent="0.25">
      <c r="A1574" s="4">
        <v>43984</v>
      </c>
      <c r="B1574" t="s">
        <v>9</v>
      </c>
      <c r="C1574">
        <v>1</v>
      </c>
      <c r="F1574">
        <v>402</v>
      </c>
      <c r="J1574">
        <v>1.1279999999999999</v>
      </c>
      <c r="K1574">
        <v>40.200000000000003</v>
      </c>
      <c r="L1574">
        <v>35.6</v>
      </c>
      <c r="M1574">
        <v>328</v>
      </c>
      <c r="N1574">
        <v>28</v>
      </c>
      <c r="O1574">
        <v>4</v>
      </c>
    </row>
    <row r="1575" spans="1:16" x14ac:dyDescent="0.25">
      <c r="A1575" s="4">
        <v>43984</v>
      </c>
      <c r="B1575" t="s">
        <v>9</v>
      </c>
      <c r="C1575" t="s">
        <v>78</v>
      </c>
      <c r="F1575">
        <v>402</v>
      </c>
      <c r="J1575">
        <v>1.1279999999999999</v>
      </c>
      <c r="K1575">
        <v>40.200000000000003</v>
      </c>
      <c r="L1575">
        <v>35.6</v>
      </c>
      <c r="M1575">
        <v>328</v>
      </c>
      <c r="N1575">
        <v>28</v>
      </c>
      <c r="O1575">
        <v>4</v>
      </c>
    </row>
    <row r="1576" spans="1:16" x14ac:dyDescent="0.25">
      <c r="A1576" s="4">
        <v>43985</v>
      </c>
      <c r="B1576" t="s">
        <v>9</v>
      </c>
      <c r="C1576">
        <v>1</v>
      </c>
      <c r="F1576">
        <v>508</v>
      </c>
      <c r="J1576">
        <v>1.161</v>
      </c>
      <c r="K1576">
        <v>42.3</v>
      </c>
      <c r="L1576">
        <v>36.5</v>
      </c>
      <c r="M1576">
        <v>358</v>
      </c>
      <c r="N1576">
        <v>50</v>
      </c>
      <c r="O1576">
        <v>9</v>
      </c>
      <c r="P1576">
        <v>1</v>
      </c>
    </row>
    <row r="1577" spans="1:16" x14ac:dyDescent="0.25">
      <c r="A1577" s="4">
        <v>43985</v>
      </c>
      <c r="B1577" t="s">
        <v>9</v>
      </c>
      <c r="C1577" t="s">
        <v>78</v>
      </c>
      <c r="F1577">
        <v>508</v>
      </c>
      <c r="J1577">
        <v>1.161</v>
      </c>
      <c r="K1577">
        <v>42.3</v>
      </c>
      <c r="L1577">
        <v>36.5</v>
      </c>
      <c r="M1577">
        <v>358</v>
      </c>
      <c r="N1577">
        <v>50</v>
      </c>
      <c r="O1577">
        <v>9</v>
      </c>
      <c r="P1577">
        <v>1</v>
      </c>
    </row>
    <row r="1578" spans="1:16" x14ac:dyDescent="0.25">
      <c r="A1578" s="4">
        <v>43986</v>
      </c>
      <c r="B1578" t="s">
        <v>9</v>
      </c>
      <c r="C1578">
        <v>1</v>
      </c>
      <c r="F1578">
        <v>486</v>
      </c>
      <c r="J1578">
        <v>1.1180000000000001</v>
      </c>
      <c r="K1578">
        <v>40.5</v>
      </c>
      <c r="L1578">
        <v>36.200000000000003</v>
      </c>
      <c r="M1578">
        <v>346</v>
      </c>
      <c r="N1578">
        <v>40</v>
      </c>
      <c r="O1578">
        <v>11</v>
      </c>
      <c r="P1578">
        <v>1</v>
      </c>
    </row>
    <row r="1579" spans="1:16" x14ac:dyDescent="0.25">
      <c r="A1579" s="4">
        <v>43986</v>
      </c>
      <c r="B1579" t="s">
        <v>9</v>
      </c>
      <c r="C1579" t="s">
        <v>78</v>
      </c>
      <c r="F1579">
        <v>486</v>
      </c>
      <c r="J1579">
        <v>1.1180000000000001</v>
      </c>
      <c r="K1579">
        <v>40.5</v>
      </c>
      <c r="L1579">
        <v>36.200000000000003</v>
      </c>
      <c r="M1579">
        <v>346</v>
      </c>
      <c r="N1579">
        <v>40</v>
      </c>
      <c r="O1579">
        <v>11</v>
      </c>
      <c r="P1579">
        <v>1</v>
      </c>
    </row>
    <row r="1580" spans="1:16" x14ac:dyDescent="0.25">
      <c r="A1580" s="4">
        <v>43987</v>
      </c>
      <c r="B1580" t="s">
        <v>9</v>
      </c>
      <c r="C1580">
        <v>1</v>
      </c>
      <c r="F1580">
        <v>366</v>
      </c>
      <c r="J1580">
        <v>1.044</v>
      </c>
      <c r="K1580">
        <v>36.6</v>
      </c>
      <c r="L1580">
        <v>35.1</v>
      </c>
      <c r="M1580">
        <v>263</v>
      </c>
      <c r="N1580">
        <v>41</v>
      </c>
      <c r="O1580">
        <v>5</v>
      </c>
    </row>
    <row r="1581" spans="1:16" x14ac:dyDescent="0.25">
      <c r="A1581" s="4">
        <v>43987</v>
      </c>
      <c r="B1581" t="s">
        <v>9</v>
      </c>
      <c r="C1581" t="s">
        <v>78</v>
      </c>
      <c r="F1581">
        <v>366</v>
      </c>
      <c r="J1581">
        <v>1.044</v>
      </c>
      <c r="K1581">
        <v>36.6</v>
      </c>
      <c r="L1581">
        <v>35.1</v>
      </c>
      <c r="M1581">
        <v>263</v>
      </c>
      <c r="N1581">
        <v>41</v>
      </c>
      <c r="O1581">
        <v>5</v>
      </c>
    </row>
    <row r="1582" spans="1:16" x14ac:dyDescent="0.25">
      <c r="A1582" s="4">
        <v>43990</v>
      </c>
      <c r="B1582" t="s">
        <v>10</v>
      </c>
      <c r="C1582">
        <v>1</v>
      </c>
      <c r="F1582">
        <v>303</v>
      </c>
      <c r="J1582">
        <v>0.90200000000000002</v>
      </c>
      <c r="K1582">
        <v>30.3</v>
      </c>
      <c r="L1582">
        <v>33.6</v>
      </c>
      <c r="M1582">
        <v>204</v>
      </c>
      <c r="N1582">
        <v>27</v>
      </c>
      <c r="O1582">
        <v>8</v>
      </c>
      <c r="P1582">
        <v>2</v>
      </c>
    </row>
    <row r="1583" spans="1:16" x14ac:dyDescent="0.25">
      <c r="A1583" s="4">
        <v>43990</v>
      </c>
      <c r="B1583" t="s">
        <v>9</v>
      </c>
      <c r="C1583">
        <v>1</v>
      </c>
      <c r="F1583">
        <v>355</v>
      </c>
      <c r="J1583">
        <v>0.97899999999999998</v>
      </c>
      <c r="K1583">
        <v>35.5</v>
      </c>
      <c r="L1583">
        <v>36.299999999999997</v>
      </c>
      <c r="M1583">
        <v>225</v>
      </c>
      <c r="N1583">
        <v>46</v>
      </c>
      <c r="O1583">
        <v>5</v>
      </c>
      <c r="P1583">
        <v>1</v>
      </c>
    </row>
    <row r="1584" spans="1:16" x14ac:dyDescent="0.25">
      <c r="A1584" s="4">
        <v>43990</v>
      </c>
      <c r="B1584" t="s">
        <v>10</v>
      </c>
      <c r="C1584" t="s">
        <v>78</v>
      </c>
      <c r="F1584">
        <v>303</v>
      </c>
      <c r="J1584">
        <v>0.90200000000000002</v>
      </c>
      <c r="K1584">
        <v>30.3</v>
      </c>
      <c r="L1584">
        <v>33.6</v>
      </c>
      <c r="M1584">
        <v>204</v>
      </c>
      <c r="N1584">
        <v>27</v>
      </c>
      <c r="O1584">
        <v>8</v>
      </c>
      <c r="P1584">
        <v>2</v>
      </c>
    </row>
    <row r="1585" spans="1:16" x14ac:dyDescent="0.25">
      <c r="A1585" s="4">
        <v>43990</v>
      </c>
      <c r="B1585" t="s">
        <v>9</v>
      </c>
      <c r="C1585" t="s">
        <v>78</v>
      </c>
      <c r="F1585">
        <v>355</v>
      </c>
      <c r="J1585">
        <v>0.97899999999999998</v>
      </c>
      <c r="K1585">
        <v>35.5</v>
      </c>
      <c r="L1585">
        <v>36.299999999999997</v>
      </c>
      <c r="M1585">
        <v>225</v>
      </c>
      <c r="N1585">
        <v>46</v>
      </c>
      <c r="O1585">
        <v>5</v>
      </c>
      <c r="P1585">
        <v>1</v>
      </c>
    </row>
    <row r="1586" spans="1:16" x14ac:dyDescent="0.25">
      <c r="A1586" s="4">
        <v>43991</v>
      </c>
      <c r="B1586" t="s">
        <v>10</v>
      </c>
      <c r="C1586">
        <v>1</v>
      </c>
      <c r="F1586">
        <v>314</v>
      </c>
      <c r="J1586">
        <v>0.85399999999999998</v>
      </c>
      <c r="K1586">
        <v>31.4</v>
      </c>
      <c r="L1586">
        <v>36.799999999999997</v>
      </c>
      <c r="M1586">
        <v>181</v>
      </c>
      <c r="N1586">
        <v>28</v>
      </c>
      <c r="O1586">
        <v>14</v>
      </c>
      <c r="P1586">
        <v>3</v>
      </c>
    </row>
    <row r="1587" spans="1:16" x14ac:dyDescent="0.25">
      <c r="A1587" s="4">
        <v>43991</v>
      </c>
      <c r="B1587" t="s">
        <v>9</v>
      </c>
      <c r="C1587">
        <v>1</v>
      </c>
      <c r="F1587">
        <v>408</v>
      </c>
      <c r="J1587">
        <v>1.1160000000000001</v>
      </c>
      <c r="K1587">
        <v>40.799999999999997</v>
      </c>
      <c r="L1587">
        <v>36.6</v>
      </c>
      <c r="M1587">
        <v>312</v>
      </c>
      <c r="N1587">
        <v>25</v>
      </c>
      <c r="O1587">
        <v>4</v>
      </c>
      <c r="P1587">
        <v>3</v>
      </c>
    </row>
    <row r="1588" spans="1:16" x14ac:dyDescent="0.25">
      <c r="A1588" s="4">
        <v>43991</v>
      </c>
      <c r="B1588" t="s">
        <v>10</v>
      </c>
      <c r="C1588" t="s">
        <v>78</v>
      </c>
      <c r="F1588">
        <v>314</v>
      </c>
      <c r="J1588">
        <v>0.85399999999999998</v>
      </c>
      <c r="K1588">
        <v>31.4</v>
      </c>
      <c r="L1588">
        <v>36.799999999999997</v>
      </c>
      <c r="M1588">
        <v>181</v>
      </c>
      <c r="N1588">
        <v>28</v>
      </c>
      <c r="O1588">
        <v>14</v>
      </c>
      <c r="P1588">
        <v>3</v>
      </c>
    </row>
    <row r="1589" spans="1:16" x14ac:dyDescent="0.25">
      <c r="A1589" s="4">
        <v>43991</v>
      </c>
      <c r="B1589" t="s">
        <v>9</v>
      </c>
      <c r="C1589" t="s">
        <v>78</v>
      </c>
      <c r="F1589">
        <v>408</v>
      </c>
      <c r="J1589">
        <v>1.1160000000000001</v>
      </c>
      <c r="K1589">
        <v>40.799999999999997</v>
      </c>
      <c r="L1589">
        <v>36.6</v>
      </c>
      <c r="M1589">
        <v>312</v>
      </c>
      <c r="N1589">
        <v>25</v>
      </c>
      <c r="O1589">
        <v>4</v>
      </c>
      <c r="P1589">
        <v>3</v>
      </c>
    </row>
    <row r="1590" spans="1:16" x14ac:dyDescent="0.25">
      <c r="A1590" s="4">
        <v>43992</v>
      </c>
      <c r="B1590" t="s">
        <v>10</v>
      </c>
      <c r="C1590">
        <v>1</v>
      </c>
      <c r="F1590">
        <v>329</v>
      </c>
      <c r="J1590">
        <v>0.97299999999999998</v>
      </c>
      <c r="K1590">
        <v>32.9</v>
      </c>
      <c r="L1590">
        <v>33.799999999999997</v>
      </c>
      <c r="M1590">
        <v>203</v>
      </c>
      <c r="N1590">
        <v>34</v>
      </c>
      <c r="O1590">
        <v>13</v>
      </c>
      <c r="P1590">
        <v>1</v>
      </c>
    </row>
    <row r="1591" spans="1:16" x14ac:dyDescent="0.25">
      <c r="A1591" s="4">
        <v>43992</v>
      </c>
      <c r="B1591" t="s">
        <v>9</v>
      </c>
      <c r="C1591">
        <v>1</v>
      </c>
      <c r="F1591">
        <v>415</v>
      </c>
      <c r="J1591">
        <v>1.165</v>
      </c>
      <c r="K1591">
        <v>41.5</v>
      </c>
      <c r="L1591">
        <v>35.6</v>
      </c>
      <c r="M1591">
        <v>338</v>
      </c>
      <c r="N1591">
        <v>29</v>
      </c>
      <c r="O1591">
        <v>3</v>
      </c>
    </row>
    <row r="1592" spans="1:16" x14ac:dyDescent="0.25">
      <c r="A1592" s="4">
        <v>43992</v>
      </c>
      <c r="B1592" t="s">
        <v>10</v>
      </c>
      <c r="C1592" t="s">
        <v>78</v>
      </c>
      <c r="F1592">
        <v>329</v>
      </c>
      <c r="J1592">
        <v>0.97299999999999998</v>
      </c>
      <c r="K1592">
        <v>32.9</v>
      </c>
      <c r="L1592">
        <v>33.799999999999997</v>
      </c>
      <c r="M1592">
        <v>203</v>
      </c>
      <c r="N1592">
        <v>34</v>
      </c>
      <c r="O1592">
        <v>13</v>
      </c>
      <c r="P1592">
        <v>1</v>
      </c>
    </row>
    <row r="1593" spans="1:16" x14ac:dyDescent="0.25">
      <c r="A1593" s="4">
        <v>43992</v>
      </c>
      <c r="B1593" t="s">
        <v>9</v>
      </c>
      <c r="C1593" t="s">
        <v>78</v>
      </c>
      <c r="F1593">
        <v>415</v>
      </c>
      <c r="J1593">
        <v>1.165</v>
      </c>
      <c r="K1593">
        <v>41.5</v>
      </c>
      <c r="L1593">
        <v>35.6</v>
      </c>
      <c r="M1593">
        <v>338</v>
      </c>
      <c r="N1593">
        <v>29</v>
      </c>
      <c r="O1593">
        <v>3</v>
      </c>
    </row>
    <row r="1594" spans="1:16" x14ac:dyDescent="0.25">
      <c r="A1594" s="4">
        <v>43993</v>
      </c>
      <c r="B1594" t="s">
        <v>10</v>
      </c>
      <c r="C1594">
        <v>1</v>
      </c>
      <c r="F1594">
        <v>291</v>
      </c>
      <c r="J1594">
        <v>1.109</v>
      </c>
      <c r="K1594">
        <v>36.4</v>
      </c>
      <c r="L1594">
        <v>32.799999999999997</v>
      </c>
      <c r="M1594">
        <v>205</v>
      </c>
      <c r="N1594">
        <v>29</v>
      </c>
      <c r="O1594">
        <v>4</v>
      </c>
      <c r="P1594">
        <v>2</v>
      </c>
    </row>
    <row r="1595" spans="1:16" x14ac:dyDescent="0.25">
      <c r="A1595" s="4">
        <v>43993</v>
      </c>
      <c r="B1595" t="s">
        <v>9</v>
      </c>
      <c r="C1595">
        <v>1</v>
      </c>
      <c r="F1595">
        <v>334</v>
      </c>
      <c r="J1595">
        <v>1.1659999999999999</v>
      </c>
      <c r="K1595">
        <v>41.8</v>
      </c>
      <c r="L1595">
        <v>35.799999999999997</v>
      </c>
      <c r="M1595">
        <v>260</v>
      </c>
      <c r="N1595">
        <v>14</v>
      </c>
      <c r="O1595">
        <v>7</v>
      </c>
      <c r="P1595">
        <v>2</v>
      </c>
    </row>
    <row r="1596" spans="1:16" x14ac:dyDescent="0.25">
      <c r="A1596" s="4">
        <v>43993</v>
      </c>
      <c r="B1596" t="s">
        <v>10</v>
      </c>
      <c r="C1596" t="s">
        <v>78</v>
      </c>
      <c r="F1596">
        <v>291</v>
      </c>
      <c r="J1596">
        <v>1.109</v>
      </c>
      <c r="K1596">
        <v>36.4</v>
      </c>
      <c r="L1596">
        <v>32.799999999999997</v>
      </c>
      <c r="M1596">
        <v>205</v>
      </c>
      <c r="N1596">
        <v>29</v>
      </c>
      <c r="O1596">
        <v>4</v>
      </c>
      <c r="P1596">
        <v>2</v>
      </c>
    </row>
    <row r="1597" spans="1:16" x14ac:dyDescent="0.25">
      <c r="A1597" s="4">
        <v>43993</v>
      </c>
      <c r="B1597" t="s">
        <v>9</v>
      </c>
      <c r="C1597" t="s">
        <v>78</v>
      </c>
      <c r="F1597">
        <v>334</v>
      </c>
      <c r="J1597">
        <v>1.1659999999999999</v>
      </c>
      <c r="K1597">
        <v>41.8</v>
      </c>
      <c r="L1597">
        <v>35.799999999999997</v>
      </c>
      <c r="M1597">
        <v>260</v>
      </c>
      <c r="N1597">
        <v>14</v>
      </c>
      <c r="O1597">
        <v>7</v>
      </c>
      <c r="P1597">
        <v>2</v>
      </c>
    </row>
    <row r="1598" spans="1:16" x14ac:dyDescent="0.25">
      <c r="A1598" s="4">
        <v>43994</v>
      </c>
      <c r="B1598" t="s">
        <v>10</v>
      </c>
      <c r="C1598">
        <v>1</v>
      </c>
      <c r="F1598">
        <v>257</v>
      </c>
      <c r="J1598">
        <v>0.999</v>
      </c>
      <c r="K1598">
        <v>32.1</v>
      </c>
      <c r="L1598">
        <v>32.200000000000003</v>
      </c>
      <c r="M1598">
        <v>201</v>
      </c>
      <c r="N1598">
        <v>19</v>
      </c>
      <c r="O1598">
        <v>5</v>
      </c>
    </row>
    <row r="1599" spans="1:16" x14ac:dyDescent="0.25">
      <c r="A1599" s="4">
        <v>43994</v>
      </c>
      <c r="B1599" t="s">
        <v>9</v>
      </c>
      <c r="C1599">
        <v>1</v>
      </c>
      <c r="F1599">
        <v>307</v>
      </c>
      <c r="J1599">
        <v>1.04</v>
      </c>
      <c r="K1599">
        <v>38.4</v>
      </c>
      <c r="L1599">
        <v>36.9</v>
      </c>
      <c r="M1599">
        <v>219</v>
      </c>
      <c r="N1599">
        <v>28</v>
      </c>
      <c r="O1599">
        <v>7</v>
      </c>
    </row>
    <row r="1600" spans="1:16" x14ac:dyDescent="0.25">
      <c r="A1600" s="4">
        <v>43994</v>
      </c>
      <c r="B1600" t="s">
        <v>10</v>
      </c>
      <c r="C1600" t="s">
        <v>78</v>
      </c>
      <c r="F1600">
        <v>257</v>
      </c>
      <c r="J1600">
        <v>0.999</v>
      </c>
      <c r="K1600">
        <v>32.1</v>
      </c>
      <c r="L1600">
        <v>32.200000000000003</v>
      </c>
      <c r="M1600">
        <v>201</v>
      </c>
      <c r="N1600">
        <v>19</v>
      </c>
      <c r="O1600">
        <v>5</v>
      </c>
    </row>
    <row r="1601" spans="1:16" x14ac:dyDescent="0.25">
      <c r="A1601" s="4">
        <v>43994</v>
      </c>
      <c r="B1601" t="s">
        <v>9</v>
      </c>
      <c r="C1601" t="s">
        <v>78</v>
      </c>
      <c r="F1601">
        <v>307</v>
      </c>
      <c r="J1601">
        <v>1.04</v>
      </c>
      <c r="K1601">
        <v>38.4</v>
      </c>
      <c r="L1601">
        <v>36.9</v>
      </c>
      <c r="M1601">
        <v>219</v>
      </c>
      <c r="N1601">
        <v>28</v>
      </c>
      <c r="O1601">
        <v>7</v>
      </c>
    </row>
    <row r="1602" spans="1:16" x14ac:dyDescent="0.25">
      <c r="A1602" s="4">
        <v>43997</v>
      </c>
      <c r="B1602" t="s">
        <v>10</v>
      </c>
      <c r="C1602">
        <v>1</v>
      </c>
      <c r="F1602">
        <v>281</v>
      </c>
      <c r="J1602">
        <v>1.046</v>
      </c>
      <c r="K1602">
        <v>35.1</v>
      </c>
      <c r="L1602">
        <v>33.6</v>
      </c>
      <c r="M1602">
        <v>188</v>
      </c>
      <c r="N1602">
        <v>32</v>
      </c>
      <c r="O1602">
        <v>6</v>
      </c>
      <c r="P1602">
        <v>1</v>
      </c>
    </row>
    <row r="1603" spans="1:16" x14ac:dyDescent="0.25">
      <c r="A1603" s="4">
        <v>43997</v>
      </c>
      <c r="B1603" t="s">
        <v>9</v>
      </c>
      <c r="C1603">
        <v>1</v>
      </c>
      <c r="F1603">
        <v>314</v>
      </c>
      <c r="J1603">
        <v>1.0189999999999999</v>
      </c>
      <c r="K1603">
        <v>39.299999999999997</v>
      </c>
      <c r="L1603">
        <v>38.5</v>
      </c>
      <c r="M1603">
        <v>220</v>
      </c>
      <c r="N1603">
        <v>24</v>
      </c>
      <c r="O1603">
        <v>6</v>
      </c>
      <c r="P1603">
        <v>1</v>
      </c>
    </row>
    <row r="1604" spans="1:16" x14ac:dyDescent="0.25">
      <c r="A1604" s="4">
        <v>43997</v>
      </c>
      <c r="B1604" t="s">
        <v>10</v>
      </c>
      <c r="C1604" t="s">
        <v>78</v>
      </c>
      <c r="F1604">
        <v>281</v>
      </c>
      <c r="J1604">
        <v>1.046</v>
      </c>
      <c r="K1604">
        <v>35.1</v>
      </c>
      <c r="L1604">
        <v>33.6</v>
      </c>
      <c r="M1604">
        <v>188</v>
      </c>
      <c r="N1604">
        <v>32</v>
      </c>
      <c r="O1604">
        <v>6</v>
      </c>
      <c r="P1604">
        <v>1</v>
      </c>
    </row>
    <row r="1605" spans="1:16" x14ac:dyDescent="0.25">
      <c r="A1605" s="4">
        <v>43997</v>
      </c>
      <c r="B1605" t="s">
        <v>9</v>
      </c>
      <c r="C1605" t="s">
        <v>78</v>
      </c>
      <c r="F1605">
        <v>314</v>
      </c>
      <c r="J1605">
        <v>1.0189999999999999</v>
      </c>
      <c r="K1605">
        <v>39.299999999999997</v>
      </c>
      <c r="L1605">
        <v>38.5</v>
      </c>
      <c r="M1605">
        <v>220</v>
      </c>
      <c r="N1605">
        <v>24</v>
      </c>
      <c r="O1605">
        <v>6</v>
      </c>
      <c r="P1605">
        <v>1</v>
      </c>
    </row>
    <row r="1606" spans="1:16" x14ac:dyDescent="0.25">
      <c r="A1606" s="4">
        <v>43998</v>
      </c>
      <c r="B1606" t="s">
        <v>10</v>
      </c>
      <c r="C1606">
        <v>1</v>
      </c>
      <c r="F1606">
        <v>316</v>
      </c>
      <c r="J1606">
        <v>1.143</v>
      </c>
      <c r="K1606">
        <v>39.5</v>
      </c>
      <c r="L1606">
        <v>34.6</v>
      </c>
      <c r="M1606">
        <v>210</v>
      </c>
      <c r="N1606">
        <v>31</v>
      </c>
      <c r="O1606">
        <v>12</v>
      </c>
    </row>
    <row r="1607" spans="1:16" x14ac:dyDescent="0.25">
      <c r="A1607" s="4">
        <v>43998</v>
      </c>
      <c r="B1607" t="s">
        <v>9</v>
      </c>
      <c r="C1607">
        <v>1</v>
      </c>
      <c r="F1607">
        <v>372</v>
      </c>
      <c r="J1607">
        <v>1.2490000000000001</v>
      </c>
      <c r="K1607">
        <v>46.5</v>
      </c>
      <c r="L1607">
        <v>37.200000000000003</v>
      </c>
      <c r="M1607">
        <v>283</v>
      </c>
      <c r="N1607">
        <v>23</v>
      </c>
      <c r="O1607">
        <v>9</v>
      </c>
      <c r="P1607">
        <v>1</v>
      </c>
    </row>
    <row r="1608" spans="1:16" x14ac:dyDescent="0.25">
      <c r="A1608" s="4">
        <v>43998</v>
      </c>
      <c r="B1608" t="s">
        <v>10</v>
      </c>
      <c r="C1608" t="s">
        <v>78</v>
      </c>
      <c r="F1608">
        <v>316</v>
      </c>
      <c r="J1608">
        <v>1.143</v>
      </c>
      <c r="K1608">
        <v>39.5</v>
      </c>
      <c r="L1608">
        <v>34.6</v>
      </c>
      <c r="M1608">
        <v>210</v>
      </c>
      <c r="N1608">
        <v>31</v>
      </c>
      <c r="O1608">
        <v>12</v>
      </c>
    </row>
    <row r="1609" spans="1:16" x14ac:dyDescent="0.25">
      <c r="A1609" s="4">
        <v>43998</v>
      </c>
      <c r="B1609" t="s">
        <v>9</v>
      </c>
      <c r="C1609" t="s">
        <v>78</v>
      </c>
      <c r="F1609">
        <v>372</v>
      </c>
      <c r="J1609">
        <v>1.2490000000000001</v>
      </c>
      <c r="K1609">
        <v>46.5</v>
      </c>
      <c r="L1609">
        <v>37.200000000000003</v>
      </c>
      <c r="M1609">
        <v>283</v>
      </c>
      <c r="N1609">
        <v>23</v>
      </c>
      <c r="O1609">
        <v>9</v>
      </c>
      <c r="P1609">
        <v>1</v>
      </c>
    </row>
    <row r="1610" spans="1:16" x14ac:dyDescent="0.25">
      <c r="A1610" s="4">
        <v>43999</v>
      </c>
      <c r="B1610" t="s">
        <v>10</v>
      </c>
      <c r="C1610">
        <v>1</v>
      </c>
      <c r="F1610">
        <v>314</v>
      </c>
      <c r="J1610">
        <v>1.2010000000000001</v>
      </c>
      <c r="K1610">
        <v>39.299999999999997</v>
      </c>
      <c r="L1610">
        <v>32.700000000000003</v>
      </c>
      <c r="M1610">
        <v>216</v>
      </c>
      <c r="N1610">
        <v>31</v>
      </c>
      <c r="O1610">
        <v>8</v>
      </c>
    </row>
    <row r="1611" spans="1:16" x14ac:dyDescent="0.25">
      <c r="A1611" s="4">
        <v>43999</v>
      </c>
      <c r="B1611" t="s">
        <v>9</v>
      </c>
      <c r="C1611">
        <v>1</v>
      </c>
      <c r="F1611">
        <v>344</v>
      </c>
      <c r="J1611">
        <v>1.1539999999999999</v>
      </c>
      <c r="K1611">
        <v>43</v>
      </c>
      <c r="L1611">
        <v>37.299999999999997</v>
      </c>
      <c r="M1611">
        <v>244</v>
      </c>
      <c r="N1611">
        <v>29</v>
      </c>
      <c r="O1611">
        <v>5</v>
      </c>
      <c r="P1611">
        <v>2</v>
      </c>
    </row>
    <row r="1612" spans="1:16" x14ac:dyDescent="0.25">
      <c r="A1612" s="4">
        <v>43999</v>
      </c>
      <c r="B1612" t="s">
        <v>10</v>
      </c>
      <c r="C1612" t="s">
        <v>78</v>
      </c>
      <c r="F1612">
        <v>314</v>
      </c>
      <c r="J1612">
        <v>1.2010000000000001</v>
      </c>
      <c r="K1612">
        <v>39.299999999999997</v>
      </c>
      <c r="L1612">
        <v>32.700000000000003</v>
      </c>
      <c r="M1612">
        <v>216</v>
      </c>
      <c r="N1612">
        <v>31</v>
      </c>
      <c r="O1612">
        <v>8</v>
      </c>
    </row>
    <row r="1613" spans="1:16" x14ac:dyDescent="0.25">
      <c r="A1613" s="4">
        <v>43999</v>
      </c>
      <c r="B1613" t="s">
        <v>9</v>
      </c>
      <c r="C1613" t="s">
        <v>78</v>
      </c>
      <c r="F1613">
        <v>344</v>
      </c>
      <c r="J1613">
        <v>1.1539999999999999</v>
      </c>
      <c r="K1613">
        <v>43</v>
      </c>
      <c r="L1613">
        <v>37.299999999999997</v>
      </c>
      <c r="M1613">
        <v>244</v>
      </c>
      <c r="N1613">
        <v>29</v>
      </c>
      <c r="O1613">
        <v>5</v>
      </c>
      <c r="P1613">
        <v>2</v>
      </c>
    </row>
    <row r="1614" spans="1:16" x14ac:dyDescent="0.25">
      <c r="A1614" s="4">
        <v>44000</v>
      </c>
      <c r="B1614" t="s">
        <v>10</v>
      </c>
      <c r="C1614">
        <v>1</v>
      </c>
      <c r="F1614">
        <v>330</v>
      </c>
      <c r="J1614">
        <v>1.2769999999999999</v>
      </c>
      <c r="K1614">
        <v>41.3</v>
      </c>
      <c r="L1614">
        <v>32.299999999999997</v>
      </c>
      <c r="M1614">
        <v>241</v>
      </c>
      <c r="N1614">
        <v>26</v>
      </c>
      <c r="O1614">
        <v>9</v>
      </c>
    </row>
    <row r="1615" spans="1:16" x14ac:dyDescent="0.25">
      <c r="A1615" s="4">
        <v>44000</v>
      </c>
      <c r="B1615" t="s">
        <v>9</v>
      </c>
      <c r="C1615">
        <v>1</v>
      </c>
      <c r="F1615">
        <v>344</v>
      </c>
      <c r="J1615">
        <v>1.204</v>
      </c>
      <c r="K1615">
        <v>43</v>
      </c>
      <c r="L1615">
        <v>35.700000000000003</v>
      </c>
      <c r="M1615">
        <v>263</v>
      </c>
      <c r="N1615">
        <v>25</v>
      </c>
      <c r="O1615">
        <v>6</v>
      </c>
    </row>
    <row r="1616" spans="1:16" x14ac:dyDescent="0.25">
      <c r="A1616" s="4">
        <v>44000</v>
      </c>
      <c r="B1616" t="s">
        <v>10</v>
      </c>
      <c r="C1616" t="s">
        <v>78</v>
      </c>
      <c r="F1616">
        <v>330</v>
      </c>
      <c r="J1616">
        <v>1.2769999999999999</v>
      </c>
      <c r="K1616">
        <v>41.3</v>
      </c>
      <c r="L1616">
        <v>32.299999999999997</v>
      </c>
      <c r="M1616">
        <v>241</v>
      </c>
      <c r="N1616">
        <v>26</v>
      </c>
      <c r="O1616">
        <v>9</v>
      </c>
    </row>
    <row r="1617" spans="1:16" x14ac:dyDescent="0.25">
      <c r="A1617" s="4">
        <v>44000</v>
      </c>
      <c r="B1617" t="s">
        <v>9</v>
      </c>
      <c r="C1617" t="s">
        <v>78</v>
      </c>
      <c r="F1617">
        <v>344</v>
      </c>
      <c r="J1617">
        <v>1.204</v>
      </c>
      <c r="K1617">
        <v>43</v>
      </c>
      <c r="L1617">
        <v>35.700000000000003</v>
      </c>
      <c r="M1617">
        <v>263</v>
      </c>
      <c r="N1617">
        <v>25</v>
      </c>
      <c r="O1617">
        <v>6</v>
      </c>
    </row>
    <row r="1618" spans="1:16" x14ac:dyDescent="0.25">
      <c r="A1618" s="4">
        <v>44001</v>
      </c>
      <c r="B1618" t="s">
        <v>10</v>
      </c>
      <c r="C1618">
        <v>1</v>
      </c>
      <c r="F1618">
        <v>301</v>
      </c>
      <c r="J1618">
        <v>1.151</v>
      </c>
      <c r="K1618">
        <v>37.6</v>
      </c>
      <c r="L1618">
        <v>32.700000000000003</v>
      </c>
      <c r="M1618">
        <v>218</v>
      </c>
      <c r="N1618">
        <v>25</v>
      </c>
      <c r="O1618">
        <v>4</v>
      </c>
      <c r="P1618">
        <v>1</v>
      </c>
    </row>
    <row r="1619" spans="1:16" x14ac:dyDescent="0.25">
      <c r="A1619" s="4">
        <v>44001</v>
      </c>
      <c r="B1619" t="s">
        <v>9</v>
      </c>
      <c r="C1619">
        <v>1</v>
      </c>
      <c r="F1619">
        <v>341</v>
      </c>
      <c r="J1619">
        <v>1.2</v>
      </c>
      <c r="K1619">
        <v>42.6</v>
      </c>
      <c r="L1619">
        <v>35.5</v>
      </c>
      <c r="M1619">
        <v>269</v>
      </c>
      <c r="N1619">
        <v>26</v>
      </c>
      <c r="O1619">
        <v>1</v>
      </c>
      <c r="P1619">
        <v>1</v>
      </c>
    </row>
    <row r="1620" spans="1:16" x14ac:dyDescent="0.25">
      <c r="A1620" s="4">
        <v>44001</v>
      </c>
      <c r="B1620" t="s">
        <v>10</v>
      </c>
      <c r="C1620" t="s">
        <v>78</v>
      </c>
      <c r="F1620">
        <v>301</v>
      </c>
      <c r="J1620">
        <v>1.151</v>
      </c>
      <c r="K1620">
        <v>37.6</v>
      </c>
      <c r="L1620">
        <v>32.700000000000003</v>
      </c>
      <c r="M1620">
        <v>218</v>
      </c>
      <c r="N1620">
        <v>25</v>
      </c>
      <c r="O1620">
        <v>4</v>
      </c>
      <c r="P1620">
        <v>1</v>
      </c>
    </row>
    <row r="1621" spans="1:16" x14ac:dyDescent="0.25">
      <c r="A1621" s="4">
        <v>44001</v>
      </c>
      <c r="B1621" t="s">
        <v>9</v>
      </c>
      <c r="C1621" t="s">
        <v>78</v>
      </c>
      <c r="F1621">
        <v>341</v>
      </c>
      <c r="J1621">
        <v>1.2</v>
      </c>
      <c r="K1621">
        <v>42.6</v>
      </c>
      <c r="L1621">
        <v>35.5</v>
      </c>
      <c r="M1621">
        <v>269</v>
      </c>
      <c r="N1621">
        <v>26</v>
      </c>
      <c r="O1621">
        <v>1</v>
      </c>
      <c r="P1621">
        <v>1</v>
      </c>
    </row>
    <row r="1622" spans="1:16" x14ac:dyDescent="0.25">
      <c r="A1622" s="4">
        <v>44004</v>
      </c>
      <c r="B1622" t="s">
        <v>9</v>
      </c>
      <c r="C1622">
        <v>1</v>
      </c>
      <c r="F1622">
        <v>329</v>
      </c>
      <c r="J1622">
        <v>1.071</v>
      </c>
      <c r="K1622">
        <v>41.1</v>
      </c>
      <c r="L1622">
        <v>38.4</v>
      </c>
      <c r="M1622">
        <v>213</v>
      </c>
      <c r="N1622">
        <v>21</v>
      </c>
      <c r="O1622">
        <v>13</v>
      </c>
      <c r="P1622">
        <v>3</v>
      </c>
    </row>
    <row r="1623" spans="1:16" x14ac:dyDescent="0.25">
      <c r="A1623" s="4">
        <v>44004</v>
      </c>
      <c r="B1623" t="s">
        <v>9</v>
      </c>
      <c r="C1623" t="s">
        <v>78</v>
      </c>
      <c r="F1623">
        <v>329</v>
      </c>
      <c r="J1623">
        <v>1.071</v>
      </c>
      <c r="K1623">
        <v>41.1</v>
      </c>
      <c r="L1623">
        <v>38.4</v>
      </c>
      <c r="M1623">
        <v>213</v>
      </c>
      <c r="N1623">
        <v>21</v>
      </c>
      <c r="O1623">
        <v>13</v>
      </c>
      <c r="P1623">
        <v>3</v>
      </c>
    </row>
    <row r="1624" spans="1:16" x14ac:dyDescent="0.25">
      <c r="A1624" s="4">
        <v>44005</v>
      </c>
      <c r="B1624" t="s">
        <v>10</v>
      </c>
      <c r="C1624">
        <v>1</v>
      </c>
      <c r="F1624">
        <v>343</v>
      </c>
      <c r="J1624">
        <v>0.996</v>
      </c>
      <c r="K1624">
        <v>34.299999999999997</v>
      </c>
      <c r="L1624">
        <v>34.4</v>
      </c>
      <c r="M1624">
        <v>193</v>
      </c>
      <c r="N1624">
        <v>44</v>
      </c>
      <c r="O1624">
        <v>13</v>
      </c>
      <c r="P1624">
        <v>1</v>
      </c>
    </row>
    <row r="1625" spans="1:16" x14ac:dyDescent="0.25">
      <c r="A1625" s="4">
        <v>44005</v>
      </c>
      <c r="B1625" t="s">
        <v>9</v>
      </c>
      <c r="C1625">
        <v>1</v>
      </c>
      <c r="F1625">
        <v>365</v>
      </c>
      <c r="J1625">
        <v>1.0009999999999999</v>
      </c>
      <c r="K1625">
        <v>36.5</v>
      </c>
      <c r="L1625">
        <v>36.5</v>
      </c>
      <c r="M1625">
        <v>246</v>
      </c>
      <c r="N1625">
        <v>39</v>
      </c>
      <c r="O1625">
        <v>8</v>
      </c>
    </row>
    <row r="1626" spans="1:16" x14ac:dyDescent="0.25">
      <c r="A1626" s="4">
        <v>44005</v>
      </c>
      <c r="B1626" t="s">
        <v>10</v>
      </c>
      <c r="C1626" t="s">
        <v>78</v>
      </c>
      <c r="F1626">
        <v>343</v>
      </c>
      <c r="J1626">
        <v>0.996</v>
      </c>
      <c r="K1626">
        <v>34.299999999999997</v>
      </c>
      <c r="L1626">
        <v>34.4</v>
      </c>
      <c r="M1626">
        <v>193</v>
      </c>
      <c r="N1626">
        <v>44</v>
      </c>
      <c r="O1626">
        <v>13</v>
      </c>
      <c r="P1626">
        <v>1</v>
      </c>
    </row>
    <row r="1627" spans="1:16" x14ac:dyDescent="0.25">
      <c r="A1627" s="4">
        <v>44005</v>
      </c>
      <c r="B1627" t="s">
        <v>9</v>
      </c>
      <c r="C1627" t="s">
        <v>78</v>
      </c>
      <c r="F1627">
        <v>365</v>
      </c>
      <c r="J1627">
        <v>1.0009999999999999</v>
      </c>
      <c r="K1627">
        <v>36.5</v>
      </c>
      <c r="L1627">
        <v>36.5</v>
      </c>
      <c r="M1627">
        <v>246</v>
      </c>
      <c r="N1627">
        <v>39</v>
      </c>
      <c r="O1627">
        <v>8</v>
      </c>
    </row>
    <row r="1628" spans="1:16" x14ac:dyDescent="0.25">
      <c r="A1628" s="4">
        <v>44006</v>
      </c>
      <c r="B1628" t="s">
        <v>10</v>
      </c>
      <c r="C1628">
        <v>1</v>
      </c>
      <c r="F1628">
        <v>360</v>
      </c>
      <c r="J1628">
        <v>1.0429999999999999</v>
      </c>
      <c r="K1628">
        <v>36</v>
      </c>
      <c r="L1628">
        <v>34.5</v>
      </c>
      <c r="M1628">
        <v>192</v>
      </c>
      <c r="N1628">
        <v>52</v>
      </c>
      <c r="O1628">
        <v>15</v>
      </c>
      <c r="P1628">
        <v>1</v>
      </c>
    </row>
    <row r="1629" spans="1:16" x14ac:dyDescent="0.25">
      <c r="A1629" s="4">
        <v>44006</v>
      </c>
      <c r="B1629" t="s">
        <v>9</v>
      </c>
      <c r="C1629">
        <v>1</v>
      </c>
      <c r="F1629">
        <v>423</v>
      </c>
      <c r="J1629">
        <v>1.1910000000000001</v>
      </c>
      <c r="K1629">
        <v>42.3</v>
      </c>
      <c r="L1629">
        <v>35.5</v>
      </c>
      <c r="M1629">
        <v>317</v>
      </c>
      <c r="N1629">
        <v>31</v>
      </c>
      <c r="O1629">
        <v>8</v>
      </c>
      <c r="P1629">
        <v>1</v>
      </c>
    </row>
    <row r="1630" spans="1:16" x14ac:dyDescent="0.25">
      <c r="A1630" s="4">
        <v>44006</v>
      </c>
      <c r="B1630" t="s">
        <v>10</v>
      </c>
      <c r="C1630" t="s">
        <v>78</v>
      </c>
      <c r="F1630">
        <v>360</v>
      </c>
      <c r="J1630">
        <v>1.0429999999999999</v>
      </c>
      <c r="K1630">
        <v>36</v>
      </c>
      <c r="L1630">
        <v>34.5</v>
      </c>
      <c r="M1630">
        <v>192</v>
      </c>
      <c r="N1630">
        <v>52</v>
      </c>
      <c r="O1630">
        <v>15</v>
      </c>
      <c r="P1630">
        <v>1</v>
      </c>
    </row>
    <row r="1631" spans="1:16" x14ac:dyDescent="0.25">
      <c r="A1631" s="4">
        <v>44006</v>
      </c>
      <c r="B1631" t="s">
        <v>9</v>
      </c>
      <c r="C1631" t="s">
        <v>78</v>
      </c>
      <c r="F1631">
        <v>423</v>
      </c>
      <c r="J1631">
        <v>1.1910000000000001</v>
      </c>
      <c r="K1631">
        <v>42.3</v>
      </c>
      <c r="L1631">
        <v>35.5</v>
      </c>
      <c r="M1631">
        <v>317</v>
      </c>
      <c r="N1631">
        <v>31</v>
      </c>
      <c r="O1631">
        <v>8</v>
      </c>
      <c r="P1631">
        <v>1</v>
      </c>
    </row>
    <row r="1632" spans="1:16" x14ac:dyDescent="0.25">
      <c r="A1632" s="4">
        <v>44007</v>
      </c>
      <c r="B1632" t="s">
        <v>10</v>
      </c>
      <c r="C1632">
        <v>1</v>
      </c>
      <c r="F1632">
        <v>313</v>
      </c>
      <c r="J1632">
        <v>0.90700000000000003</v>
      </c>
      <c r="K1632">
        <v>31.3</v>
      </c>
      <c r="L1632">
        <v>34.5</v>
      </c>
      <c r="M1632">
        <v>193</v>
      </c>
      <c r="N1632">
        <v>25</v>
      </c>
      <c r="O1632">
        <v>17</v>
      </c>
      <c r="P1632">
        <v>1</v>
      </c>
    </row>
    <row r="1633" spans="1:16" x14ac:dyDescent="0.25">
      <c r="A1633" s="4">
        <v>44007</v>
      </c>
      <c r="B1633" t="s">
        <v>9</v>
      </c>
      <c r="C1633">
        <v>1</v>
      </c>
      <c r="F1633">
        <v>392</v>
      </c>
      <c r="J1633">
        <v>1.0820000000000001</v>
      </c>
      <c r="K1633">
        <v>39.200000000000003</v>
      </c>
      <c r="L1633">
        <v>36.200000000000003</v>
      </c>
      <c r="M1633">
        <v>277</v>
      </c>
      <c r="N1633">
        <v>36</v>
      </c>
      <c r="O1633">
        <v>11</v>
      </c>
    </row>
    <row r="1634" spans="1:16" x14ac:dyDescent="0.25">
      <c r="A1634" s="4">
        <v>44007</v>
      </c>
      <c r="B1634" t="s">
        <v>10</v>
      </c>
      <c r="C1634" t="s">
        <v>78</v>
      </c>
      <c r="F1634">
        <v>313</v>
      </c>
      <c r="J1634">
        <v>0.90700000000000003</v>
      </c>
      <c r="K1634">
        <v>31.3</v>
      </c>
      <c r="L1634">
        <v>34.5</v>
      </c>
      <c r="M1634">
        <v>193</v>
      </c>
      <c r="N1634">
        <v>25</v>
      </c>
      <c r="O1634">
        <v>17</v>
      </c>
      <c r="P1634">
        <v>1</v>
      </c>
    </row>
    <row r="1635" spans="1:16" x14ac:dyDescent="0.25">
      <c r="A1635" s="4">
        <v>44007</v>
      </c>
      <c r="B1635" t="s">
        <v>9</v>
      </c>
      <c r="C1635" t="s">
        <v>78</v>
      </c>
      <c r="F1635">
        <v>392</v>
      </c>
      <c r="J1635">
        <v>1.0820000000000001</v>
      </c>
      <c r="K1635">
        <v>39.200000000000003</v>
      </c>
      <c r="L1635">
        <v>36.200000000000003</v>
      </c>
      <c r="M1635">
        <v>277</v>
      </c>
      <c r="N1635">
        <v>36</v>
      </c>
      <c r="O1635">
        <v>11</v>
      </c>
    </row>
    <row r="1636" spans="1:16" x14ac:dyDescent="0.25">
      <c r="A1636" s="4">
        <v>44008</v>
      </c>
      <c r="B1636" t="s">
        <v>10</v>
      </c>
      <c r="C1636">
        <v>1</v>
      </c>
      <c r="F1636">
        <v>335</v>
      </c>
      <c r="J1636">
        <v>1.165</v>
      </c>
      <c r="K1636">
        <v>37.200000000000003</v>
      </c>
      <c r="L1636">
        <v>32</v>
      </c>
      <c r="M1636">
        <v>244</v>
      </c>
      <c r="N1636">
        <v>28</v>
      </c>
      <c r="O1636">
        <v>8</v>
      </c>
    </row>
    <row r="1637" spans="1:16" x14ac:dyDescent="0.25">
      <c r="A1637" s="4">
        <v>44008</v>
      </c>
      <c r="B1637" t="s">
        <v>9</v>
      </c>
      <c r="C1637">
        <v>1</v>
      </c>
      <c r="F1637">
        <v>340</v>
      </c>
      <c r="J1637">
        <v>1.028</v>
      </c>
      <c r="K1637">
        <v>37.799999999999997</v>
      </c>
      <c r="L1637">
        <v>36.799999999999997</v>
      </c>
      <c r="M1637">
        <v>258</v>
      </c>
      <c r="N1637">
        <v>19</v>
      </c>
      <c r="O1637">
        <v>6</v>
      </c>
      <c r="P1637">
        <v>2</v>
      </c>
    </row>
    <row r="1638" spans="1:16" x14ac:dyDescent="0.25">
      <c r="A1638" s="4">
        <v>44008</v>
      </c>
      <c r="B1638" t="s">
        <v>10</v>
      </c>
      <c r="C1638" t="s">
        <v>78</v>
      </c>
      <c r="F1638">
        <v>335</v>
      </c>
      <c r="J1638">
        <v>1.165</v>
      </c>
      <c r="K1638">
        <v>37.200000000000003</v>
      </c>
      <c r="L1638">
        <v>32</v>
      </c>
      <c r="M1638">
        <v>244</v>
      </c>
      <c r="N1638">
        <v>28</v>
      </c>
      <c r="O1638">
        <v>8</v>
      </c>
    </row>
    <row r="1639" spans="1:16" x14ac:dyDescent="0.25">
      <c r="A1639" s="4">
        <v>44008</v>
      </c>
      <c r="B1639" t="s">
        <v>9</v>
      </c>
      <c r="C1639" t="s">
        <v>78</v>
      </c>
      <c r="F1639">
        <v>340</v>
      </c>
      <c r="J1639">
        <v>1.028</v>
      </c>
      <c r="K1639">
        <v>37.799999999999997</v>
      </c>
      <c r="L1639">
        <v>36.799999999999997</v>
      </c>
      <c r="M1639">
        <v>258</v>
      </c>
      <c r="N1639">
        <v>19</v>
      </c>
      <c r="O1639">
        <v>6</v>
      </c>
      <c r="P1639">
        <v>2</v>
      </c>
    </row>
    <row r="1640" spans="1:16" x14ac:dyDescent="0.25">
      <c r="A1640" s="4">
        <v>44011</v>
      </c>
      <c r="B1640" t="s">
        <v>10</v>
      </c>
      <c r="C1640">
        <v>1</v>
      </c>
      <c r="F1640">
        <v>76</v>
      </c>
      <c r="J1640">
        <v>1.157</v>
      </c>
      <c r="K1640">
        <v>38</v>
      </c>
      <c r="L1640">
        <v>32.799999999999997</v>
      </c>
      <c r="M1640">
        <v>48</v>
      </c>
      <c r="N1640">
        <v>9</v>
      </c>
      <c r="O1640">
        <v>3</v>
      </c>
    </row>
    <row r="1641" spans="1:16" x14ac:dyDescent="0.25">
      <c r="A1641" s="4">
        <v>44011</v>
      </c>
      <c r="B1641" t="s">
        <v>9</v>
      </c>
      <c r="C1641">
        <v>1</v>
      </c>
      <c r="F1641">
        <v>335</v>
      </c>
      <c r="J1641">
        <v>1.3029999999999999</v>
      </c>
      <c r="K1641">
        <v>49.3</v>
      </c>
      <c r="L1641">
        <v>37.799999999999997</v>
      </c>
      <c r="M1641">
        <v>221</v>
      </c>
      <c r="N1641">
        <v>33</v>
      </c>
      <c r="O1641">
        <v>9</v>
      </c>
      <c r="P1641">
        <v>2</v>
      </c>
    </row>
    <row r="1642" spans="1:16" x14ac:dyDescent="0.25">
      <c r="A1642" s="4">
        <v>44011</v>
      </c>
      <c r="B1642" t="s">
        <v>10</v>
      </c>
      <c r="C1642" t="s">
        <v>78</v>
      </c>
      <c r="F1642">
        <v>76</v>
      </c>
      <c r="J1642">
        <v>1.157</v>
      </c>
      <c r="K1642">
        <v>38</v>
      </c>
      <c r="L1642">
        <v>32.799999999999997</v>
      </c>
      <c r="M1642">
        <v>48</v>
      </c>
      <c r="N1642">
        <v>9</v>
      </c>
      <c r="O1642">
        <v>3</v>
      </c>
    </row>
    <row r="1643" spans="1:16" x14ac:dyDescent="0.25">
      <c r="A1643" s="4">
        <v>44011</v>
      </c>
      <c r="B1643" t="s">
        <v>9</v>
      </c>
      <c r="C1643" t="s">
        <v>78</v>
      </c>
      <c r="F1643">
        <v>335</v>
      </c>
      <c r="J1643">
        <v>1.3029999999999999</v>
      </c>
      <c r="K1643">
        <v>49.3</v>
      </c>
      <c r="L1643">
        <v>37.799999999999997</v>
      </c>
      <c r="M1643">
        <v>221</v>
      </c>
      <c r="N1643">
        <v>33</v>
      </c>
      <c r="O1643">
        <v>9</v>
      </c>
      <c r="P1643">
        <v>2</v>
      </c>
    </row>
    <row r="1644" spans="1:16" x14ac:dyDescent="0.25">
      <c r="A1644" s="4">
        <v>44012</v>
      </c>
      <c r="B1644" t="s">
        <v>10</v>
      </c>
      <c r="C1644">
        <v>1</v>
      </c>
      <c r="F1644">
        <v>317</v>
      </c>
      <c r="J1644">
        <v>0.91800000000000004</v>
      </c>
      <c r="K1644">
        <v>31.7</v>
      </c>
      <c r="L1644">
        <v>34.5</v>
      </c>
      <c r="M1644">
        <v>174</v>
      </c>
      <c r="N1644">
        <v>35</v>
      </c>
      <c r="O1644">
        <v>20</v>
      </c>
    </row>
    <row r="1645" spans="1:16" x14ac:dyDescent="0.25">
      <c r="A1645" s="4">
        <v>44012</v>
      </c>
      <c r="B1645" t="s">
        <v>9</v>
      </c>
      <c r="C1645">
        <v>1</v>
      </c>
      <c r="F1645">
        <v>370</v>
      </c>
      <c r="J1645">
        <v>1.0129999999999999</v>
      </c>
      <c r="K1645">
        <v>37</v>
      </c>
      <c r="L1645">
        <v>36.5</v>
      </c>
      <c r="M1645">
        <v>288</v>
      </c>
      <c r="N1645">
        <v>23</v>
      </c>
      <c r="O1645">
        <v>5</v>
      </c>
      <c r="P1645">
        <v>1</v>
      </c>
    </row>
    <row r="1646" spans="1:16" x14ac:dyDescent="0.25">
      <c r="A1646" s="4">
        <v>44012</v>
      </c>
      <c r="B1646" t="s">
        <v>10</v>
      </c>
      <c r="C1646" t="s">
        <v>78</v>
      </c>
      <c r="F1646">
        <v>317</v>
      </c>
      <c r="J1646">
        <v>0.91800000000000004</v>
      </c>
      <c r="K1646">
        <v>31.7</v>
      </c>
      <c r="L1646">
        <v>34.5</v>
      </c>
      <c r="M1646">
        <v>174</v>
      </c>
      <c r="N1646">
        <v>35</v>
      </c>
      <c r="O1646">
        <v>20</v>
      </c>
    </row>
    <row r="1647" spans="1:16" x14ac:dyDescent="0.25">
      <c r="A1647" s="4">
        <v>44012</v>
      </c>
      <c r="B1647" t="s">
        <v>9</v>
      </c>
      <c r="C1647" t="s">
        <v>78</v>
      </c>
      <c r="F1647">
        <v>370</v>
      </c>
      <c r="J1647">
        <v>1.0129999999999999</v>
      </c>
      <c r="K1647">
        <v>37</v>
      </c>
      <c r="L1647">
        <v>36.5</v>
      </c>
      <c r="M1647">
        <v>288</v>
      </c>
      <c r="N1647">
        <v>23</v>
      </c>
      <c r="O1647">
        <v>5</v>
      </c>
      <c r="P1647">
        <v>1</v>
      </c>
    </row>
    <row r="1648" spans="1:16" x14ac:dyDescent="0.25">
      <c r="A1648" s="4">
        <v>44013</v>
      </c>
      <c r="B1648" t="s">
        <v>10</v>
      </c>
      <c r="C1648">
        <v>1</v>
      </c>
      <c r="F1648">
        <v>368</v>
      </c>
      <c r="J1648">
        <v>1.1080000000000001</v>
      </c>
      <c r="K1648">
        <v>36.799999999999997</v>
      </c>
      <c r="L1648">
        <v>33.200000000000003</v>
      </c>
      <c r="M1648">
        <v>221</v>
      </c>
      <c r="N1648">
        <v>52</v>
      </c>
      <c r="O1648">
        <v>10</v>
      </c>
    </row>
    <row r="1649" spans="1:16" x14ac:dyDescent="0.25">
      <c r="A1649" s="4">
        <v>44013</v>
      </c>
      <c r="B1649" t="s">
        <v>9</v>
      </c>
      <c r="C1649">
        <v>1</v>
      </c>
      <c r="F1649">
        <v>391</v>
      </c>
      <c r="J1649">
        <v>1.077</v>
      </c>
      <c r="K1649">
        <v>39.1</v>
      </c>
      <c r="L1649">
        <v>36.200000000000003</v>
      </c>
      <c r="M1649">
        <v>303</v>
      </c>
      <c r="N1649">
        <v>28</v>
      </c>
      <c r="O1649">
        <v>4</v>
      </c>
      <c r="P1649">
        <v>1</v>
      </c>
    </row>
    <row r="1650" spans="1:16" x14ac:dyDescent="0.25">
      <c r="A1650" s="4">
        <v>44013</v>
      </c>
      <c r="B1650" t="s">
        <v>10</v>
      </c>
      <c r="C1650" t="s">
        <v>78</v>
      </c>
      <c r="F1650">
        <v>368</v>
      </c>
      <c r="J1650">
        <v>1.1080000000000001</v>
      </c>
      <c r="K1650">
        <v>36.799999999999997</v>
      </c>
      <c r="L1650">
        <v>33.200000000000003</v>
      </c>
      <c r="M1650">
        <v>221</v>
      </c>
      <c r="N1650">
        <v>52</v>
      </c>
      <c r="O1650">
        <v>10</v>
      </c>
    </row>
    <row r="1651" spans="1:16" x14ac:dyDescent="0.25">
      <c r="A1651" s="4">
        <v>44013</v>
      </c>
      <c r="B1651" t="s">
        <v>9</v>
      </c>
      <c r="C1651" t="s">
        <v>78</v>
      </c>
      <c r="F1651">
        <v>391</v>
      </c>
      <c r="J1651">
        <v>1.077</v>
      </c>
      <c r="K1651">
        <v>39.1</v>
      </c>
      <c r="L1651">
        <v>36.200000000000003</v>
      </c>
      <c r="M1651">
        <v>303</v>
      </c>
      <c r="N1651">
        <v>28</v>
      </c>
      <c r="O1651">
        <v>4</v>
      </c>
      <c r="P1651">
        <v>1</v>
      </c>
    </row>
    <row r="1652" spans="1:16" x14ac:dyDescent="0.25">
      <c r="A1652" s="4">
        <v>44014</v>
      </c>
      <c r="B1652" t="s">
        <v>10</v>
      </c>
      <c r="C1652">
        <v>1</v>
      </c>
      <c r="F1652">
        <v>279</v>
      </c>
      <c r="J1652">
        <v>0.81799999999999995</v>
      </c>
      <c r="K1652">
        <v>27.9</v>
      </c>
      <c r="L1652">
        <v>34.1</v>
      </c>
      <c r="M1652">
        <v>167</v>
      </c>
      <c r="N1652">
        <v>32</v>
      </c>
      <c r="O1652">
        <v>7</v>
      </c>
      <c r="P1652">
        <v>2</v>
      </c>
    </row>
    <row r="1653" spans="1:16" x14ac:dyDescent="0.25">
      <c r="A1653" s="4">
        <v>44014</v>
      </c>
      <c r="B1653" t="s">
        <v>9</v>
      </c>
      <c r="C1653">
        <v>1</v>
      </c>
      <c r="F1653">
        <v>357</v>
      </c>
      <c r="J1653">
        <v>1.0149999999999999</v>
      </c>
      <c r="K1653">
        <v>35.700000000000003</v>
      </c>
      <c r="L1653">
        <v>35.200000000000003</v>
      </c>
      <c r="M1653">
        <v>297</v>
      </c>
      <c r="N1653">
        <v>22</v>
      </c>
      <c r="O1653">
        <v>5</v>
      </c>
    </row>
    <row r="1654" spans="1:16" x14ac:dyDescent="0.25">
      <c r="A1654" s="4">
        <v>44014</v>
      </c>
      <c r="B1654" t="s">
        <v>10</v>
      </c>
      <c r="C1654" t="s">
        <v>78</v>
      </c>
      <c r="F1654">
        <v>279</v>
      </c>
      <c r="J1654">
        <v>0.81799999999999995</v>
      </c>
      <c r="K1654">
        <v>27.9</v>
      </c>
      <c r="L1654">
        <v>34.1</v>
      </c>
      <c r="M1654">
        <v>167</v>
      </c>
      <c r="N1654">
        <v>32</v>
      </c>
      <c r="O1654">
        <v>7</v>
      </c>
      <c r="P1654">
        <v>2</v>
      </c>
    </row>
    <row r="1655" spans="1:16" x14ac:dyDescent="0.25">
      <c r="A1655" s="4">
        <v>44014</v>
      </c>
      <c r="B1655" t="s">
        <v>9</v>
      </c>
      <c r="C1655" t="s">
        <v>78</v>
      </c>
      <c r="F1655">
        <v>357</v>
      </c>
      <c r="J1655">
        <v>1.0149999999999999</v>
      </c>
      <c r="K1655">
        <v>35.700000000000003</v>
      </c>
      <c r="L1655">
        <v>35.200000000000003</v>
      </c>
      <c r="M1655">
        <v>297</v>
      </c>
      <c r="N1655">
        <v>22</v>
      </c>
      <c r="O1655">
        <v>5</v>
      </c>
    </row>
    <row r="1656" spans="1:16" x14ac:dyDescent="0.25">
      <c r="A1656" s="4">
        <v>44018</v>
      </c>
      <c r="B1656" t="s">
        <v>10</v>
      </c>
      <c r="C1656">
        <v>1</v>
      </c>
      <c r="F1656">
        <v>230</v>
      </c>
      <c r="J1656">
        <v>0.86799999999999999</v>
      </c>
      <c r="K1656">
        <v>28.8</v>
      </c>
      <c r="L1656">
        <v>33.1</v>
      </c>
      <c r="M1656">
        <v>140</v>
      </c>
      <c r="N1656">
        <v>35</v>
      </c>
      <c r="O1656">
        <v>4</v>
      </c>
      <c r="P1656">
        <v>1</v>
      </c>
    </row>
    <row r="1657" spans="1:16" x14ac:dyDescent="0.25">
      <c r="A1657" s="4">
        <v>44018</v>
      </c>
      <c r="B1657" t="s">
        <v>9</v>
      </c>
      <c r="C1657">
        <v>1</v>
      </c>
      <c r="F1657">
        <v>317</v>
      </c>
      <c r="J1657">
        <v>1.083</v>
      </c>
      <c r="K1657">
        <v>39.6</v>
      </c>
      <c r="L1657">
        <v>36.6</v>
      </c>
      <c r="M1657">
        <v>234</v>
      </c>
      <c r="N1657">
        <v>25</v>
      </c>
      <c r="O1657">
        <v>7</v>
      </c>
    </row>
    <row r="1658" spans="1:16" x14ac:dyDescent="0.25">
      <c r="A1658" s="4">
        <v>44018</v>
      </c>
      <c r="B1658" t="s">
        <v>10</v>
      </c>
      <c r="C1658" t="s">
        <v>78</v>
      </c>
      <c r="F1658">
        <v>230</v>
      </c>
      <c r="J1658">
        <v>0.86799999999999999</v>
      </c>
      <c r="K1658">
        <v>28.8</v>
      </c>
      <c r="L1658">
        <v>33.1</v>
      </c>
      <c r="M1658">
        <v>140</v>
      </c>
      <c r="N1658">
        <v>35</v>
      </c>
      <c r="O1658">
        <v>4</v>
      </c>
      <c r="P1658">
        <v>1</v>
      </c>
    </row>
    <row r="1659" spans="1:16" x14ac:dyDescent="0.25">
      <c r="A1659" s="4">
        <v>44018</v>
      </c>
      <c r="B1659" t="s">
        <v>9</v>
      </c>
      <c r="C1659" t="s">
        <v>78</v>
      </c>
      <c r="F1659">
        <v>317</v>
      </c>
      <c r="J1659">
        <v>1.083</v>
      </c>
      <c r="K1659">
        <v>39.6</v>
      </c>
      <c r="L1659">
        <v>36.6</v>
      </c>
      <c r="M1659">
        <v>234</v>
      </c>
      <c r="N1659">
        <v>25</v>
      </c>
      <c r="O1659">
        <v>7</v>
      </c>
    </row>
    <row r="1660" spans="1:16" x14ac:dyDescent="0.25">
      <c r="A1660" s="4">
        <v>44019</v>
      </c>
      <c r="B1660" t="s">
        <v>10</v>
      </c>
      <c r="C1660">
        <v>1</v>
      </c>
      <c r="F1660">
        <v>338</v>
      </c>
      <c r="J1660">
        <v>0.97199999999999998</v>
      </c>
      <c r="K1660">
        <v>33.799999999999997</v>
      </c>
      <c r="L1660">
        <v>34.799999999999997</v>
      </c>
      <c r="M1660">
        <v>194</v>
      </c>
      <c r="N1660">
        <v>38</v>
      </c>
      <c r="O1660">
        <v>16</v>
      </c>
    </row>
    <row r="1661" spans="1:16" x14ac:dyDescent="0.25">
      <c r="A1661" s="4">
        <v>44019</v>
      </c>
      <c r="B1661" t="s">
        <v>9</v>
      </c>
      <c r="C1661">
        <v>1</v>
      </c>
      <c r="F1661">
        <v>407</v>
      </c>
      <c r="J1661">
        <v>1.1279999999999999</v>
      </c>
      <c r="K1661">
        <v>40.700000000000003</v>
      </c>
      <c r="L1661">
        <v>36.1</v>
      </c>
      <c r="M1661">
        <v>313</v>
      </c>
      <c r="N1661">
        <v>21</v>
      </c>
      <c r="O1661">
        <v>9</v>
      </c>
      <c r="P1661">
        <v>1</v>
      </c>
    </row>
    <row r="1662" spans="1:16" x14ac:dyDescent="0.25">
      <c r="A1662" s="4">
        <v>44019</v>
      </c>
      <c r="B1662" t="s">
        <v>10</v>
      </c>
      <c r="C1662" t="s">
        <v>78</v>
      </c>
      <c r="F1662">
        <v>338</v>
      </c>
      <c r="J1662">
        <v>0.97199999999999998</v>
      </c>
      <c r="K1662">
        <v>33.799999999999997</v>
      </c>
      <c r="L1662">
        <v>34.799999999999997</v>
      </c>
      <c r="M1662">
        <v>194</v>
      </c>
      <c r="N1662">
        <v>38</v>
      </c>
      <c r="O1662">
        <v>16</v>
      </c>
    </row>
    <row r="1663" spans="1:16" x14ac:dyDescent="0.25">
      <c r="A1663" s="4">
        <v>44019</v>
      </c>
      <c r="B1663" t="s">
        <v>9</v>
      </c>
      <c r="C1663" t="s">
        <v>78</v>
      </c>
      <c r="F1663">
        <v>407</v>
      </c>
      <c r="J1663">
        <v>1.1279999999999999</v>
      </c>
      <c r="K1663">
        <v>40.700000000000003</v>
      </c>
      <c r="L1663">
        <v>36.1</v>
      </c>
      <c r="M1663">
        <v>313</v>
      </c>
      <c r="N1663">
        <v>21</v>
      </c>
      <c r="O1663">
        <v>9</v>
      </c>
      <c r="P1663">
        <v>1</v>
      </c>
    </row>
    <row r="1664" spans="1:16" x14ac:dyDescent="0.25">
      <c r="A1664" s="4">
        <v>44020</v>
      </c>
      <c r="B1664" t="s">
        <v>10</v>
      </c>
      <c r="C1664">
        <v>1</v>
      </c>
      <c r="F1664">
        <v>337</v>
      </c>
      <c r="J1664">
        <v>1</v>
      </c>
      <c r="K1664">
        <v>33.700000000000003</v>
      </c>
      <c r="L1664">
        <v>33.700000000000003</v>
      </c>
      <c r="M1664">
        <v>204</v>
      </c>
      <c r="N1664">
        <v>39</v>
      </c>
      <c r="O1664">
        <v>12</v>
      </c>
      <c r="P1664">
        <v>1</v>
      </c>
    </row>
    <row r="1665" spans="1:16" x14ac:dyDescent="0.25">
      <c r="A1665" s="4">
        <v>44020</v>
      </c>
      <c r="B1665" t="s">
        <v>9</v>
      </c>
      <c r="C1665">
        <v>1</v>
      </c>
      <c r="F1665">
        <v>400</v>
      </c>
      <c r="J1665">
        <v>1.1299999999999999</v>
      </c>
      <c r="K1665">
        <v>40</v>
      </c>
      <c r="L1665">
        <v>35.4</v>
      </c>
      <c r="M1665">
        <v>316</v>
      </c>
      <c r="N1665">
        <v>27</v>
      </c>
      <c r="O1665">
        <v>7</v>
      </c>
    </row>
    <row r="1666" spans="1:16" x14ac:dyDescent="0.25">
      <c r="A1666" s="4">
        <v>44020</v>
      </c>
      <c r="B1666" t="s">
        <v>10</v>
      </c>
      <c r="C1666" t="s">
        <v>78</v>
      </c>
      <c r="F1666">
        <v>337</v>
      </c>
      <c r="J1666">
        <v>1</v>
      </c>
      <c r="K1666">
        <v>33.700000000000003</v>
      </c>
      <c r="L1666">
        <v>33.700000000000003</v>
      </c>
      <c r="M1666">
        <v>204</v>
      </c>
      <c r="N1666">
        <v>39</v>
      </c>
      <c r="O1666">
        <v>12</v>
      </c>
      <c r="P1666">
        <v>1</v>
      </c>
    </row>
    <row r="1667" spans="1:16" x14ac:dyDescent="0.25">
      <c r="A1667" s="4">
        <v>44020</v>
      </c>
      <c r="B1667" t="s">
        <v>9</v>
      </c>
      <c r="C1667" t="s">
        <v>78</v>
      </c>
      <c r="F1667">
        <v>400</v>
      </c>
      <c r="J1667">
        <v>1.1299999999999999</v>
      </c>
      <c r="K1667">
        <v>40</v>
      </c>
      <c r="L1667">
        <v>35.4</v>
      </c>
      <c r="M1667">
        <v>316</v>
      </c>
      <c r="N1667">
        <v>27</v>
      </c>
      <c r="O1667">
        <v>7</v>
      </c>
    </row>
    <row r="1668" spans="1:16" x14ac:dyDescent="0.25">
      <c r="A1668" s="4">
        <v>44021</v>
      </c>
      <c r="B1668" t="s">
        <v>10</v>
      </c>
      <c r="C1668">
        <v>1</v>
      </c>
      <c r="F1668">
        <v>246</v>
      </c>
      <c r="J1668">
        <v>0.90900000000000003</v>
      </c>
      <c r="K1668">
        <v>30.8</v>
      </c>
      <c r="L1668">
        <v>33.799999999999997</v>
      </c>
      <c r="M1668">
        <v>159</v>
      </c>
      <c r="N1668">
        <v>31</v>
      </c>
      <c r="O1668">
        <v>5</v>
      </c>
    </row>
    <row r="1669" spans="1:16" x14ac:dyDescent="0.25">
      <c r="A1669" s="4">
        <v>44021</v>
      </c>
      <c r="B1669" t="s">
        <v>9</v>
      </c>
      <c r="C1669">
        <v>1</v>
      </c>
      <c r="F1669">
        <v>356</v>
      </c>
      <c r="J1669">
        <v>1.173</v>
      </c>
      <c r="K1669">
        <v>44.5</v>
      </c>
      <c r="L1669">
        <v>37.9</v>
      </c>
      <c r="M1669">
        <v>264</v>
      </c>
      <c r="N1669">
        <v>24</v>
      </c>
      <c r="O1669">
        <v>6</v>
      </c>
      <c r="P1669">
        <v>2</v>
      </c>
    </row>
    <row r="1670" spans="1:16" x14ac:dyDescent="0.25">
      <c r="A1670" s="4">
        <v>44021</v>
      </c>
      <c r="B1670" t="s">
        <v>10</v>
      </c>
      <c r="C1670" t="s">
        <v>78</v>
      </c>
      <c r="F1670">
        <v>246</v>
      </c>
      <c r="J1670">
        <v>0.90900000000000003</v>
      </c>
      <c r="K1670">
        <v>30.8</v>
      </c>
      <c r="L1670">
        <v>33.799999999999997</v>
      </c>
      <c r="M1670">
        <v>159</v>
      </c>
      <c r="N1670">
        <v>31</v>
      </c>
      <c r="O1670">
        <v>5</v>
      </c>
    </row>
    <row r="1671" spans="1:16" x14ac:dyDescent="0.25">
      <c r="A1671" s="4">
        <v>44021</v>
      </c>
      <c r="B1671" t="s">
        <v>9</v>
      </c>
      <c r="C1671" t="s">
        <v>78</v>
      </c>
      <c r="F1671">
        <v>356</v>
      </c>
      <c r="J1671">
        <v>1.173</v>
      </c>
      <c r="K1671">
        <v>44.5</v>
      </c>
      <c r="L1671">
        <v>37.9</v>
      </c>
      <c r="M1671">
        <v>264</v>
      </c>
      <c r="N1671">
        <v>24</v>
      </c>
      <c r="O1671">
        <v>6</v>
      </c>
      <c r="P1671">
        <v>2</v>
      </c>
    </row>
    <row r="1672" spans="1:16" x14ac:dyDescent="0.25">
      <c r="A1672" s="4">
        <v>44022</v>
      </c>
      <c r="B1672" t="s">
        <v>10</v>
      </c>
      <c r="C1672">
        <v>1</v>
      </c>
      <c r="F1672">
        <v>290</v>
      </c>
      <c r="J1672">
        <v>1.0449999999999999</v>
      </c>
      <c r="K1672">
        <v>36.299999999999997</v>
      </c>
      <c r="L1672">
        <v>34.700000000000003</v>
      </c>
      <c r="M1672">
        <v>175</v>
      </c>
      <c r="N1672">
        <v>27</v>
      </c>
      <c r="O1672">
        <v>13</v>
      </c>
    </row>
    <row r="1673" spans="1:16" x14ac:dyDescent="0.25">
      <c r="A1673" s="4">
        <v>44022</v>
      </c>
      <c r="B1673" t="s">
        <v>9</v>
      </c>
      <c r="C1673">
        <v>1</v>
      </c>
      <c r="F1673">
        <v>330</v>
      </c>
      <c r="J1673">
        <v>1.1020000000000001</v>
      </c>
      <c r="K1673">
        <v>41.3</v>
      </c>
      <c r="L1673">
        <v>37.4</v>
      </c>
      <c r="M1673">
        <v>237</v>
      </c>
      <c r="N1673">
        <v>27</v>
      </c>
      <c r="O1673">
        <v>9</v>
      </c>
    </row>
    <row r="1674" spans="1:16" x14ac:dyDescent="0.25">
      <c r="A1674" s="4">
        <v>44022</v>
      </c>
      <c r="B1674" t="s">
        <v>10</v>
      </c>
      <c r="C1674" t="s">
        <v>78</v>
      </c>
      <c r="F1674">
        <v>290</v>
      </c>
      <c r="J1674">
        <v>1.0449999999999999</v>
      </c>
      <c r="K1674">
        <v>36.299999999999997</v>
      </c>
      <c r="L1674">
        <v>34.700000000000003</v>
      </c>
      <c r="M1674">
        <v>175</v>
      </c>
      <c r="N1674">
        <v>27</v>
      </c>
      <c r="O1674">
        <v>13</v>
      </c>
    </row>
    <row r="1675" spans="1:16" x14ac:dyDescent="0.25">
      <c r="A1675" s="4">
        <v>44022</v>
      </c>
      <c r="B1675" t="s">
        <v>9</v>
      </c>
      <c r="C1675" t="s">
        <v>78</v>
      </c>
      <c r="F1675">
        <v>330</v>
      </c>
      <c r="J1675">
        <v>1.1020000000000001</v>
      </c>
      <c r="K1675">
        <v>41.3</v>
      </c>
      <c r="L1675">
        <v>37.4</v>
      </c>
      <c r="M1675">
        <v>237</v>
      </c>
      <c r="N1675">
        <v>27</v>
      </c>
      <c r="O1675">
        <v>9</v>
      </c>
    </row>
    <row r="1676" spans="1:16" x14ac:dyDescent="0.25">
      <c r="A1676" s="4">
        <v>44025</v>
      </c>
      <c r="B1676" t="s">
        <v>10</v>
      </c>
      <c r="C1676">
        <v>1</v>
      </c>
      <c r="F1676">
        <v>318</v>
      </c>
      <c r="J1676">
        <v>1.173</v>
      </c>
      <c r="K1676">
        <v>39.799999999999997</v>
      </c>
      <c r="L1676">
        <v>33.9</v>
      </c>
      <c r="M1676">
        <v>202</v>
      </c>
      <c r="N1676">
        <v>30</v>
      </c>
      <c r="O1676">
        <v>11</v>
      </c>
      <c r="P1676">
        <v>1</v>
      </c>
    </row>
    <row r="1677" spans="1:16" x14ac:dyDescent="0.25">
      <c r="A1677" s="4">
        <v>44025</v>
      </c>
      <c r="B1677" t="s">
        <v>9</v>
      </c>
      <c r="C1677">
        <v>1</v>
      </c>
      <c r="F1677">
        <v>334</v>
      </c>
      <c r="J1677">
        <v>1.0680000000000001</v>
      </c>
      <c r="K1677">
        <v>41.8</v>
      </c>
      <c r="L1677">
        <v>39.1</v>
      </c>
      <c r="M1677">
        <v>225</v>
      </c>
      <c r="N1677">
        <v>23</v>
      </c>
      <c r="O1677">
        <v>12</v>
      </c>
      <c r="P1677">
        <v>2</v>
      </c>
    </row>
    <row r="1678" spans="1:16" x14ac:dyDescent="0.25">
      <c r="A1678" s="4">
        <v>44025</v>
      </c>
      <c r="B1678" t="s">
        <v>10</v>
      </c>
      <c r="C1678" t="s">
        <v>78</v>
      </c>
      <c r="F1678">
        <v>318</v>
      </c>
      <c r="J1678">
        <v>1.173</v>
      </c>
      <c r="K1678">
        <v>39.799999999999997</v>
      </c>
      <c r="L1678">
        <v>33.9</v>
      </c>
      <c r="M1678">
        <v>202</v>
      </c>
      <c r="N1678">
        <v>30</v>
      </c>
      <c r="O1678">
        <v>11</v>
      </c>
      <c r="P1678">
        <v>1</v>
      </c>
    </row>
    <row r="1679" spans="1:16" x14ac:dyDescent="0.25">
      <c r="A1679" s="4">
        <v>44025</v>
      </c>
      <c r="B1679" t="s">
        <v>9</v>
      </c>
      <c r="C1679" t="s">
        <v>78</v>
      </c>
      <c r="F1679">
        <v>334</v>
      </c>
      <c r="J1679">
        <v>1.0680000000000001</v>
      </c>
      <c r="K1679">
        <v>41.8</v>
      </c>
      <c r="L1679">
        <v>39.1</v>
      </c>
      <c r="M1679">
        <v>225</v>
      </c>
      <c r="N1679">
        <v>23</v>
      </c>
      <c r="O1679">
        <v>12</v>
      </c>
      <c r="P1679">
        <v>2</v>
      </c>
    </row>
    <row r="1680" spans="1:16" x14ac:dyDescent="0.25">
      <c r="A1680" s="4">
        <v>44026</v>
      </c>
      <c r="B1680" t="s">
        <v>10</v>
      </c>
      <c r="C1680">
        <v>1</v>
      </c>
      <c r="F1680">
        <v>343</v>
      </c>
      <c r="J1680">
        <v>1.0329999999999999</v>
      </c>
      <c r="K1680">
        <v>34.299999999999997</v>
      </c>
      <c r="L1680">
        <v>33.200000000000003</v>
      </c>
      <c r="M1680">
        <v>210</v>
      </c>
      <c r="N1680">
        <v>46</v>
      </c>
      <c r="O1680">
        <v>10</v>
      </c>
    </row>
    <row r="1681" spans="1:16" x14ac:dyDescent="0.25">
      <c r="A1681" s="4">
        <v>44026</v>
      </c>
      <c r="B1681" t="s">
        <v>9</v>
      </c>
      <c r="C1681">
        <v>1</v>
      </c>
      <c r="F1681">
        <v>406</v>
      </c>
      <c r="J1681">
        <v>1.081</v>
      </c>
      <c r="K1681">
        <v>40.6</v>
      </c>
      <c r="L1681">
        <v>37.6</v>
      </c>
      <c r="M1681">
        <v>294</v>
      </c>
      <c r="N1681">
        <v>32</v>
      </c>
      <c r="O1681">
        <v>9</v>
      </c>
      <c r="P1681">
        <v>1</v>
      </c>
    </row>
    <row r="1682" spans="1:16" x14ac:dyDescent="0.25">
      <c r="A1682" s="4">
        <v>44026</v>
      </c>
      <c r="B1682" t="s">
        <v>10</v>
      </c>
      <c r="C1682" t="s">
        <v>78</v>
      </c>
      <c r="F1682">
        <v>343</v>
      </c>
      <c r="J1682">
        <v>1.0329999999999999</v>
      </c>
      <c r="K1682">
        <v>34.299999999999997</v>
      </c>
      <c r="L1682">
        <v>33.200000000000003</v>
      </c>
      <c r="M1682">
        <v>210</v>
      </c>
      <c r="N1682">
        <v>46</v>
      </c>
      <c r="O1682">
        <v>10</v>
      </c>
    </row>
    <row r="1683" spans="1:16" x14ac:dyDescent="0.25">
      <c r="A1683" s="4">
        <v>44026</v>
      </c>
      <c r="B1683" t="s">
        <v>9</v>
      </c>
      <c r="C1683" t="s">
        <v>78</v>
      </c>
      <c r="F1683">
        <v>406</v>
      </c>
      <c r="J1683">
        <v>1.081</v>
      </c>
      <c r="K1683">
        <v>40.6</v>
      </c>
      <c r="L1683">
        <v>37.6</v>
      </c>
      <c r="M1683">
        <v>294</v>
      </c>
      <c r="N1683">
        <v>32</v>
      </c>
      <c r="O1683">
        <v>9</v>
      </c>
      <c r="P1683">
        <v>1</v>
      </c>
    </row>
    <row r="1684" spans="1:16" x14ac:dyDescent="0.25">
      <c r="A1684" s="4">
        <v>44027</v>
      </c>
      <c r="B1684" t="s">
        <v>10</v>
      </c>
      <c r="C1684">
        <v>1</v>
      </c>
      <c r="F1684">
        <v>387</v>
      </c>
      <c r="J1684">
        <v>1.1679999999999999</v>
      </c>
      <c r="K1684">
        <v>38.700000000000003</v>
      </c>
      <c r="L1684">
        <v>33.200000000000003</v>
      </c>
      <c r="M1684">
        <v>258</v>
      </c>
      <c r="N1684">
        <v>36</v>
      </c>
      <c r="O1684">
        <v>9</v>
      </c>
      <c r="P1684">
        <v>3</v>
      </c>
    </row>
    <row r="1685" spans="1:16" x14ac:dyDescent="0.25">
      <c r="A1685" s="4">
        <v>44027</v>
      </c>
      <c r="B1685" t="s">
        <v>9</v>
      </c>
      <c r="C1685">
        <v>1</v>
      </c>
      <c r="F1685">
        <v>396</v>
      </c>
      <c r="J1685">
        <v>1.0249999999999999</v>
      </c>
      <c r="K1685">
        <v>39.6</v>
      </c>
      <c r="L1685">
        <v>38.6</v>
      </c>
      <c r="M1685">
        <v>266</v>
      </c>
      <c r="N1685">
        <v>36</v>
      </c>
      <c r="O1685">
        <v>11</v>
      </c>
      <c r="P1685">
        <v>1</v>
      </c>
    </row>
    <row r="1686" spans="1:16" x14ac:dyDescent="0.25">
      <c r="A1686" s="4">
        <v>44027</v>
      </c>
      <c r="B1686" t="s">
        <v>10</v>
      </c>
      <c r="C1686" t="s">
        <v>78</v>
      </c>
      <c r="F1686">
        <v>387</v>
      </c>
      <c r="J1686">
        <v>1.1679999999999999</v>
      </c>
      <c r="K1686">
        <v>38.700000000000003</v>
      </c>
      <c r="L1686">
        <v>33.200000000000003</v>
      </c>
      <c r="M1686">
        <v>258</v>
      </c>
      <c r="N1686">
        <v>36</v>
      </c>
      <c r="O1686">
        <v>9</v>
      </c>
      <c r="P1686">
        <v>3</v>
      </c>
    </row>
    <row r="1687" spans="1:16" x14ac:dyDescent="0.25">
      <c r="A1687" s="4">
        <v>44027</v>
      </c>
      <c r="B1687" t="s">
        <v>9</v>
      </c>
      <c r="C1687" t="s">
        <v>78</v>
      </c>
      <c r="F1687">
        <v>396</v>
      </c>
      <c r="J1687">
        <v>1.0249999999999999</v>
      </c>
      <c r="K1687">
        <v>39.6</v>
      </c>
      <c r="L1687">
        <v>38.6</v>
      </c>
      <c r="M1687">
        <v>266</v>
      </c>
      <c r="N1687">
        <v>36</v>
      </c>
      <c r="O1687">
        <v>11</v>
      </c>
      <c r="P1687">
        <v>1</v>
      </c>
    </row>
    <row r="1688" spans="1:16" x14ac:dyDescent="0.25">
      <c r="A1688" s="4">
        <v>44028</v>
      </c>
      <c r="B1688" t="s">
        <v>10</v>
      </c>
      <c r="C1688">
        <v>1</v>
      </c>
      <c r="F1688">
        <v>285</v>
      </c>
      <c r="J1688">
        <v>1.0760000000000001</v>
      </c>
      <c r="K1688">
        <v>35.6</v>
      </c>
      <c r="L1688">
        <v>33.1</v>
      </c>
      <c r="M1688">
        <v>186</v>
      </c>
      <c r="N1688">
        <v>29</v>
      </c>
      <c r="O1688">
        <v>10</v>
      </c>
    </row>
    <row r="1689" spans="1:16" x14ac:dyDescent="0.25">
      <c r="A1689" s="4">
        <v>44028</v>
      </c>
      <c r="B1689" t="s">
        <v>9</v>
      </c>
      <c r="C1689">
        <v>1</v>
      </c>
      <c r="F1689">
        <v>309</v>
      </c>
      <c r="J1689">
        <v>0.999</v>
      </c>
      <c r="K1689">
        <v>38.6</v>
      </c>
      <c r="L1689">
        <v>38.700000000000003</v>
      </c>
      <c r="M1689">
        <v>211</v>
      </c>
      <c r="N1689">
        <v>29</v>
      </c>
      <c r="O1689">
        <v>9</v>
      </c>
    </row>
    <row r="1690" spans="1:16" x14ac:dyDescent="0.25">
      <c r="A1690" s="4">
        <v>44028</v>
      </c>
      <c r="B1690" t="s">
        <v>10</v>
      </c>
      <c r="C1690" t="s">
        <v>78</v>
      </c>
      <c r="F1690">
        <v>285</v>
      </c>
      <c r="J1690">
        <v>1.0760000000000001</v>
      </c>
      <c r="K1690">
        <v>35.6</v>
      </c>
      <c r="L1690">
        <v>33.1</v>
      </c>
      <c r="M1690">
        <v>186</v>
      </c>
      <c r="N1690">
        <v>29</v>
      </c>
      <c r="O1690">
        <v>10</v>
      </c>
    </row>
    <row r="1691" spans="1:16" x14ac:dyDescent="0.25">
      <c r="A1691" s="4">
        <v>44028</v>
      </c>
      <c r="B1691" t="s">
        <v>9</v>
      </c>
      <c r="C1691" t="s">
        <v>78</v>
      </c>
      <c r="F1691">
        <v>309</v>
      </c>
      <c r="J1691">
        <v>0.999</v>
      </c>
      <c r="K1691">
        <v>38.6</v>
      </c>
      <c r="L1691">
        <v>38.700000000000003</v>
      </c>
      <c r="M1691">
        <v>211</v>
      </c>
      <c r="N1691">
        <v>29</v>
      </c>
      <c r="O1691">
        <v>9</v>
      </c>
    </row>
    <row r="1692" spans="1:16" x14ac:dyDescent="0.25">
      <c r="A1692" s="4">
        <v>44029</v>
      </c>
      <c r="B1692" t="s">
        <v>10</v>
      </c>
      <c r="C1692">
        <v>1</v>
      </c>
      <c r="F1692">
        <v>291</v>
      </c>
      <c r="J1692">
        <v>1.115</v>
      </c>
      <c r="K1692">
        <v>36.4</v>
      </c>
      <c r="L1692">
        <v>32.6</v>
      </c>
      <c r="M1692">
        <v>209</v>
      </c>
      <c r="N1692">
        <v>26</v>
      </c>
      <c r="O1692">
        <v>6</v>
      </c>
    </row>
    <row r="1693" spans="1:16" x14ac:dyDescent="0.25">
      <c r="A1693" s="4">
        <v>44029</v>
      </c>
      <c r="B1693" t="s">
        <v>9</v>
      </c>
      <c r="C1693">
        <v>1</v>
      </c>
      <c r="F1693">
        <v>312</v>
      </c>
      <c r="J1693">
        <v>1.0529999999999999</v>
      </c>
      <c r="K1693">
        <v>39</v>
      </c>
      <c r="L1693">
        <v>37</v>
      </c>
      <c r="M1693">
        <v>233</v>
      </c>
      <c r="N1693">
        <v>24</v>
      </c>
      <c r="O1693">
        <v>6</v>
      </c>
    </row>
    <row r="1694" spans="1:16" x14ac:dyDescent="0.25">
      <c r="A1694" s="4">
        <v>44029</v>
      </c>
      <c r="B1694" t="s">
        <v>10</v>
      </c>
      <c r="C1694" t="s">
        <v>78</v>
      </c>
      <c r="F1694">
        <v>291</v>
      </c>
      <c r="J1694">
        <v>1.115</v>
      </c>
      <c r="K1694">
        <v>36.4</v>
      </c>
      <c r="L1694">
        <v>32.6</v>
      </c>
      <c r="M1694">
        <v>209</v>
      </c>
      <c r="N1694">
        <v>26</v>
      </c>
      <c r="O1694">
        <v>6</v>
      </c>
    </row>
    <row r="1695" spans="1:16" x14ac:dyDescent="0.25">
      <c r="A1695" s="4">
        <v>44029</v>
      </c>
      <c r="B1695" t="s">
        <v>9</v>
      </c>
      <c r="C1695" t="s">
        <v>78</v>
      </c>
      <c r="F1695">
        <v>312</v>
      </c>
      <c r="J1695">
        <v>1.0529999999999999</v>
      </c>
      <c r="K1695">
        <v>39</v>
      </c>
      <c r="L1695">
        <v>37</v>
      </c>
      <c r="M1695">
        <v>233</v>
      </c>
      <c r="N1695">
        <v>24</v>
      </c>
      <c r="O1695">
        <v>6</v>
      </c>
    </row>
    <row r="1696" spans="1:16" x14ac:dyDescent="0.25">
      <c r="A1696" s="4">
        <v>44032</v>
      </c>
      <c r="B1696" t="s">
        <v>10</v>
      </c>
      <c r="C1696">
        <v>1</v>
      </c>
      <c r="F1696">
        <v>278</v>
      </c>
      <c r="J1696">
        <v>0.99099999999999999</v>
      </c>
      <c r="K1696">
        <v>34.799999999999997</v>
      </c>
      <c r="L1696">
        <v>35.1</v>
      </c>
      <c r="M1696">
        <v>164</v>
      </c>
      <c r="N1696">
        <v>32</v>
      </c>
      <c r="O1696">
        <v>9</v>
      </c>
      <c r="P1696">
        <v>1</v>
      </c>
    </row>
    <row r="1697" spans="1:16" x14ac:dyDescent="0.25">
      <c r="A1697" s="4">
        <v>44032</v>
      </c>
      <c r="B1697" t="s">
        <v>9</v>
      </c>
      <c r="C1697">
        <v>1</v>
      </c>
      <c r="F1697">
        <v>325</v>
      </c>
      <c r="J1697">
        <v>1.0840000000000001</v>
      </c>
      <c r="K1697">
        <v>40.6</v>
      </c>
      <c r="L1697">
        <v>37.5</v>
      </c>
      <c r="M1697">
        <v>234</v>
      </c>
      <c r="N1697">
        <v>30</v>
      </c>
      <c r="O1697">
        <v>8</v>
      </c>
    </row>
    <row r="1698" spans="1:16" x14ac:dyDescent="0.25">
      <c r="A1698" s="4">
        <v>44032</v>
      </c>
      <c r="B1698" t="s">
        <v>10</v>
      </c>
      <c r="C1698" t="s">
        <v>78</v>
      </c>
      <c r="F1698">
        <v>278</v>
      </c>
      <c r="J1698">
        <v>0.99099999999999999</v>
      </c>
      <c r="K1698">
        <v>34.799999999999997</v>
      </c>
      <c r="L1698">
        <v>35.1</v>
      </c>
      <c r="M1698">
        <v>164</v>
      </c>
      <c r="N1698">
        <v>32</v>
      </c>
      <c r="O1698">
        <v>9</v>
      </c>
      <c r="P1698">
        <v>1</v>
      </c>
    </row>
    <row r="1699" spans="1:16" x14ac:dyDescent="0.25">
      <c r="A1699" s="4">
        <v>44032</v>
      </c>
      <c r="B1699" t="s">
        <v>9</v>
      </c>
      <c r="C1699" t="s">
        <v>78</v>
      </c>
      <c r="F1699">
        <v>325</v>
      </c>
      <c r="J1699">
        <v>1.0840000000000001</v>
      </c>
      <c r="K1699">
        <v>40.6</v>
      </c>
      <c r="L1699">
        <v>37.5</v>
      </c>
      <c r="M1699">
        <v>234</v>
      </c>
      <c r="N1699">
        <v>30</v>
      </c>
      <c r="O1699">
        <v>8</v>
      </c>
    </row>
    <row r="1700" spans="1:16" x14ac:dyDescent="0.25">
      <c r="A1700" s="4">
        <v>44033</v>
      </c>
      <c r="B1700" t="s">
        <v>10</v>
      </c>
      <c r="C1700">
        <v>1</v>
      </c>
      <c r="F1700">
        <v>368</v>
      </c>
      <c r="J1700">
        <v>1.0640000000000001</v>
      </c>
      <c r="K1700">
        <v>37.4</v>
      </c>
      <c r="L1700">
        <v>35.200000000000003</v>
      </c>
      <c r="M1700">
        <v>206</v>
      </c>
      <c r="N1700">
        <v>41</v>
      </c>
      <c r="O1700">
        <v>11</v>
      </c>
      <c r="P1700">
        <v>4</v>
      </c>
    </row>
    <row r="1701" spans="1:16" x14ac:dyDescent="0.25">
      <c r="A1701" s="4">
        <v>44033</v>
      </c>
      <c r="B1701" t="s">
        <v>9</v>
      </c>
      <c r="C1701">
        <v>1</v>
      </c>
      <c r="F1701">
        <v>381</v>
      </c>
      <c r="J1701">
        <v>1.0269999999999999</v>
      </c>
      <c r="K1701">
        <v>38.799999999999997</v>
      </c>
      <c r="L1701">
        <v>37.700000000000003</v>
      </c>
      <c r="M1701">
        <v>272</v>
      </c>
      <c r="N1701">
        <v>28</v>
      </c>
      <c r="O1701">
        <v>10</v>
      </c>
      <c r="P1701">
        <v>1</v>
      </c>
    </row>
    <row r="1702" spans="1:16" x14ac:dyDescent="0.25">
      <c r="A1702" s="4">
        <v>44033</v>
      </c>
      <c r="B1702" t="s">
        <v>10</v>
      </c>
      <c r="C1702" t="s">
        <v>78</v>
      </c>
      <c r="F1702">
        <v>368</v>
      </c>
      <c r="J1702">
        <v>1.0640000000000001</v>
      </c>
      <c r="K1702">
        <v>37.4</v>
      </c>
      <c r="L1702">
        <v>35.200000000000003</v>
      </c>
      <c r="M1702">
        <v>206</v>
      </c>
      <c r="N1702">
        <v>41</v>
      </c>
      <c r="O1702">
        <v>11</v>
      </c>
      <c r="P1702">
        <v>4</v>
      </c>
    </row>
    <row r="1703" spans="1:16" x14ac:dyDescent="0.25">
      <c r="A1703" s="4">
        <v>44033</v>
      </c>
      <c r="B1703" t="s">
        <v>9</v>
      </c>
      <c r="C1703" t="s">
        <v>78</v>
      </c>
      <c r="F1703">
        <v>381</v>
      </c>
      <c r="J1703">
        <v>1.0269999999999999</v>
      </c>
      <c r="K1703">
        <v>38.799999999999997</v>
      </c>
      <c r="L1703">
        <v>37.700000000000003</v>
      </c>
      <c r="M1703">
        <v>272</v>
      </c>
      <c r="N1703">
        <v>28</v>
      </c>
      <c r="O1703">
        <v>10</v>
      </c>
      <c r="P1703">
        <v>1</v>
      </c>
    </row>
    <row r="1704" spans="1:16" x14ac:dyDescent="0.25">
      <c r="A1704" s="4">
        <v>44034</v>
      </c>
      <c r="B1704" t="s">
        <v>10</v>
      </c>
      <c r="C1704">
        <v>1</v>
      </c>
      <c r="F1704">
        <v>309</v>
      </c>
      <c r="J1704">
        <v>1.032</v>
      </c>
      <c r="K1704">
        <v>34.299999999999997</v>
      </c>
      <c r="L1704">
        <v>33.299999999999997</v>
      </c>
      <c r="M1704">
        <v>201</v>
      </c>
      <c r="N1704">
        <v>28</v>
      </c>
      <c r="O1704">
        <v>5</v>
      </c>
      <c r="P1704">
        <v>3</v>
      </c>
    </row>
    <row r="1705" spans="1:16" x14ac:dyDescent="0.25">
      <c r="A1705" s="4">
        <v>44034</v>
      </c>
      <c r="B1705" t="s">
        <v>9</v>
      </c>
      <c r="C1705">
        <v>1</v>
      </c>
      <c r="F1705">
        <v>372</v>
      </c>
      <c r="J1705">
        <v>1.044</v>
      </c>
      <c r="K1705">
        <v>41.3</v>
      </c>
      <c r="L1705">
        <v>39.6</v>
      </c>
      <c r="M1705">
        <v>212</v>
      </c>
      <c r="N1705">
        <v>43</v>
      </c>
      <c r="O1705">
        <v>11</v>
      </c>
      <c r="P1705">
        <v>3</v>
      </c>
    </row>
    <row r="1706" spans="1:16" x14ac:dyDescent="0.25">
      <c r="A1706" s="4">
        <v>44034</v>
      </c>
      <c r="B1706" t="s">
        <v>10</v>
      </c>
      <c r="C1706" t="s">
        <v>78</v>
      </c>
      <c r="F1706">
        <v>309</v>
      </c>
      <c r="J1706">
        <v>1.032</v>
      </c>
      <c r="K1706">
        <v>34.299999999999997</v>
      </c>
      <c r="L1706">
        <v>33.299999999999997</v>
      </c>
      <c r="M1706">
        <v>201</v>
      </c>
      <c r="N1706">
        <v>28</v>
      </c>
      <c r="O1706">
        <v>5</v>
      </c>
      <c r="P1706">
        <v>3</v>
      </c>
    </row>
    <row r="1707" spans="1:16" x14ac:dyDescent="0.25">
      <c r="A1707" s="4">
        <v>44034</v>
      </c>
      <c r="B1707" t="s">
        <v>9</v>
      </c>
      <c r="C1707" t="s">
        <v>78</v>
      </c>
      <c r="F1707">
        <v>372</v>
      </c>
      <c r="J1707">
        <v>1.044</v>
      </c>
      <c r="K1707">
        <v>41.3</v>
      </c>
      <c r="L1707">
        <v>39.6</v>
      </c>
      <c r="M1707">
        <v>212</v>
      </c>
      <c r="N1707">
        <v>43</v>
      </c>
      <c r="O1707">
        <v>11</v>
      </c>
      <c r="P1707">
        <v>3</v>
      </c>
    </row>
    <row r="1708" spans="1:16" x14ac:dyDescent="0.25">
      <c r="A1708" s="4">
        <v>44035</v>
      </c>
      <c r="B1708" t="s">
        <v>10</v>
      </c>
      <c r="C1708">
        <v>1</v>
      </c>
      <c r="F1708">
        <v>266</v>
      </c>
      <c r="J1708">
        <v>0.98199999999999998</v>
      </c>
      <c r="K1708">
        <v>33.299999999999997</v>
      </c>
      <c r="L1708">
        <v>33.9</v>
      </c>
      <c r="M1708">
        <v>173</v>
      </c>
      <c r="N1708">
        <v>21</v>
      </c>
      <c r="O1708">
        <v>11</v>
      </c>
      <c r="P1708">
        <v>1</v>
      </c>
    </row>
    <row r="1709" spans="1:16" x14ac:dyDescent="0.25">
      <c r="A1709" s="4">
        <v>44035</v>
      </c>
      <c r="B1709" t="s">
        <v>9</v>
      </c>
      <c r="C1709">
        <v>1</v>
      </c>
      <c r="F1709">
        <v>297</v>
      </c>
      <c r="J1709">
        <v>0.99099999999999999</v>
      </c>
      <c r="K1709">
        <v>37.1</v>
      </c>
      <c r="L1709">
        <v>37.5</v>
      </c>
      <c r="M1709">
        <v>206</v>
      </c>
      <c r="N1709">
        <v>27</v>
      </c>
      <c r="O1709">
        <v>9</v>
      </c>
      <c r="P1709">
        <v>1</v>
      </c>
    </row>
    <row r="1710" spans="1:16" x14ac:dyDescent="0.25">
      <c r="A1710" s="4">
        <v>44035</v>
      </c>
      <c r="B1710" t="s">
        <v>10</v>
      </c>
      <c r="C1710" t="s">
        <v>78</v>
      </c>
      <c r="F1710">
        <v>266</v>
      </c>
      <c r="J1710">
        <v>0.98199999999999998</v>
      </c>
      <c r="K1710">
        <v>33.299999999999997</v>
      </c>
      <c r="L1710">
        <v>33.9</v>
      </c>
      <c r="M1710">
        <v>173</v>
      </c>
      <c r="N1710">
        <v>21</v>
      </c>
      <c r="O1710">
        <v>11</v>
      </c>
      <c r="P1710">
        <v>1</v>
      </c>
    </row>
    <row r="1711" spans="1:16" x14ac:dyDescent="0.25">
      <c r="A1711" s="4">
        <v>44035</v>
      </c>
      <c r="B1711" t="s">
        <v>9</v>
      </c>
      <c r="C1711" t="s">
        <v>78</v>
      </c>
      <c r="F1711">
        <v>297</v>
      </c>
      <c r="J1711">
        <v>0.99099999999999999</v>
      </c>
      <c r="K1711">
        <v>37.1</v>
      </c>
      <c r="L1711">
        <v>37.5</v>
      </c>
      <c r="M1711">
        <v>206</v>
      </c>
      <c r="N1711">
        <v>27</v>
      </c>
      <c r="O1711">
        <v>9</v>
      </c>
      <c r="P1711">
        <v>1</v>
      </c>
    </row>
    <row r="1712" spans="1:16" x14ac:dyDescent="0.25">
      <c r="A1712" s="4">
        <v>44036</v>
      </c>
      <c r="B1712" t="s">
        <v>10</v>
      </c>
      <c r="C1712">
        <v>1</v>
      </c>
      <c r="F1712">
        <v>273</v>
      </c>
      <c r="J1712">
        <v>0.998</v>
      </c>
      <c r="K1712">
        <v>34.1</v>
      </c>
      <c r="L1712">
        <v>34.200000000000003</v>
      </c>
      <c r="M1712">
        <v>179</v>
      </c>
      <c r="N1712">
        <v>25</v>
      </c>
      <c r="O1712">
        <v>9</v>
      </c>
    </row>
    <row r="1713" spans="1:16" x14ac:dyDescent="0.25">
      <c r="A1713" s="4">
        <v>44036</v>
      </c>
      <c r="B1713" t="s">
        <v>9</v>
      </c>
      <c r="C1713">
        <v>1</v>
      </c>
      <c r="F1713">
        <v>336</v>
      </c>
      <c r="J1713">
        <v>1.1359999999999999</v>
      </c>
      <c r="K1713">
        <v>42</v>
      </c>
      <c r="L1713">
        <v>37</v>
      </c>
      <c r="M1713">
        <v>252</v>
      </c>
      <c r="N1713">
        <v>20</v>
      </c>
      <c r="O1713">
        <v>8</v>
      </c>
      <c r="P1713">
        <v>2</v>
      </c>
    </row>
    <row r="1714" spans="1:16" x14ac:dyDescent="0.25">
      <c r="A1714" s="4">
        <v>44036</v>
      </c>
      <c r="B1714" t="s">
        <v>10</v>
      </c>
      <c r="C1714" t="s">
        <v>78</v>
      </c>
      <c r="F1714">
        <v>273</v>
      </c>
      <c r="J1714">
        <v>0.998</v>
      </c>
      <c r="K1714">
        <v>34.1</v>
      </c>
      <c r="L1714">
        <v>34.200000000000003</v>
      </c>
      <c r="M1714">
        <v>179</v>
      </c>
      <c r="N1714">
        <v>25</v>
      </c>
      <c r="O1714">
        <v>9</v>
      </c>
    </row>
    <row r="1715" spans="1:16" x14ac:dyDescent="0.25">
      <c r="A1715" s="4">
        <v>44036</v>
      </c>
      <c r="B1715" t="s">
        <v>9</v>
      </c>
      <c r="C1715" t="s">
        <v>78</v>
      </c>
      <c r="F1715">
        <v>336</v>
      </c>
      <c r="J1715">
        <v>1.1359999999999999</v>
      </c>
      <c r="K1715">
        <v>42</v>
      </c>
      <c r="L1715">
        <v>37</v>
      </c>
      <c r="M1715">
        <v>252</v>
      </c>
      <c r="N1715">
        <v>20</v>
      </c>
      <c r="O1715">
        <v>8</v>
      </c>
      <c r="P1715">
        <v>2</v>
      </c>
    </row>
    <row r="1716" spans="1:16" x14ac:dyDescent="0.25">
      <c r="A1716" s="4">
        <v>44039</v>
      </c>
      <c r="B1716" t="s">
        <v>10</v>
      </c>
      <c r="C1716">
        <v>1</v>
      </c>
      <c r="F1716">
        <v>409</v>
      </c>
      <c r="J1716">
        <v>1.2030000000000001</v>
      </c>
      <c r="K1716">
        <v>40.9</v>
      </c>
      <c r="L1716">
        <v>34</v>
      </c>
      <c r="M1716">
        <v>245</v>
      </c>
      <c r="N1716">
        <v>47</v>
      </c>
      <c r="O1716">
        <v>17</v>
      </c>
      <c r="P1716">
        <v>1</v>
      </c>
    </row>
    <row r="1717" spans="1:16" x14ac:dyDescent="0.25">
      <c r="A1717" s="4">
        <v>44039</v>
      </c>
      <c r="B1717" t="s">
        <v>9</v>
      </c>
      <c r="C1717">
        <v>1</v>
      </c>
      <c r="F1717">
        <v>457</v>
      </c>
      <c r="J1717">
        <v>1.179</v>
      </c>
      <c r="K1717">
        <v>45.7</v>
      </c>
      <c r="L1717">
        <v>38.799999999999997</v>
      </c>
      <c r="M1717">
        <v>316</v>
      </c>
      <c r="N1717">
        <v>40</v>
      </c>
      <c r="O1717">
        <v>12</v>
      </c>
      <c r="P1717">
        <v>1</v>
      </c>
    </row>
    <row r="1718" spans="1:16" x14ac:dyDescent="0.25">
      <c r="A1718" s="4">
        <v>44039</v>
      </c>
      <c r="B1718" t="s">
        <v>10</v>
      </c>
      <c r="C1718" t="s">
        <v>78</v>
      </c>
      <c r="F1718">
        <v>409</v>
      </c>
      <c r="J1718">
        <v>1.2030000000000001</v>
      </c>
      <c r="K1718">
        <v>40.9</v>
      </c>
      <c r="L1718">
        <v>34</v>
      </c>
      <c r="M1718">
        <v>245</v>
      </c>
      <c r="N1718">
        <v>47</v>
      </c>
      <c r="O1718">
        <v>17</v>
      </c>
      <c r="P1718">
        <v>1</v>
      </c>
    </row>
    <row r="1719" spans="1:16" x14ac:dyDescent="0.25">
      <c r="A1719" s="4">
        <v>44039</v>
      </c>
      <c r="B1719" t="s">
        <v>9</v>
      </c>
      <c r="C1719" t="s">
        <v>78</v>
      </c>
      <c r="F1719">
        <v>457</v>
      </c>
      <c r="J1719">
        <v>1.179</v>
      </c>
      <c r="K1719">
        <v>45.7</v>
      </c>
      <c r="L1719">
        <v>38.799999999999997</v>
      </c>
      <c r="M1719">
        <v>316</v>
      </c>
      <c r="N1719">
        <v>40</v>
      </c>
      <c r="O1719">
        <v>12</v>
      </c>
      <c r="P1719">
        <v>1</v>
      </c>
    </row>
    <row r="1720" spans="1:16" x14ac:dyDescent="0.25">
      <c r="A1720" s="4">
        <v>44040</v>
      </c>
      <c r="B1720" t="s">
        <v>10</v>
      </c>
      <c r="C1720">
        <v>1</v>
      </c>
      <c r="F1720">
        <v>355</v>
      </c>
      <c r="J1720">
        <v>1.05</v>
      </c>
      <c r="K1720">
        <v>35.5</v>
      </c>
      <c r="L1720">
        <v>33.799999999999997</v>
      </c>
      <c r="M1720">
        <v>238</v>
      </c>
      <c r="N1720">
        <v>27</v>
      </c>
      <c r="O1720">
        <v>11</v>
      </c>
      <c r="P1720">
        <v>3</v>
      </c>
    </row>
    <row r="1721" spans="1:16" x14ac:dyDescent="0.25">
      <c r="A1721" s="4">
        <v>44040</v>
      </c>
      <c r="B1721" t="s">
        <v>9</v>
      </c>
      <c r="C1721">
        <v>1</v>
      </c>
      <c r="F1721">
        <v>409</v>
      </c>
      <c r="J1721">
        <v>1.0920000000000001</v>
      </c>
      <c r="K1721">
        <v>40.9</v>
      </c>
      <c r="L1721">
        <v>37.5</v>
      </c>
      <c r="M1721">
        <v>295</v>
      </c>
      <c r="N1721">
        <v>46</v>
      </c>
      <c r="O1721">
        <v>4</v>
      </c>
      <c r="P1721">
        <v>1</v>
      </c>
    </row>
    <row r="1722" spans="1:16" x14ac:dyDescent="0.25">
      <c r="A1722" s="4">
        <v>44040</v>
      </c>
      <c r="B1722" t="s">
        <v>10</v>
      </c>
      <c r="C1722" t="s">
        <v>78</v>
      </c>
      <c r="F1722">
        <v>355</v>
      </c>
      <c r="J1722">
        <v>1.05</v>
      </c>
      <c r="K1722">
        <v>35.5</v>
      </c>
      <c r="L1722">
        <v>33.799999999999997</v>
      </c>
      <c r="M1722">
        <v>238</v>
      </c>
      <c r="N1722">
        <v>27</v>
      </c>
      <c r="O1722">
        <v>11</v>
      </c>
      <c r="P1722">
        <v>3</v>
      </c>
    </row>
    <row r="1723" spans="1:16" x14ac:dyDescent="0.25">
      <c r="A1723" s="4">
        <v>44040</v>
      </c>
      <c r="B1723" t="s">
        <v>9</v>
      </c>
      <c r="C1723" t="s">
        <v>78</v>
      </c>
      <c r="F1723">
        <v>409</v>
      </c>
      <c r="J1723">
        <v>1.0920000000000001</v>
      </c>
      <c r="K1723">
        <v>40.9</v>
      </c>
      <c r="L1723">
        <v>37.5</v>
      </c>
      <c r="M1723">
        <v>295</v>
      </c>
      <c r="N1723">
        <v>46</v>
      </c>
      <c r="O1723">
        <v>4</v>
      </c>
      <c r="P1723">
        <v>1</v>
      </c>
    </row>
    <row r="1724" spans="1:16" x14ac:dyDescent="0.25">
      <c r="A1724" s="4">
        <v>44041</v>
      </c>
      <c r="B1724" t="s">
        <v>10</v>
      </c>
      <c r="C1724">
        <v>1</v>
      </c>
      <c r="F1724">
        <v>321</v>
      </c>
      <c r="J1724">
        <v>1.1539999999999999</v>
      </c>
      <c r="K1724">
        <v>40.1</v>
      </c>
      <c r="L1724">
        <v>34.799999999999997</v>
      </c>
      <c r="M1724">
        <v>188</v>
      </c>
      <c r="N1724">
        <v>46</v>
      </c>
      <c r="O1724">
        <v>9</v>
      </c>
    </row>
    <row r="1725" spans="1:16" x14ac:dyDescent="0.25">
      <c r="A1725" s="4">
        <v>44041</v>
      </c>
      <c r="B1725" t="s">
        <v>9</v>
      </c>
      <c r="C1725">
        <v>1</v>
      </c>
      <c r="F1725">
        <v>364</v>
      </c>
      <c r="J1725">
        <v>1.1180000000000001</v>
      </c>
      <c r="K1725">
        <v>45.5</v>
      </c>
      <c r="L1725">
        <v>40.700000000000003</v>
      </c>
      <c r="M1725">
        <v>196</v>
      </c>
      <c r="N1725">
        <v>60</v>
      </c>
      <c r="O1725">
        <v>11</v>
      </c>
    </row>
    <row r="1726" spans="1:16" x14ac:dyDescent="0.25">
      <c r="A1726" s="4">
        <v>44041</v>
      </c>
      <c r="B1726" t="s">
        <v>10</v>
      </c>
      <c r="C1726" t="s">
        <v>78</v>
      </c>
      <c r="F1726">
        <v>321</v>
      </c>
      <c r="J1726">
        <v>1.1539999999999999</v>
      </c>
      <c r="K1726">
        <v>40.1</v>
      </c>
      <c r="L1726">
        <v>34.799999999999997</v>
      </c>
      <c r="M1726">
        <v>188</v>
      </c>
      <c r="N1726">
        <v>46</v>
      </c>
      <c r="O1726">
        <v>9</v>
      </c>
    </row>
    <row r="1727" spans="1:16" x14ac:dyDescent="0.25">
      <c r="A1727" s="4">
        <v>44041</v>
      </c>
      <c r="B1727" t="s">
        <v>9</v>
      </c>
      <c r="C1727" t="s">
        <v>78</v>
      </c>
      <c r="F1727">
        <v>364</v>
      </c>
      <c r="J1727">
        <v>1.1180000000000001</v>
      </c>
      <c r="K1727">
        <v>45.5</v>
      </c>
      <c r="L1727">
        <v>40.700000000000003</v>
      </c>
      <c r="M1727">
        <v>196</v>
      </c>
      <c r="N1727">
        <v>60</v>
      </c>
      <c r="O1727">
        <v>11</v>
      </c>
    </row>
    <row r="1728" spans="1:16" x14ac:dyDescent="0.25">
      <c r="A1728" s="4">
        <v>44042</v>
      </c>
      <c r="B1728" t="s">
        <v>10</v>
      </c>
      <c r="C1728">
        <v>1</v>
      </c>
      <c r="F1728">
        <v>335</v>
      </c>
      <c r="J1728">
        <v>1.2150000000000001</v>
      </c>
      <c r="K1728">
        <v>41.9</v>
      </c>
      <c r="L1728">
        <v>34.5</v>
      </c>
      <c r="M1728">
        <v>214</v>
      </c>
      <c r="N1728">
        <v>34</v>
      </c>
      <c r="O1728">
        <v>8</v>
      </c>
      <c r="P1728">
        <v>2</v>
      </c>
    </row>
    <row r="1729" spans="1:16" x14ac:dyDescent="0.25">
      <c r="A1729" s="4">
        <v>44042</v>
      </c>
      <c r="B1729" t="s">
        <v>9</v>
      </c>
      <c r="C1729">
        <v>1</v>
      </c>
      <c r="F1729">
        <v>326</v>
      </c>
      <c r="J1729">
        <v>1.0429999999999999</v>
      </c>
      <c r="K1729">
        <v>40.799999999999997</v>
      </c>
      <c r="L1729">
        <v>39.1</v>
      </c>
      <c r="M1729">
        <v>222</v>
      </c>
      <c r="N1729">
        <v>21</v>
      </c>
      <c r="O1729">
        <v>13</v>
      </c>
      <c r="P1729">
        <v>1</v>
      </c>
    </row>
    <row r="1730" spans="1:16" x14ac:dyDescent="0.25">
      <c r="A1730" s="4">
        <v>44042</v>
      </c>
      <c r="B1730" t="s">
        <v>10</v>
      </c>
      <c r="C1730" t="s">
        <v>78</v>
      </c>
      <c r="F1730">
        <v>335</v>
      </c>
      <c r="J1730">
        <v>1.2150000000000001</v>
      </c>
      <c r="K1730">
        <v>41.9</v>
      </c>
      <c r="L1730">
        <v>34.5</v>
      </c>
      <c r="M1730">
        <v>214</v>
      </c>
      <c r="N1730">
        <v>34</v>
      </c>
      <c r="O1730">
        <v>8</v>
      </c>
      <c r="P1730">
        <v>2</v>
      </c>
    </row>
    <row r="1731" spans="1:16" x14ac:dyDescent="0.25">
      <c r="A1731" s="4">
        <v>44042</v>
      </c>
      <c r="B1731" t="s">
        <v>9</v>
      </c>
      <c r="C1731" t="s">
        <v>78</v>
      </c>
      <c r="F1731">
        <v>326</v>
      </c>
      <c r="J1731">
        <v>1.0429999999999999</v>
      </c>
      <c r="K1731">
        <v>40.799999999999997</v>
      </c>
      <c r="L1731">
        <v>39.1</v>
      </c>
      <c r="M1731">
        <v>222</v>
      </c>
      <c r="N1731">
        <v>21</v>
      </c>
      <c r="O1731">
        <v>13</v>
      </c>
      <c r="P1731">
        <v>1</v>
      </c>
    </row>
    <row r="1732" spans="1:16" x14ac:dyDescent="0.25">
      <c r="A1732" s="4">
        <v>44043</v>
      </c>
      <c r="B1732" t="s">
        <v>10</v>
      </c>
      <c r="C1732">
        <v>1</v>
      </c>
      <c r="F1732">
        <v>362</v>
      </c>
      <c r="J1732">
        <v>1.2569999999999999</v>
      </c>
      <c r="K1732">
        <v>41.4</v>
      </c>
      <c r="L1732">
        <v>32.9</v>
      </c>
      <c r="M1732">
        <v>260</v>
      </c>
      <c r="N1732">
        <v>36</v>
      </c>
      <c r="O1732">
        <v>6</v>
      </c>
    </row>
    <row r="1733" spans="1:16" x14ac:dyDescent="0.25">
      <c r="A1733" s="4">
        <v>44043</v>
      </c>
      <c r="B1733" t="s">
        <v>9</v>
      </c>
      <c r="C1733">
        <v>1</v>
      </c>
      <c r="F1733">
        <v>236</v>
      </c>
      <c r="J1733">
        <v>1.081</v>
      </c>
      <c r="K1733">
        <v>39.299999999999997</v>
      </c>
      <c r="L1733">
        <v>36.4</v>
      </c>
      <c r="M1733">
        <v>174</v>
      </c>
      <c r="N1733">
        <v>24</v>
      </c>
      <c r="O1733">
        <v>2</v>
      </c>
      <c r="P1733">
        <v>1</v>
      </c>
    </row>
    <row r="1734" spans="1:16" x14ac:dyDescent="0.25">
      <c r="A1734" s="4">
        <v>44043</v>
      </c>
      <c r="B1734" t="s">
        <v>10</v>
      </c>
      <c r="C1734" t="s">
        <v>78</v>
      </c>
      <c r="F1734">
        <v>362</v>
      </c>
      <c r="J1734">
        <v>1.2569999999999999</v>
      </c>
      <c r="K1734">
        <v>41.4</v>
      </c>
      <c r="L1734">
        <v>32.9</v>
      </c>
      <c r="M1734">
        <v>260</v>
      </c>
      <c r="N1734">
        <v>36</v>
      </c>
      <c r="O1734">
        <v>6</v>
      </c>
    </row>
    <row r="1735" spans="1:16" x14ac:dyDescent="0.25">
      <c r="A1735" s="4">
        <v>44043</v>
      </c>
      <c r="B1735" t="s">
        <v>9</v>
      </c>
      <c r="C1735" t="s">
        <v>78</v>
      </c>
      <c r="F1735">
        <v>236</v>
      </c>
      <c r="J1735">
        <v>1.081</v>
      </c>
      <c r="K1735">
        <v>39.299999999999997</v>
      </c>
      <c r="L1735">
        <v>36.4</v>
      </c>
      <c r="M1735">
        <v>174</v>
      </c>
      <c r="N1735">
        <v>24</v>
      </c>
      <c r="O1735">
        <v>2</v>
      </c>
      <c r="P1735">
        <v>1</v>
      </c>
    </row>
    <row r="1736" spans="1:16" x14ac:dyDescent="0.25">
      <c r="A1736" s="4">
        <v>44046</v>
      </c>
      <c r="B1736" t="s">
        <v>10</v>
      </c>
      <c r="C1736">
        <v>1</v>
      </c>
      <c r="F1736">
        <v>387</v>
      </c>
      <c r="J1736">
        <v>1.1120000000000001</v>
      </c>
      <c r="K1736">
        <v>38.700000000000003</v>
      </c>
      <c r="L1736">
        <v>34.799999999999997</v>
      </c>
      <c r="M1736">
        <v>222</v>
      </c>
      <c r="N1736">
        <v>42</v>
      </c>
      <c r="O1736">
        <v>14</v>
      </c>
      <c r="P1736">
        <v>3</v>
      </c>
    </row>
    <row r="1737" spans="1:16" x14ac:dyDescent="0.25">
      <c r="A1737" s="4">
        <v>44046</v>
      </c>
      <c r="B1737" t="s">
        <v>9</v>
      </c>
      <c r="C1737">
        <v>1</v>
      </c>
      <c r="F1737">
        <v>402</v>
      </c>
      <c r="J1737">
        <v>0.997</v>
      </c>
      <c r="K1737">
        <v>40.200000000000003</v>
      </c>
      <c r="L1737">
        <v>40.299999999999997</v>
      </c>
      <c r="M1737">
        <v>237</v>
      </c>
      <c r="N1737">
        <v>46</v>
      </c>
      <c r="O1737">
        <v>11</v>
      </c>
      <c r="P1737">
        <v>4</v>
      </c>
    </row>
    <row r="1738" spans="1:16" x14ac:dyDescent="0.25">
      <c r="A1738" s="4">
        <v>44046</v>
      </c>
      <c r="B1738" t="s">
        <v>10</v>
      </c>
      <c r="C1738" t="s">
        <v>78</v>
      </c>
      <c r="F1738">
        <v>387</v>
      </c>
      <c r="J1738">
        <v>1.1120000000000001</v>
      </c>
      <c r="K1738">
        <v>38.700000000000003</v>
      </c>
      <c r="L1738">
        <v>34.799999999999997</v>
      </c>
      <c r="M1738">
        <v>222</v>
      </c>
      <c r="N1738">
        <v>42</v>
      </c>
      <c r="O1738">
        <v>14</v>
      </c>
      <c r="P1738">
        <v>3</v>
      </c>
    </row>
    <row r="1739" spans="1:16" x14ac:dyDescent="0.25">
      <c r="A1739" s="4">
        <v>44046</v>
      </c>
      <c r="B1739" t="s">
        <v>9</v>
      </c>
      <c r="C1739" t="s">
        <v>78</v>
      </c>
      <c r="F1739">
        <v>402</v>
      </c>
      <c r="J1739">
        <v>0.997</v>
      </c>
      <c r="K1739">
        <v>40.200000000000003</v>
      </c>
      <c r="L1739">
        <v>40.299999999999997</v>
      </c>
      <c r="M1739">
        <v>237</v>
      </c>
      <c r="N1739">
        <v>46</v>
      </c>
      <c r="O1739">
        <v>11</v>
      </c>
      <c r="P1739">
        <v>4</v>
      </c>
    </row>
    <row r="1740" spans="1:16" x14ac:dyDescent="0.25">
      <c r="A1740" s="4">
        <v>44047</v>
      </c>
      <c r="B1740" t="s">
        <v>10</v>
      </c>
      <c r="C1740">
        <v>1</v>
      </c>
      <c r="F1740">
        <v>313</v>
      </c>
      <c r="J1740">
        <v>1.1839999999999999</v>
      </c>
      <c r="K1740">
        <v>40</v>
      </c>
      <c r="L1740">
        <v>33.700000000000003</v>
      </c>
      <c r="M1740">
        <v>206</v>
      </c>
      <c r="N1740">
        <v>21</v>
      </c>
      <c r="O1740">
        <v>13</v>
      </c>
      <c r="P1740">
        <v>2</v>
      </c>
    </row>
    <row r="1741" spans="1:16" x14ac:dyDescent="0.25">
      <c r="A1741" s="4">
        <v>44047</v>
      </c>
      <c r="B1741" t="s">
        <v>9</v>
      </c>
      <c r="C1741">
        <v>1</v>
      </c>
      <c r="F1741">
        <v>302</v>
      </c>
      <c r="J1741">
        <v>1.04</v>
      </c>
      <c r="K1741">
        <v>38.6</v>
      </c>
      <c r="L1741">
        <v>37.1</v>
      </c>
      <c r="M1741">
        <v>233</v>
      </c>
      <c r="N1741">
        <v>19</v>
      </c>
      <c r="O1741">
        <v>7</v>
      </c>
    </row>
    <row r="1742" spans="1:16" x14ac:dyDescent="0.25">
      <c r="A1742" s="4">
        <v>44047</v>
      </c>
      <c r="B1742" t="s">
        <v>10</v>
      </c>
      <c r="C1742" t="s">
        <v>78</v>
      </c>
      <c r="F1742">
        <v>313</v>
      </c>
      <c r="J1742">
        <v>1.1839999999999999</v>
      </c>
      <c r="K1742">
        <v>40</v>
      </c>
      <c r="L1742">
        <v>33.700000000000003</v>
      </c>
      <c r="M1742">
        <v>206</v>
      </c>
      <c r="N1742">
        <v>21</v>
      </c>
      <c r="O1742">
        <v>13</v>
      </c>
      <c r="P1742">
        <v>2</v>
      </c>
    </row>
    <row r="1743" spans="1:16" x14ac:dyDescent="0.25">
      <c r="A1743" s="4">
        <v>44047</v>
      </c>
      <c r="B1743" t="s">
        <v>9</v>
      </c>
      <c r="C1743" t="s">
        <v>78</v>
      </c>
      <c r="F1743">
        <v>302</v>
      </c>
      <c r="J1743">
        <v>1.04</v>
      </c>
      <c r="K1743">
        <v>38.6</v>
      </c>
      <c r="L1743">
        <v>37.1</v>
      </c>
      <c r="M1743">
        <v>233</v>
      </c>
      <c r="N1743">
        <v>19</v>
      </c>
      <c r="O1743">
        <v>7</v>
      </c>
    </row>
    <row r="1744" spans="1:16" x14ac:dyDescent="0.25">
      <c r="A1744" s="4">
        <v>44048</v>
      </c>
      <c r="B1744" t="s">
        <v>10</v>
      </c>
      <c r="C1744">
        <v>1</v>
      </c>
      <c r="F1744">
        <v>334</v>
      </c>
      <c r="J1744">
        <v>1.17</v>
      </c>
      <c r="K1744">
        <v>41.8</v>
      </c>
      <c r="L1744">
        <v>35.700000000000003</v>
      </c>
      <c r="M1744">
        <v>193</v>
      </c>
      <c r="N1744">
        <v>26</v>
      </c>
      <c r="O1744">
        <v>12</v>
      </c>
      <c r="P1744">
        <v>5</v>
      </c>
    </row>
    <row r="1745" spans="1:16" x14ac:dyDescent="0.25">
      <c r="A1745" s="4">
        <v>44048</v>
      </c>
      <c r="B1745" t="s">
        <v>9</v>
      </c>
      <c r="C1745">
        <v>1</v>
      </c>
      <c r="F1745">
        <v>308</v>
      </c>
      <c r="J1745">
        <v>1.077</v>
      </c>
      <c r="K1745">
        <v>38.5</v>
      </c>
      <c r="L1745">
        <v>35.700000000000003</v>
      </c>
      <c r="M1745">
        <v>246</v>
      </c>
      <c r="N1745">
        <v>19</v>
      </c>
      <c r="O1745">
        <v>4</v>
      </c>
      <c r="P1745">
        <v>1</v>
      </c>
    </row>
    <row r="1746" spans="1:16" x14ac:dyDescent="0.25">
      <c r="A1746" s="4">
        <v>44048</v>
      </c>
      <c r="B1746" t="s">
        <v>10</v>
      </c>
      <c r="C1746" t="s">
        <v>78</v>
      </c>
      <c r="F1746">
        <v>334</v>
      </c>
      <c r="J1746">
        <v>1.17</v>
      </c>
      <c r="K1746">
        <v>41.8</v>
      </c>
      <c r="L1746">
        <v>35.700000000000003</v>
      </c>
      <c r="M1746">
        <v>193</v>
      </c>
      <c r="N1746">
        <v>26</v>
      </c>
      <c r="O1746">
        <v>12</v>
      </c>
      <c r="P1746">
        <v>5</v>
      </c>
    </row>
    <row r="1747" spans="1:16" x14ac:dyDescent="0.25">
      <c r="A1747" s="4">
        <v>44048</v>
      </c>
      <c r="B1747" t="s">
        <v>9</v>
      </c>
      <c r="C1747" t="s">
        <v>78</v>
      </c>
      <c r="F1747">
        <v>308</v>
      </c>
      <c r="J1747">
        <v>1.077</v>
      </c>
      <c r="K1747">
        <v>38.5</v>
      </c>
      <c r="L1747">
        <v>35.700000000000003</v>
      </c>
      <c r="M1747">
        <v>246</v>
      </c>
      <c r="N1747">
        <v>19</v>
      </c>
      <c r="O1747">
        <v>4</v>
      </c>
      <c r="P1747">
        <v>1</v>
      </c>
    </row>
    <row r="1748" spans="1:16" x14ac:dyDescent="0.25">
      <c r="A1748" s="4">
        <v>44049</v>
      </c>
      <c r="B1748" t="s">
        <v>10</v>
      </c>
      <c r="C1748">
        <v>1</v>
      </c>
      <c r="F1748">
        <v>323</v>
      </c>
      <c r="J1748">
        <v>1.085</v>
      </c>
      <c r="K1748">
        <v>40.4</v>
      </c>
      <c r="L1748">
        <v>37.200000000000003</v>
      </c>
      <c r="M1748">
        <v>170</v>
      </c>
      <c r="N1748">
        <v>37</v>
      </c>
      <c r="O1748">
        <v>8</v>
      </c>
      <c r="P1748">
        <v>3</v>
      </c>
    </row>
    <row r="1749" spans="1:16" x14ac:dyDescent="0.25">
      <c r="A1749" s="4">
        <v>44049</v>
      </c>
      <c r="B1749" t="s">
        <v>9</v>
      </c>
      <c r="C1749">
        <v>1</v>
      </c>
      <c r="F1749">
        <v>313</v>
      </c>
      <c r="J1749">
        <v>1.0209999999999999</v>
      </c>
      <c r="K1749">
        <v>39.1</v>
      </c>
      <c r="L1749">
        <v>38.299999999999997</v>
      </c>
      <c r="M1749">
        <v>222</v>
      </c>
      <c r="N1749">
        <v>21</v>
      </c>
      <c r="O1749">
        <v>4</v>
      </c>
      <c r="P1749">
        <v>3</v>
      </c>
    </row>
    <row r="1750" spans="1:16" x14ac:dyDescent="0.25">
      <c r="A1750" s="4">
        <v>44049</v>
      </c>
      <c r="B1750" t="s">
        <v>10</v>
      </c>
      <c r="C1750" t="s">
        <v>78</v>
      </c>
      <c r="F1750">
        <v>323</v>
      </c>
      <c r="J1750">
        <v>1.085</v>
      </c>
      <c r="K1750">
        <v>40.4</v>
      </c>
      <c r="L1750">
        <v>37.200000000000003</v>
      </c>
      <c r="M1750">
        <v>170</v>
      </c>
      <c r="N1750">
        <v>37</v>
      </c>
      <c r="O1750">
        <v>8</v>
      </c>
      <c r="P1750">
        <v>3</v>
      </c>
    </row>
    <row r="1751" spans="1:16" x14ac:dyDescent="0.25">
      <c r="A1751" s="4">
        <v>44049</v>
      </c>
      <c r="B1751" t="s">
        <v>9</v>
      </c>
      <c r="C1751" t="s">
        <v>78</v>
      </c>
      <c r="F1751">
        <v>313</v>
      </c>
      <c r="J1751">
        <v>1.0209999999999999</v>
      </c>
      <c r="K1751">
        <v>39.1</v>
      </c>
      <c r="L1751">
        <v>38.299999999999997</v>
      </c>
      <c r="M1751">
        <v>222</v>
      </c>
      <c r="N1751">
        <v>21</v>
      </c>
      <c r="O1751">
        <v>4</v>
      </c>
      <c r="P1751">
        <v>3</v>
      </c>
    </row>
    <row r="1752" spans="1:16" x14ac:dyDescent="0.25">
      <c r="A1752" s="4">
        <v>44050</v>
      </c>
      <c r="B1752" t="s">
        <v>10</v>
      </c>
      <c r="C1752">
        <v>1</v>
      </c>
      <c r="F1752">
        <v>320</v>
      </c>
      <c r="J1752">
        <v>1.2070000000000001</v>
      </c>
      <c r="K1752">
        <v>40</v>
      </c>
      <c r="L1752">
        <v>33.130000000000003</v>
      </c>
      <c r="M1752">
        <v>203</v>
      </c>
      <c r="N1752">
        <v>41</v>
      </c>
      <c r="O1752">
        <v>8</v>
      </c>
      <c r="P1752">
        <v>0</v>
      </c>
    </row>
    <row r="1753" spans="1:16" x14ac:dyDescent="0.25">
      <c r="A1753" s="4">
        <v>44050</v>
      </c>
      <c r="B1753" t="s">
        <v>9</v>
      </c>
      <c r="C1753">
        <v>1</v>
      </c>
      <c r="F1753">
        <v>318</v>
      </c>
      <c r="J1753">
        <v>1.03</v>
      </c>
      <c r="K1753">
        <v>39.75</v>
      </c>
      <c r="L1753">
        <v>38.6</v>
      </c>
      <c r="M1753">
        <v>221</v>
      </c>
      <c r="N1753">
        <v>29</v>
      </c>
      <c r="O1753">
        <v>7</v>
      </c>
      <c r="P1753">
        <v>1</v>
      </c>
    </row>
    <row r="1754" spans="1:16" x14ac:dyDescent="0.25">
      <c r="A1754" s="4">
        <v>44050</v>
      </c>
      <c r="B1754" t="s">
        <v>10</v>
      </c>
      <c r="C1754" t="s">
        <v>78</v>
      </c>
      <c r="F1754">
        <v>320</v>
      </c>
      <c r="J1754">
        <v>1.2070000000000001</v>
      </c>
      <c r="K1754">
        <v>40</v>
      </c>
      <c r="L1754">
        <v>33.130000000000003</v>
      </c>
      <c r="M1754">
        <v>203</v>
      </c>
      <c r="N1754">
        <v>41</v>
      </c>
      <c r="O1754">
        <v>8</v>
      </c>
      <c r="P1754">
        <v>0</v>
      </c>
    </row>
    <row r="1755" spans="1:16" x14ac:dyDescent="0.25">
      <c r="A1755" s="4">
        <v>44050</v>
      </c>
      <c r="B1755" t="s">
        <v>9</v>
      </c>
      <c r="C1755" t="s">
        <v>78</v>
      </c>
      <c r="F1755">
        <v>318</v>
      </c>
      <c r="J1755">
        <v>1.03</v>
      </c>
      <c r="K1755">
        <v>39.75</v>
      </c>
      <c r="L1755">
        <v>38.6</v>
      </c>
      <c r="M1755">
        <v>221</v>
      </c>
      <c r="N1755">
        <v>29</v>
      </c>
      <c r="O1755">
        <v>7</v>
      </c>
      <c r="P1755">
        <v>1</v>
      </c>
    </row>
    <row r="1756" spans="1:16" x14ac:dyDescent="0.25">
      <c r="A1756" s="4">
        <v>44053</v>
      </c>
      <c r="B1756" t="s">
        <v>10</v>
      </c>
      <c r="C1756">
        <v>1</v>
      </c>
    </row>
    <row r="1757" spans="1:16" x14ac:dyDescent="0.25">
      <c r="A1757" s="4">
        <v>44053</v>
      </c>
      <c r="B1757" t="s">
        <v>9</v>
      </c>
      <c r="C1757">
        <v>1</v>
      </c>
      <c r="F1757">
        <v>367</v>
      </c>
      <c r="J1757">
        <v>0.92400000000000004</v>
      </c>
      <c r="K1757">
        <v>36.700000000000003</v>
      </c>
      <c r="L1757">
        <v>39.74</v>
      </c>
      <c r="M1757">
        <v>221</v>
      </c>
      <c r="N1757">
        <v>24</v>
      </c>
      <c r="O1757">
        <v>17</v>
      </c>
      <c r="P1757">
        <v>4</v>
      </c>
    </row>
    <row r="1758" spans="1:16" x14ac:dyDescent="0.25">
      <c r="A1758" s="4">
        <v>44053</v>
      </c>
      <c r="B1758" t="s">
        <v>10</v>
      </c>
      <c r="C1758" t="s">
        <v>78</v>
      </c>
    </row>
    <row r="1759" spans="1:16" x14ac:dyDescent="0.25">
      <c r="A1759" s="4">
        <v>44053</v>
      </c>
      <c r="B1759" t="s">
        <v>9</v>
      </c>
      <c r="C1759" t="s">
        <v>78</v>
      </c>
      <c r="F1759">
        <v>367</v>
      </c>
      <c r="J1759">
        <v>0.92400000000000004</v>
      </c>
      <c r="K1759">
        <v>36.700000000000003</v>
      </c>
      <c r="L1759">
        <v>39.74</v>
      </c>
      <c r="M1759">
        <v>221</v>
      </c>
      <c r="N1759">
        <v>24</v>
      </c>
      <c r="O1759">
        <v>17</v>
      </c>
      <c r="P1759">
        <v>4</v>
      </c>
    </row>
    <row r="1760" spans="1:16" x14ac:dyDescent="0.25">
      <c r="A1760" s="4">
        <v>44054</v>
      </c>
      <c r="B1760" t="s">
        <v>10</v>
      </c>
      <c r="C1760">
        <v>1</v>
      </c>
      <c r="F1760">
        <v>310</v>
      </c>
      <c r="J1760">
        <v>1.175</v>
      </c>
      <c r="K1760">
        <v>41.33</v>
      </c>
      <c r="L1760">
        <v>35.19</v>
      </c>
      <c r="M1760">
        <v>157</v>
      </c>
      <c r="N1760">
        <v>47</v>
      </c>
      <c r="O1760">
        <v>14</v>
      </c>
      <c r="P1760">
        <v>0</v>
      </c>
    </row>
    <row r="1761" spans="1:16" x14ac:dyDescent="0.25">
      <c r="A1761" s="4">
        <v>44054</v>
      </c>
      <c r="B1761" t="s">
        <v>9</v>
      </c>
      <c r="C1761">
        <v>1</v>
      </c>
      <c r="F1761">
        <v>373</v>
      </c>
      <c r="J1761">
        <v>0.97199999999999998</v>
      </c>
      <c r="K1761">
        <v>37.299999999999997</v>
      </c>
      <c r="L1761">
        <v>38.36</v>
      </c>
      <c r="M1761">
        <v>242</v>
      </c>
      <c r="N1761">
        <v>38</v>
      </c>
      <c r="O1761">
        <v>11</v>
      </c>
      <c r="P1761">
        <v>1</v>
      </c>
    </row>
    <row r="1762" spans="1:16" x14ac:dyDescent="0.25">
      <c r="A1762" s="4">
        <v>44054</v>
      </c>
      <c r="B1762" t="s">
        <v>10</v>
      </c>
      <c r="C1762" t="s">
        <v>78</v>
      </c>
      <c r="F1762">
        <v>310</v>
      </c>
      <c r="J1762">
        <v>1.175</v>
      </c>
      <c r="K1762">
        <v>41.33</v>
      </c>
      <c r="L1762">
        <v>35.19</v>
      </c>
      <c r="M1762">
        <v>157</v>
      </c>
      <c r="N1762">
        <v>47</v>
      </c>
      <c r="O1762">
        <v>14</v>
      </c>
      <c r="P1762">
        <v>0</v>
      </c>
    </row>
    <row r="1763" spans="1:16" x14ac:dyDescent="0.25">
      <c r="A1763" s="4">
        <v>44054</v>
      </c>
      <c r="B1763" t="s">
        <v>9</v>
      </c>
      <c r="C1763" t="s">
        <v>78</v>
      </c>
      <c r="F1763">
        <v>373</v>
      </c>
      <c r="J1763">
        <v>0.97199999999999998</v>
      </c>
      <c r="K1763">
        <v>37.299999999999997</v>
      </c>
      <c r="L1763">
        <v>38.36</v>
      </c>
      <c r="M1763">
        <v>242</v>
      </c>
      <c r="N1763">
        <v>38</v>
      </c>
      <c r="O1763">
        <v>11</v>
      </c>
      <c r="P1763">
        <v>1</v>
      </c>
    </row>
    <row r="1764" spans="1:16" x14ac:dyDescent="0.25">
      <c r="A1764" s="4">
        <v>44055</v>
      </c>
      <c r="B1764" t="s">
        <v>10</v>
      </c>
      <c r="C1764">
        <v>1</v>
      </c>
      <c r="F1764">
        <v>386</v>
      </c>
      <c r="J1764">
        <v>1.089</v>
      </c>
      <c r="K1764">
        <v>38.6</v>
      </c>
      <c r="L1764">
        <v>35.450000000000003</v>
      </c>
      <c r="M1764">
        <v>207</v>
      </c>
      <c r="N1764">
        <v>46</v>
      </c>
      <c r="O1764">
        <v>21</v>
      </c>
      <c r="P1764">
        <v>1</v>
      </c>
    </row>
    <row r="1765" spans="1:16" x14ac:dyDescent="0.25">
      <c r="A1765" s="4">
        <v>44055</v>
      </c>
      <c r="B1765" t="s">
        <v>9</v>
      </c>
      <c r="C1765">
        <v>1</v>
      </c>
      <c r="F1765">
        <v>409</v>
      </c>
      <c r="J1765">
        <v>1.054</v>
      </c>
      <c r="K1765">
        <v>40.9</v>
      </c>
      <c r="L1765">
        <v>38.799999999999997</v>
      </c>
      <c r="M1765">
        <v>258</v>
      </c>
      <c r="N1765">
        <v>45</v>
      </c>
      <c r="O1765">
        <v>10</v>
      </c>
      <c r="P1765">
        <v>3</v>
      </c>
    </row>
    <row r="1766" spans="1:16" x14ac:dyDescent="0.25">
      <c r="A1766" s="4">
        <v>44055</v>
      </c>
      <c r="B1766" t="s">
        <v>10</v>
      </c>
      <c r="C1766" t="s">
        <v>78</v>
      </c>
      <c r="F1766">
        <v>386</v>
      </c>
      <c r="J1766">
        <v>1.089</v>
      </c>
      <c r="K1766">
        <v>38.6</v>
      </c>
      <c r="L1766">
        <v>35.450000000000003</v>
      </c>
      <c r="M1766">
        <v>207</v>
      </c>
      <c r="N1766">
        <v>46</v>
      </c>
      <c r="O1766">
        <v>21</v>
      </c>
      <c r="P1766">
        <v>1</v>
      </c>
    </row>
    <row r="1767" spans="1:16" x14ac:dyDescent="0.25">
      <c r="A1767" s="4">
        <v>44055</v>
      </c>
      <c r="B1767" t="s">
        <v>9</v>
      </c>
      <c r="C1767" t="s">
        <v>78</v>
      </c>
      <c r="F1767">
        <v>409</v>
      </c>
      <c r="J1767">
        <v>1.054</v>
      </c>
      <c r="K1767">
        <v>40.9</v>
      </c>
      <c r="L1767">
        <v>38.799999999999997</v>
      </c>
      <c r="M1767">
        <v>258</v>
      </c>
      <c r="N1767">
        <v>45</v>
      </c>
      <c r="O1767">
        <v>10</v>
      </c>
      <c r="P1767">
        <v>3</v>
      </c>
    </row>
    <row r="1768" spans="1:16" x14ac:dyDescent="0.25">
      <c r="A1768" s="4">
        <v>44056</v>
      </c>
      <c r="B1768" t="s">
        <v>10</v>
      </c>
      <c r="C1768">
        <v>1</v>
      </c>
      <c r="F1768">
        <v>355</v>
      </c>
      <c r="J1768">
        <v>1.0529999999999999</v>
      </c>
      <c r="K1768">
        <v>35.5</v>
      </c>
      <c r="L1768">
        <v>33.729999999999997</v>
      </c>
      <c r="M1768">
        <v>212</v>
      </c>
      <c r="N1768">
        <v>45</v>
      </c>
      <c r="O1768">
        <v>9</v>
      </c>
      <c r="P1768">
        <v>2</v>
      </c>
    </row>
    <row r="1769" spans="1:16" x14ac:dyDescent="0.25">
      <c r="A1769" s="4">
        <v>44056</v>
      </c>
      <c r="B1769" t="s">
        <v>9</v>
      </c>
      <c r="C1769">
        <v>1</v>
      </c>
      <c r="F1769">
        <v>349</v>
      </c>
      <c r="J1769">
        <v>0.90800000000000003</v>
      </c>
      <c r="K1769">
        <v>34.9</v>
      </c>
      <c r="L1769">
        <v>38.43</v>
      </c>
      <c r="M1769">
        <v>227</v>
      </c>
      <c r="N1769">
        <v>35</v>
      </c>
      <c r="O1769">
        <v>9</v>
      </c>
      <c r="P1769">
        <v>1</v>
      </c>
    </row>
    <row r="1770" spans="1:16" x14ac:dyDescent="0.25">
      <c r="A1770" s="4">
        <v>44056</v>
      </c>
      <c r="B1770" t="s">
        <v>10</v>
      </c>
      <c r="C1770" t="s">
        <v>78</v>
      </c>
      <c r="F1770">
        <v>355</v>
      </c>
      <c r="J1770">
        <v>1.0529999999999999</v>
      </c>
      <c r="K1770">
        <v>35.5</v>
      </c>
      <c r="L1770">
        <v>33.729999999999997</v>
      </c>
      <c r="M1770">
        <v>212</v>
      </c>
      <c r="N1770">
        <v>45</v>
      </c>
      <c r="O1770">
        <v>9</v>
      </c>
      <c r="P1770">
        <v>2</v>
      </c>
    </row>
    <row r="1771" spans="1:16" x14ac:dyDescent="0.25">
      <c r="A1771" s="4">
        <v>44056</v>
      </c>
      <c r="B1771" t="s">
        <v>9</v>
      </c>
      <c r="C1771" t="s">
        <v>78</v>
      </c>
      <c r="F1771">
        <v>349</v>
      </c>
      <c r="J1771">
        <v>0.90800000000000003</v>
      </c>
      <c r="K1771">
        <v>34.9</v>
      </c>
      <c r="L1771">
        <v>38.43</v>
      </c>
      <c r="M1771">
        <v>227</v>
      </c>
      <c r="N1771">
        <v>35</v>
      </c>
      <c r="O1771">
        <v>9</v>
      </c>
      <c r="P1771">
        <v>1</v>
      </c>
    </row>
    <row r="1772" spans="1:16" x14ac:dyDescent="0.25">
      <c r="A1772" s="4">
        <v>44057</v>
      </c>
      <c r="B1772" t="s">
        <v>10</v>
      </c>
      <c r="C1772">
        <v>1</v>
      </c>
      <c r="F1772">
        <v>370</v>
      </c>
      <c r="J1772">
        <v>1.129</v>
      </c>
      <c r="K1772">
        <v>37</v>
      </c>
      <c r="L1772">
        <v>32.770000000000003</v>
      </c>
      <c r="M1772">
        <v>237</v>
      </c>
      <c r="N1772">
        <v>49</v>
      </c>
      <c r="O1772">
        <v>7</v>
      </c>
      <c r="P1772">
        <v>0</v>
      </c>
    </row>
    <row r="1773" spans="1:16" x14ac:dyDescent="0.25">
      <c r="A1773" s="4">
        <v>44057</v>
      </c>
      <c r="B1773" t="s">
        <v>9</v>
      </c>
      <c r="C1773">
        <v>1</v>
      </c>
      <c r="F1773">
        <v>394</v>
      </c>
      <c r="J1773">
        <v>1.0960000000000001</v>
      </c>
      <c r="K1773">
        <v>39.4</v>
      </c>
      <c r="L1773">
        <v>35.94</v>
      </c>
      <c r="M1773">
        <v>290</v>
      </c>
      <c r="N1773">
        <v>38</v>
      </c>
      <c r="O1773">
        <v>6</v>
      </c>
      <c r="P1773">
        <v>0</v>
      </c>
    </row>
    <row r="1774" spans="1:16" x14ac:dyDescent="0.25">
      <c r="A1774" s="4">
        <v>44057</v>
      </c>
      <c r="B1774" t="s">
        <v>10</v>
      </c>
      <c r="C1774" t="s">
        <v>78</v>
      </c>
      <c r="F1774">
        <v>370</v>
      </c>
      <c r="J1774">
        <v>1.129</v>
      </c>
      <c r="K1774">
        <v>37</v>
      </c>
      <c r="L1774">
        <v>32.770000000000003</v>
      </c>
      <c r="M1774">
        <v>237</v>
      </c>
      <c r="N1774">
        <v>49</v>
      </c>
      <c r="O1774">
        <v>7</v>
      </c>
      <c r="P1774">
        <v>0</v>
      </c>
    </row>
    <row r="1775" spans="1:16" x14ac:dyDescent="0.25">
      <c r="A1775" s="4">
        <v>44057</v>
      </c>
      <c r="B1775" t="s">
        <v>9</v>
      </c>
      <c r="C1775" t="s">
        <v>78</v>
      </c>
      <c r="F1775">
        <v>394</v>
      </c>
      <c r="J1775">
        <v>1.0960000000000001</v>
      </c>
      <c r="K1775">
        <v>39.4</v>
      </c>
      <c r="L1775">
        <v>35.94</v>
      </c>
      <c r="M1775">
        <v>290</v>
      </c>
      <c r="N1775">
        <v>38</v>
      </c>
      <c r="O1775">
        <v>6</v>
      </c>
      <c r="P1775">
        <v>0</v>
      </c>
    </row>
    <row r="1776" spans="1:16" x14ac:dyDescent="0.25">
      <c r="A1776" s="4">
        <v>44060</v>
      </c>
      <c r="B1776" t="s">
        <v>10</v>
      </c>
      <c r="C1776">
        <v>1</v>
      </c>
      <c r="F1776">
        <v>265</v>
      </c>
      <c r="J1776">
        <v>0.98099999999999998</v>
      </c>
      <c r="K1776">
        <v>33.130000000000003</v>
      </c>
      <c r="L1776">
        <v>33.75</v>
      </c>
      <c r="M1776">
        <v>155</v>
      </c>
      <c r="N1776">
        <v>32</v>
      </c>
      <c r="O1776">
        <v>7</v>
      </c>
      <c r="P1776">
        <v>2</v>
      </c>
    </row>
    <row r="1777" spans="1:16" x14ac:dyDescent="0.25">
      <c r="A1777" s="4">
        <v>44060</v>
      </c>
      <c r="B1777" t="s">
        <v>9</v>
      </c>
      <c r="C1777">
        <v>1</v>
      </c>
      <c r="F1777">
        <v>320</v>
      </c>
      <c r="J1777">
        <v>1.06</v>
      </c>
      <c r="K1777">
        <v>40</v>
      </c>
      <c r="L1777">
        <v>37.74</v>
      </c>
      <c r="M1777">
        <v>216</v>
      </c>
      <c r="N1777">
        <v>41</v>
      </c>
      <c r="O1777">
        <v>3</v>
      </c>
      <c r="P1777">
        <v>1</v>
      </c>
    </row>
    <row r="1778" spans="1:16" x14ac:dyDescent="0.25">
      <c r="A1778" s="4">
        <v>44060</v>
      </c>
      <c r="B1778" t="s">
        <v>10</v>
      </c>
      <c r="C1778" t="s">
        <v>78</v>
      </c>
      <c r="F1778">
        <v>265</v>
      </c>
      <c r="J1778">
        <v>0.98099999999999998</v>
      </c>
      <c r="K1778">
        <v>33.130000000000003</v>
      </c>
      <c r="L1778">
        <v>33.75</v>
      </c>
      <c r="M1778">
        <v>155</v>
      </c>
      <c r="N1778">
        <v>32</v>
      </c>
      <c r="O1778">
        <v>7</v>
      </c>
      <c r="P1778">
        <v>2</v>
      </c>
    </row>
    <row r="1779" spans="1:16" x14ac:dyDescent="0.25">
      <c r="A1779" s="4">
        <v>44060</v>
      </c>
      <c r="B1779" t="s">
        <v>9</v>
      </c>
      <c r="C1779" t="s">
        <v>78</v>
      </c>
      <c r="F1779">
        <v>320</v>
      </c>
      <c r="J1779">
        <v>1.06</v>
      </c>
      <c r="K1779">
        <v>40</v>
      </c>
      <c r="L1779">
        <v>37.74</v>
      </c>
      <c r="M1779">
        <v>216</v>
      </c>
      <c r="N1779">
        <v>41</v>
      </c>
      <c r="O1779">
        <v>3</v>
      </c>
      <c r="P1779">
        <v>1</v>
      </c>
    </row>
    <row r="1780" spans="1:16" x14ac:dyDescent="0.25">
      <c r="A1780" s="4">
        <v>44061</v>
      </c>
      <c r="B1780" t="s">
        <v>10</v>
      </c>
      <c r="C1780">
        <v>1</v>
      </c>
      <c r="F1780">
        <v>344</v>
      </c>
      <c r="J1780">
        <v>1.2529999999999999</v>
      </c>
      <c r="K1780">
        <v>44.39</v>
      </c>
      <c r="L1780">
        <v>35.42</v>
      </c>
      <c r="M1780">
        <v>173</v>
      </c>
      <c r="N1780">
        <v>46</v>
      </c>
      <c r="O1780">
        <v>18</v>
      </c>
      <c r="P1780">
        <v>1</v>
      </c>
    </row>
    <row r="1781" spans="1:16" x14ac:dyDescent="0.25">
      <c r="A1781" s="4">
        <v>44061</v>
      </c>
      <c r="B1781" t="s">
        <v>9</v>
      </c>
      <c r="C1781">
        <v>1</v>
      </c>
      <c r="F1781">
        <v>332</v>
      </c>
      <c r="J1781">
        <v>1.1519999999999999</v>
      </c>
      <c r="K1781">
        <v>42.84</v>
      </c>
      <c r="L1781">
        <v>37.17</v>
      </c>
      <c r="M1781">
        <v>235</v>
      </c>
      <c r="N1781">
        <v>31</v>
      </c>
      <c r="O1781">
        <v>4</v>
      </c>
      <c r="P1781">
        <v>2</v>
      </c>
    </row>
    <row r="1782" spans="1:16" x14ac:dyDescent="0.25">
      <c r="A1782" s="4">
        <v>44061</v>
      </c>
      <c r="B1782" t="s">
        <v>10</v>
      </c>
      <c r="C1782" t="s">
        <v>78</v>
      </c>
      <c r="F1782">
        <v>344</v>
      </c>
      <c r="J1782">
        <v>1.2529999999999999</v>
      </c>
      <c r="K1782">
        <v>44.39</v>
      </c>
      <c r="L1782">
        <v>35.42</v>
      </c>
      <c r="M1782">
        <v>173</v>
      </c>
      <c r="N1782">
        <v>46</v>
      </c>
      <c r="O1782">
        <v>18</v>
      </c>
      <c r="P1782">
        <v>1</v>
      </c>
    </row>
    <row r="1783" spans="1:16" x14ac:dyDescent="0.25">
      <c r="A1783" s="4">
        <v>44061</v>
      </c>
      <c r="B1783" t="s">
        <v>9</v>
      </c>
      <c r="C1783" t="s">
        <v>78</v>
      </c>
      <c r="F1783">
        <v>332</v>
      </c>
      <c r="J1783">
        <v>1.1519999999999999</v>
      </c>
      <c r="K1783">
        <v>42.84</v>
      </c>
      <c r="L1783">
        <v>37.17</v>
      </c>
      <c r="M1783">
        <v>235</v>
      </c>
      <c r="N1783">
        <v>31</v>
      </c>
      <c r="O1783">
        <v>4</v>
      </c>
      <c r="P1783">
        <v>2</v>
      </c>
    </row>
    <row r="1784" spans="1:16" x14ac:dyDescent="0.25">
      <c r="A1784" s="4">
        <v>44062</v>
      </c>
      <c r="B1784" t="s">
        <v>10</v>
      </c>
      <c r="C1784">
        <v>1</v>
      </c>
      <c r="F1784">
        <v>370</v>
      </c>
      <c r="J1784">
        <v>1.1020000000000001</v>
      </c>
      <c r="K1784">
        <v>37.950000000000003</v>
      </c>
      <c r="L1784">
        <v>34.450000000000003</v>
      </c>
      <c r="M1784">
        <v>222</v>
      </c>
      <c r="N1784">
        <v>32</v>
      </c>
      <c r="O1784">
        <v>15</v>
      </c>
      <c r="P1784">
        <v>3</v>
      </c>
    </row>
    <row r="1785" spans="1:16" x14ac:dyDescent="0.25">
      <c r="A1785" s="4">
        <v>44062</v>
      </c>
      <c r="B1785" t="s">
        <v>9</v>
      </c>
      <c r="C1785">
        <v>1</v>
      </c>
      <c r="F1785">
        <v>365</v>
      </c>
      <c r="J1785">
        <v>0.997</v>
      </c>
      <c r="K1785">
        <v>37.44</v>
      </c>
      <c r="L1785">
        <v>37.549999999999997</v>
      </c>
      <c r="M1785">
        <v>246</v>
      </c>
      <c r="N1785">
        <v>43</v>
      </c>
      <c r="O1785">
        <v>8</v>
      </c>
      <c r="P1785">
        <v>0</v>
      </c>
    </row>
    <row r="1786" spans="1:16" x14ac:dyDescent="0.25">
      <c r="A1786" s="4">
        <v>44062</v>
      </c>
      <c r="B1786" t="s">
        <v>10</v>
      </c>
      <c r="C1786" t="s">
        <v>78</v>
      </c>
      <c r="F1786">
        <v>370</v>
      </c>
      <c r="J1786">
        <v>1.1020000000000001</v>
      </c>
      <c r="K1786">
        <v>37.950000000000003</v>
      </c>
      <c r="L1786">
        <v>34.450000000000003</v>
      </c>
      <c r="M1786">
        <v>222</v>
      </c>
      <c r="N1786">
        <v>32</v>
      </c>
      <c r="O1786">
        <v>15</v>
      </c>
      <c r="P1786">
        <v>3</v>
      </c>
    </row>
    <row r="1787" spans="1:16" x14ac:dyDescent="0.25">
      <c r="A1787" s="4">
        <v>44062</v>
      </c>
      <c r="B1787" t="s">
        <v>9</v>
      </c>
      <c r="C1787" t="s">
        <v>78</v>
      </c>
      <c r="F1787">
        <v>365</v>
      </c>
      <c r="J1787">
        <v>0.997</v>
      </c>
      <c r="K1787">
        <v>37.44</v>
      </c>
      <c r="L1787">
        <v>37.549999999999997</v>
      </c>
      <c r="M1787">
        <v>246</v>
      </c>
      <c r="N1787">
        <v>43</v>
      </c>
      <c r="O1787">
        <v>8</v>
      </c>
      <c r="P1787">
        <v>0</v>
      </c>
    </row>
    <row r="1788" spans="1:16" x14ac:dyDescent="0.25">
      <c r="A1788" s="4">
        <v>44063</v>
      </c>
      <c r="B1788" t="s">
        <v>10</v>
      </c>
      <c r="C1788">
        <v>1</v>
      </c>
      <c r="F1788">
        <v>338</v>
      </c>
      <c r="J1788">
        <v>1.3169999999999999</v>
      </c>
      <c r="K1788">
        <v>43.61</v>
      </c>
      <c r="L1788">
        <v>33.119999999999997</v>
      </c>
      <c r="M1788">
        <v>234</v>
      </c>
      <c r="N1788">
        <v>31</v>
      </c>
      <c r="O1788">
        <v>8</v>
      </c>
      <c r="P1788">
        <v>1</v>
      </c>
    </row>
    <row r="1789" spans="1:16" x14ac:dyDescent="0.25">
      <c r="A1789" s="4">
        <v>44063</v>
      </c>
      <c r="B1789" t="s">
        <v>9</v>
      </c>
      <c r="C1789">
        <v>1</v>
      </c>
      <c r="F1789">
        <v>324</v>
      </c>
      <c r="J1789">
        <v>1.1299999999999999</v>
      </c>
      <c r="K1789">
        <v>41.81</v>
      </c>
      <c r="L1789">
        <v>36.979999999999997</v>
      </c>
      <c r="M1789">
        <v>242</v>
      </c>
      <c r="N1789">
        <v>22</v>
      </c>
      <c r="O1789">
        <v>8</v>
      </c>
      <c r="P1789">
        <v>1</v>
      </c>
    </row>
    <row r="1790" spans="1:16" x14ac:dyDescent="0.25">
      <c r="A1790" s="4">
        <v>44063</v>
      </c>
      <c r="B1790" t="s">
        <v>10</v>
      </c>
      <c r="C1790" t="s">
        <v>78</v>
      </c>
      <c r="F1790">
        <v>338</v>
      </c>
      <c r="J1790">
        <v>1.3169999999999999</v>
      </c>
      <c r="K1790">
        <v>43.61</v>
      </c>
      <c r="L1790">
        <v>33.119999999999997</v>
      </c>
      <c r="M1790">
        <v>234</v>
      </c>
      <c r="N1790">
        <v>31</v>
      </c>
      <c r="O1790">
        <v>8</v>
      </c>
      <c r="P1790">
        <v>1</v>
      </c>
    </row>
    <row r="1791" spans="1:16" x14ac:dyDescent="0.25">
      <c r="A1791" s="4">
        <v>44063</v>
      </c>
      <c r="B1791" t="s">
        <v>9</v>
      </c>
      <c r="C1791" t="s">
        <v>78</v>
      </c>
      <c r="F1791">
        <v>324</v>
      </c>
      <c r="J1791">
        <v>1.1299999999999999</v>
      </c>
      <c r="K1791">
        <v>41.81</v>
      </c>
      <c r="L1791">
        <v>36.979999999999997</v>
      </c>
      <c r="M1791">
        <v>242</v>
      </c>
      <c r="N1791">
        <v>22</v>
      </c>
      <c r="O1791">
        <v>8</v>
      </c>
      <c r="P1791">
        <v>1</v>
      </c>
    </row>
    <row r="1792" spans="1:16" x14ac:dyDescent="0.25">
      <c r="A1792" s="4">
        <v>44064</v>
      </c>
      <c r="B1792" t="s">
        <v>10</v>
      </c>
      <c r="C1792">
        <v>1</v>
      </c>
      <c r="F1792">
        <v>313</v>
      </c>
      <c r="J1792">
        <v>1.2869999999999999</v>
      </c>
      <c r="K1792">
        <v>40.39</v>
      </c>
      <c r="L1792">
        <v>31.39</v>
      </c>
      <c r="M1792">
        <v>242</v>
      </c>
      <c r="N1792">
        <v>21</v>
      </c>
      <c r="O1792">
        <v>9</v>
      </c>
      <c r="P1792">
        <v>0</v>
      </c>
    </row>
    <row r="1793" spans="1:16" x14ac:dyDescent="0.25">
      <c r="A1793" s="4">
        <v>44064</v>
      </c>
      <c r="B1793" t="s">
        <v>9</v>
      </c>
      <c r="C1793">
        <v>1</v>
      </c>
      <c r="F1793">
        <v>336</v>
      </c>
      <c r="J1793">
        <v>1.1890000000000001</v>
      </c>
      <c r="K1793">
        <v>43.35</v>
      </c>
      <c r="L1793">
        <v>36.47</v>
      </c>
      <c r="M1793">
        <v>272</v>
      </c>
      <c r="N1793">
        <v>23</v>
      </c>
      <c r="O1793">
        <v>4</v>
      </c>
      <c r="P1793">
        <v>0</v>
      </c>
    </row>
    <row r="1794" spans="1:16" x14ac:dyDescent="0.25">
      <c r="A1794" s="4">
        <v>44064</v>
      </c>
      <c r="B1794" t="s">
        <v>10</v>
      </c>
      <c r="C1794" t="s">
        <v>78</v>
      </c>
      <c r="F1794">
        <v>313</v>
      </c>
      <c r="J1794">
        <v>1.2869999999999999</v>
      </c>
      <c r="K1794">
        <v>40.39</v>
      </c>
      <c r="L1794">
        <v>31.39</v>
      </c>
      <c r="M1794">
        <v>242</v>
      </c>
      <c r="N1794">
        <v>21</v>
      </c>
      <c r="O1794">
        <v>9</v>
      </c>
      <c r="P1794">
        <v>0</v>
      </c>
    </row>
    <row r="1795" spans="1:16" x14ac:dyDescent="0.25">
      <c r="A1795" s="4">
        <v>44064</v>
      </c>
      <c r="B1795" t="s">
        <v>9</v>
      </c>
      <c r="C1795" t="s">
        <v>78</v>
      </c>
      <c r="F1795">
        <v>336</v>
      </c>
      <c r="J1795">
        <v>1.1890000000000001</v>
      </c>
      <c r="K1795">
        <v>43.35</v>
      </c>
      <c r="L1795">
        <v>36.47</v>
      </c>
      <c r="M1795">
        <v>272</v>
      </c>
      <c r="N1795">
        <v>23</v>
      </c>
      <c r="O1795">
        <v>4</v>
      </c>
      <c r="P1795">
        <v>0</v>
      </c>
    </row>
    <row r="1796" spans="1:16" x14ac:dyDescent="0.25">
      <c r="A1796" s="4">
        <v>44067</v>
      </c>
      <c r="B1796" t="s">
        <v>10</v>
      </c>
      <c r="C1796">
        <v>1</v>
      </c>
      <c r="F1796">
        <v>394</v>
      </c>
      <c r="J1796">
        <v>1.1859999999999999</v>
      </c>
      <c r="K1796">
        <v>40.409999999999997</v>
      </c>
      <c r="L1796">
        <v>34.06</v>
      </c>
      <c r="M1796">
        <v>250</v>
      </c>
      <c r="N1796">
        <v>45</v>
      </c>
      <c r="O1796">
        <v>13</v>
      </c>
      <c r="P1796">
        <v>0</v>
      </c>
    </row>
    <row r="1797" spans="1:16" x14ac:dyDescent="0.25">
      <c r="A1797" s="4">
        <v>44067</v>
      </c>
      <c r="B1797" t="s">
        <v>9</v>
      </c>
      <c r="C1797">
        <v>1</v>
      </c>
      <c r="F1797">
        <v>391</v>
      </c>
      <c r="J1797">
        <v>1.044</v>
      </c>
      <c r="K1797">
        <v>40.1</v>
      </c>
      <c r="L1797">
        <v>38.43</v>
      </c>
      <c r="M1797">
        <v>276</v>
      </c>
      <c r="N1797">
        <v>27</v>
      </c>
      <c r="O1797">
        <v>11</v>
      </c>
      <c r="P1797">
        <v>1</v>
      </c>
    </row>
    <row r="1798" spans="1:16" x14ac:dyDescent="0.25">
      <c r="A1798" s="4">
        <v>44067</v>
      </c>
      <c r="B1798" t="s">
        <v>10</v>
      </c>
      <c r="C1798" t="s">
        <v>78</v>
      </c>
      <c r="F1798">
        <v>394</v>
      </c>
      <c r="J1798">
        <v>1.1859999999999999</v>
      </c>
      <c r="K1798">
        <v>40.409999999999997</v>
      </c>
      <c r="L1798">
        <v>34.06</v>
      </c>
      <c r="M1798">
        <v>250</v>
      </c>
      <c r="N1798">
        <v>45</v>
      </c>
      <c r="O1798">
        <v>13</v>
      </c>
      <c r="P1798">
        <v>0</v>
      </c>
    </row>
    <row r="1799" spans="1:16" x14ac:dyDescent="0.25">
      <c r="A1799" s="4">
        <v>44067</v>
      </c>
      <c r="B1799" t="s">
        <v>9</v>
      </c>
      <c r="C1799" t="s">
        <v>78</v>
      </c>
      <c r="F1799">
        <v>391</v>
      </c>
      <c r="J1799">
        <v>1.044</v>
      </c>
      <c r="K1799">
        <v>40.1</v>
      </c>
      <c r="L1799">
        <v>38.43</v>
      </c>
      <c r="M1799">
        <v>276</v>
      </c>
      <c r="N1799">
        <v>27</v>
      </c>
      <c r="O1799">
        <v>11</v>
      </c>
      <c r="P1799">
        <v>1</v>
      </c>
    </row>
    <row r="1800" spans="1:16" x14ac:dyDescent="0.25">
      <c r="A1800" s="4">
        <v>44068</v>
      </c>
      <c r="B1800" t="s">
        <v>10</v>
      </c>
      <c r="C1800">
        <v>1</v>
      </c>
      <c r="F1800">
        <v>283</v>
      </c>
      <c r="J1800">
        <v>1.018</v>
      </c>
      <c r="K1800">
        <v>36.520000000000003</v>
      </c>
      <c r="L1800">
        <v>35.85</v>
      </c>
      <c r="M1800">
        <v>155</v>
      </c>
      <c r="N1800">
        <v>28</v>
      </c>
      <c r="O1800">
        <v>10</v>
      </c>
      <c r="P1800">
        <v>4</v>
      </c>
    </row>
    <row r="1801" spans="1:16" x14ac:dyDescent="0.25">
      <c r="A1801" s="4">
        <v>44068</v>
      </c>
      <c r="B1801" t="s">
        <v>9</v>
      </c>
      <c r="C1801">
        <v>1</v>
      </c>
      <c r="F1801">
        <v>320</v>
      </c>
      <c r="J1801">
        <v>1.0509999999999999</v>
      </c>
      <c r="K1801">
        <v>41.29</v>
      </c>
      <c r="L1801">
        <v>39.29</v>
      </c>
      <c r="M1801">
        <v>197</v>
      </c>
      <c r="N1801">
        <v>29</v>
      </c>
      <c r="O1801">
        <v>13</v>
      </c>
      <c r="P1801">
        <v>2</v>
      </c>
    </row>
    <row r="1802" spans="1:16" x14ac:dyDescent="0.25">
      <c r="A1802" s="4">
        <v>44068</v>
      </c>
      <c r="B1802" t="s">
        <v>10</v>
      </c>
      <c r="C1802" t="s">
        <v>78</v>
      </c>
      <c r="F1802">
        <v>283</v>
      </c>
      <c r="J1802">
        <v>1.018</v>
      </c>
      <c r="K1802">
        <v>36.520000000000003</v>
      </c>
      <c r="L1802">
        <v>35.85</v>
      </c>
      <c r="M1802">
        <v>155</v>
      </c>
      <c r="N1802">
        <v>28</v>
      </c>
      <c r="O1802">
        <v>10</v>
      </c>
      <c r="P1802">
        <v>4</v>
      </c>
    </row>
    <row r="1803" spans="1:16" x14ac:dyDescent="0.25">
      <c r="A1803" s="4">
        <v>44068</v>
      </c>
      <c r="B1803" t="s">
        <v>9</v>
      </c>
      <c r="C1803" t="s">
        <v>78</v>
      </c>
      <c r="F1803">
        <v>320</v>
      </c>
      <c r="J1803">
        <v>1.0509999999999999</v>
      </c>
      <c r="K1803">
        <v>41.29</v>
      </c>
      <c r="L1803">
        <v>39.29</v>
      </c>
      <c r="M1803">
        <v>197</v>
      </c>
      <c r="N1803">
        <v>29</v>
      </c>
      <c r="O1803">
        <v>13</v>
      </c>
      <c r="P1803">
        <v>2</v>
      </c>
    </row>
    <row r="1804" spans="1:16" x14ac:dyDescent="0.25">
      <c r="A1804" s="4">
        <v>44069</v>
      </c>
      <c r="B1804" t="s">
        <v>10</v>
      </c>
      <c r="C1804">
        <v>1</v>
      </c>
      <c r="F1804">
        <v>367</v>
      </c>
      <c r="J1804">
        <v>1.143</v>
      </c>
      <c r="K1804">
        <v>37.64</v>
      </c>
      <c r="L1804">
        <v>32.92</v>
      </c>
      <c r="M1804">
        <v>235</v>
      </c>
      <c r="N1804">
        <v>44</v>
      </c>
      <c r="O1804">
        <v>8</v>
      </c>
      <c r="P1804">
        <v>2</v>
      </c>
    </row>
    <row r="1805" spans="1:16" x14ac:dyDescent="0.25">
      <c r="A1805" s="4">
        <v>44069</v>
      </c>
      <c r="B1805" t="s">
        <v>9</v>
      </c>
      <c r="C1805">
        <v>1</v>
      </c>
      <c r="F1805">
        <v>365</v>
      </c>
      <c r="J1805">
        <v>1.02</v>
      </c>
      <c r="K1805">
        <v>38.42</v>
      </c>
      <c r="L1805">
        <v>37.68</v>
      </c>
      <c r="M1805">
        <v>238</v>
      </c>
      <c r="N1805">
        <v>44</v>
      </c>
      <c r="O1805">
        <v>8</v>
      </c>
      <c r="P1805">
        <v>0</v>
      </c>
    </row>
    <row r="1806" spans="1:16" x14ac:dyDescent="0.25">
      <c r="A1806" s="4">
        <v>44069</v>
      </c>
      <c r="B1806" t="s">
        <v>10</v>
      </c>
      <c r="C1806" t="s">
        <v>78</v>
      </c>
      <c r="F1806">
        <v>367</v>
      </c>
      <c r="J1806">
        <v>1.143</v>
      </c>
      <c r="K1806">
        <v>37.64</v>
      </c>
      <c r="L1806">
        <v>32.92</v>
      </c>
      <c r="M1806">
        <v>235</v>
      </c>
      <c r="N1806">
        <v>44</v>
      </c>
      <c r="O1806">
        <v>8</v>
      </c>
      <c r="P1806">
        <v>2</v>
      </c>
    </row>
    <row r="1807" spans="1:16" x14ac:dyDescent="0.25">
      <c r="A1807" s="4">
        <v>44069</v>
      </c>
      <c r="B1807" t="s">
        <v>9</v>
      </c>
      <c r="C1807" t="s">
        <v>78</v>
      </c>
      <c r="F1807">
        <v>365</v>
      </c>
      <c r="J1807">
        <v>1.02</v>
      </c>
      <c r="K1807">
        <v>38.42</v>
      </c>
      <c r="L1807">
        <v>37.68</v>
      </c>
      <c r="M1807">
        <v>238</v>
      </c>
      <c r="N1807">
        <v>44</v>
      </c>
      <c r="O1807">
        <v>8</v>
      </c>
      <c r="P1807">
        <v>0</v>
      </c>
    </row>
    <row r="1808" spans="1:16" x14ac:dyDescent="0.25">
      <c r="A1808" s="4">
        <v>44070</v>
      </c>
      <c r="B1808" t="s">
        <v>10</v>
      </c>
      <c r="C1808">
        <v>1</v>
      </c>
      <c r="F1808">
        <v>305</v>
      </c>
      <c r="J1808">
        <v>1.2470000000000001</v>
      </c>
      <c r="K1808">
        <v>39.35</v>
      </c>
      <c r="L1808">
        <v>31.56</v>
      </c>
      <c r="M1808">
        <v>227</v>
      </c>
      <c r="N1808">
        <v>31</v>
      </c>
      <c r="O1808">
        <v>3</v>
      </c>
      <c r="P1808">
        <v>0</v>
      </c>
    </row>
    <row r="1809" spans="1:16" x14ac:dyDescent="0.25">
      <c r="A1809" s="4">
        <v>44070</v>
      </c>
      <c r="B1809" t="s">
        <v>9</v>
      </c>
      <c r="C1809">
        <v>1</v>
      </c>
      <c r="F1809">
        <v>307</v>
      </c>
      <c r="J1809">
        <v>1.083</v>
      </c>
      <c r="K1809">
        <v>39.61</v>
      </c>
      <c r="L1809">
        <v>36.590000000000003</v>
      </c>
      <c r="M1809">
        <v>219</v>
      </c>
      <c r="N1809">
        <v>34</v>
      </c>
      <c r="O1809">
        <v>5</v>
      </c>
      <c r="P1809">
        <v>0</v>
      </c>
    </row>
    <row r="1810" spans="1:16" x14ac:dyDescent="0.25">
      <c r="A1810" s="4">
        <v>44070</v>
      </c>
      <c r="B1810" t="s">
        <v>10</v>
      </c>
      <c r="C1810" t="s">
        <v>78</v>
      </c>
      <c r="F1810">
        <v>305</v>
      </c>
      <c r="J1810">
        <v>1.2470000000000001</v>
      </c>
      <c r="K1810">
        <v>39.35</v>
      </c>
      <c r="L1810">
        <v>31.56</v>
      </c>
      <c r="M1810">
        <v>227</v>
      </c>
      <c r="N1810">
        <v>31</v>
      </c>
      <c r="O1810">
        <v>3</v>
      </c>
      <c r="P1810">
        <v>0</v>
      </c>
    </row>
    <row r="1811" spans="1:16" x14ac:dyDescent="0.25">
      <c r="A1811" s="4">
        <v>44070</v>
      </c>
      <c r="B1811" t="s">
        <v>9</v>
      </c>
      <c r="C1811" t="s">
        <v>78</v>
      </c>
      <c r="F1811">
        <v>307</v>
      </c>
      <c r="J1811">
        <v>1.083</v>
      </c>
      <c r="K1811">
        <v>39.61</v>
      </c>
      <c r="L1811">
        <v>36.590000000000003</v>
      </c>
      <c r="M1811">
        <v>219</v>
      </c>
      <c r="N1811">
        <v>34</v>
      </c>
      <c r="O1811">
        <v>5</v>
      </c>
      <c r="P1811">
        <v>0</v>
      </c>
    </row>
    <row r="1812" spans="1:16" x14ac:dyDescent="0.25">
      <c r="A1812" s="4">
        <v>44071</v>
      </c>
      <c r="B1812" t="s">
        <v>10</v>
      </c>
      <c r="C1812">
        <v>1</v>
      </c>
      <c r="F1812">
        <v>310</v>
      </c>
      <c r="J1812">
        <v>1.492</v>
      </c>
      <c r="K1812">
        <v>48.31</v>
      </c>
      <c r="L1812">
        <v>32.39</v>
      </c>
      <c r="M1812">
        <v>235</v>
      </c>
      <c r="N1812">
        <v>27</v>
      </c>
      <c r="O1812">
        <v>3</v>
      </c>
      <c r="P1812">
        <v>0</v>
      </c>
    </row>
    <row r="1813" spans="1:16" x14ac:dyDescent="0.25">
      <c r="A1813" s="4">
        <v>44071</v>
      </c>
      <c r="B1813" t="s">
        <v>9</v>
      </c>
      <c r="C1813">
        <v>1</v>
      </c>
      <c r="F1813">
        <v>280</v>
      </c>
      <c r="J1813">
        <v>1.115</v>
      </c>
      <c r="K1813">
        <v>40.98</v>
      </c>
      <c r="L1813">
        <v>36.75</v>
      </c>
      <c r="M1813">
        <v>210</v>
      </c>
      <c r="N1813">
        <v>23</v>
      </c>
      <c r="O1813">
        <v>4</v>
      </c>
      <c r="P1813">
        <v>0</v>
      </c>
    </row>
    <row r="1814" spans="1:16" x14ac:dyDescent="0.25">
      <c r="A1814" s="4">
        <v>44071</v>
      </c>
      <c r="B1814" t="s">
        <v>10</v>
      </c>
      <c r="C1814" t="s">
        <v>78</v>
      </c>
      <c r="F1814">
        <v>310</v>
      </c>
      <c r="J1814">
        <v>1.492</v>
      </c>
      <c r="K1814">
        <v>48.31</v>
      </c>
      <c r="L1814">
        <v>32.39</v>
      </c>
      <c r="M1814">
        <v>235</v>
      </c>
      <c r="N1814">
        <v>27</v>
      </c>
      <c r="O1814">
        <v>3</v>
      </c>
      <c r="P1814">
        <v>0</v>
      </c>
    </row>
    <row r="1815" spans="1:16" x14ac:dyDescent="0.25">
      <c r="A1815" s="4">
        <v>44071</v>
      </c>
      <c r="B1815" t="s">
        <v>9</v>
      </c>
      <c r="C1815" t="s">
        <v>78</v>
      </c>
      <c r="F1815">
        <v>280</v>
      </c>
      <c r="J1815">
        <v>1.115</v>
      </c>
      <c r="K1815">
        <v>40.98</v>
      </c>
      <c r="L1815">
        <v>36.75</v>
      </c>
      <c r="M1815">
        <v>210</v>
      </c>
      <c r="N1815">
        <v>23</v>
      </c>
      <c r="O1815">
        <v>4</v>
      </c>
      <c r="P1815">
        <v>0</v>
      </c>
    </row>
    <row r="1816" spans="1:16" x14ac:dyDescent="0.25">
      <c r="A1816" s="4">
        <v>44074</v>
      </c>
      <c r="B1816" t="s">
        <v>10</v>
      </c>
      <c r="C1816">
        <v>1</v>
      </c>
      <c r="F1816">
        <v>343</v>
      </c>
      <c r="J1816">
        <v>1.3069999999999999</v>
      </c>
      <c r="K1816">
        <v>43.79</v>
      </c>
      <c r="L1816">
        <v>33.51</v>
      </c>
      <c r="M1816">
        <v>199</v>
      </c>
      <c r="N1816">
        <v>48</v>
      </c>
      <c r="O1816">
        <v>13</v>
      </c>
      <c r="P1816">
        <v>0</v>
      </c>
    </row>
    <row r="1817" spans="1:16" x14ac:dyDescent="0.25">
      <c r="A1817" s="4">
        <v>44074</v>
      </c>
      <c r="B1817" t="s">
        <v>9</v>
      </c>
      <c r="C1817">
        <v>1</v>
      </c>
      <c r="F1817">
        <v>302</v>
      </c>
      <c r="J1817">
        <v>1.03</v>
      </c>
      <c r="K1817">
        <v>38.549999999999997</v>
      </c>
      <c r="L1817">
        <v>37.44</v>
      </c>
      <c r="M1817">
        <v>219</v>
      </c>
      <c r="N1817">
        <v>24</v>
      </c>
      <c r="O1817">
        <v>6</v>
      </c>
      <c r="P1817">
        <v>1</v>
      </c>
    </row>
    <row r="1818" spans="1:16" x14ac:dyDescent="0.25">
      <c r="A1818" s="4">
        <v>44074</v>
      </c>
      <c r="B1818" t="s">
        <v>10</v>
      </c>
      <c r="C1818" t="s">
        <v>78</v>
      </c>
      <c r="F1818">
        <v>343</v>
      </c>
      <c r="J1818">
        <v>1.3069999999999999</v>
      </c>
      <c r="K1818">
        <v>43.79</v>
      </c>
      <c r="L1818">
        <v>33.51</v>
      </c>
      <c r="M1818">
        <v>199</v>
      </c>
      <c r="N1818">
        <v>48</v>
      </c>
      <c r="O1818">
        <v>13</v>
      </c>
      <c r="P1818">
        <v>0</v>
      </c>
    </row>
    <row r="1819" spans="1:16" x14ac:dyDescent="0.25">
      <c r="A1819" s="4">
        <v>44074</v>
      </c>
      <c r="B1819" t="s">
        <v>9</v>
      </c>
      <c r="C1819" t="s">
        <v>78</v>
      </c>
      <c r="F1819">
        <v>302</v>
      </c>
      <c r="J1819">
        <v>1.03</v>
      </c>
      <c r="K1819">
        <v>38.549999999999997</v>
      </c>
      <c r="L1819">
        <v>37.44</v>
      </c>
      <c r="M1819">
        <v>219</v>
      </c>
      <c r="N1819">
        <v>24</v>
      </c>
      <c r="O1819">
        <v>6</v>
      </c>
      <c r="P1819">
        <v>1</v>
      </c>
    </row>
    <row r="1820" spans="1:16" x14ac:dyDescent="0.25">
      <c r="A1820" s="4">
        <v>44075</v>
      </c>
      <c r="B1820" t="s">
        <v>10</v>
      </c>
      <c r="C1820">
        <v>1</v>
      </c>
      <c r="F1820">
        <v>340</v>
      </c>
      <c r="J1820">
        <v>1.224</v>
      </c>
      <c r="K1820">
        <v>43.4</v>
      </c>
      <c r="L1820">
        <v>35.47</v>
      </c>
      <c r="M1820">
        <v>206</v>
      </c>
      <c r="N1820">
        <v>26</v>
      </c>
      <c r="O1820">
        <v>13</v>
      </c>
      <c r="P1820">
        <v>4</v>
      </c>
    </row>
    <row r="1821" spans="1:16" x14ac:dyDescent="0.25">
      <c r="A1821" s="4">
        <v>44075</v>
      </c>
      <c r="B1821" t="s">
        <v>9</v>
      </c>
      <c r="C1821">
        <v>1</v>
      </c>
      <c r="F1821">
        <v>332</v>
      </c>
      <c r="J1821">
        <v>1.1539999999999999</v>
      </c>
      <c r="K1821">
        <v>42.38</v>
      </c>
      <c r="L1821">
        <v>36.71</v>
      </c>
      <c r="M1821">
        <v>241</v>
      </c>
      <c r="N1821">
        <v>29</v>
      </c>
      <c r="O1821">
        <v>6</v>
      </c>
      <c r="P1821">
        <v>1</v>
      </c>
    </row>
    <row r="1822" spans="1:16" x14ac:dyDescent="0.25">
      <c r="A1822" s="4">
        <v>44075</v>
      </c>
      <c r="B1822" t="s">
        <v>10</v>
      </c>
      <c r="C1822" t="s">
        <v>78</v>
      </c>
      <c r="F1822">
        <v>340</v>
      </c>
      <c r="J1822">
        <v>1.224</v>
      </c>
      <c r="K1822">
        <v>43.4</v>
      </c>
      <c r="L1822">
        <v>35.47</v>
      </c>
      <c r="M1822">
        <v>206</v>
      </c>
      <c r="N1822">
        <v>26</v>
      </c>
      <c r="O1822">
        <v>13</v>
      </c>
      <c r="P1822">
        <v>4</v>
      </c>
    </row>
    <row r="1823" spans="1:16" x14ac:dyDescent="0.25">
      <c r="A1823" s="4">
        <v>44075</v>
      </c>
      <c r="B1823" t="s">
        <v>9</v>
      </c>
      <c r="C1823" t="s">
        <v>78</v>
      </c>
      <c r="F1823">
        <v>332</v>
      </c>
      <c r="J1823">
        <v>1.1539999999999999</v>
      </c>
      <c r="K1823">
        <v>42.38</v>
      </c>
      <c r="L1823">
        <v>36.71</v>
      </c>
      <c r="M1823">
        <v>241</v>
      </c>
      <c r="N1823">
        <v>29</v>
      </c>
      <c r="O1823">
        <v>6</v>
      </c>
      <c r="P1823">
        <v>1</v>
      </c>
    </row>
    <row r="1824" spans="1:16" x14ac:dyDescent="0.25">
      <c r="A1824" s="4">
        <v>44076</v>
      </c>
      <c r="B1824" t="s">
        <v>10</v>
      </c>
      <c r="C1824">
        <v>1</v>
      </c>
      <c r="F1824">
        <v>313</v>
      </c>
      <c r="J1824">
        <v>1.2050000000000001</v>
      </c>
      <c r="K1824">
        <v>39.96</v>
      </c>
      <c r="L1824">
        <v>33.159999999999997</v>
      </c>
      <c r="M1824">
        <v>215</v>
      </c>
      <c r="N1824">
        <v>36</v>
      </c>
      <c r="O1824">
        <v>6</v>
      </c>
      <c r="P1824">
        <v>0</v>
      </c>
    </row>
    <row r="1825" spans="1:16" x14ac:dyDescent="0.25">
      <c r="A1825" s="4">
        <v>44076</v>
      </c>
      <c r="B1825" t="s">
        <v>9</v>
      </c>
      <c r="C1825">
        <v>1</v>
      </c>
      <c r="F1825">
        <v>319</v>
      </c>
      <c r="J1825">
        <v>1.0620000000000001</v>
      </c>
      <c r="K1825">
        <v>40.72</v>
      </c>
      <c r="L1825">
        <v>38.35</v>
      </c>
      <c r="M1825">
        <v>227</v>
      </c>
      <c r="N1825">
        <v>25</v>
      </c>
      <c r="O1825">
        <v>7</v>
      </c>
      <c r="P1825">
        <v>1</v>
      </c>
    </row>
    <row r="1826" spans="1:16" x14ac:dyDescent="0.25">
      <c r="A1826" s="4">
        <v>44076</v>
      </c>
      <c r="B1826" t="s">
        <v>10</v>
      </c>
      <c r="C1826" t="s">
        <v>78</v>
      </c>
      <c r="F1826">
        <v>313</v>
      </c>
      <c r="J1826">
        <v>1.2050000000000001</v>
      </c>
      <c r="K1826">
        <v>39.96</v>
      </c>
      <c r="L1826">
        <v>33.159999999999997</v>
      </c>
      <c r="M1826">
        <v>215</v>
      </c>
      <c r="N1826">
        <v>36</v>
      </c>
      <c r="O1826">
        <v>6</v>
      </c>
      <c r="P1826">
        <v>0</v>
      </c>
    </row>
    <row r="1827" spans="1:16" x14ac:dyDescent="0.25">
      <c r="A1827" s="4">
        <v>44076</v>
      </c>
      <c r="B1827" t="s">
        <v>9</v>
      </c>
      <c r="C1827" t="s">
        <v>78</v>
      </c>
      <c r="F1827">
        <v>319</v>
      </c>
      <c r="J1827">
        <v>1.0620000000000001</v>
      </c>
      <c r="K1827">
        <v>40.72</v>
      </c>
      <c r="L1827">
        <v>38.35</v>
      </c>
      <c r="M1827">
        <v>227</v>
      </c>
      <c r="N1827">
        <v>25</v>
      </c>
      <c r="O1827">
        <v>7</v>
      </c>
      <c r="P1827">
        <v>1</v>
      </c>
    </row>
    <row r="1828" spans="1:16" x14ac:dyDescent="0.25">
      <c r="A1828" s="4">
        <v>44077</v>
      </c>
      <c r="B1828" t="s">
        <v>10</v>
      </c>
      <c r="C1828">
        <v>1</v>
      </c>
      <c r="F1828">
        <v>351</v>
      </c>
      <c r="J1828">
        <v>1.222</v>
      </c>
      <c r="K1828">
        <v>39.74</v>
      </c>
      <c r="L1828">
        <v>32.520000000000003</v>
      </c>
      <c r="M1828">
        <v>261</v>
      </c>
      <c r="N1828">
        <v>34</v>
      </c>
      <c r="O1828">
        <v>4</v>
      </c>
      <c r="P1828">
        <v>0</v>
      </c>
    </row>
    <row r="1829" spans="1:16" x14ac:dyDescent="0.25">
      <c r="A1829" s="4">
        <v>44077</v>
      </c>
      <c r="B1829" t="s">
        <v>9</v>
      </c>
      <c r="C1829">
        <v>1</v>
      </c>
      <c r="F1829">
        <v>336</v>
      </c>
      <c r="J1829">
        <v>1.0149999999999999</v>
      </c>
      <c r="K1829">
        <v>38.04</v>
      </c>
      <c r="L1829">
        <v>37.47</v>
      </c>
      <c r="M1829">
        <v>240</v>
      </c>
      <c r="N1829">
        <v>29</v>
      </c>
      <c r="O1829">
        <v>8</v>
      </c>
      <c r="P1829">
        <v>0</v>
      </c>
    </row>
    <row r="1830" spans="1:16" x14ac:dyDescent="0.25">
      <c r="A1830" s="4">
        <v>44077</v>
      </c>
      <c r="B1830" t="s">
        <v>10</v>
      </c>
      <c r="C1830" t="s">
        <v>78</v>
      </c>
      <c r="F1830">
        <v>351</v>
      </c>
      <c r="J1830">
        <v>1.222</v>
      </c>
      <c r="K1830">
        <v>39.74</v>
      </c>
      <c r="L1830">
        <v>32.520000000000003</v>
      </c>
      <c r="M1830">
        <v>261</v>
      </c>
      <c r="N1830">
        <v>34</v>
      </c>
      <c r="O1830">
        <v>4</v>
      </c>
      <c r="P1830">
        <v>0</v>
      </c>
    </row>
    <row r="1831" spans="1:16" x14ac:dyDescent="0.25">
      <c r="A1831" s="4">
        <v>44077</v>
      </c>
      <c r="B1831" t="s">
        <v>9</v>
      </c>
      <c r="C1831" t="s">
        <v>78</v>
      </c>
      <c r="F1831">
        <v>336</v>
      </c>
      <c r="J1831">
        <v>1.0149999999999999</v>
      </c>
      <c r="K1831">
        <v>38.04</v>
      </c>
      <c r="L1831">
        <v>37.47</v>
      </c>
      <c r="M1831">
        <v>240</v>
      </c>
      <c r="N1831">
        <v>29</v>
      </c>
      <c r="O1831">
        <v>8</v>
      </c>
      <c r="P1831">
        <v>0</v>
      </c>
    </row>
    <row r="1832" spans="1:16" x14ac:dyDescent="0.25">
      <c r="A1832" s="4">
        <v>44078</v>
      </c>
      <c r="B1832" t="s">
        <v>10</v>
      </c>
      <c r="C1832">
        <v>1</v>
      </c>
      <c r="F1832">
        <v>317</v>
      </c>
      <c r="J1832">
        <v>1.161</v>
      </c>
      <c r="K1832">
        <v>40.47</v>
      </c>
      <c r="L1832">
        <v>34.840000000000003</v>
      </c>
      <c r="M1832">
        <v>206</v>
      </c>
      <c r="N1832">
        <v>32</v>
      </c>
      <c r="O1832">
        <v>9</v>
      </c>
      <c r="P1832">
        <v>0</v>
      </c>
    </row>
    <row r="1833" spans="1:16" x14ac:dyDescent="0.25">
      <c r="A1833" s="4">
        <v>44078</v>
      </c>
      <c r="B1833" t="s">
        <v>9</v>
      </c>
      <c r="C1833">
        <v>1</v>
      </c>
      <c r="F1833">
        <v>287</v>
      </c>
      <c r="J1833">
        <v>0.96699999999999997</v>
      </c>
      <c r="K1833">
        <v>36.64</v>
      </c>
      <c r="L1833">
        <v>37.880000000000003</v>
      </c>
      <c r="M1833">
        <v>190</v>
      </c>
      <c r="N1833">
        <v>34</v>
      </c>
      <c r="O1833">
        <v>5</v>
      </c>
      <c r="P1833">
        <v>0</v>
      </c>
    </row>
    <row r="1834" spans="1:16" x14ac:dyDescent="0.25">
      <c r="A1834" s="4">
        <v>44078</v>
      </c>
      <c r="B1834" t="s">
        <v>10</v>
      </c>
      <c r="C1834" t="s">
        <v>78</v>
      </c>
      <c r="F1834">
        <v>317</v>
      </c>
      <c r="J1834">
        <v>1.161</v>
      </c>
      <c r="K1834">
        <v>40.47</v>
      </c>
      <c r="L1834">
        <v>34.840000000000003</v>
      </c>
      <c r="M1834">
        <v>206</v>
      </c>
      <c r="N1834">
        <v>32</v>
      </c>
      <c r="O1834">
        <v>9</v>
      </c>
      <c r="P1834">
        <v>0</v>
      </c>
    </row>
    <row r="1835" spans="1:16" x14ac:dyDescent="0.25">
      <c r="A1835" s="4">
        <v>44078</v>
      </c>
      <c r="B1835" t="s">
        <v>9</v>
      </c>
      <c r="C1835" t="s">
        <v>78</v>
      </c>
      <c r="F1835">
        <v>287</v>
      </c>
      <c r="J1835">
        <v>0.96699999999999997</v>
      </c>
      <c r="K1835">
        <v>36.64</v>
      </c>
      <c r="L1835">
        <v>37.880000000000003</v>
      </c>
      <c r="M1835">
        <v>190</v>
      </c>
      <c r="N1835">
        <v>34</v>
      </c>
      <c r="O1835">
        <v>5</v>
      </c>
      <c r="P1835">
        <v>0</v>
      </c>
    </row>
    <row r="1836" spans="1:16" x14ac:dyDescent="0.25">
      <c r="A1836" s="4">
        <v>44082</v>
      </c>
      <c r="B1836" t="s">
        <v>10</v>
      </c>
      <c r="C1836">
        <v>1</v>
      </c>
      <c r="F1836">
        <v>382</v>
      </c>
      <c r="J1836">
        <v>1.105</v>
      </c>
      <c r="K1836">
        <v>38.85</v>
      </c>
      <c r="L1836">
        <v>35.15</v>
      </c>
      <c r="M1836">
        <v>222</v>
      </c>
      <c r="N1836">
        <v>52</v>
      </c>
      <c r="O1836">
        <v>14</v>
      </c>
      <c r="P1836">
        <v>0</v>
      </c>
    </row>
    <row r="1837" spans="1:16" x14ac:dyDescent="0.25">
      <c r="A1837" s="4">
        <v>44082</v>
      </c>
      <c r="B1837" t="s">
        <v>9</v>
      </c>
      <c r="C1837">
        <v>1</v>
      </c>
      <c r="F1837">
        <v>396</v>
      </c>
      <c r="J1837">
        <v>1.028</v>
      </c>
      <c r="K1837">
        <v>40.270000000000003</v>
      </c>
      <c r="L1837">
        <v>39.17</v>
      </c>
      <c r="M1837">
        <v>246</v>
      </c>
      <c r="N1837">
        <v>44</v>
      </c>
      <c r="O1837">
        <v>15</v>
      </c>
      <c r="P1837">
        <v>0</v>
      </c>
    </row>
    <row r="1838" spans="1:16" x14ac:dyDescent="0.25">
      <c r="A1838" s="4">
        <v>44082</v>
      </c>
      <c r="B1838" t="s">
        <v>10</v>
      </c>
      <c r="C1838" t="s">
        <v>78</v>
      </c>
      <c r="F1838">
        <v>382</v>
      </c>
      <c r="J1838">
        <v>1.105</v>
      </c>
      <c r="K1838">
        <v>38.85</v>
      </c>
      <c r="L1838">
        <v>35.15</v>
      </c>
      <c r="M1838">
        <v>222</v>
      </c>
      <c r="N1838">
        <v>52</v>
      </c>
      <c r="O1838">
        <v>14</v>
      </c>
      <c r="P1838">
        <v>0</v>
      </c>
    </row>
    <row r="1839" spans="1:16" x14ac:dyDescent="0.25">
      <c r="A1839" s="4">
        <v>44082</v>
      </c>
      <c r="B1839" t="s">
        <v>9</v>
      </c>
      <c r="C1839" t="s">
        <v>78</v>
      </c>
      <c r="F1839">
        <v>396</v>
      </c>
      <c r="J1839">
        <v>1.028</v>
      </c>
      <c r="K1839">
        <v>40.270000000000003</v>
      </c>
      <c r="L1839">
        <v>39.17</v>
      </c>
      <c r="M1839">
        <v>246</v>
      </c>
      <c r="N1839">
        <v>44</v>
      </c>
      <c r="O1839">
        <v>15</v>
      </c>
      <c r="P1839">
        <v>0</v>
      </c>
    </row>
    <row r="1840" spans="1:16" x14ac:dyDescent="0.25">
      <c r="A1840" s="4">
        <v>44083</v>
      </c>
      <c r="B1840" t="s">
        <v>10</v>
      </c>
      <c r="C1840">
        <v>1</v>
      </c>
      <c r="F1840">
        <v>394</v>
      </c>
      <c r="J1840">
        <v>1.129</v>
      </c>
      <c r="K1840">
        <v>40.07</v>
      </c>
      <c r="L1840">
        <v>35.49</v>
      </c>
      <c r="M1840">
        <v>211</v>
      </c>
      <c r="N1840">
        <v>60</v>
      </c>
      <c r="O1840">
        <v>12</v>
      </c>
      <c r="P1840">
        <v>2</v>
      </c>
    </row>
    <row r="1841" spans="1:16" x14ac:dyDescent="0.25">
      <c r="A1841" s="4">
        <v>44083</v>
      </c>
      <c r="B1841" t="s">
        <v>9</v>
      </c>
      <c r="C1841">
        <v>1</v>
      </c>
      <c r="F1841">
        <v>361</v>
      </c>
      <c r="J1841">
        <v>0.98499999999999999</v>
      </c>
      <c r="K1841">
        <v>36.71</v>
      </c>
      <c r="L1841">
        <v>37.29</v>
      </c>
      <c r="M1841">
        <v>262</v>
      </c>
      <c r="N1841">
        <v>26</v>
      </c>
      <c r="O1841">
        <v>10</v>
      </c>
      <c r="P1841">
        <v>1</v>
      </c>
    </row>
    <row r="1842" spans="1:16" x14ac:dyDescent="0.25">
      <c r="A1842" s="4">
        <v>44083</v>
      </c>
      <c r="B1842" t="s">
        <v>10</v>
      </c>
      <c r="C1842" t="s">
        <v>78</v>
      </c>
      <c r="F1842">
        <v>394</v>
      </c>
      <c r="J1842">
        <v>1.129</v>
      </c>
      <c r="K1842">
        <v>40.07</v>
      </c>
      <c r="L1842">
        <v>35.49</v>
      </c>
      <c r="M1842">
        <v>211</v>
      </c>
      <c r="N1842">
        <v>60</v>
      </c>
      <c r="O1842">
        <v>12</v>
      </c>
      <c r="P1842">
        <v>2</v>
      </c>
    </row>
    <row r="1843" spans="1:16" x14ac:dyDescent="0.25">
      <c r="A1843" s="4">
        <v>44083</v>
      </c>
      <c r="B1843" t="s">
        <v>9</v>
      </c>
      <c r="C1843" t="s">
        <v>78</v>
      </c>
      <c r="F1843">
        <v>361</v>
      </c>
      <c r="J1843">
        <v>0.98499999999999999</v>
      </c>
      <c r="K1843">
        <v>36.71</v>
      </c>
      <c r="L1843">
        <v>37.29</v>
      </c>
      <c r="M1843">
        <v>262</v>
      </c>
      <c r="N1843">
        <v>26</v>
      </c>
      <c r="O1843">
        <v>10</v>
      </c>
      <c r="P1843">
        <v>1</v>
      </c>
    </row>
    <row r="1844" spans="1:16" x14ac:dyDescent="0.25">
      <c r="A1844" s="4">
        <v>44084</v>
      </c>
      <c r="B1844" t="s">
        <v>10</v>
      </c>
      <c r="C1844">
        <v>1</v>
      </c>
      <c r="F1844">
        <v>357</v>
      </c>
      <c r="J1844">
        <v>1.093</v>
      </c>
      <c r="K1844">
        <v>36.31</v>
      </c>
      <c r="L1844">
        <v>33.22</v>
      </c>
      <c r="M1844">
        <v>233</v>
      </c>
      <c r="N1844">
        <v>37</v>
      </c>
      <c r="O1844">
        <v>8</v>
      </c>
      <c r="P1844">
        <v>1</v>
      </c>
    </row>
    <row r="1845" spans="1:16" x14ac:dyDescent="0.25">
      <c r="A1845" s="4">
        <v>44084</v>
      </c>
      <c r="B1845" t="s">
        <v>9</v>
      </c>
      <c r="C1845">
        <v>1</v>
      </c>
      <c r="F1845">
        <v>367</v>
      </c>
      <c r="J1845">
        <v>0.97599999999999998</v>
      </c>
      <c r="K1845">
        <v>37.32</v>
      </c>
      <c r="L1845">
        <v>38.24</v>
      </c>
      <c r="M1845">
        <v>250</v>
      </c>
      <c r="N1845">
        <v>35</v>
      </c>
      <c r="O1845">
        <v>9</v>
      </c>
      <c r="P1845">
        <v>1</v>
      </c>
    </row>
    <row r="1846" spans="1:16" x14ac:dyDescent="0.25">
      <c r="A1846" s="4">
        <v>44084</v>
      </c>
      <c r="B1846" t="s">
        <v>10</v>
      </c>
      <c r="C1846" t="s">
        <v>78</v>
      </c>
      <c r="F1846">
        <v>357</v>
      </c>
      <c r="J1846">
        <v>1.093</v>
      </c>
      <c r="K1846">
        <v>36.31</v>
      </c>
      <c r="L1846">
        <v>33.22</v>
      </c>
      <c r="M1846">
        <v>233</v>
      </c>
      <c r="N1846">
        <v>37</v>
      </c>
      <c r="O1846">
        <v>8</v>
      </c>
      <c r="P1846">
        <v>1</v>
      </c>
    </row>
    <row r="1847" spans="1:16" x14ac:dyDescent="0.25">
      <c r="A1847" s="4">
        <v>44084</v>
      </c>
      <c r="B1847" t="s">
        <v>9</v>
      </c>
      <c r="C1847" t="s">
        <v>78</v>
      </c>
      <c r="F1847">
        <v>367</v>
      </c>
      <c r="J1847">
        <v>0.97599999999999998</v>
      </c>
      <c r="K1847">
        <v>37.32</v>
      </c>
      <c r="L1847">
        <v>38.24</v>
      </c>
      <c r="M1847">
        <v>250</v>
      </c>
      <c r="N1847">
        <v>35</v>
      </c>
      <c r="O1847">
        <v>9</v>
      </c>
      <c r="P1847">
        <v>1</v>
      </c>
    </row>
    <row r="1848" spans="1:16" x14ac:dyDescent="0.25">
      <c r="A1848" s="4">
        <v>44085</v>
      </c>
      <c r="B1848" t="s">
        <v>10</v>
      </c>
      <c r="C1848">
        <v>1</v>
      </c>
      <c r="F1848">
        <v>320</v>
      </c>
      <c r="J1848">
        <v>1.194</v>
      </c>
      <c r="K1848">
        <v>40.85</v>
      </c>
      <c r="L1848">
        <v>34.200000000000003</v>
      </c>
      <c r="M1848">
        <v>183</v>
      </c>
      <c r="N1848">
        <v>44</v>
      </c>
      <c r="O1848">
        <v>12</v>
      </c>
      <c r="P1848">
        <v>0</v>
      </c>
    </row>
    <row r="1849" spans="1:16" x14ac:dyDescent="0.25">
      <c r="A1849" s="4">
        <v>44085</v>
      </c>
      <c r="B1849" t="s">
        <v>9</v>
      </c>
      <c r="C1849">
        <v>1</v>
      </c>
      <c r="F1849">
        <v>292</v>
      </c>
      <c r="J1849">
        <v>0.93500000000000005</v>
      </c>
      <c r="K1849">
        <v>37.28</v>
      </c>
      <c r="L1849">
        <v>39.85</v>
      </c>
      <c r="M1849">
        <v>179</v>
      </c>
      <c r="N1849">
        <v>34</v>
      </c>
      <c r="O1849">
        <v>7</v>
      </c>
      <c r="P1849">
        <v>1</v>
      </c>
    </row>
    <row r="1850" spans="1:16" x14ac:dyDescent="0.25">
      <c r="A1850" s="4">
        <v>44085</v>
      </c>
      <c r="B1850" t="s">
        <v>10</v>
      </c>
      <c r="C1850" t="s">
        <v>78</v>
      </c>
      <c r="F1850">
        <v>320</v>
      </c>
      <c r="J1850">
        <v>1.194</v>
      </c>
      <c r="K1850">
        <v>40.85</v>
      </c>
      <c r="L1850">
        <v>34.200000000000003</v>
      </c>
      <c r="M1850">
        <v>183</v>
      </c>
      <c r="N1850">
        <v>44</v>
      </c>
      <c r="O1850">
        <v>12</v>
      </c>
      <c r="P1850">
        <v>0</v>
      </c>
    </row>
    <row r="1851" spans="1:16" x14ac:dyDescent="0.25">
      <c r="A1851" s="4">
        <v>44085</v>
      </c>
      <c r="B1851" t="s">
        <v>9</v>
      </c>
      <c r="C1851" t="s">
        <v>78</v>
      </c>
      <c r="F1851">
        <v>292</v>
      </c>
      <c r="J1851">
        <v>0.93500000000000005</v>
      </c>
      <c r="K1851">
        <v>37.28</v>
      </c>
      <c r="L1851">
        <v>39.85</v>
      </c>
      <c r="M1851">
        <v>179</v>
      </c>
      <c r="N1851">
        <v>34</v>
      </c>
      <c r="O1851">
        <v>7</v>
      </c>
      <c r="P1851">
        <v>1</v>
      </c>
    </row>
    <row r="1852" spans="1:16" x14ac:dyDescent="0.25">
      <c r="A1852" s="4">
        <v>44086</v>
      </c>
      <c r="B1852" t="s">
        <v>10</v>
      </c>
      <c r="C1852">
        <v>1</v>
      </c>
      <c r="F1852">
        <v>285</v>
      </c>
      <c r="J1852">
        <v>1.046</v>
      </c>
      <c r="K1852">
        <v>36.380000000000003</v>
      </c>
      <c r="L1852">
        <v>34.78</v>
      </c>
      <c r="M1852">
        <v>234</v>
      </c>
      <c r="N1852">
        <v>19</v>
      </c>
      <c r="O1852">
        <v>3</v>
      </c>
      <c r="P1852">
        <v>0</v>
      </c>
    </row>
    <row r="1853" spans="1:16" x14ac:dyDescent="0.25">
      <c r="A1853" s="4">
        <v>44086</v>
      </c>
      <c r="B1853" t="s">
        <v>9</v>
      </c>
      <c r="C1853">
        <v>1</v>
      </c>
      <c r="F1853">
        <v>258</v>
      </c>
      <c r="J1853">
        <v>0.86799999999999999</v>
      </c>
      <c r="K1853">
        <v>32.94</v>
      </c>
      <c r="L1853">
        <v>37.94</v>
      </c>
      <c r="M1853">
        <v>220</v>
      </c>
      <c r="N1853">
        <v>10</v>
      </c>
      <c r="O1853">
        <v>4</v>
      </c>
      <c r="P1853">
        <v>0</v>
      </c>
    </row>
    <row r="1854" spans="1:16" x14ac:dyDescent="0.25">
      <c r="A1854" s="4">
        <v>44086</v>
      </c>
      <c r="B1854" t="s">
        <v>10</v>
      </c>
      <c r="C1854" t="s">
        <v>78</v>
      </c>
      <c r="F1854">
        <v>285</v>
      </c>
      <c r="J1854">
        <v>1.046</v>
      </c>
      <c r="K1854">
        <v>36.380000000000003</v>
      </c>
      <c r="L1854">
        <v>34.78</v>
      </c>
      <c r="M1854">
        <v>234</v>
      </c>
      <c r="N1854">
        <v>19</v>
      </c>
      <c r="O1854">
        <v>3</v>
      </c>
      <c r="P1854">
        <v>0</v>
      </c>
    </row>
    <row r="1855" spans="1:16" x14ac:dyDescent="0.25">
      <c r="A1855" s="4">
        <v>44086</v>
      </c>
      <c r="B1855" t="s">
        <v>9</v>
      </c>
      <c r="C1855" t="s">
        <v>78</v>
      </c>
      <c r="F1855">
        <v>258</v>
      </c>
      <c r="J1855">
        <v>0.86799999999999999</v>
      </c>
      <c r="K1855">
        <v>32.94</v>
      </c>
      <c r="L1855">
        <v>37.94</v>
      </c>
      <c r="M1855">
        <v>220</v>
      </c>
      <c r="N1855">
        <v>10</v>
      </c>
      <c r="O1855">
        <v>4</v>
      </c>
      <c r="P1855">
        <v>0</v>
      </c>
    </row>
    <row r="1856" spans="1:16" x14ac:dyDescent="0.25">
      <c r="A1856" s="4">
        <v>44088</v>
      </c>
      <c r="B1856" t="s">
        <v>10</v>
      </c>
      <c r="C1856">
        <v>1</v>
      </c>
      <c r="F1856">
        <v>399</v>
      </c>
      <c r="J1856">
        <v>1.1160000000000001</v>
      </c>
      <c r="K1856">
        <v>40.58</v>
      </c>
      <c r="L1856">
        <v>36.35</v>
      </c>
      <c r="M1856">
        <v>222</v>
      </c>
      <c r="N1856">
        <v>36</v>
      </c>
      <c r="O1856">
        <v>15</v>
      </c>
      <c r="P1856">
        <v>4</v>
      </c>
    </row>
    <row r="1857" spans="1:16" x14ac:dyDescent="0.25">
      <c r="A1857" s="4">
        <v>44088</v>
      </c>
      <c r="B1857" t="s">
        <v>9</v>
      </c>
      <c r="C1857">
        <v>1</v>
      </c>
      <c r="F1857">
        <v>338</v>
      </c>
      <c r="J1857">
        <v>0.84899999999999998</v>
      </c>
      <c r="K1857">
        <v>34.369999999999997</v>
      </c>
      <c r="L1857">
        <v>40.49</v>
      </c>
      <c r="M1857">
        <v>196</v>
      </c>
      <c r="N1857">
        <v>37</v>
      </c>
      <c r="O1857">
        <v>9</v>
      </c>
      <c r="P1857">
        <v>3</v>
      </c>
    </row>
    <row r="1858" spans="1:16" x14ac:dyDescent="0.25">
      <c r="A1858" s="4">
        <v>44088</v>
      </c>
      <c r="B1858" t="s">
        <v>10</v>
      </c>
      <c r="C1858" t="s">
        <v>78</v>
      </c>
      <c r="F1858">
        <v>399</v>
      </c>
      <c r="J1858">
        <v>1.1160000000000001</v>
      </c>
      <c r="K1858">
        <v>40.58</v>
      </c>
      <c r="L1858">
        <v>36.35</v>
      </c>
      <c r="M1858">
        <v>222</v>
      </c>
      <c r="N1858">
        <v>36</v>
      </c>
      <c r="O1858">
        <v>15</v>
      </c>
      <c r="P1858">
        <v>4</v>
      </c>
    </row>
    <row r="1859" spans="1:16" x14ac:dyDescent="0.25">
      <c r="A1859" s="4">
        <v>44088</v>
      </c>
      <c r="B1859" t="s">
        <v>9</v>
      </c>
      <c r="C1859" t="s">
        <v>78</v>
      </c>
      <c r="F1859">
        <v>338</v>
      </c>
      <c r="J1859">
        <v>0.84899999999999998</v>
      </c>
      <c r="K1859">
        <v>34.369999999999997</v>
      </c>
      <c r="L1859">
        <v>40.49</v>
      </c>
      <c r="M1859">
        <v>196</v>
      </c>
      <c r="N1859">
        <v>37</v>
      </c>
      <c r="O1859">
        <v>9</v>
      </c>
      <c r="P1859">
        <v>3</v>
      </c>
    </row>
    <row r="1860" spans="1:16" x14ac:dyDescent="0.25">
      <c r="A1860" s="4">
        <v>44089</v>
      </c>
      <c r="B1860" t="s">
        <v>10</v>
      </c>
      <c r="C1860">
        <v>1</v>
      </c>
      <c r="F1860">
        <v>369</v>
      </c>
      <c r="J1860">
        <v>1.083</v>
      </c>
      <c r="K1860">
        <v>37.53</v>
      </c>
      <c r="L1860">
        <v>34.659999999999997</v>
      </c>
      <c r="M1860">
        <v>223</v>
      </c>
      <c r="N1860">
        <v>40</v>
      </c>
      <c r="O1860">
        <v>14</v>
      </c>
      <c r="P1860">
        <v>1</v>
      </c>
    </row>
    <row r="1861" spans="1:16" x14ac:dyDescent="0.25">
      <c r="A1861" s="4">
        <v>44089</v>
      </c>
      <c r="B1861" t="s">
        <v>9</v>
      </c>
      <c r="C1861">
        <v>1</v>
      </c>
      <c r="F1861">
        <v>342</v>
      </c>
      <c r="J1861">
        <v>0.91600000000000004</v>
      </c>
      <c r="K1861">
        <v>34.78</v>
      </c>
      <c r="L1861">
        <v>37.950000000000003</v>
      </c>
      <c r="M1861">
        <v>215</v>
      </c>
      <c r="N1861">
        <v>40</v>
      </c>
      <c r="O1861">
        <v>9</v>
      </c>
      <c r="P1861">
        <v>1</v>
      </c>
    </row>
    <row r="1862" spans="1:16" x14ac:dyDescent="0.25">
      <c r="A1862" s="4">
        <v>44089</v>
      </c>
      <c r="B1862" t="s">
        <v>10</v>
      </c>
      <c r="C1862" t="s">
        <v>78</v>
      </c>
      <c r="F1862">
        <v>369</v>
      </c>
      <c r="J1862">
        <v>1.083</v>
      </c>
      <c r="K1862">
        <v>37.53</v>
      </c>
      <c r="L1862">
        <v>34.659999999999997</v>
      </c>
      <c r="M1862">
        <v>223</v>
      </c>
      <c r="N1862">
        <v>40</v>
      </c>
      <c r="O1862">
        <v>14</v>
      </c>
      <c r="P1862">
        <v>1</v>
      </c>
    </row>
    <row r="1863" spans="1:16" x14ac:dyDescent="0.25">
      <c r="A1863" s="4">
        <v>44089</v>
      </c>
      <c r="B1863" t="s">
        <v>9</v>
      </c>
      <c r="C1863" t="s">
        <v>78</v>
      </c>
      <c r="F1863">
        <v>342</v>
      </c>
      <c r="J1863">
        <v>0.91600000000000004</v>
      </c>
      <c r="K1863">
        <v>34.78</v>
      </c>
      <c r="L1863">
        <v>37.950000000000003</v>
      </c>
      <c r="M1863">
        <v>215</v>
      </c>
      <c r="N1863">
        <v>40</v>
      </c>
      <c r="O1863">
        <v>9</v>
      </c>
      <c r="P1863">
        <v>1</v>
      </c>
    </row>
    <row r="1864" spans="1:16" x14ac:dyDescent="0.25">
      <c r="A1864" s="4">
        <v>44090</v>
      </c>
      <c r="B1864" t="s">
        <v>10</v>
      </c>
      <c r="C1864">
        <v>1</v>
      </c>
      <c r="F1864">
        <v>283</v>
      </c>
      <c r="J1864">
        <v>1.0640000000000001</v>
      </c>
      <c r="K1864">
        <v>36.130000000000003</v>
      </c>
      <c r="L1864">
        <v>33.950000000000003</v>
      </c>
      <c r="M1864">
        <v>189</v>
      </c>
      <c r="N1864">
        <v>30</v>
      </c>
      <c r="O1864">
        <v>8</v>
      </c>
      <c r="P1864">
        <v>0</v>
      </c>
    </row>
    <row r="1865" spans="1:16" x14ac:dyDescent="0.25">
      <c r="A1865" s="4">
        <v>44090</v>
      </c>
      <c r="B1865" t="s">
        <v>9</v>
      </c>
      <c r="C1865">
        <v>1</v>
      </c>
      <c r="F1865">
        <v>283</v>
      </c>
      <c r="J1865">
        <v>0.94499999999999995</v>
      </c>
      <c r="K1865">
        <v>36.130000000000003</v>
      </c>
      <c r="L1865">
        <v>38.25</v>
      </c>
      <c r="M1865">
        <v>193</v>
      </c>
      <c r="N1865">
        <v>23</v>
      </c>
      <c r="O1865">
        <v>10</v>
      </c>
      <c r="P1865">
        <v>0</v>
      </c>
    </row>
    <row r="1866" spans="1:16" x14ac:dyDescent="0.25">
      <c r="A1866" s="4">
        <v>44090</v>
      </c>
      <c r="B1866" t="s">
        <v>10</v>
      </c>
      <c r="C1866" t="s">
        <v>78</v>
      </c>
      <c r="F1866">
        <v>283</v>
      </c>
      <c r="J1866">
        <v>1.0640000000000001</v>
      </c>
      <c r="K1866">
        <v>36.130000000000003</v>
      </c>
      <c r="L1866">
        <v>33.950000000000003</v>
      </c>
      <c r="M1866">
        <v>189</v>
      </c>
      <c r="N1866">
        <v>30</v>
      </c>
      <c r="O1866">
        <v>8</v>
      </c>
      <c r="P1866">
        <v>0</v>
      </c>
    </row>
    <row r="1867" spans="1:16" x14ac:dyDescent="0.25">
      <c r="A1867" s="4">
        <v>44090</v>
      </c>
      <c r="B1867" t="s">
        <v>9</v>
      </c>
      <c r="C1867" t="s">
        <v>78</v>
      </c>
      <c r="F1867">
        <v>283</v>
      </c>
      <c r="J1867">
        <v>0.94499999999999995</v>
      </c>
      <c r="K1867">
        <v>36.130000000000003</v>
      </c>
      <c r="L1867">
        <v>38.25</v>
      </c>
      <c r="M1867">
        <v>193</v>
      </c>
      <c r="N1867">
        <v>23</v>
      </c>
      <c r="O1867">
        <v>10</v>
      </c>
      <c r="P1867">
        <v>0</v>
      </c>
    </row>
    <row r="1868" spans="1:16" x14ac:dyDescent="0.25">
      <c r="A1868" s="4">
        <v>44091</v>
      </c>
      <c r="B1868" t="s">
        <v>10</v>
      </c>
      <c r="C1868">
        <v>1</v>
      </c>
      <c r="F1868">
        <v>245</v>
      </c>
      <c r="J1868">
        <v>0.80500000000000005</v>
      </c>
      <c r="K1868">
        <v>27.53</v>
      </c>
      <c r="L1868">
        <v>34.19</v>
      </c>
      <c r="M1868">
        <v>185</v>
      </c>
      <c r="N1868">
        <v>22</v>
      </c>
      <c r="O1868">
        <v>5</v>
      </c>
      <c r="P1868">
        <v>0</v>
      </c>
    </row>
    <row r="1869" spans="1:16" x14ac:dyDescent="0.25">
      <c r="A1869" s="4">
        <v>44091</v>
      </c>
      <c r="B1869" t="s">
        <v>9</v>
      </c>
      <c r="C1869">
        <v>1</v>
      </c>
      <c r="F1869">
        <v>319</v>
      </c>
      <c r="J1869">
        <v>0.92500000000000004</v>
      </c>
      <c r="K1869">
        <v>35.840000000000003</v>
      </c>
      <c r="L1869">
        <v>38.75</v>
      </c>
      <c r="M1869">
        <v>196</v>
      </c>
      <c r="N1869">
        <v>32</v>
      </c>
      <c r="O1869">
        <v>12</v>
      </c>
      <c r="P1869">
        <v>0</v>
      </c>
    </row>
    <row r="1870" spans="1:16" x14ac:dyDescent="0.25">
      <c r="A1870" s="4">
        <v>44091</v>
      </c>
      <c r="B1870" t="s">
        <v>10</v>
      </c>
      <c r="C1870" t="s">
        <v>78</v>
      </c>
      <c r="F1870">
        <v>245</v>
      </c>
      <c r="J1870">
        <v>0.80500000000000005</v>
      </c>
      <c r="K1870">
        <v>27.53</v>
      </c>
      <c r="L1870">
        <v>34.19</v>
      </c>
      <c r="M1870">
        <v>185</v>
      </c>
      <c r="N1870">
        <v>22</v>
      </c>
      <c r="O1870">
        <v>5</v>
      </c>
      <c r="P1870">
        <v>0</v>
      </c>
    </row>
    <row r="1871" spans="1:16" x14ac:dyDescent="0.25">
      <c r="A1871" s="4">
        <v>44091</v>
      </c>
      <c r="B1871" t="s">
        <v>9</v>
      </c>
      <c r="C1871" t="s">
        <v>78</v>
      </c>
      <c r="F1871">
        <v>319</v>
      </c>
      <c r="J1871">
        <v>0.92500000000000004</v>
      </c>
      <c r="K1871">
        <v>35.840000000000003</v>
      </c>
      <c r="L1871">
        <v>38.75</v>
      </c>
      <c r="M1871">
        <v>196</v>
      </c>
      <c r="N1871">
        <v>32</v>
      </c>
      <c r="O1871">
        <v>12</v>
      </c>
      <c r="P1871">
        <v>0</v>
      </c>
    </row>
    <row r="1872" spans="1:16" x14ac:dyDescent="0.25">
      <c r="A1872" s="4">
        <v>44092</v>
      </c>
      <c r="B1872" t="s">
        <v>10</v>
      </c>
      <c r="C1872">
        <v>1</v>
      </c>
      <c r="F1872">
        <v>253</v>
      </c>
      <c r="J1872">
        <v>0.92600000000000005</v>
      </c>
      <c r="K1872">
        <v>35.14</v>
      </c>
      <c r="L1872">
        <v>37.94</v>
      </c>
      <c r="M1872">
        <v>124</v>
      </c>
      <c r="N1872">
        <v>42</v>
      </c>
      <c r="O1872">
        <v>10</v>
      </c>
      <c r="P1872">
        <v>2</v>
      </c>
    </row>
    <row r="1873" spans="1:16" x14ac:dyDescent="0.25">
      <c r="A1873" s="4">
        <v>44092</v>
      </c>
      <c r="B1873" t="s">
        <v>9</v>
      </c>
      <c r="C1873">
        <v>1</v>
      </c>
      <c r="F1873">
        <v>287</v>
      </c>
      <c r="J1873">
        <v>0.96199999999999997</v>
      </c>
      <c r="K1873">
        <v>39.86</v>
      </c>
      <c r="L1873">
        <v>41.45</v>
      </c>
      <c r="M1873">
        <v>154</v>
      </c>
      <c r="N1873">
        <v>35</v>
      </c>
      <c r="O1873">
        <v>12</v>
      </c>
      <c r="P1873">
        <v>1</v>
      </c>
    </row>
    <row r="1874" spans="1:16" x14ac:dyDescent="0.25">
      <c r="A1874" s="4">
        <v>44092</v>
      </c>
      <c r="B1874" t="s">
        <v>10</v>
      </c>
      <c r="C1874" t="s">
        <v>78</v>
      </c>
      <c r="F1874">
        <v>253</v>
      </c>
      <c r="J1874">
        <v>0.92600000000000005</v>
      </c>
      <c r="K1874">
        <v>35.14</v>
      </c>
      <c r="L1874">
        <v>37.94</v>
      </c>
      <c r="M1874">
        <v>124</v>
      </c>
      <c r="N1874">
        <v>42</v>
      </c>
      <c r="O1874">
        <v>10</v>
      </c>
      <c r="P1874">
        <v>2</v>
      </c>
    </row>
    <row r="1875" spans="1:16" x14ac:dyDescent="0.25">
      <c r="A1875" s="4">
        <v>44092</v>
      </c>
      <c r="B1875" t="s">
        <v>9</v>
      </c>
      <c r="C1875" t="s">
        <v>78</v>
      </c>
      <c r="F1875">
        <v>287</v>
      </c>
      <c r="J1875">
        <v>0.96199999999999997</v>
      </c>
      <c r="K1875">
        <v>39.86</v>
      </c>
      <c r="L1875">
        <v>41.45</v>
      </c>
      <c r="M1875">
        <v>154</v>
      </c>
      <c r="N1875">
        <v>35</v>
      </c>
      <c r="O1875">
        <v>12</v>
      </c>
      <c r="P1875">
        <v>1</v>
      </c>
    </row>
    <row r="1876" spans="1:16" x14ac:dyDescent="0.25">
      <c r="A1876" s="4">
        <v>44095</v>
      </c>
      <c r="B1876" t="s">
        <v>10</v>
      </c>
      <c r="C1876">
        <v>1</v>
      </c>
      <c r="F1876">
        <v>312</v>
      </c>
      <c r="J1876">
        <v>0.96599999999999997</v>
      </c>
      <c r="K1876">
        <v>35.06</v>
      </c>
      <c r="L1876">
        <v>36.28</v>
      </c>
      <c r="M1876">
        <v>149</v>
      </c>
      <c r="N1876">
        <v>41</v>
      </c>
      <c r="O1876">
        <v>21</v>
      </c>
      <c r="P1876">
        <v>1</v>
      </c>
    </row>
    <row r="1877" spans="1:16" x14ac:dyDescent="0.25">
      <c r="A1877" s="4">
        <v>44095</v>
      </c>
      <c r="B1877" t="s">
        <v>9</v>
      </c>
      <c r="C1877">
        <v>1</v>
      </c>
      <c r="F1877">
        <v>372</v>
      </c>
      <c r="J1877">
        <v>1.095</v>
      </c>
      <c r="K1877">
        <v>41.8</v>
      </c>
      <c r="L1877">
        <v>38.159999999999997</v>
      </c>
      <c r="M1877">
        <v>231</v>
      </c>
      <c r="N1877">
        <v>43</v>
      </c>
      <c r="O1877">
        <v>12</v>
      </c>
      <c r="P1877">
        <v>1</v>
      </c>
    </row>
    <row r="1878" spans="1:16" x14ac:dyDescent="0.25">
      <c r="A1878" s="4">
        <v>44095</v>
      </c>
      <c r="B1878" t="s">
        <v>10</v>
      </c>
      <c r="C1878" t="s">
        <v>78</v>
      </c>
      <c r="F1878">
        <v>312</v>
      </c>
      <c r="J1878">
        <v>0.96599999999999997</v>
      </c>
      <c r="K1878">
        <v>35.06</v>
      </c>
      <c r="L1878">
        <v>36.28</v>
      </c>
      <c r="M1878">
        <v>149</v>
      </c>
      <c r="N1878">
        <v>41</v>
      </c>
      <c r="O1878">
        <v>21</v>
      </c>
      <c r="P1878">
        <v>1</v>
      </c>
    </row>
    <row r="1879" spans="1:16" x14ac:dyDescent="0.25">
      <c r="A1879" s="4">
        <v>44095</v>
      </c>
      <c r="B1879" t="s">
        <v>9</v>
      </c>
      <c r="C1879" t="s">
        <v>78</v>
      </c>
      <c r="F1879">
        <v>372</v>
      </c>
      <c r="J1879">
        <v>1.095</v>
      </c>
      <c r="K1879">
        <v>41.8</v>
      </c>
      <c r="L1879">
        <v>38.159999999999997</v>
      </c>
      <c r="M1879">
        <v>231</v>
      </c>
      <c r="N1879">
        <v>43</v>
      </c>
      <c r="O1879">
        <v>12</v>
      </c>
      <c r="P1879">
        <v>1</v>
      </c>
    </row>
    <row r="1880" spans="1:16" x14ac:dyDescent="0.25">
      <c r="A1880" s="4">
        <v>44096</v>
      </c>
      <c r="B1880" t="s">
        <v>10</v>
      </c>
      <c r="C1880">
        <v>1</v>
      </c>
      <c r="F1880">
        <v>394</v>
      </c>
      <c r="J1880">
        <v>1.274</v>
      </c>
      <c r="K1880">
        <v>44.27</v>
      </c>
      <c r="L1880">
        <v>34.74</v>
      </c>
      <c r="M1880">
        <v>263</v>
      </c>
      <c r="N1880">
        <v>27</v>
      </c>
      <c r="O1880">
        <v>12</v>
      </c>
      <c r="P1880">
        <v>3</v>
      </c>
    </row>
    <row r="1881" spans="1:16" x14ac:dyDescent="0.25">
      <c r="A1881" s="4">
        <v>44096</v>
      </c>
      <c r="B1881" t="s">
        <v>9</v>
      </c>
      <c r="C1881">
        <v>1</v>
      </c>
      <c r="F1881">
        <v>361</v>
      </c>
      <c r="J1881">
        <v>1.089</v>
      </c>
      <c r="K1881">
        <v>40.56</v>
      </c>
      <c r="L1881">
        <v>37.26</v>
      </c>
      <c r="M1881">
        <v>249</v>
      </c>
      <c r="N1881">
        <v>32</v>
      </c>
      <c r="O1881">
        <v>7</v>
      </c>
      <c r="P1881">
        <v>1</v>
      </c>
    </row>
    <row r="1882" spans="1:16" x14ac:dyDescent="0.25">
      <c r="A1882" s="4">
        <v>44096</v>
      </c>
      <c r="B1882" t="s">
        <v>10</v>
      </c>
      <c r="C1882" t="s">
        <v>78</v>
      </c>
      <c r="F1882">
        <v>394</v>
      </c>
      <c r="J1882">
        <v>1.274</v>
      </c>
      <c r="K1882">
        <v>44.27</v>
      </c>
      <c r="L1882">
        <v>34.74</v>
      </c>
      <c r="M1882">
        <v>263</v>
      </c>
      <c r="N1882">
        <v>27</v>
      </c>
      <c r="O1882">
        <v>12</v>
      </c>
      <c r="P1882">
        <v>3</v>
      </c>
    </row>
    <row r="1883" spans="1:16" x14ac:dyDescent="0.25">
      <c r="A1883" s="4">
        <v>44096</v>
      </c>
      <c r="B1883" t="s">
        <v>9</v>
      </c>
      <c r="C1883" t="s">
        <v>78</v>
      </c>
      <c r="F1883">
        <v>361</v>
      </c>
      <c r="J1883">
        <v>1.089</v>
      </c>
      <c r="K1883">
        <v>40.56</v>
      </c>
      <c r="L1883">
        <v>37.26</v>
      </c>
      <c r="M1883">
        <v>249</v>
      </c>
      <c r="N1883">
        <v>32</v>
      </c>
      <c r="O1883">
        <v>7</v>
      </c>
      <c r="P1883">
        <v>1</v>
      </c>
    </row>
    <row r="1884" spans="1:16" x14ac:dyDescent="0.25">
      <c r="A1884" s="4">
        <v>44097</v>
      </c>
      <c r="B1884" t="s">
        <v>10</v>
      </c>
      <c r="C1884">
        <v>1</v>
      </c>
      <c r="F1884">
        <v>382</v>
      </c>
      <c r="J1884">
        <v>1.1619999999999999</v>
      </c>
      <c r="K1884">
        <v>42.92</v>
      </c>
      <c r="L1884">
        <v>36.93</v>
      </c>
      <c r="M1884">
        <v>184</v>
      </c>
      <c r="N1884">
        <v>53</v>
      </c>
      <c r="O1884">
        <v>19</v>
      </c>
      <c r="P1884">
        <v>2</v>
      </c>
    </row>
    <row r="1885" spans="1:16" x14ac:dyDescent="0.25">
      <c r="A1885" s="4">
        <v>44097</v>
      </c>
      <c r="B1885" t="s">
        <v>9</v>
      </c>
      <c r="C1885">
        <v>1</v>
      </c>
      <c r="F1885">
        <v>377</v>
      </c>
      <c r="J1885">
        <v>1.0920000000000001</v>
      </c>
      <c r="K1885">
        <v>42.36</v>
      </c>
      <c r="L1885">
        <v>38.799999999999997</v>
      </c>
      <c r="M1885">
        <v>239</v>
      </c>
      <c r="N1885">
        <v>42</v>
      </c>
      <c r="O1885">
        <v>10</v>
      </c>
      <c r="P1885">
        <v>2</v>
      </c>
    </row>
    <row r="1886" spans="1:16" x14ac:dyDescent="0.25">
      <c r="A1886" s="4">
        <v>44097</v>
      </c>
      <c r="B1886" t="s">
        <v>10</v>
      </c>
      <c r="C1886" t="s">
        <v>78</v>
      </c>
      <c r="F1886">
        <v>382</v>
      </c>
      <c r="J1886">
        <v>1.1619999999999999</v>
      </c>
      <c r="K1886">
        <v>42.92</v>
      </c>
      <c r="L1886">
        <v>36.93</v>
      </c>
      <c r="M1886">
        <v>184</v>
      </c>
      <c r="N1886">
        <v>53</v>
      </c>
      <c r="O1886">
        <v>19</v>
      </c>
      <c r="P1886">
        <v>2</v>
      </c>
    </row>
    <row r="1887" spans="1:16" x14ac:dyDescent="0.25">
      <c r="A1887" s="4">
        <v>44097</v>
      </c>
      <c r="B1887" t="s">
        <v>9</v>
      </c>
      <c r="C1887" t="s">
        <v>78</v>
      </c>
      <c r="F1887">
        <v>377</v>
      </c>
      <c r="J1887">
        <v>1.0920000000000001</v>
      </c>
      <c r="K1887">
        <v>42.36</v>
      </c>
      <c r="L1887">
        <v>38.799999999999997</v>
      </c>
      <c r="M1887">
        <v>239</v>
      </c>
      <c r="N1887">
        <v>42</v>
      </c>
      <c r="O1887">
        <v>10</v>
      </c>
      <c r="P1887">
        <v>2</v>
      </c>
    </row>
    <row r="1888" spans="1:16" x14ac:dyDescent="0.25">
      <c r="A1888" s="4">
        <v>44098</v>
      </c>
      <c r="B1888" t="s">
        <v>10</v>
      </c>
      <c r="C1888">
        <v>1</v>
      </c>
      <c r="F1888">
        <v>359</v>
      </c>
      <c r="J1888">
        <v>1.1950000000000001</v>
      </c>
      <c r="K1888">
        <v>40.340000000000003</v>
      </c>
      <c r="L1888">
        <v>33.76</v>
      </c>
      <c r="M1888">
        <v>220</v>
      </c>
      <c r="N1888">
        <v>38</v>
      </c>
      <c r="O1888">
        <v>13</v>
      </c>
      <c r="P1888">
        <v>2</v>
      </c>
    </row>
    <row r="1889" spans="1:16" x14ac:dyDescent="0.25">
      <c r="A1889" s="4">
        <v>44098</v>
      </c>
      <c r="B1889" t="s">
        <v>9</v>
      </c>
      <c r="C1889">
        <v>1</v>
      </c>
      <c r="F1889">
        <v>373</v>
      </c>
      <c r="J1889">
        <v>1.0760000000000001</v>
      </c>
      <c r="K1889">
        <v>41.91</v>
      </c>
      <c r="L1889">
        <v>38.96</v>
      </c>
      <c r="M1889">
        <v>244</v>
      </c>
      <c r="N1889">
        <v>32</v>
      </c>
      <c r="O1889">
        <v>11</v>
      </c>
      <c r="P1889">
        <v>3</v>
      </c>
    </row>
    <row r="1890" spans="1:16" x14ac:dyDescent="0.25">
      <c r="A1890" s="4">
        <v>44098</v>
      </c>
      <c r="B1890" t="s">
        <v>10</v>
      </c>
      <c r="C1890" t="s">
        <v>78</v>
      </c>
      <c r="F1890">
        <v>359</v>
      </c>
      <c r="J1890">
        <v>1.1950000000000001</v>
      </c>
      <c r="K1890">
        <v>40.340000000000003</v>
      </c>
      <c r="L1890">
        <v>33.76</v>
      </c>
      <c r="M1890">
        <v>220</v>
      </c>
      <c r="N1890">
        <v>38</v>
      </c>
      <c r="O1890">
        <v>13</v>
      </c>
      <c r="P1890">
        <v>2</v>
      </c>
    </row>
    <row r="1891" spans="1:16" x14ac:dyDescent="0.25">
      <c r="A1891" s="4">
        <v>44098</v>
      </c>
      <c r="B1891" t="s">
        <v>9</v>
      </c>
      <c r="C1891" t="s">
        <v>78</v>
      </c>
      <c r="F1891">
        <v>373</v>
      </c>
      <c r="J1891">
        <v>1.0760000000000001</v>
      </c>
      <c r="K1891">
        <v>41.91</v>
      </c>
      <c r="L1891">
        <v>38.96</v>
      </c>
      <c r="M1891">
        <v>244</v>
      </c>
      <c r="N1891">
        <v>32</v>
      </c>
      <c r="O1891">
        <v>11</v>
      </c>
      <c r="P1891">
        <v>3</v>
      </c>
    </row>
    <row r="1892" spans="1:16" x14ac:dyDescent="0.25">
      <c r="A1892" s="4">
        <v>44099</v>
      </c>
      <c r="B1892" t="s">
        <v>10</v>
      </c>
      <c r="C1892">
        <v>1</v>
      </c>
      <c r="F1892">
        <v>311</v>
      </c>
      <c r="J1892">
        <v>1.2709999999999999</v>
      </c>
      <c r="K1892">
        <v>43.19</v>
      </c>
      <c r="L1892">
        <v>33.99</v>
      </c>
      <c r="M1892">
        <v>192</v>
      </c>
      <c r="N1892">
        <v>35</v>
      </c>
      <c r="O1892">
        <v>10</v>
      </c>
      <c r="P1892">
        <v>1</v>
      </c>
    </row>
    <row r="1893" spans="1:16" x14ac:dyDescent="0.25">
      <c r="A1893" s="4">
        <v>44099</v>
      </c>
      <c r="B1893" t="s">
        <v>9</v>
      </c>
      <c r="C1893">
        <v>1</v>
      </c>
      <c r="F1893">
        <v>276</v>
      </c>
      <c r="J1893">
        <v>0.96699999999999997</v>
      </c>
      <c r="K1893">
        <v>38.33</v>
      </c>
      <c r="L1893">
        <v>39.619999999999997</v>
      </c>
      <c r="M1893">
        <v>161</v>
      </c>
      <c r="N1893">
        <v>25</v>
      </c>
      <c r="O1893">
        <v>16</v>
      </c>
      <c r="P1893">
        <v>1</v>
      </c>
    </row>
    <row r="1894" spans="1:16" x14ac:dyDescent="0.25">
      <c r="A1894" s="4">
        <v>44099</v>
      </c>
      <c r="B1894" t="s">
        <v>10</v>
      </c>
      <c r="C1894" t="s">
        <v>78</v>
      </c>
      <c r="F1894">
        <v>311</v>
      </c>
      <c r="J1894">
        <v>1.2709999999999999</v>
      </c>
      <c r="K1894">
        <v>43.19</v>
      </c>
      <c r="L1894">
        <v>33.99</v>
      </c>
      <c r="M1894">
        <v>192</v>
      </c>
      <c r="N1894">
        <v>35</v>
      </c>
      <c r="O1894">
        <v>10</v>
      </c>
      <c r="P1894">
        <v>1</v>
      </c>
    </row>
    <row r="1895" spans="1:16" x14ac:dyDescent="0.25">
      <c r="A1895" s="4">
        <v>44099</v>
      </c>
      <c r="B1895" t="s">
        <v>9</v>
      </c>
      <c r="C1895" t="s">
        <v>78</v>
      </c>
      <c r="F1895">
        <v>276</v>
      </c>
      <c r="J1895">
        <v>0.96699999999999997</v>
      </c>
      <c r="K1895">
        <v>38.33</v>
      </c>
      <c r="L1895">
        <v>39.619999999999997</v>
      </c>
      <c r="M1895">
        <v>161</v>
      </c>
      <c r="N1895">
        <v>25</v>
      </c>
      <c r="O1895">
        <v>16</v>
      </c>
      <c r="P1895">
        <v>1</v>
      </c>
    </row>
    <row r="1896" spans="1:16" x14ac:dyDescent="0.25">
      <c r="A1896" s="4">
        <v>44100</v>
      </c>
      <c r="B1896" t="s">
        <v>10</v>
      </c>
      <c r="C1896">
        <v>1</v>
      </c>
      <c r="F1896">
        <v>305</v>
      </c>
      <c r="J1896">
        <v>1.22</v>
      </c>
      <c r="K1896">
        <v>42.36</v>
      </c>
      <c r="L1896">
        <v>34.729999999999997</v>
      </c>
      <c r="M1896">
        <v>179</v>
      </c>
      <c r="N1896">
        <v>33</v>
      </c>
      <c r="O1896">
        <v>13</v>
      </c>
      <c r="P1896">
        <v>1</v>
      </c>
    </row>
    <row r="1897" spans="1:16" x14ac:dyDescent="0.25">
      <c r="A1897" s="4">
        <v>44100</v>
      </c>
      <c r="B1897" t="s">
        <v>9</v>
      </c>
      <c r="C1897">
        <v>1</v>
      </c>
      <c r="F1897">
        <v>293</v>
      </c>
      <c r="J1897">
        <v>0.99</v>
      </c>
      <c r="K1897">
        <v>36.630000000000003</v>
      </c>
      <c r="L1897">
        <v>37.01</v>
      </c>
      <c r="M1897">
        <v>218</v>
      </c>
      <c r="N1897">
        <v>25</v>
      </c>
      <c r="O1897">
        <v>4</v>
      </c>
      <c r="P1897">
        <v>0</v>
      </c>
    </row>
    <row r="1898" spans="1:16" x14ac:dyDescent="0.25">
      <c r="A1898" s="4">
        <v>44100</v>
      </c>
      <c r="B1898" t="s">
        <v>10</v>
      </c>
      <c r="C1898" t="s">
        <v>78</v>
      </c>
      <c r="F1898">
        <v>305</v>
      </c>
      <c r="J1898">
        <v>1.22</v>
      </c>
      <c r="K1898">
        <v>42.36</v>
      </c>
      <c r="L1898">
        <v>34.729999999999997</v>
      </c>
      <c r="M1898">
        <v>179</v>
      </c>
      <c r="N1898">
        <v>33</v>
      </c>
      <c r="O1898">
        <v>13</v>
      </c>
      <c r="P1898">
        <v>1</v>
      </c>
    </row>
    <row r="1899" spans="1:16" x14ac:dyDescent="0.25">
      <c r="A1899" s="4">
        <v>44100</v>
      </c>
      <c r="B1899" t="s">
        <v>9</v>
      </c>
      <c r="C1899" t="s">
        <v>78</v>
      </c>
      <c r="F1899">
        <v>293</v>
      </c>
      <c r="J1899">
        <v>0.99</v>
      </c>
      <c r="K1899">
        <v>36.630000000000003</v>
      </c>
      <c r="L1899">
        <v>37.01</v>
      </c>
      <c r="M1899">
        <v>218</v>
      </c>
      <c r="N1899">
        <v>25</v>
      </c>
      <c r="O1899">
        <v>4</v>
      </c>
      <c r="P1899">
        <v>0</v>
      </c>
    </row>
    <row r="1900" spans="1:16" x14ac:dyDescent="0.25">
      <c r="A1900" s="4">
        <v>44102</v>
      </c>
      <c r="B1900" t="s">
        <v>10</v>
      </c>
      <c r="C1900">
        <v>1</v>
      </c>
      <c r="F1900">
        <v>393</v>
      </c>
      <c r="J1900">
        <v>1.2769999999999999</v>
      </c>
      <c r="K1900">
        <v>44.16</v>
      </c>
      <c r="L1900">
        <v>34.57</v>
      </c>
      <c r="M1900">
        <v>265</v>
      </c>
      <c r="N1900">
        <v>37</v>
      </c>
      <c r="O1900">
        <v>11</v>
      </c>
      <c r="P1900">
        <v>1</v>
      </c>
    </row>
    <row r="1901" spans="1:16" x14ac:dyDescent="0.25">
      <c r="A1901" s="4">
        <v>44102</v>
      </c>
      <c r="B1901" t="s">
        <v>9</v>
      </c>
      <c r="C1901">
        <v>1</v>
      </c>
      <c r="F1901">
        <v>354</v>
      </c>
      <c r="J1901">
        <v>1.0429999999999999</v>
      </c>
      <c r="K1901">
        <v>39.78</v>
      </c>
      <c r="L1901">
        <v>38.130000000000003</v>
      </c>
      <c r="M1901">
        <v>253</v>
      </c>
      <c r="N1901">
        <v>24</v>
      </c>
      <c r="O1901">
        <v>12</v>
      </c>
      <c r="P1901">
        <v>0</v>
      </c>
    </row>
    <row r="1902" spans="1:16" x14ac:dyDescent="0.25">
      <c r="A1902" s="4">
        <v>44102</v>
      </c>
      <c r="B1902" t="s">
        <v>10</v>
      </c>
      <c r="C1902" t="s">
        <v>78</v>
      </c>
      <c r="F1902">
        <v>393</v>
      </c>
      <c r="J1902">
        <v>1.2769999999999999</v>
      </c>
      <c r="K1902">
        <v>44.16</v>
      </c>
      <c r="L1902">
        <v>34.57</v>
      </c>
      <c r="M1902">
        <v>265</v>
      </c>
      <c r="N1902">
        <v>37</v>
      </c>
      <c r="O1902">
        <v>11</v>
      </c>
      <c r="P1902">
        <v>1</v>
      </c>
    </row>
    <row r="1903" spans="1:16" x14ac:dyDescent="0.25">
      <c r="A1903" s="4">
        <v>44102</v>
      </c>
      <c r="B1903" t="s">
        <v>9</v>
      </c>
      <c r="C1903" t="s">
        <v>78</v>
      </c>
      <c r="F1903">
        <v>354</v>
      </c>
      <c r="J1903">
        <v>1.0429999999999999</v>
      </c>
      <c r="K1903">
        <v>39.78</v>
      </c>
      <c r="L1903">
        <v>38.130000000000003</v>
      </c>
      <c r="M1903">
        <v>253</v>
      </c>
      <c r="N1903">
        <v>24</v>
      </c>
      <c r="O1903">
        <v>12</v>
      </c>
      <c r="P1903">
        <v>0</v>
      </c>
    </row>
    <row r="1904" spans="1:16" x14ac:dyDescent="0.25">
      <c r="A1904" s="4">
        <v>44103</v>
      </c>
      <c r="B1904" t="s">
        <v>10</v>
      </c>
      <c r="C1904">
        <v>1</v>
      </c>
      <c r="F1904">
        <v>378</v>
      </c>
      <c r="J1904">
        <v>1.202</v>
      </c>
      <c r="K1904">
        <v>42.47</v>
      </c>
      <c r="L1904">
        <v>35.340000000000003</v>
      </c>
      <c r="M1904">
        <v>239</v>
      </c>
      <c r="N1904">
        <v>39</v>
      </c>
      <c r="O1904">
        <v>13</v>
      </c>
      <c r="P1904">
        <v>1</v>
      </c>
    </row>
    <row r="1905" spans="1:16" x14ac:dyDescent="0.25">
      <c r="A1905" s="4">
        <v>44103</v>
      </c>
      <c r="B1905" t="s">
        <v>9</v>
      </c>
      <c r="C1905">
        <v>1</v>
      </c>
      <c r="F1905">
        <v>333</v>
      </c>
      <c r="J1905">
        <v>0.98099999999999998</v>
      </c>
      <c r="K1905">
        <v>37.42</v>
      </c>
      <c r="L1905">
        <v>38.130000000000003</v>
      </c>
      <c r="M1905">
        <v>231</v>
      </c>
      <c r="N1905">
        <v>38</v>
      </c>
      <c r="O1905">
        <v>3</v>
      </c>
      <c r="P1905">
        <v>1</v>
      </c>
    </row>
    <row r="1906" spans="1:16" x14ac:dyDescent="0.25">
      <c r="A1906" s="4">
        <v>44103</v>
      </c>
      <c r="B1906" t="s">
        <v>10</v>
      </c>
      <c r="C1906" t="s">
        <v>78</v>
      </c>
      <c r="F1906">
        <v>378</v>
      </c>
      <c r="J1906">
        <v>1.202</v>
      </c>
      <c r="K1906">
        <v>42.47</v>
      </c>
      <c r="L1906">
        <v>35.340000000000003</v>
      </c>
      <c r="M1906">
        <v>239</v>
      </c>
      <c r="N1906">
        <v>39</v>
      </c>
      <c r="O1906">
        <v>13</v>
      </c>
      <c r="P1906">
        <v>1</v>
      </c>
    </row>
    <row r="1907" spans="1:16" x14ac:dyDescent="0.25">
      <c r="A1907" s="4">
        <v>44103</v>
      </c>
      <c r="B1907" t="s">
        <v>9</v>
      </c>
      <c r="C1907" t="s">
        <v>78</v>
      </c>
      <c r="F1907">
        <v>333</v>
      </c>
      <c r="J1907">
        <v>0.98099999999999998</v>
      </c>
      <c r="K1907">
        <v>37.42</v>
      </c>
      <c r="L1907">
        <v>38.130000000000003</v>
      </c>
      <c r="M1907">
        <v>231</v>
      </c>
      <c r="N1907">
        <v>38</v>
      </c>
      <c r="O1907">
        <v>3</v>
      </c>
      <c r="P1907">
        <v>1</v>
      </c>
    </row>
    <row r="1908" spans="1:16" x14ac:dyDescent="0.25">
      <c r="A1908" s="4">
        <v>44104</v>
      </c>
      <c r="B1908" t="s">
        <v>10</v>
      </c>
      <c r="C1908">
        <v>1</v>
      </c>
      <c r="F1908">
        <v>375</v>
      </c>
      <c r="J1908">
        <v>1.1990000000000001</v>
      </c>
      <c r="K1908">
        <v>42.13</v>
      </c>
      <c r="L1908">
        <v>35.130000000000003</v>
      </c>
      <c r="M1908">
        <v>254</v>
      </c>
      <c r="N1908">
        <v>26</v>
      </c>
      <c r="O1908">
        <v>12</v>
      </c>
      <c r="P1908">
        <v>3</v>
      </c>
    </row>
    <row r="1909" spans="1:16" x14ac:dyDescent="0.25">
      <c r="A1909" s="4">
        <v>44104</v>
      </c>
      <c r="B1909" t="s">
        <v>9</v>
      </c>
      <c r="C1909">
        <v>1</v>
      </c>
      <c r="F1909">
        <v>346</v>
      </c>
      <c r="J1909">
        <v>0.99</v>
      </c>
      <c r="K1909">
        <v>38.880000000000003</v>
      </c>
      <c r="L1909">
        <v>39.25</v>
      </c>
      <c r="M1909">
        <v>213</v>
      </c>
      <c r="N1909">
        <v>41</v>
      </c>
      <c r="O1909">
        <v>11</v>
      </c>
      <c r="P1909">
        <v>1</v>
      </c>
    </row>
    <row r="1910" spans="1:16" x14ac:dyDescent="0.25">
      <c r="A1910" s="4">
        <v>44104</v>
      </c>
      <c r="B1910" t="s">
        <v>10</v>
      </c>
      <c r="C1910" t="s">
        <v>78</v>
      </c>
      <c r="F1910">
        <v>375</v>
      </c>
      <c r="J1910">
        <v>1.1990000000000001</v>
      </c>
      <c r="K1910">
        <v>42.13</v>
      </c>
      <c r="L1910">
        <v>35.130000000000003</v>
      </c>
      <c r="M1910">
        <v>254</v>
      </c>
      <c r="N1910">
        <v>26</v>
      </c>
      <c r="O1910">
        <v>12</v>
      </c>
      <c r="P1910">
        <v>3</v>
      </c>
    </row>
    <row r="1911" spans="1:16" x14ac:dyDescent="0.25">
      <c r="A1911" s="4">
        <v>44104</v>
      </c>
      <c r="B1911" t="s">
        <v>9</v>
      </c>
      <c r="C1911" t="s">
        <v>78</v>
      </c>
      <c r="F1911">
        <v>346</v>
      </c>
      <c r="J1911">
        <v>0.99</v>
      </c>
      <c r="K1911">
        <v>38.880000000000003</v>
      </c>
      <c r="L1911">
        <v>39.25</v>
      </c>
      <c r="M1911">
        <v>213</v>
      </c>
      <c r="N1911">
        <v>41</v>
      </c>
      <c r="O1911">
        <v>11</v>
      </c>
      <c r="P1911">
        <v>1</v>
      </c>
    </row>
    <row r="1912" spans="1:16" x14ac:dyDescent="0.25">
      <c r="A1912" s="4">
        <v>44105</v>
      </c>
      <c r="B1912" t="s">
        <v>10</v>
      </c>
      <c r="C1912">
        <v>1</v>
      </c>
      <c r="F1912">
        <v>314</v>
      </c>
      <c r="J1912">
        <v>1.3009999999999999</v>
      </c>
      <c r="K1912">
        <v>43.61</v>
      </c>
      <c r="L1912">
        <v>33.520000000000003</v>
      </c>
      <c r="M1912">
        <v>208</v>
      </c>
      <c r="N1912">
        <v>29</v>
      </c>
      <c r="O1912">
        <v>8</v>
      </c>
      <c r="P1912">
        <v>2</v>
      </c>
    </row>
    <row r="1913" spans="1:16" x14ac:dyDescent="0.25">
      <c r="A1913" s="4">
        <v>44105</v>
      </c>
      <c r="B1913" t="s">
        <v>9</v>
      </c>
      <c r="C1913">
        <v>1</v>
      </c>
      <c r="F1913">
        <v>300</v>
      </c>
      <c r="J1913">
        <v>1.0509999999999999</v>
      </c>
      <c r="K1913">
        <v>41.67</v>
      </c>
      <c r="L1913">
        <v>39.64</v>
      </c>
      <c r="M1913">
        <v>172</v>
      </c>
      <c r="N1913">
        <v>34</v>
      </c>
      <c r="O1913">
        <v>13</v>
      </c>
      <c r="P1913">
        <v>2</v>
      </c>
    </row>
    <row r="1914" spans="1:16" x14ac:dyDescent="0.25">
      <c r="A1914" s="4">
        <v>44105</v>
      </c>
      <c r="B1914" t="s">
        <v>10</v>
      </c>
      <c r="C1914" t="s">
        <v>78</v>
      </c>
      <c r="F1914">
        <v>314</v>
      </c>
      <c r="J1914">
        <v>1.3009999999999999</v>
      </c>
      <c r="K1914">
        <v>43.61</v>
      </c>
      <c r="L1914">
        <v>33.520000000000003</v>
      </c>
      <c r="M1914">
        <v>208</v>
      </c>
      <c r="N1914">
        <v>29</v>
      </c>
      <c r="O1914">
        <v>8</v>
      </c>
      <c r="P1914">
        <v>2</v>
      </c>
    </row>
    <row r="1915" spans="1:16" x14ac:dyDescent="0.25">
      <c r="A1915" s="4">
        <v>44105</v>
      </c>
      <c r="B1915" t="s">
        <v>9</v>
      </c>
      <c r="C1915" t="s">
        <v>78</v>
      </c>
      <c r="F1915">
        <v>300</v>
      </c>
      <c r="J1915">
        <v>1.0509999999999999</v>
      </c>
      <c r="K1915">
        <v>41.67</v>
      </c>
      <c r="L1915">
        <v>39.64</v>
      </c>
      <c r="M1915">
        <v>172</v>
      </c>
      <c r="N1915">
        <v>34</v>
      </c>
      <c r="O1915">
        <v>13</v>
      </c>
      <c r="P1915">
        <v>2</v>
      </c>
    </row>
    <row r="1916" spans="1:16" x14ac:dyDescent="0.25">
      <c r="A1916" s="4">
        <v>44106</v>
      </c>
      <c r="B1916" t="s">
        <v>10</v>
      </c>
      <c r="C1916">
        <v>1</v>
      </c>
      <c r="F1916">
        <v>373</v>
      </c>
      <c r="J1916">
        <v>1.2390000000000001</v>
      </c>
      <c r="K1916">
        <v>41.91</v>
      </c>
      <c r="L1916">
        <v>33.82</v>
      </c>
      <c r="M1916">
        <v>240</v>
      </c>
      <c r="N1916">
        <v>40</v>
      </c>
      <c r="O1916">
        <v>12</v>
      </c>
      <c r="P1916">
        <v>1</v>
      </c>
    </row>
    <row r="1917" spans="1:16" x14ac:dyDescent="0.25">
      <c r="A1917" s="4">
        <v>44106</v>
      </c>
      <c r="B1917" t="s">
        <v>9</v>
      </c>
      <c r="C1917">
        <v>1</v>
      </c>
      <c r="F1917">
        <v>333</v>
      </c>
      <c r="J1917">
        <v>1.0169999999999999</v>
      </c>
      <c r="K1917">
        <v>37.42</v>
      </c>
      <c r="L1917">
        <v>36.78</v>
      </c>
      <c r="M1917">
        <v>225</v>
      </c>
      <c r="N1917">
        <v>35</v>
      </c>
      <c r="O1917">
        <v>7</v>
      </c>
      <c r="P1917">
        <v>1</v>
      </c>
    </row>
    <row r="1918" spans="1:16" x14ac:dyDescent="0.25">
      <c r="A1918" s="4">
        <v>44106</v>
      </c>
      <c r="B1918" t="s">
        <v>10</v>
      </c>
      <c r="C1918" t="s">
        <v>78</v>
      </c>
      <c r="F1918">
        <v>373</v>
      </c>
      <c r="J1918">
        <v>1.2390000000000001</v>
      </c>
      <c r="K1918">
        <v>41.91</v>
      </c>
      <c r="L1918">
        <v>33.82</v>
      </c>
      <c r="M1918">
        <v>240</v>
      </c>
      <c r="N1918">
        <v>40</v>
      </c>
      <c r="O1918">
        <v>12</v>
      </c>
      <c r="P1918">
        <v>1</v>
      </c>
    </row>
    <row r="1919" spans="1:16" x14ac:dyDescent="0.25">
      <c r="A1919" s="4">
        <v>44106</v>
      </c>
      <c r="B1919" t="s">
        <v>9</v>
      </c>
      <c r="C1919" t="s">
        <v>78</v>
      </c>
      <c r="F1919">
        <v>333</v>
      </c>
      <c r="J1919">
        <v>1.0169999999999999</v>
      </c>
      <c r="K1919">
        <v>37.42</v>
      </c>
      <c r="L1919">
        <v>36.78</v>
      </c>
      <c r="M1919">
        <v>225</v>
      </c>
      <c r="N1919">
        <v>35</v>
      </c>
      <c r="O1919">
        <v>7</v>
      </c>
      <c r="P1919">
        <v>1</v>
      </c>
    </row>
    <row r="1920" spans="1:16" x14ac:dyDescent="0.25">
      <c r="A1920" s="4">
        <v>44109</v>
      </c>
      <c r="B1920" t="s">
        <v>10</v>
      </c>
      <c r="C1920">
        <v>1</v>
      </c>
      <c r="F1920">
        <v>363</v>
      </c>
      <c r="J1920">
        <v>1.1819999999999999</v>
      </c>
      <c r="K1920">
        <v>40.79</v>
      </c>
      <c r="L1920">
        <v>34.520000000000003</v>
      </c>
      <c r="M1920">
        <v>219</v>
      </c>
      <c r="N1920">
        <v>46</v>
      </c>
      <c r="O1920">
        <v>9</v>
      </c>
      <c r="P1920">
        <v>2</v>
      </c>
    </row>
    <row r="1921" spans="1:16" x14ac:dyDescent="0.25">
      <c r="A1921" s="4">
        <v>44109</v>
      </c>
      <c r="B1921" t="s">
        <v>9</v>
      </c>
      <c r="C1921">
        <v>1</v>
      </c>
      <c r="F1921">
        <v>327</v>
      </c>
      <c r="J1921">
        <v>0.92100000000000004</v>
      </c>
      <c r="K1921">
        <v>36.74</v>
      </c>
      <c r="L1921">
        <v>39.880000000000003</v>
      </c>
      <c r="M1921">
        <v>188</v>
      </c>
      <c r="N1921">
        <v>47</v>
      </c>
      <c r="O1921">
        <v>11</v>
      </c>
      <c r="P1921">
        <v>0</v>
      </c>
    </row>
    <row r="1922" spans="1:16" x14ac:dyDescent="0.25">
      <c r="A1922" s="4">
        <v>44109</v>
      </c>
      <c r="B1922" t="s">
        <v>10</v>
      </c>
      <c r="C1922" t="s">
        <v>78</v>
      </c>
      <c r="F1922">
        <v>363</v>
      </c>
      <c r="J1922">
        <v>1.1819999999999999</v>
      </c>
      <c r="K1922">
        <v>40.79</v>
      </c>
      <c r="L1922">
        <v>34.520000000000003</v>
      </c>
      <c r="M1922">
        <v>219</v>
      </c>
      <c r="N1922">
        <v>46</v>
      </c>
      <c r="O1922">
        <v>9</v>
      </c>
      <c r="P1922">
        <v>2</v>
      </c>
    </row>
    <row r="1923" spans="1:16" x14ac:dyDescent="0.25">
      <c r="A1923" s="4">
        <v>44109</v>
      </c>
      <c r="B1923" t="s">
        <v>9</v>
      </c>
      <c r="C1923" t="s">
        <v>78</v>
      </c>
      <c r="F1923">
        <v>327</v>
      </c>
      <c r="J1923">
        <v>0.92100000000000004</v>
      </c>
      <c r="K1923">
        <v>36.74</v>
      </c>
      <c r="L1923">
        <v>39.880000000000003</v>
      </c>
      <c r="M1923">
        <v>188</v>
      </c>
      <c r="N1923">
        <v>47</v>
      </c>
      <c r="O1923">
        <v>11</v>
      </c>
      <c r="P1923">
        <v>0</v>
      </c>
    </row>
    <row r="1924" spans="1:16" x14ac:dyDescent="0.25">
      <c r="A1924" s="4">
        <v>44110</v>
      </c>
      <c r="B1924" t="s">
        <v>10</v>
      </c>
      <c r="C1924">
        <v>1</v>
      </c>
      <c r="F1924">
        <v>384</v>
      </c>
      <c r="J1924">
        <v>1.2270000000000001</v>
      </c>
      <c r="K1924">
        <v>43.15</v>
      </c>
      <c r="L1924">
        <v>35.159999999999997</v>
      </c>
      <c r="M1924">
        <v>219</v>
      </c>
      <c r="N1924">
        <v>43</v>
      </c>
      <c r="O1924">
        <v>15</v>
      </c>
      <c r="P1924">
        <v>3</v>
      </c>
    </row>
    <row r="1925" spans="1:16" x14ac:dyDescent="0.25">
      <c r="A1925" s="4">
        <v>44110</v>
      </c>
      <c r="B1925" t="s">
        <v>9</v>
      </c>
      <c r="C1925">
        <v>1</v>
      </c>
      <c r="F1925">
        <v>357</v>
      </c>
      <c r="J1925">
        <v>0.98199999999999998</v>
      </c>
      <c r="K1925">
        <v>40.11</v>
      </c>
      <c r="L1925">
        <v>40.85</v>
      </c>
      <c r="M1925">
        <v>194</v>
      </c>
      <c r="N1925">
        <v>51</v>
      </c>
      <c r="O1925">
        <v>13</v>
      </c>
      <c r="P1925">
        <v>1</v>
      </c>
    </row>
    <row r="1926" spans="1:16" x14ac:dyDescent="0.25">
      <c r="A1926" s="4">
        <v>44110</v>
      </c>
      <c r="B1926" t="s">
        <v>10</v>
      </c>
      <c r="C1926" t="s">
        <v>78</v>
      </c>
      <c r="F1926">
        <v>384</v>
      </c>
      <c r="J1926">
        <v>1.2270000000000001</v>
      </c>
      <c r="K1926">
        <v>43.15</v>
      </c>
      <c r="L1926">
        <v>35.159999999999997</v>
      </c>
      <c r="M1926">
        <v>219</v>
      </c>
      <c r="N1926">
        <v>43</v>
      </c>
      <c r="O1926">
        <v>15</v>
      </c>
      <c r="P1926">
        <v>3</v>
      </c>
    </row>
    <row r="1927" spans="1:16" x14ac:dyDescent="0.25">
      <c r="A1927" s="4">
        <v>44110</v>
      </c>
      <c r="B1927" t="s">
        <v>9</v>
      </c>
      <c r="C1927" t="s">
        <v>78</v>
      </c>
      <c r="F1927">
        <v>357</v>
      </c>
      <c r="J1927">
        <v>0.98199999999999998</v>
      </c>
      <c r="K1927">
        <v>40.11</v>
      </c>
      <c r="L1927">
        <v>40.85</v>
      </c>
      <c r="M1927">
        <v>194</v>
      </c>
      <c r="N1927">
        <v>51</v>
      </c>
      <c r="O1927">
        <v>13</v>
      </c>
      <c r="P1927">
        <v>1</v>
      </c>
    </row>
    <row r="1928" spans="1:16" x14ac:dyDescent="0.25">
      <c r="A1928" s="4">
        <v>44111</v>
      </c>
      <c r="B1928" t="s">
        <v>10</v>
      </c>
      <c r="C1928">
        <v>1</v>
      </c>
      <c r="F1928">
        <v>395</v>
      </c>
      <c r="J1928">
        <v>1.353</v>
      </c>
      <c r="K1928">
        <v>44.38</v>
      </c>
      <c r="L1928">
        <v>32.79</v>
      </c>
      <c r="M1928">
        <v>268</v>
      </c>
      <c r="N1928">
        <v>37</v>
      </c>
      <c r="O1928">
        <v>11</v>
      </c>
      <c r="P1928">
        <v>1</v>
      </c>
    </row>
    <row r="1929" spans="1:16" x14ac:dyDescent="0.25">
      <c r="A1929" s="4">
        <v>44111</v>
      </c>
      <c r="B1929" t="s">
        <v>9</v>
      </c>
      <c r="C1929">
        <v>1</v>
      </c>
      <c r="F1929">
        <v>308</v>
      </c>
      <c r="J1929">
        <v>1.0289999999999999</v>
      </c>
      <c r="K1929">
        <v>38.99</v>
      </c>
      <c r="L1929">
        <v>37.89</v>
      </c>
      <c r="M1929">
        <v>205</v>
      </c>
      <c r="N1929">
        <v>36</v>
      </c>
      <c r="O1929">
        <v>6</v>
      </c>
      <c r="P1929">
        <v>0</v>
      </c>
    </row>
    <row r="1930" spans="1:16" x14ac:dyDescent="0.25">
      <c r="A1930" s="4">
        <v>44111</v>
      </c>
      <c r="B1930" t="s">
        <v>10</v>
      </c>
      <c r="C1930" t="s">
        <v>78</v>
      </c>
      <c r="F1930">
        <v>395</v>
      </c>
      <c r="J1930">
        <v>1.353</v>
      </c>
      <c r="K1930">
        <v>44.38</v>
      </c>
      <c r="L1930">
        <v>32.79</v>
      </c>
      <c r="M1930">
        <v>268</v>
      </c>
      <c r="N1930">
        <v>37</v>
      </c>
      <c r="O1930">
        <v>11</v>
      </c>
      <c r="P1930">
        <v>1</v>
      </c>
    </row>
    <row r="1931" spans="1:16" x14ac:dyDescent="0.25">
      <c r="A1931" s="4">
        <v>44111</v>
      </c>
      <c r="B1931" t="s">
        <v>9</v>
      </c>
      <c r="C1931" t="s">
        <v>78</v>
      </c>
      <c r="F1931">
        <v>308</v>
      </c>
      <c r="J1931">
        <v>1.0289999999999999</v>
      </c>
      <c r="K1931">
        <v>38.99</v>
      </c>
      <c r="L1931">
        <v>37.89</v>
      </c>
      <c r="M1931">
        <v>205</v>
      </c>
      <c r="N1931">
        <v>36</v>
      </c>
      <c r="O1931">
        <v>6</v>
      </c>
      <c r="P1931">
        <v>0</v>
      </c>
    </row>
    <row r="1932" spans="1:16" x14ac:dyDescent="0.25">
      <c r="A1932" s="4">
        <v>44112</v>
      </c>
      <c r="B1932" t="s">
        <v>10</v>
      </c>
      <c r="C1932">
        <v>1</v>
      </c>
      <c r="F1932">
        <v>312</v>
      </c>
      <c r="J1932">
        <v>1.1299999999999999</v>
      </c>
      <c r="K1932">
        <v>39.49</v>
      </c>
      <c r="L1932">
        <v>34.94</v>
      </c>
      <c r="M1932">
        <v>190</v>
      </c>
      <c r="N1932">
        <v>37</v>
      </c>
      <c r="O1932">
        <v>12</v>
      </c>
      <c r="P1932">
        <v>0</v>
      </c>
    </row>
    <row r="1933" spans="1:16" x14ac:dyDescent="0.25">
      <c r="A1933" s="4">
        <v>44112</v>
      </c>
      <c r="B1933" t="s">
        <v>9</v>
      </c>
      <c r="C1933">
        <v>1</v>
      </c>
      <c r="F1933">
        <v>373</v>
      </c>
      <c r="J1933">
        <v>1.07</v>
      </c>
      <c r="K1933">
        <v>41.91</v>
      </c>
      <c r="L1933">
        <v>39.15</v>
      </c>
      <c r="M1933">
        <v>229</v>
      </c>
      <c r="N1933">
        <v>44</v>
      </c>
      <c r="O1933">
        <v>9</v>
      </c>
      <c r="P1933">
        <v>2</v>
      </c>
    </row>
    <row r="1934" spans="1:16" x14ac:dyDescent="0.25">
      <c r="A1934" s="4">
        <v>44112</v>
      </c>
      <c r="B1934" t="s">
        <v>10</v>
      </c>
      <c r="C1934" t="s">
        <v>78</v>
      </c>
      <c r="F1934">
        <v>312</v>
      </c>
      <c r="J1934">
        <v>1.1299999999999999</v>
      </c>
      <c r="K1934">
        <v>39.49</v>
      </c>
      <c r="L1934">
        <v>34.94</v>
      </c>
      <c r="M1934">
        <v>190</v>
      </c>
      <c r="N1934">
        <v>37</v>
      </c>
      <c r="O1934">
        <v>12</v>
      </c>
      <c r="P1934">
        <v>0</v>
      </c>
    </row>
    <row r="1935" spans="1:16" x14ac:dyDescent="0.25">
      <c r="A1935" s="4">
        <v>44112</v>
      </c>
      <c r="B1935" t="s">
        <v>9</v>
      </c>
      <c r="C1935" t="s">
        <v>78</v>
      </c>
      <c r="F1935">
        <v>373</v>
      </c>
      <c r="J1935">
        <v>1.07</v>
      </c>
      <c r="K1935">
        <v>41.91</v>
      </c>
      <c r="L1935">
        <v>39.15</v>
      </c>
      <c r="M1935">
        <v>229</v>
      </c>
      <c r="N1935">
        <v>44</v>
      </c>
      <c r="O1935">
        <v>9</v>
      </c>
      <c r="P1935">
        <v>2</v>
      </c>
    </row>
    <row r="1936" spans="1:16" x14ac:dyDescent="0.25">
      <c r="A1936" s="4">
        <v>44113</v>
      </c>
      <c r="B1936" t="s">
        <v>10</v>
      </c>
      <c r="C1936">
        <v>1</v>
      </c>
      <c r="F1936">
        <v>385</v>
      </c>
      <c r="J1936">
        <v>1.2709999999999999</v>
      </c>
      <c r="K1936">
        <v>43.26</v>
      </c>
      <c r="L1936">
        <v>34.03</v>
      </c>
      <c r="M1936">
        <v>240</v>
      </c>
      <c r="N1936">
        <v>44</v>
      </c>
      <c r="O1936">
        <v>11</v>
      </c>
      <c r="P1936">
        <v>2</v>
      </c>
    </row>
    <row r="1937" spans="1:16" x14ac:dyDescent="0.25">
      <c r="A1937" s="4">
        <v>44113</v>
      </c>
      <c r="B1937" t="s">
        <v>9</v>
      </c>
      <c r="C1937">
        <v>1</v>
      </c>
      <c r="F1937">
        <v>352</v>
      </c>
      <c r="J1937">
        <v>1.0580000000000001</v>
      </c>
      <c r="K1937">
        <v>39.549999999999997</v>
      </c>
      <c r="L1937">
        <v>37.39</v>
      </c>
      <c r="M1937">
        <v>244</v>
      </c>
      <c r="N1937">
        <v>32</v>
      </c>
      <c r="O1937">
        <v>8</v>
      </c>
      <c r="P1937">
        <v>0</v>
      </c>
    </row>
    <row r="1938" spans="1:16" x14ac:dyDescent="0.25">
      <c r="A1938" s="4">
        <v>44113</v>
      </c>
      <c r="B1938" t="s">
        <v>10</v>
      </c>
      <c r="C1938" t="s">
        <v>78</v>
      </c>
      <c r="F1938">
        <v>385</v>
      </c>
      <c r="J1938">
        <v>1.2709999999999999</v>
      </c>
      <c r="K1938">
        <v>43.26</v>
      </c>
      <c r="L1938">
        <v>34.03</v>
      </c>
      <c r="M1938">
        <v>240</v>
      </c>
      <c r="N1938">
        <v>44</v>
      </c>
      <c r="O1938">
        <v>11</v>
      </c>
      <c r="P1938">
        <v>2</v>
      </c>
    </row>
    <row r="1939" spans="1:16" x14ac:dyDescent="0.25">
      <c r="A1939" s="4">
        <v>44113</v>
      </c>
      <c r="B1939" t="s">
        <v>9</v>
      </c>
      <c r="C1939" t="s">
        <v>78</v>
      </c>
      <c r="F1939">
        <v>352</v>
      </c>
      <c r="J1939">
        <v>1.0580000000000001</v>
      </c>
      <c r="K1939">
        <v>39.549999999999997</v>
      </c>
      <c r="L1939">
        <v>37.39</v>
      </c>
      <c r="M1939">
        <v>244</v>
      </c>
      <c r="N1939">
        <v>32</v>
      </c>
      <c r="O1939">
        <v>8</v>
      </c>
      <c r="P1939">
        <v>0</v>
      </c>
    </row>
    <row r="1940" spans="1:16" x14ac:dyDescent="0.25">
      <c r="A1940" s="4">
        <v>44116</v>
      </c>
      <c r="B1940" t="s">
        <v>10</v>
      </c>
      <c r="C1940">
        <v>1</v>
      </c>
      <c r="F1940">
        <v>141</v>
      </c>
      <c r="J1940">
        <v>1.056</v>
      </c>
      <c r="K1940">
        <v>35.25</v>
      </c>
      <c r="L1940">
        <v>33.380000000000003</v>
      </c>
      <c r="M1940">
        <v>96</v>
      </c>
      <c r="N1940">
        <v>15</v>
      </c>
      <c r="O1940">
        <v>2</v>
      </c>
      <c r="P1940">
        <v>1</v>
      </c>
    </row>
    <row r="1941" spans="1:16" x14ac:dyDescent="0.25">
      <c r="A1941" s="4">
        <v>44116</v>
      </c>
      <c r="B1941" t="s">
        <v>9</v>
      </c>
      <c r="C1941">
        <v>1</v>
      </c>
      <c r="F1941">
        <v>400</v>
      </c>
      <c r="J1941">
        <v>1.135</v>
      </c>
      <c r="K1941">
        <v>44.94</v>
      </c>
      <c r="L1941">
        <v>39.590000000000003</v>
      </c>
      <c r="M1941">
        <v>230</v>
      </c>
      <c r="N1941">
        <v>37</v>
      </c>
      <c r="O1941">
        <v>22</v>
      </c>
      <c r="P1941">
        <v>2</v>
      </c>
    </row>
    <row r="1942" spans="1:16" x14ac:dyDescent="0.25">
      <c r="A1942" s="4">
        <v>44116</v>
      </c>
      <c r="B1942" t="s">
        <v>10</v>
      </c>
      <c r="C1942" t="s">
        <v>78</v>
      </c>
      <c r="F1942">
        <v>141</v>
      </c>
      <c r="J1942">
        <v>1.056</v>
      </c>
      <c r="K1942">
        <v>35.25</v>
      </c>
      <c r="L1942">
        <v>33.380000000000003</v>
      </c>
      <c r="M1942">
        <v>96</v>
      </c>
      <c r="N1942">
        <v>15</v>
      </c>
      <c r="O1942">
        <v>2</v>
      </c>
      <c r="P1942">
        <v>1</v>
      </c>
    </row>
    <row r="1943" spans="1:16" x14ac:dyDescent="0.25">
      <c r="A1943" s="4">
        <v>44116</v>
      </c>
      <c r="B1943" t="s">
        <v>9</v>
      </c>
      <c r="C1943" t="s">
        <v>78</v>
      </c>
      <c r="F1943">
        <v>400</v>
      </c>
      <c r="J1943">
        <v>1.135</v>
      </c>
      <c r="K1943">
        <v>44.94</v>
      </c>
      <c r="L1943">
        <v>39.590000000000003</v>
      </c>
      <c r="M1943">
        <v>230</v>
      </c>
      <c r="N1943">
        <v>37</v>
      </c>
      <c r="O1943">
        <v>22</v>
      </c>
      <c r="P1943">
        <v>2</v>
      </c>
    </row>
    <row r="1944" spans="1:16" x14ac:dyDescent="0.25">
      <c r="A1944" s="4">
        <v>44117</v>
      </c>
      <c r="B1944" t="s">
        <v>10</v>
      </c>
      <c r="C1944">
        <v>1</v>
      </c>
      <c r="F1944">
        <v>220</v>
      </c>
      <c r="J1944">
        <v>1.024</v>
      </c>
      <c r="K1944">
        <v>40</v>
      </c>
      <c r="L1944">
        <v>39.06</v>
      </c>
      <c r="M1944">
        <v>129</v>
      </c>
      <c r="N1944">
        <v>24</v>
      </c>
      <c r="O1944">
        <v>13</v>
      </c>
      <c r="P1944">
        <v>0</v>
      </c>
    </row>
    <row r="1945" spans="1:16" x14ac:dyDescent="0.25">
      <c r="A1945" s="4">
        <v>44117</v>
      </c>
      <c r="B1945" t="s">
        <v>9</v>
      </c>
      <c r="C1945">
        <v>1</v>
      </c>
      <c r="F1945">
        <v>367</v>
      </c>
      <c r="J1945">
        <v>1.073</v>
      </c>
      <c r="K1945">
        <v>41.24</v>
      </c>
      <c r="L1945">
        <v>38.43</v>
      </c>
      <c r="M1945">
        <v>224</v>
      </c>
      <c r="N1945">
        <v>45</v>
      </c>
      <c r="O1945">
        <v>10</v>
      </c>
      <c r="P1945">
        <v>1</v>
      </c>
    </row>
    <row r="1946" spans="1:16" x14ac:dyDescent="0.25">
      <c r="A1946" s="4">
        <v>44117</v>
      </c>
      <c r="B1946" t="s">
        <v>10</v>
      </c>
      <c r="C1946" t="s">
        <v>78</v>
      </c>
      <c r="F1946">
        <v>220</v>
      </c>
      <c r="J1946">
        <v>1.024</v>
      </c>
      <c r="K1946">
        <v>40</v>
      </c>
      <c r="L1946">
        <v>39.06</v>
      </c>
      <c r="M1946">
        <v>129</v>
      </c>
      <c r="N1946">
        <v>24</v>
      </c>
      <c r="O1946">
        <v>13</v>
      </c>
      <c r="P1946">
        <v>0</v>
      </c>
    </row>
    <row r="1947" spans="1:16" x14ac:dyDescent="0.25">
      <c r="A1947" s="4">
        <v>44117</v>
      </c>
      <c r="B1947" t="s">
        <v>9</v>
      </c>
      <c r="C1947" t="s">
        <v>78</v>
      </c>
      <c r="F1947">
        <v>367</v>
      </c>
      <c r="J1947">
        <v>1.073</v>
      </c>
      <c r="K1947">
        <v>41.24</v>
      </c>
      <c r="L1947">
        <v>38.43</v>
      </c>
      <c r="M1947">
        <v>224</v>
      </c>
      <c r="N1947">
        <v>45</v>
      </c>
      <c r="O1947">
        <v>10</v>
      </c>
      <c r="P1947">
        <v>1</v>
      </c>
    </row>
    <row r="1948" spans="1:16" x14ac:dyDescent="0.25">
      <c r="A1948" s="4">
        <v>44118</v>
      </c>
      <c r="B1948" t="s">
        <v>10</v>
      </c>
      <c r="C1948">
        <v>1</v>
      </c>
      <c r="F1948">
        <v>406</v>
      </c>
      <c r="J1948">
        <v>1.2689999999999999</v>
      </c>
      <c r="K1948">
        <v>47.21</v>
      </c>
      <c r="L1948">
        <v>37.19</v>
      </c>
      <c r="M1948">
        <v>196</v>
      </c>
      <c r="N1948">
        <v>54</v>
      </c>
      <c r="O1948">
        <v>26</v>
      </c>
      <c r="P1948">
        <v>0</v>
      </c>
    </row>
    <row r="1949" spans="1:16" x14ac:dyDescent="0.25">
      <c r="A1949" s="4">
        <v>44118</v>
      </c>
      <c r="B1949" t="s">
        <v>9</v>
      </c>
      <c r="C1949">
        <v>1</v>
      </c>
      <c r="F1949">
        <v>381</v>
      </c>
      <c r="J1949">
        <v>1.127</v>
      </c>
      <c r="K1949">
        <v>44.3</v>
      </c>
      <c r="L1949">
        <v>39.299999999999997</v>
      </c>
      <c r="M1949">
        <v>240</v>
      </c>
      <c r="N1949">
        <v>34</v>
      </c>
      <c r="O1949">
        <v>14</v>
      </c>
      <c r="P1949">
        <v>2</v>
      </c>
    </row>
    <row r="1950" spans="1:16" x14ac:dyDescent="0.25">
      <c r="A1950" s="4">
        <v>44118</v>
      </c>
      <c r="B1950" t="s">
        <v>10</v>
      </c>
      <c r="C1950" t="s">
        <v>78</v>
      </c>
      <c r="F1950">
        <v>406</v>
      </c>
      <c r="J1950">
        <v>1.2689999999999999</v>
      </c>
      <c r="K1950">
        <v>47.21</v>
      </c>
      <c r="L1950">
        <v>37.19</v>
      </c>
      <c r="M1950">
        <v>196</v>
      </c>
      <c r="N1950">
        <v>54</v>
      </c>
      <c r="O1950">
        <v>26</v>
      </c>
      <c r="P1950">
        <v>0</v>
      </c>
    </row>
    <row r="1951" spans="1:16" x14ac:dyDescent="0.25">
      <c r="A1951" s="4">
        <v>44118</v>
      </c>
      <c r="B1951" t="s">
        <v>9</v>
      </c>
      <c r="C1951" t="s">
        <v>78</v>
      </c>
      <c r="F1951">
        <v>381</v>
      </c>
      <c r="J1951">
        <v>1.127</v>
      </c>
      <c r="K1951">
        <v>44.3</v>
      </c>
      <c r="L1951">
        <v>39.299999999999997</v>
      </c>
      <c r="M1951">
        <v>240</v>
      </c>
      <c r="N1951">
        <v>34</v>
      </c>
      <c r="O1951">
        <v>14</v>
      </c>
      <c r="P1951">
        <v>2</v>
      </c>
    </row>
    <row r="1952" spans="1:16" x14ac:dyDescent="0.25">
      <c r="A1952" s="4">
        <v>44119</v>
      </c>
      <c r="B1952" t="s">
        <v>10</v>
      </c>
      <c r="C1952">
        <v>1</v>
      </c>
      <c r="F1952">
        <v>374</v>
      </c>
      <c r="J1952">
        <v>1.2989999999999999</v>
      </c>
      <c r="K1952">
        <v>43.49</v>
      </c>
      <c r="L1952">
        <v>33.479999999999997</v>
      </c>
      <c r="M1952">
        <v>257</v>
      </c>
      <c r="N1952">
        <v>38</v>
      </c>
      <c r="O1952">
        <v>8</v>
      </c>
      <c r="P1952">
        <v>0</v>
      </c>
    </row>
    <row r="1953" spans="1:16" x14ac:dyDescent="0.25">
      <c r="A1953" s="4">
        <v>44119</v>
      </c>
      <c r="B1953" t="s">
        <v>9</v>
      </c>
      <c r="C1953">
        <v>1</v>
      </c>
      <c r="F1953">
        <v>342</v>
      </c>
      <c r="J1953">
        <v>1.1160000000000001</v>
      </c>
      <c r="K1953">
        <v>39.770000000000003</v>
      </c>
      <c r="L1953">
        <v>35.64</v>
      </c>
      <c r="M1953">
        <v>256</v>
      </c>
      <c r="N1953">
        <v>31</v>
      </c>
      <c r="O1953">
        <v>5</v>
      </c>
      <c r="P1953">
        <v>0</v>
      </c>
    </row>
    <row r="1954" spans="1:16" x14ac:dyDescent="0.25">
      <c r="A1954" s="4">
        <v>44119</v>
      </c>
      <c r="B1954" t="s">
        <v>10</v>
      </c>
      <c r="C1954" t="s">
        <v>78</v>
      </c>
      <c r="F1954">
        <v>374</v>
      </c>
      <c r="J1954">
        <v>1.2989999999999999</v>
      </c>
      <c r="K1954">
        <v>43.49</v>
      </c>
      <c r="L1954">
        <v>33.479999999999997</v>
      </c>
      <c r="M1954">
        <v>257</v>
      </c>
      <c r="N1954">
        <v>38</v>
      </c>
      <c r="O1954">
        <v>8</v>
      </c>
      <c r="P1954">
        <v>0</v>
      </c>
    </row>
    <row r="1955" spans="1:16" x14ac:dyDescent="0.25">
      <c r="A1955" s="4">
        <v>44119</v>
      </c>
      <c r="B1955" t="s">
        <v>9</v>
      </c>
      <c r="C1955" t="s">
        <v>78</v>
      </c>
      <c r="F1955">
        <v>342</v>
      </c>
      <c r="J1955">
        <v>1.1160000000000001</v>
      </c>
      <c r="K1955">
        <v>39.770000000000003</v>
      </c>
      <c r="L1955">
        <v>35.64</v>
      </c>
      <c r="M1955">
        <v>256</v>
      </c>
      <c r="N1955">
        <v>31</v>
      </c>
      <c r="O1955">
        <v>5</v>
      </c>
      <c r="P1955">
        <v>0</v>
      </c>
    </row>
    <row r="1956" spans="1:16" x14ac:dyDescent="0.25">
      <c r="A1956" s="4">
        <v>44120</v>
      </c>
      <c r="B1956" t="s">
        <v>10</v>
      </c>
      <c r="C1956">
        <v>1</v>
      </c>
      <c r="F1956">
        <v>349</v>
      </c>
      <c r="J1956">
        <v>1.155</v>
      </c>
      <c r="K1956">
        <v>39.21</v>
      </c>
      <c r="L1956">
        <v>33.96</v>
      </c>
      <c r="M1956">
        <v>243</v>
      </c>
      <c r="N1956">
        <v>27</v>
      </c>
      <c r="O1956">
        <v>13</v>
      </c>
      <c r="P1956">
        <v>1</v>
      </c>
    </row>
    <row r="1957" spans="1:16" x14ac:dyDescent="0.25">
      <c r="A1957" s="4">
        <v>44120</v>
      </c>
      <c r="B1957" t="s">
        <v>9</v>
      </c>
      <c r="C1957">
        <v>1</v>
      </c>
      <c r="F1957">
        <v>388</v>
      </c>
      <c r="J1957">
        <v>1.147</v>
      </c>
      <c r="K1957">
        <v>43.6</v>
      </c>
      <c r="L1957">
        <v>38.01</v>
      </c>
      <c r="M1957">
        <v>241</v>
      </c>
      <c r="N1957">
        <v>44</v>
      </c>
      <c r="O1957">
        <v>14</v>
      </c>
      <c r="P1957">
        <v>1</v>
      </c>
    </row>
    <row r="1958" spans="1:16" x14ac:dyDescent="0.25">
      <c r="A1958" s="4">
        <v>44120</v>
      </c>
      <c r="B1958" t="s">
        <v>10</v>
      </c>
      <c r="C1958" t="s">
        <v>78</v>
      </c>
      <c r="F1958">
        <v>349</v>
      </c>
      <c r="J1958">
        <v>1.155</v>
      </c>
      <c r="K1958">
        <v>39.21</v>
      </c>
      <c r="L1958">
        <v>33.96</v>
      </c>
      <c r="M1958">
        <v>243</v>
      </c>
      <c r="N1958">
        <v>27</v>
      </c>
      <c r="O1958">
        <v>13</v>
      </c>
      <c r="P1958">
        <v>1</v>
      </c>
    </row>
    <row r="1959" spans="1:16" x14ac:dyDescent="0.25">
      <c r="A1959" s="4">
        <v>44120</v>
      </c>
      <c r="B1959" t="s">
        <v>9</v>
      </c>
      <c r="C1959" t="s">
        <v>78</v>
      </c>
      <c r="F1959">
        <v>388</v>
      </c>
      <c r="J1959">
        <v>1.147</v>
      </c>
      <c r="K1959">
        <v>43.6</v>
      </c>
      <c r="L1959">
        <v>38.01</v>
      </c>
      <c r="M1959">
        <v>241</v>
      </c>
      <c r="N1959">
        <v>44</v>
      </c>
      <c r="O1959">
        <v>14</v>
      </c>
      <c r="P1959">
        <v>1</v>
      </c>
    </row>
    <row r="1960" spans="1:16" x14ac:dyDescent="0.25">
      <c r="A1960" s="4">
        <v>44121</v>
      </c>
      <c r="B1960" t="s">
        <v>10</v>
      </c>
      <c r="C1960">
        <v>1</v>
      </c>
      <c r="F1960">
        <v>256</v>
      </c>
      <c r="J1960">
        <v>1.256</v>
      </c>
      <c r="K1960">
        <v>46.55</v>
      </c>
      <c r="L1960">
        <v>37.049999999999997</v>
      </c>
      <c r="M1960">
        <v>116</v>
      </c>
      <c r="N1960">
        <v>25</v>
      </c>
      <c r="O1960">
        <v>15</v>
      </c>
      <c r="P1960">
        <v>4</v>
      </c>
    </row>
    <row r="1961" spans="1:16" x14ac:dyDescent="0.25">
      <c r="A1961" s="4">
        <v>44121</v>
      </c>
      <c r="B1961" t="s">
        <v>9</v>
      </c>
      <c r="C1961">
        <v>1</v>
      </c>
      <c r="F1961">
        <v>245</v>
      </c>
      <c r="J1961">
        <v>1.18</v>
      </c>
      <c r="K1961">
        <v>44.55</v>
      </c>
      <c r="L1961">
        <v>37.76</v>
      </c>
      <c r="M1961">
        <v>144</v>
      </c>
      <c r="N1961">
        <v>24</v>
      </c>
      <c r="O1961">
        <v>13</v>
      </c>
      <c r="P1961">
        <v>1</v>
      </c>
    </row>
    <row r="1962" spans="1:16" x14ac:dyDescent="0.25">
      <c r="A1962" s="4">
        <v>44121</v>
      </c>
      <c r="B1962" t="s">
        <v>10</v>
      </c>
      <c r="C1962" t="s">
        <v>78</v>
      </c>
      <c r="F1962">
        <v>256</v>
      </c>
      <c r="J1962">
        <v>1.256</v>
      </c>
      <c r="K1962">
        <v>46.55</v>
      </c>
      <c r="L1962">
        <v>37.049999999999997</v>
      </c>
      <c r="M1962">
        <v>116</v>
      </c>
      <c r="N1962">
        <v>25</v>
      </c>
      <c r="O1962">
        <v>15</v>
      </c>
      <c r="P1962">
        <v>4</v>
      </c>
    </row>
    <row r="1963" spans="1:16" x14ac:dyDescent="0.25">
      <c r="A1963" s="4">
        <v>44121</v>
      </c>
      <c r="B1963" t="s">
        <v>9</v>
      </c>
      <c r="C1963" t="s">
        <v>78</v>
      </c>
      <c r="F1963">
        <v>245</v>
      </c>
      <c r="J1963">
        <v>1.18</v>
      </c>
      <c r="K1963">
        <v>44.55</v>
      </c>
      <c r="L1963">
        <v>37.76</v>
      </c>
      <c r="M1963">
        <v>144</v>
      </c>
      <c r="N1963">
        <v>24</v>
      </c>
      <c r="O1963">
        <v>13</v>
      </c>
      <c r="P1963">
        <v>1</v>
      </c>
    </row>
    <row r="1964" spans="1:16" x14ac:dyDescent="0.25">
      <c r="A1964" s="4">
        <v>44123</v>
      </c>
      <c r="B1964" t="s">
        <v>10</v>
      </c>
      <c r="C1964">
        <v>1</v>
      </c>
      <c r="F1964">
        <v>386</v>
      </c>
      <c r="J1964">
        <v>1.3080000000000001</v>
      </c>
      <c r="K1964">
        <v>43.37</v>
      </c>
      <c r="L1964">
        <v>33.17</v>
      </c>
      <c r="M1964">
        <v>267</v>
      </c>
      <c r="N1964">
        <v>25</v>
      </c>
      <c r="O1964">
        <v>15</v>
      </c>
      <c r="P1964">
        <v>1</v>
      </c>
    </row>
    <row r="1965" spans="1:16" x14ac:dyDescent="0.25">
      <c r="A1965" s="4">
        <v>44123</v>
      </c>
      <c r="B1965" t="s">
        <v>9</v>
      </c>
      <c r="C1965">
        <v>1</v>
      </c>
      <c r="F1965">
        <v>379</v>
      </c>
      <c r="J1965">
        <v>1.0329999999999999</v>
      </c>
      <c r="K1965">
        <v>42.58</v>
      </c>
      <c r="L1965">
        <v>41.22</v>
      </c>
      <c r="M1965">
        <v>172</v>
      </c>
      <c r="N1965">
        <v>65</v>
      </c>
      <c r="O1965">
        <v>17</v>
      </c>
      <c r="P1965">
        <v>1</v>
      </c>
    </row>
    <row r="1966" spans="1:16" x14ac:dyDescent="0.25">
      <c r="A1966" s="4">
        <v>44123</v>
      </c>
      <c r="B1966" t="s">
        <v>10</v>
      </c>
      <c r="C1966" t="s">
        <v>78</v>
      </c>
      <c r="F1966">
        <v>386</v>
      </c>
      <c r="J1966">
        <v>1.3080000000000001</v>
      </c>
      <c r="K1966">
        <v>43.37</v>
      </c>
      <c r="L1966">
        <v>33.17</v>
      </c>
      <c r="M1966">
        <v>267</v>
      </c>
      <c r="N1966">
        <v>25</v>
      </c>
      <c r="O1966">
        <v>15</v>
      </c>
      <c r="P1966">
        <v>1</v>
      </c>
    </row>
    <row r="1967" spans="1:16" x14ac:dyDescent="0.25">
      <c r="A1967" s="4">
        <v>44123</v>
      </c>
      <c r="B1967" t="s">
        <v>9</v>
      </c>
      <c r="C1967" t="s">
        <v>78</v>
      </c>
      <c r="F1967">
        <v>379</v>
      </c>
      <c r="J1967">
        <v>1.0329999999999999</v>
      </c>
      <c r="K1967">
        <v>42.58</v>
      </c>
      <c r="L1967">
        <v>41.22</v>
      </c>
      <c r="M1967">
        <v>172</v>
      </c>
      <c r="N1967">
        <v>65</v>
      </c>
      <c r="O1967">
        <v>17</v>
      </c>
      <c r="P1967">
        <v>1</v>
      </c>
    </row>
    <row r="1968" spans="1:16" x14ac:dyDescent="0.25">
      <c r="A1968" s="4">
        <v>44124</v>
      </c>
      <c r="B1968" t="s">
        <v>10</v>
      </c>
      <c r="C1968">
        <v>1</v>
      </c>
      <c r="F1968">
        <v>393</v>
      </c>
      <c r="J1968">
        <v>1.2869999999999999</v>
      </c>
      <c r="K1968">
        <v>44.16</v>
      </c>
      <c r="L1968">
        <v>34.32</v>
      </c>
      <c r="M1968">
        <v>262</v>
      </c>
      <c r="N1968">
        <v>29</v>
      </c>
      <c r="O1968">
        <v>12</v>
      </c>
      <c r="P1968">
        <v>3</v>
      </c>
    </row>
    <row r="1969" spans="1:16" x14ac:dyDescent="0.25">
      <c r="A1969" s="4">
        <v>44124</v>
      </c>
      <c r="B1969" t="s">
        <v>9</v>
      </c>
      <c r="C1969">
        <v>1</v>
      </c>
      <c r="F1969">
        <v>404</v>
      </c>
      <c r="J1969">
        <v>1.127</v>
      </c>
      <c r="K1969">
        <v>45.39</v>
      </c>
      <c r="L1969">
        <v>40.29</v>
      </c>
      <c r="M1969">
        <v>252</v>
      </c>
      <c r="N1969">
        <v>40</v>
      </c>
      <c r="O1969">
        <v>12</v>
      </c>
      <c r="P1969">
        <v>3</v>
      </c>
    </row>
    <row r="1970" spans="1:16" x14ac:dyDescent="0.25">
      <c r="A1970" s="4">
        <v>44124</v>
      </c>
      <c r="B1970" t="s">
        <v>10</v>
      </c>
      <c r="C1970" t="s">
        <v>78</v>
      </c>
      <c r="F1970">
        <v>393</v>
      </c>
      <c r="J1970">
        <v>1.2869999999999999</v>
      </c>
      <c r="K1970">
        <v>44.16</v>
      </c>
      <c r="L1970">
        <v>34.32</v>
      </c>
      <c r="M1970">
        <v>262</v>
      </c>
      <c r="N1970">
        <v>29</v>
      </c>
      <c r="O1970">
        <v>12</v>
      </c>
      <c r="P1970">
        <v>3</v>
      </c>
    </row>
    <row r="1971" spans="1:16" x14ac:dyDescent="0.25">
      <c r="A1971" s="4">
        <v>44124</v>
      </c>
      <c r="B1971" t="s">
        <v>9</v>
      </c>
      <c r="C1971" t="s">
        <v>78</v>
      </c>
      <c r="F1971">
        <v>404</v>
      </c>
      <c r="J1971">
        <v>1.127</v>
      </c>
      <c r="K1971">
        <v>45.39</v>
      </c>
      <c r="L1971">
        <v>40.29</v>
      </c>
      <c r="M1971">
        <v>252</v>
      </c>
      <c r="N1971">
        <v>40</v>
      </c>
      <c r="O1971">
        <v>12</v>
      </c>
      <c r="P1971">
        <v>3</v>
      </c>
    </row>
    <row r="1972" spans="1:16" x14ac:dyDescent="0.25">
      <c r="A1972" s="4">
        <v>44125</v>
      </c>
      <c r="B1972" t="s">
        <v>10</v>
      </c>
      <c r="C1972">
        <v>1</v>
      </c>
      <c r="F1972">
        <v>415</v>
      </c>
      <c r="J1972">
        <v>1.3280000000000001</v>
      </c>
      <c r="K1972">
        <v>46.63</v>
      </c>
      <c r="L1972">
        <v>35.11</v>
      </c>
      <c r="M1972">
        <v>233</v>
      </c>
      <c r="N1972">
        <v>57</v>
      </c>
      <c r="O1972">
        <v>15</v>
      </c>
      <c r="P1972">
        <v>1</v>
      </c>
    </row>
    <row r="1973" spans="1:16" x14ac:dyDescent="0.25">
      <c r="A1973" s="4">
        <v>44125</v>
      </c>
      <c r="B1973" t="s">
        <v>9</v>
      </c>
      <c r="C1973">
        <v>1</v>
      </c>
      <c r="F1973">
        <v>373</v>
      </c>
      <c r="J1973">
        <v>1.095</v>
      </c>
      <c r="K1973">
        <v>41.91</v>
      </c>
      <c r="L1973">
        <v>38.270000000000003</v>
      </c>
      <c r="M1973">
        <v>237</v>
      </c>
      <c r="N1973">
        <v>39</v>
      </c>
      <c r="O1973">
        <v>14</v>
      </c>
      <c r="P1973">
        <v>1</v>
      </c>
    </row>
    <row r="1974" spans="1:16" x14ac:dyDescent="0.25">
      <c r="A1974" s="4">
        <v>44125</v>
      </c>
      <c r="B1974" t="s">
        <v>10</v>
      </c>
      <c r="C1974" t="s">
        <v>78</v>
      </c>
      <c r="F1974">
        <v>415</v>
      </c>
      <c r="J1974">
        <v>1.3280000000000001</v>
      </c>
      <c r="K1974">
        <v>46.63</v>
      </c>
      <c r="L1974">
        <v>35.11</v>
      </c>
      <c r="M1974">
        <v>233</v>
      </c>
      <c r="N1974">
        <v>57</v>
      </c>
      <c r="O1974">
        <v>15</v>
      </c>
      <c r="P1974">
        <v>1</v>
      </c>
    </row>
    <row r="1975" spans="1:16" x14ac:dyDescent="0.25">
      <c r="A1975" s="4">
        <v>44125</v>
      </c>
      <c r="B1975" t="s">
        <v>9</v>
      </c>
      <c r="C1975" t="s">
        <v>78</v>
      </c>
      <c r="F1975">
        <v>373</v>
      </c>
      <c r="J1975">
        <v>1.095</v>
      </c>
      <c r="K1975">
        <v>41.91</v>
      </c>
      <c r="L1975">
        <v>38.270000000000003</v>
      </c>
      <c r="M1975">
        <v>237</v>
      </c>
      <c r="N1975">
        <v>39</v>
      </c>
      <c r="O1975">
        <v>14</v>
      </c>
      <c r="P1975">
        <v>1</v>
      </c>
    </row>
    <row r="1976" spans="1:16" x14ac:dyDescent="0.25">
      <c r="A1976" s="4">
        <v>44126</v>
      </c>
      <c r="B1976" t="s">
        <v>10</v>
      </c>
      <c r="C1976">
        <v>1</v>
      </c>
      <c r="F1976">
        <v>407</v>
      </c>
      <c r="J1976">
        <v>1.403</v>
      </c>
      <c r="K1976">
        <v>45.73</v>
      </c>
      <c r="L1976">
        <v>32.590000000000003</v>
      </c>
      <c r="M1976">
        <v>285</v>
      </c>
      <c r="N1976">
        <v>37</v>
      </c>
      <c r="O1976">
        <v>11</v>
      </c>
      <c r="P1976">
        <v>1</v>
      </c>
    </row>
    <row r="1977" spans="1:16" x14ac:dyDescent="0.25">
      <c r="A1977" s="4">
        <v>44126</v>
      </c>
      <c r="B1977" t="s">
        <v>9</v>
      </c>
      <c r="C1977">
        <v>1</v>
      </c>
      <c r="F1977">
        <v>377</v>
      </c>
      <c r="J1977">
        <v>1.046</v>
      </c>
      <c r="K1977">
        <v>42.36</v>
      </c>
      <c r="L1977">
        <v>40.479999999999997</v>
      </c>
      <c r="M1977">
        <v>219</v>
      </c>
      <c r="N1977">
        <v>34</v>
      </c>
      <c r="O1977">
        <v>22</v>
      </c>
      <c r="P1977">
        <v>0</v>
      </c>
    </row>
    <row r="1978" spans="1:16" x14ac:dyDescent="0.25">
      <c r="A1978" s="4">
        <v>44126</v>
      </c>
      <c r="B1978" t="s">
        <v>10</v>
      </c>
      <c r="C1978" t="s">
        <v>78</v>
      </c>
      <c r="F1978">
        <v>407</v>
      </c>
      <c r="J1978">
        <v>1.403</v>
      </c>
      <c r="K1978">
        <v>45.73</v>
      </c>
      <c r="L1978">
        <v>32.590000000000003</v>
      </c>
      <c r="M1978">
        <v>285</v>
      </c>
      <c r="N1978">
        <v>37</v>
      </c>
      <c r="O1978">
        <v>11</v>
      </c>
      <c r="P1978">
        <v>1</v>
      </c>
    </row>
    <row r="1979" spans="1:16" x14ac:dyDescent="0.25">
      <c r="A1979" s="4">
        <v>44126</v>
      </c>
      <c r="B1979" t="s">
        <v>9</v>
      </c>
      <c r="C1979" t="s">
        <v>78</v>
      </c>
      <c r="F1979">
        <v>377</v>
      </c>
      <c r="J1979">
        <v>1.046</v>
      </c>
      <c r="K1979">
        <v>42.36</v>
      </c>
      <c r="L1979">
        <v>40.479999999999997</v>
      </c>
      <c r="M1979">
        <v>219</v>
      </c>
      <c r="N1979">
        <v>34</v>
      </c>
      <c r="O1979">
        <v>22</v>
      </c>
      <c r="P1979">
        <v>0</v>
      </c>
    </row>
    <row r="1980" spans="1:16" x14ac:dyDescent="0.25">
      <c r="A1980" s="4">
        <v>44127</v>
      </c>
      <c r="B1980" t="s">
        <v>10</v>
      </c>
      <c r="C1980">
        <v>1</v>
      </c>
      <c r="F1980">
        <v>368</v>
      </c>
      <c r="J1980">
        <v>1.2130000000000001</v>
      </c>
      <c r="K1980">
        <v>41.35</v>
      </c>
      <c r="L1980">
        <v>34.1</v>
      </c>
      <c r="M1980">
        <v>248</v>
      </c>
      <c r="N1980">
        <v>34</v>
      </c>
      <c r="O1980">
        <v>13</v>
      </c>
      <c r="P1980">
        <v>0</v>
      </c>
    </row>
    <row r="1981" spans="1:16" x14ac:dyDescent="0.25">
      <c r="A1981" s="4">
        <v>44127</v>
      </c>
      <c r="B1981" t="s">
        <v>9</v>
      </c>
      <c r="C1981">
        <v>1</v>
      </c>
      <c r="F1981">
        <v>358</v>
      </c>
      <c r="J1981">
        <v>1.0109999999999999</v>
      </c>
      <c r="K1981">
        <v>40.22</v>
      </c>
      <c r="L1981">
        <v>39.799999999999997</v>
      </c>
      <c r="M1981">
        <v>240</v>
      </c>
      <c r="N1981">
        <v>33</v>
      </c>
      <c r="O1981">
        <v>12</v>
      </c>
      <c r="P1981">
        <v>0</v>
      </c>
    </row>
    <row r="1982" spans="1:16" x14ac:dyDescent="0.25">
      <c r="A1982" s="4">
        <v>44127</v>
      </c>
      <c r="B1982" t="s">
        <v>10</v>
      </c>
      <c r="C1982" t="s">
        <v>78</v>
      </c>
      <c r="F1982">
        <v>368</v>
      </c>
      <c r="J1982">
        <v>1.2130000000000001</v>
      </c>
      <c r="K1982">
        <v>41.35</v>
      </c>
      <c r="L1982">
        <v>34.1</v>
      </c>
      <c r="M1982">
        <v>248</v>
      </c>
      <c r="N1982">
        <v>34</v>
      </c>
      <c r="O1982">
        <v>13</v>
      </c>
      <c r="P1982">
        <v>0</v>
      </c>
    </row>
    <row r="1983" spans="1:16" x14ac:dyDescent="0.25">
      <c r="A1983" s="4">
        <v>44127</v>
      </c>
      <c r="B1983" t="s">
        <v>9</v>
      </c>
      <c r="C1983" t="s">
        <v>78</v>
      </c>
      <c r="F1983">
        <v>358</v>
      </c>
      <c r="J1983">
        <v>1.0109999999999999</v>
      </c>
      <c r="K1983">
        <v>40.22</v>
      </c>
      <c r="L1983">
        <v>39.799999999999997</v>
      </c>
      <c r="M1983">
        <v>240</v>
      </c>
      <c r="N1983">
        <v>33</v>
      </c>
      <c r="O1983">
        <v>12</v>
      </c>
      <c r="P1983">
        <v>0</v>
      </c>
    </row>
    <row r="1984" spans="1:16" x14ac:dyDescent="0.25">
      <c r="A1984" s="4">
        <v>44128</v>
      </c>
      <c r="B1984" t="s">
        <v>10</v>
      </c>
      <c r="C1984">
        <v>1</v>
      </c>
      <c r="F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</row>
    <row r="1985" spans="1:16" x14ac:dyDescent="0.25">
      <c r="A1985" s="4">
        <v>44128</v>
      </c>
      <c r="B1985" t="s">
        <v>9</v>
      </c>
      <c r="C1985">
        <v>1</v>
      </c>
      <c r="F1985">
        <v>211</v>
      </c>
      <c r="J1985">
        <v>1.0660000000000001</v>
      </c>
      <c r="K1985">
        <v>38.36</v>
      </c>
      <c r="L1985">
        <v>35.979999999999997</v>
      </c>
      <c r="M1985">
        <v>168</v>
      </c>
      <c r="N1985">
        <v>10</v>
      </c>
      <c r="O1985">
        <v>2</v>
      </c>
      <c r="P1985">
        <v>1</v>
      </c>
    </row>
    <row r="1986" spans="1:16" x14ac:dyDescent="0.25">
      <c r="A1986" s="4">
        <v>44128</v>
      </c>
      <c r="B1986" t="s">
        <v>10</v>
      </c>
      <c r="C1986" t="s">
        <v>78</v>
      </c>
      <c r="F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</row>
    <row r="1987" spans="1:16" x14ac:dyDescent="0.25">
      <c r="A1987" s="4">
        <v>44128</v>
      </c>
      <c r="B1987" t="s">
        <v>9</v>
      </c>
      <c r="C1987" t="s">
        <v>78</v>
      </c>
      <c r="F1987">
        <v>211</v>
      </c>
      <c r="J1987">
        <v>1.0660000000000001</v>
      </c>
      <c r="K1987">
        <v>38.36</v>
      </c>
      <c r="L1987">
        <v>35.979999999999997</v>
      </c>
      <c r="M1987">
        <v>168</v>
      </c>
      <c r="N1987">
        <v>10</v>
      </c>
      <c r="O1987">
        <v>2</v>
      </c>
      <c r="P1987">
        <v>1</v>
      </c>
    </row>
    <row r="1988" spans="1:16" x14ac:dyDescent="0.25">
      <c r="A1988" s="4">
        <v>44130</v>
      </c>
      <c r="B1988" t="s">
        <v>10</v>
      </c>
      <c r="C1988">
        <v>1</v>
      </c>
      <c r="F1988">
        <v>374</v>
      </c>
      <c r="J1988">
        <v>1.236</v>
      </c>
      <c r="K1988">
        <v>42.02</v>
      </c>
      <c r="L1988">
        <v>34.01</v>
      </c>
      <c r="M1988">
        <v>232</v>
      </c>
      <c r="N1988">
        <v>42</v>
      </c>
      <c r="O1988">
        <v>11</v>
      </c>
      <c r="P1988">
        <v>2</v>
      </c>
    </row>
    <row r="1989" spans="1:16" x14ac:dyDescent="0.25">
      <c r="A1989" s="4">
        <v>44130</v>
      </c>
      <c r="B1989" t="s">
        <v>9</v>
      </c>
      <c r="C1989">
        <v>1</v>
      </c>
      <c r="F1989">
        <v>389</v>
      </c>
      <c r="J1989">
        <v>1.0449999999999999</v>
      </c>
      <c r="K1989">
        <v>43.71</v>
      </c>
      <c r="L1989">
        <v>41.84</v>
      </c>
      <c r="M1989">
        <v>211</v>
      </c>
      <c r="N1989">
        <v>43</v>
      </c>
      <c r="O1989">
        <v>18</v>
      </c>
      <c r="P1989">
        <v>4</v>
      </c>
    </row>
    <row r="1990" spans="1:16" x14ac:dyDescent="0.25">
      <c r="A1990" s="4">
        <v>44130</v>
      </c>
      <c r="B1990" t="s">
        <v>10</v>
      </c>
      <c r="C1990" t="s">
        <v>78</v>
      </c>
      <c r="F1990">
        <v>374</v>
      </c>
      <c r="J1990">
        <v>1.236</v>
      </c>
      <c r="K1990">
        <v>42.02</v>
      </c>
      <c r="L1990">
        <v>34.01</v>
      </c>
      <c r="M1990">
        <v>232</v>
      </c>
      <c r="N1990">
        <v>42</v>
      </c>
      <c r="O1990">
        <v>11</v>
      </c>
      <c r="P1990">
        <v>2</v>
      </c>
    </row>
    <row r="1991" spans="1:16" x14ac:dyDescent="0.25">
      <c r="A1991" s="4">
        <v>44130</v>
      </c>
      <c r="B1991" t="s">
        <v>9</v>
      </c>
      <c r="C1991" t="s">
        <v>78</v>
      </c>
      <c r="F1991">
        <v>389</v>
      </c>
      <c r="J1991">
        <v>1.0449999999999999</v>
      </c>
      <c r="K1991">
        <v>43.71</v>
      </c>
      <c r="L1991">
        <v>41.84</v>
      </c>
      <c r="M1991">
        <v>211</v>
      </c>
      <c r="N1991">
        <v>43</v>
      </c>
      <c r="O1991">
        <v>18</v>
      </c>
      <c r="P1991">
        <v>4</v>
      </c>
    </row>
    <row r="1992" spans="1:16" x14ac:dyDescent="0.25">
      <c r="A1992" s="4">
        <v>44131</v>
      </c>
      <c r="B1992" t="s">
        <v>10</v>
      </c>
      <c r="C1992">
        <v>1</v>
      </c>
      <c r="F1992">
        <v>338</v>
      </c>
      <c r="J1992">
        <v>1.1759999999999999</v>
      </c>
      <c r="K1992">
        <v>42.25</v>
      </c>
      <c r="L1992">
        <v>35.93</v>
      </c>
      <c r="M1992">
        <v>204</v>
      </c>
      <c r="N1992">
        <v>27</v>
      </c>
      <c r="O1992">
        <v>16</v>
      </c>
      <c r="P1992">
        <v>2</v>
      </c>
    </row>
    <row r="1993" spans="1:16" x14ac:dyDescent="0.25">
      <c r="A1993" s="4">
        <v>44131</v>
      </c>
      <c r="B1993" t="s">
        <v>9</v>
      </c>
      <c r="C1993">
        <v>1</v>
      </c>
      <c r="F1993">
        <v>359</v>
      </c>
      <c r="J1993">
        <v>1.125</v>
      </c>
      <c r="K1993">
        <v>43.25</v>
      </c>
      <c r="L1993">
        <v>38.46</v>
      </c>
      <c r="M1993">
        <v>232</v>
      </c>
      <c r="N1993">
        <v>38</v>
      </c>
      <c r="O1993">
        <v>11</v>
      </c>
      <c r="P1993">
        <v>1</v>
      </c>
    </row>
    <row r="1994" spans="1:16" x14ac:dyDescent="0.25">
      <c r="A1994" s="4">
        <v>44131</v>
      </c>
      <c r="B1994" t="s">
        <v>10</v>
      </c>
      <c r="C1994" t="s">
        <v>78</v>
      </c>
      <c r="F1994">
        <v>338</v>
      </c>
      <c r="J1994">
        <v>1.1759999999999999</v>
      </c>
      <c r="K1994">
        <v>42.25</v>
      </c>
      <c r="L1994">
        <v>35.93</v>
      </c>
      <c r="M1994">
        <v>204</v>
      </c>
      <c r="N1994">
        <v>27</v>
      </c>
      <c r="O1994">
        <v>16</v>
      </c>
      <c r="P1994">
        <v>2</v>
      </c>
    </row>
    <row r="1995" spans="1:16" x14ac:dyDescent="0.25">
      <c r="A1995" s="4">
        <v>44131</v>
      </c>
      <c r="B1995" t="s">
        <v>9</v>
      </c>
      <c r="C1995" t="s">
        <v>78</v>
      </c>
      <c r="F1995">
        <v>359</v>
      </c>
      <c r="J1995">
        <v>1.125</v>
      </c>
      <c r="K1995">
        <v>43.25</v>
      </c>
      <c r="L1995">
        <v>38.46</v>
      </c>
      <c r="M1995">
        <v>232</v>
      </c>
      <c r="N1995">
        <v>38</v>
      </c>
      <c r="O1995">
        <v>11</v>
      </c>
      <c r="P1995">
        <v>1</v>
      </c>
    </row>
    <row r="1996" spans="1:16" x14ac:dyDescent="0.25">
      <c r="A1996" s="4">
        <v>44132</v>
      </c>
      <c r="B1996" t="s">
        <v>10</v>
      </c>
      <c r="C1996">
        <v>1</v>
      </c>
      <c r="F1996">
        <v>405</v>
      </c>
      <c r="J1996">
        <v>1.2669999999999999</v>
      </c>
      <c r="K1996">
        <v>45.51</v>
      </c>
      <c r="L1996">
        <v>35.93</v>
      </c>
      <c r="M1996">
        <v>234</v>
      </c>
      <c r="N1996">
        <v>50</v>
      </c>
      <c r="O1996">
        <v>7</v>
      </c>
      <c r="P1996">
        <v>4</v>
      </c>
    </row>
    <row r="1997" spans="1:16" x14ac:dyDescent="0.25">
      <c r="A1997" s="4">
        <v>44132</v>
      </c>
      <c r="B1997" t="s">
        <v>9</v>
      </c>
      <c r="C1997">
        <v>1</v>
      </c>
      <c r="F1997">
        <v>371</v>
      </c>
      <c r="J1997">
        <v>1.111</v>
      </c>
      <c r="K1997">
        <v>41.69</v>
      </c>
      <c r="L1997">
        <v>37.51</v>
      </c>
      <c r="M1997">
        <v>273</v>
      </c>
      <c r="N1997">
        <v>31</v>
      </c>
      <c r="O1997">
        <v>5</v>
      </c>
      <c r="P1997">
        <v>0</v>
      </c>
    </row>
    <row r="1998" spans="1:16" x14ac:dyDescent="0.25">
      <c r="A1998" s="4">
        <v>44132</v>
      </c>
      <c r="B1998" t="s">
        <v>10</v>
      </c>
      <c r="C1998" t="s">
        <v>78</v>
      </c>
      <c r="F1998">
        <v>405</v>
      </c>
      <c r="J1998">
        <v>1.2669999999999999</v>
      </c>
      <c r="K1998">
        <v>45.51</v>
      </c>
      <c r="L1998">
        <v>35.93</v>
      </c>
      <c r="M1998">
        <v>234</v>
      </c>
      <c r="N1998">
        <v>50</v>
      </c>
      <c r="O1998">
        <v>7</v>
      </c>
      <c r="P1998">
        <v>4</v>
      </c>
    </row>
    <row r="1999" spans="1:16" x14ac:dyDescent="0.25">
      <c r="A1999" s="4">
        <v>44132</v>
      </c>
      <c r="B1999" t="s">
        <v>9</v>
      </c>
      <c r="C1999" t="s">
        <v>78</v>
      </c>
      <c r="F1999">
        <v>371</v>
      </c>
      <c r="J1999">
        <v>1.111</v>
      </c>
      <c r="K1999">
        <v>41.69</v>
      </c>
      <c r="L1999">
        <v>37.51</v>
      </c>
      <c r="M1999">
        <v>273</v>
      </c>
      <c r="N1999">
        <v>31</v>
      </c>
      <c r="O1999">
        <v>5</v>
      </c>
      <c r="P1999">
        <v>0</v>
      </c>
    </row>
    <row r="2000" spans="1:16" x14ac:dyDescent="0.25">
      <c r="A2000" s="4">
        <v>44133</v>
      </c>
      <c r="B2000" t="s">
        <v>10</v>
      </c>
      <c r="C2000">
        <v>1</v>
      </c>
      <c r="F2000">
        <v>366</v>
      </c>
      <c r="J2000">
        <v>1.1910000000000001</v>
      </c>
      <c r="K2000">
        <v>41.12</v>
      </c>
      <c r="L2000">
        <v>34.520000000000003</v>
      </c>
      <c r="M2000">
        <v>226</v>
      </c>
      <c r="N2000">
        <v>38</v>
      </c>
      <c r="O2000">
        <v>15</v>
      </c>
      <c r="P2000">
        <v>0</v>
      </c>
    </row>
    <row r="2001" spans="1:16" x14ac:dyDescent="0.25">
      <c r="A2001" s="4">
        <v>44133</v>
      </c>
      <c r="B2001" t="s">
        <v>9</v>
      </c>
      <c r="C2001">
        <v>1</v>
      </c>
      <c r="F2001">
        <v>374</v>
      </c>
      <c r="J2001">
        <v>1.1200000000000001</v>
      </c>
      <c r="K2001">
        <v>42.02</v>
      </c>
      <c r="L2001">
        <v>37.5</v>
      </c>
      <c r="M2001">
        <v>268</v>
      </c>
      <c r="N2001">
        <v>38</v>
      </c>
      <c r="O2001">
        <v>5</v>
      </c>
      <c r="P2001">
        <v>0</v>
      </c>
    </row>
    <row r="2002" spans="1:16" x14ac:dyDescent="0.25">
      <c r="A2002" s="4">
        <v>44133</v>
      </c>
      <c r="B2002" t="s">
        <v>10</v>
      </c>
      <c r="C2002" t="s">
        <v>78</v>
      </c>
      <c r="F2002">
        <v>366</v>
      </c>
      <c r="J2002">
        <v>1.1910000000000001</v>
      </c>
      <c r="K2002">
        <v>41.12</v>
      </c>
      <c r="L2002">
        <v>34.520000000000003</v>
      </c>
      <c r="M2002">
        <v>226</v>
      </c>
      <c r="N2002">
        <v>38</v>
      </c>
      <c r="O2002">
        <v>15</v>
      </c>
      <c r="P2002">
        <v>0</v>
      </c>
    </row>
    <row r="2003" spans="1:16" x14ac:dyDescent="0.25">
      <c r="A2003" s="4">
        <v>44133</v>
      </c>
      <c r="B2003" t="s">
        <v>9</v>
      </c>
      <c r="C2003" t="s">
        <v>78</v>
      </c>
      <c r="F2003">
        <v>374</v>
      </c>
      <c r="J2003">
        <v>1.1200000000000001</v>
      </c>
      <c r="K2003">
        <v>42.02</v>
      </c>
      <c r="L2003">
        <v>37.5</v>
      </c>
      <c r="M2003">
        <v>268</v>
      </c>
      <c r="N2003">
        <v>38</v>
      </c>
      <c r="O2003">
        <v>5</v>
      </c>
      <c r="P2003">
        <v>0</v>
      </c>
    </row>
    <row r="2004" spans="1:16" x14ac:dyDescent="0.25">
      <c r="A2004" s="4">
        <v>44134</v>
      </c>
      <c r="B2004" t="s">
        <v>10</v>
      </c>
      <c r="C2004">
        <v>1</v>
      </c>
      <c r="F2004">
        <v>246</v>
      </c>
      <c r="J2004">
        <v>1.246</v>
      </c>
      <c r="K2004">
        <v>41</v>
      </c>
      <c r="L2004">
        <v>32.9</v>
      </c>
      <c r="M2004">
        <v>170</v>
      </c>
      <c r="N2004">
        <v>30</v>
      </c>
      <c r="O2004">
        <v>3</v>
      </c>
      <c r="P2004">
        <v>0</v>
      </c>
    </row>
    <row r="2005" spans="1:16" x14ac:dyDescent="0.25">
      <c r="A2005" s="4">
        <v>44134</v>
      </c>
      <c r="B2005" t="s">
        <v>9</v>
      </c>
      <c r="C2005">
        <v>1</v>
      </c>
      <c r="F2005">
        <v>362</v>
      </c>
      <c r="J2005">
        <v>1.1299999999999999</v>
      </c>
      <c r="K2005">
        <v>40.67</v>
      </c>
      <c r="L2005">
        <v>35.99</v>
      </c>
      <c r="M2005">
        <v>266</v>
      </c>
      <c r="N2005">
        <v>24</v>
      </c>
      <c r="O2005">
        <v>8</v>
      </c>
      <c r="P2005">
        <v>1</v>
      </c>
    </row>
    <row r="2006" spans="1:16" x14ac:dyDescent="0.25">
      <c r="A2006" s="4">
        <v>44134</v>
      </c>
      <c r="B2006" t="s">
        <v>10</v>
      </c>
      <c r="C2006" t="s">
        <v>78</v>
      </c>
      <c r="F2006">
        <v>246</v>
      </c>
      <c r="J2006">
        <v>1.246</v>
      </c>
      <c r="K2006">
        <v>41</v>
      </c>
      <c r="L2006">
        <v>32.9</v>
      </c>
      <c r="M2006">
        <v>170</v>
      </c>
      <c r="N2006">
        <v>30</v>
      </c>
      <c r="O2006">
        <v>3</v>
      </c>
      <c r="P2006">
        <v>0</v>
      </c>
    </row>
    <row r="2007" spans="1:16" x14ac:dyDescent="0.25">
      <c r="A2007" s="4">
        <v>44134</v>
      </c>
      <c r="B2007" t="s">
        <v>9</v>
      </c>
      <c r="C2007" t="s">
        <v>78</v>
      </c>
      <c r="F2007">
        <v>362</v>
      </c>
      <c r="J2007">
        <v>1.1299999999999999</v>
      </c>
      <c r="K2007">
        <v>40.67</v>
      </c>
      <c r="L2007">
        <v>35.99</v>
      </c>
      <c r="M2007">
        <v>266</v>
      </c>
      <c r="N2007">
        <v>24</v>
      </c>
      <c r="O2007">
        <v>8</v>
      </c>
      <c r="P2007">
        <v>1</v>
      </c>
    </row>
    <row r="2008" spans="1:16" x14ac:dyDescent="0.25">
      <c r="A2008" s="4">
        <v>44137</v>
      </c>
      <c r="B2008" t="s">
        <v>10</v>
      </c>
      <c r="C2008">
        <v>1</v>
      </c>
      <c r="F2008">
        <v>419</v>
      </c>
      <c r="J2008">
        <v>1.3340000000000001</v>
      </c>
      <c r="K2008">
        <v>47.08</v>
      </c>
      <c r="L2008">
        <v>35.200000000000003</v>
      </c>
      <c r="M2008">
        <v>248</v>
      </c>
      <c r="N2008">
        <v>39</v>
      </c>
      <c r="O2008">
        <v>14</v>
      </c>
      <c r="P2008">
        <v>5</v>
      </c>
    </row>
    <row r="2009" spans="1:16" x14ac:dyDescent="0.25">
      <c r="A2009" s="4">
        <v>44137</v>
      </c>
      <c r="B2009" t="s">
        <v>9</v>
      </c>
      <c r="C2009">
        <v>1</v>
      </c>
      <c r="F2009">
        <v>400</v>
      </c>
      <c r="J2009">
        <v>1.1599999999999999</v>
      </c>
      <c r="K2009">
        <v>44.94</v>
      </c>
      <c r="L2009">
        <v>38.74</v>
      </c>
      <c r="M2009">
        <v>277</v>
      </c>
      <c r="N2009">
        <v>33</v>
      </c>
      <c r="O2009">
        <v>13</v>
      </c>
      <c r="P2009">
        <v>0</v>
      </c>
    </row>
    <row r="2010" spans="1:16" x14ac:dyDescent="0.25">
      <c r="A2010" s="4">
        <v>44137</v>
      </c>
      <c r="B2010" t="s">
        <v>10</v>
      </c>
      <c r="C2010" t="s">
        <v>78</v>
      </c>
      <c r="F2010">
        <v>419</v>
      </c>
      <c r="J2010">
        <v>1.3340000000000001</v>
      </c>
      <c r="K2010">
        <v>47.08</v>
      </c>
      <c r="L2010">
        <v>35.200000000000003</v>
      </c>
      <c r="M2010">
        <v>248</v>
      </c>
      <c r="N2010">
        <v>39</v>
      </c>
      <c r="O2010">
        <v>14</v>
      </c>
      <c r="P2010">
        <v>5</v>
      </c>
    </row>
    <row r="2011" spans="1:16" x14ac:dyDescent="0.25">
      <c r="A2011" s="4">
        <v>44137</v>
      </c>
      <c r="B2011" t="s">
        <v>9</v>
      </c>
      <c r="C2011" t="s">
        <v>78</v>
      </c>
      <c r="F2011">
        <v>400</v>
      </c>
      <c r="J2011">
        <v>1.1599999999999999</v>
      </c>
      <c r="K2011">
        <v>44.94</v>
      </c>
      <c r="L2011">
        <v>38.74</v>
      </c>
      <c r="M2011">
        <v>277</v>
      </c>
      <c r="N2011">
        <v>33</v>
      </c>
      <c r="O2011">
        <v>13</v>
      </c>
      <c r="P2011">
        <v>0</v>
      </c>
    </row>
    <row r="2012" spans="1:16" x14ac:dyDescent="0.25">
      <c r="A2012" s="4">
        <v>44138</v>
      </c>
      <c r="B2012" t="s">
        <v>10</v>
      </c>
      <c r="C2012">
        <v>1</v>
      </c>
      <c r="F2012">
        <v>277</v>
      </c>
      <c r="J2012">
        <v>1.2909999999999999</v>
      </c>
      <c r="K2012">
        <v>45.04</v>
      </c>
      <c r="L2012">
        <v>34.880000000000003</v>
      </c>
      <c r="M2012">
        <v>144</v>
      </c>
      <c r="N2012">
        <v>36</v>
      </c>
      <c r="O2012">
        <v>15</v>
      </c>
      <c r="P2012">
        <v>0</v>
      </c>
    </row>
    <row r="2013" spans="1:16" x14ac:dyDescent="0.25">
      <c r="A2013" s="4">
        <v>44138</v>
      </c>
      <c r="B2013" t="s">
        <v>9</v>
      </c>
      <c r="C2013">
        <v>1</v>
      </c>
      <c r="F2013">
        <v>370</v>
      </c>
      <c r="J2013">
        <v>1.1080000000000001</v>
      </c>
      <c r="K2013">
        <v>41.57</v>
      </c>
      <c r="L2013">
        <v>37.51</v>
      </c>
      <c r="M2013">
        <v>262</v>
      </c>
      <c r="N2013">
        <v>38</v>
      </c>
      <c r="O2013">
        <v>3</v>
      </c>
      <c r="P2013">
        <v>2</v>
      </c>
    </row>
    <row r="2014" spans="1:16" x14ac:dyDescent="0.25">
      <c r="A2014" s="4">
        <v>44138</v>
      </c>
      <c r="B2014" t="s">
        <v>10</v>
      </c>
      <c r="C2014" t="s">
        <v>78</v>
      </c>
      <c r="F2014">
        <v>277</v>
      </c>
      <c r="J2014">
        <v>1.2909999999999999</v>
      </c>
      <c r="K2014">
        <v>45.04</v>
      </c>
      <c r="L2014">
        <v>34.880000000000003</v>
      </c>
      <c r="M2014">
        <v>144</v>
      </c>
      <c r="N2014">
        <v>36</v>
      </c>
      <c r="O2014">
        <v>15</v>
      </c>
      <c r="P2014">
        <v>0</v>
      </c>
    </row>
    <row r="2015" spans="1:16" x14ac:dyDescent="0.25">
      <c r="A2015" s="4">
        <v>44138</v>
      </c>
      <c r="B2015" t="s">
        <v>9</v>
      </c>
      <c r="C2015" t="s">
        <v>78</v>
      </c>
      <c r="F2015">
        <v>370</v>
      </c>
      <c r="J2015">
        <v>1.1080000000000001</v>
      </c>
      <c r="K2015">
        <v>41.57</v>
      </c>
      <c r="L2015">
        <v>37.51</v>
      </c>
      <c r="M2015">
        <v>262</v>
      </c>
      <c r="N2015">
        <v>38</v>
      </c>
      <c r="O2015">
        <v>3</v>
      </c>
      <c r="P2015">
        <v>2</v>
      </c>
    </row>
    <row r="2016" spans="1:16" x14ac:dyDescent="0.25">
      <c r="A2016" s="4">
        <v>44139</v>
      </c>
      <c r="B2016" t="s">
        <v>10</v>
      </c>
      <c r="C2016">
        <v>1</v>
      </c>
      <c r="F2016">
        <v>389</v>
      </c>
      <c r="J2016">
        <v>1.262</v>
      </c>
      <c r="K2016">
        <v>43.71</v>
      </c>
      <c r="L2016">
        <v>34.619999999999997</v>
      </c>
      <c r="M2016">
        <v>195</v>
      </c>
      <c r="N2016">
        <v>58</v>
      </c>
      <c r="O2016">
        <v>18</v>
      </c>
      <c r="P2016">
        <v>0</v>
      </c>
    </row>
    <row r="2017" spans="1:16" x14ac:dyDescent="0.25">
      <c r="A2017" s="4">
        <v>44139</v>
      </c>
      <c r="B2017" t="s">
        <v>9</v>
      </c>
      <c r="C2017">
        <v>1</v>
      </c>
      <c r="F2017">
        <v>349</v>
      </c>
      <c r="J2017">
        <v>1.097</v>
      </c>
      <c r="K2017">
        <v>43.09</v>
      </c>
      <c r="L2017">
        <v>39.270000000000003</v>
      </c>
      <c r="M2017">
        <v>227</v>
      </c>
      <c r="N2017">
        <v>23</v>
      </c>
      <c r="O2017">
        <v>18</v>
      </c>
      <c r="P2017">
        <v>1</v>
      </c>
    </row>
    <row r="2018" spans="1:16" x14ac:dyDescent="0.25">
      <c r="A2018" s="4">
        <v>44139</v>
      </c>
      <c r="B2018" t="s">
        <v>10</v>
      </c>
      <c r="C2018" t="s">
        <v>78</v>
      </c>
      <c r="F2018">
        <v>389</v>
      </c>
      <c r="J2018">
        <v>1.262</v>
      </c>
      <c r="K2018">
        <v>43.71</v>
      </c>
      <c r="L2018">
        <v>34.619999999999997</v>
      </c>
      <c r="M2018">
        <v>195</v>
      </c>
      <c r="N2018">
        <v>58</v>
      </c>
      <c r="O2018">
        <v>18</v>
      </c>
      <c r="P2018">
        <v>0</v>
      </c>
    </row>
    <row r="2019" spans="1:16" x14ac:dyDescent="0.25">
      <c r="A2019" s="4">
        <v>44139</v>
      </c>
      <c r="B2019" t="s">
        <v>9</v>
      </c>
      <c r="C2019" t="s">
        <v>78</v>
      </c>
      <c r="F2019">
        <v>349</v>
      </c>
      <c r="J2019">
        <v>1.097</v>
      </c>
      <c r="K2019">
        <v>43.09</v>
      </c>
      <c r="L2019">
        <v>39.270000000000003</v>
      </c>
      <c r="M2019">
        <v>227</v>
      </c>
      <c r="N2019">
        <v>23</v>
      </c>
      <c r="O2019">
        <v>18</v>
      </c>
      <c r="P2019">
        <v>1</v>
      </c>
    </row>
    <row r="2020" spans="1:16" x14ac:dyDescent="0.25">
      <c r="A2020" s="4">
        <v>44140</v>
      </c>
      <c r="B2020" t="s">
        <v>10</v>
      </c>
      <c r="C2020">
        <v>1</v>
      </c>
      <c r="F2020">
        <v>410</v>
      </c>
      <c r="J2020">
        <v>1.2629999999999999</v>
      </c>
      <c r="K2020">
        <v>46.07</v>
      </c>
      <c r="L2020">
        <v>36.479999999999997</v>
      </c>
      <c r="M2020">
        <v>207</v>
      </c>
      <c r="N2020">
        <v>44</v>
      </c>
      <c r="O2020">
        <v>25</v>
      </c>
      <c r="P2020">
        <v>2</v>
      </c>
    </row>
    <row r="2021" spans="1:16" x14ac:dyDescent="0.25">
      <c r="A2021" s="4">
        <v>44140</v>
      </c>
      <c r="B2021" t="s">
        <v>9</v>
      </c>
      <c r="C2021">
        <v>1</v>
      </c>
      <c r="F2021">
        <v>401</v>
      </c>
      <c r="J2021">
        <v>1.155</v>
      </c>
      <c r="K2021">
        <v>45.06</v>
      </c>
      <c r="L2021">
        <v>39.014000000000003</v>
      </c>
      <c r="M2021">
        <v>257</v>
      </c>
      <c r="N2021">
        <v>42</v>
      </c>
      <c r="O2021">
        <v>14</v>
      </c>
      <c r="P2021">
        <v>0</v>
      </c>
    </row>
    <row r="2022" spans="1:16" x14ac:dyDescent="0.25">
      <c r="A2022" s="4">
        <v>44140</v>
      </c>
      <c r="B2022" t="s">
        <v>10</v>
      </c>
      <c r="C2022" t="s">
        <v>78</v>
      </c>
      <c r="F2022">
        <v>410</v>
      </c>
      <c r="J2022">
        <v>1.2629999999999999</v>
      </c>
      <c r="K2022">
        <v>46.07</v>
      </c>
      <c r="L2022">
        <v>36.479999999999997</v>
      </c>
      <c r="M2022">
        <v>207</v>
      </c>
      <c r="N2022">
        <v>44</v>
      </c>
      <c r="O2022">
        <v>25</v>
      </c>
      <c r="P2022">
        <v>2</v>
      </c>
    </row>
    <row r="2023" spans="1:16" x14ac:dyDescent="0.25">
      <c r="A2023" s="4">
        <v>44140</v>
      </c>
      <c r="B2023" t="s">
        <v>9</v>
      </c>
      <c r="C2023" t="s">
        <v>78</v>
      </c>
      <c r="F2023">
        <v>401</v>
      </c>
      <c r="J2023">
        <v>1.155</v>
      </c>
      <c r="K2023">
        <v>45.06</v>
      </c>
      <c r="L2023">
        <v>39.014000000000003</v>
      </c>
      <c r="M2023">
        <v>257</v>
      </c>
      <c r="N2023">
        <v>42</v>
      </c>
      <c r="O2023">
        <v>14</v>
      </c>
      <c r="P2023">
        <v>0</v>
      </c>
    </row>
    <row r="2024" spans="1:16" x14ac:dyDescent="0.25">
      <c r="A2024" s="4">
        <v>44141</v>
      </c>
      <c r="B2024" t="s">
        <v>10</v>
      </c>
      <c r="C2024">
        <v>1</v>
      </c>
      <c r="F2024">
        <v>402</v>
      </c>
      <c r="J2024">
        <v>1.2729999999999999</v>
      </c>
      <c r="K2024">
        <v>45.17</v>
      </c>
      <c r="L2024">
        <v>35.479999999999997</v>
      </c>
      <c r="M2024">
        <v>235</v>
      </c>
      <c r="N2024">
        <v>42</v>
      </c>
      <c r="O2024">
        <v>15</v>
      </c>
      <c r="P2024">
        <v>2</v>
      </c>
    </row>
    <row r="2025" spans="1:16" x14ac:dyDescent="0.25">
      <c r="A2025" s="4">
        <v>44141</v>
      </c>
      <c r="B2025" t="s">
        <v>9</v>
      </c>
      <c r="C2025">
        <v>1</v>
      </c>
      <c r="F2025">
        <v>394</v>
      </c>
      <c r="J2025">
        <v>1.1299999999999999</v>
      </c>
      <c r="K2025">
        <v>44.27</v>
      </c>
      <c r="L2025">
        <v>39.19</v>
      </c>
      <c r="M2025">
        <v>254</v>
      </c>
      <c r="N2025">
        <v>38</v>
      </c>
      <c r="O2025">
        <v>13</v>
      </c>
      <c r="P2025">
        <v>1</v>
      </c>
    </row>
    <row r="2026" spans="1:16" x14ac:dyDescent="0.25">
      <c r="A2026" s="4">
        <v>44141</v>
      </c>
      <c r="B2026" t="s">
        <v>10</v>
      </c>
      <c r="C2026" t="s">
        <v>78</v>
      </c>
      <c r="F2026">
        <v>402</v>
      </c>
      <c r="J2026">
        <v>1.2729999999999999</v>
      </c>
      <c r="K2026">
        <v>45.17</v>
      </c>
      <c r="L2026">
        <v>35.479999999999997</v>
      </c>
      <c r="M2026">
        <v>235</v>
      </c>
      <c r="N2026">
        <v>42</v>
      </c>
      <c r="O2026">
        <v>15</v>
      </c>
      <c r="P2026">
        <v>2</v>
      </c>
    </row>
    <row r="2027" spans="1:16" x14ac:dyDescent="0.25">
      <c r="A2027" s="4">
        <v>44141</v>
      </c>
      <c r="B2027" t="s">
        <v>9</v>
      </c>
      <c r="C2027" t="s">
        <v>78</v>
      </c>
      <c r="F2027">
        <v>394</v>
      </c>
      <c r="J2027">
        <v>1.1299999999999999</v>
      </c>
      <c r="K2027">
        <v>44.27</v>
      </c>
      <c r="L2027">
        <v>39.19</v>
      </c>
      <c r="M2027">
        <v>254</v>
      </c>
      <c r="N2027">
        <v>38</v>
      </c>
      <c r="O2027">
        <v>13</v>
      </c>
      <c r="P2027">
        <v>1</v>
      </c>
    </row>
    <row r="2028" spans="1:16" x14ac:dyDescent="0.25">
      <c r="A2028" s="4">
        <v>44142</v>
      </c>
      <c r="B2028" t="s">
        <v>10</v>
      </c>
      <c r="C2028">
        <v>1</v>
      </c>
      <c r="F2028">
        <v>268</v>
      </c>
      <c r="J2028">
        <v>1.3740000000000001</v>
      </c>
      <c r="K2028">
        <v>48.73</v>
      </c>
      <c r="L2028">
        <v>35.47</v>
      </c>
      <c r="M2028">
        <v>151</v>
      </c>
      <c r="N2028">
        <v>27</v>
      </c>
      <c r="O2028">
        <v>16</v>
      </c>
      <c r="P2028">
        <v>1</v>
      </c>
    </row>
    <row r="2029" spans="1:16" x14ac:dyDescent="0.25">
      <c r="A2029" s="4">
        <v>44142</v>
      </c>
      <c r="B2029" t="s">
        <v>9</v>
      </c>
      <c r="C2029">
        <v>1</v>
      </c>
      <c r="F2029">
        <v>240</v>
      </c>
      <c r="J2029">
        <v>1.1599999999999999</v>
      </c>
      <c r="K2029">
        <v>43.64</v>
      </c>
      <c r="L2029">
        <v>37.619999999999997</v>
      </c>
      <c r="M2029">
        <v>170</v>
      </c>
      <c r="N2029">
        <v>26</v>
      </c>
      <c r="O2029">
        <v>2</v>
      </c>
      <c r="P2029">
        <v>0</v>
      </c>
    </row>
    <row r="2030" spans="1:16" x14ac:dyDescent="0.25">
      <c r="A2030" s="4">
        <v>44142</v>
      </c>
      <c r="B2030" t="s">
        <v>10</v>
      </c>
      <c r="C2030" t="s">
        <v>78</v>
      </c>
      <c r="F2030">
        <v>268</v>
      </c>
      <c r="J2030">
        <v>1.3740000000000001</v>
      </c>
      <c r="K2030">
        <v>48.73</v>
      </c>
      <c r="L2030">
        <v>35.47</v>
      </c>
      <c r="M2030">
        <v>151</v>
      </c>
      <c r="N2030">
        <v>27</v>
      </c>
      <c r="O2030">
        <v>16</v>
      </c>
      <c r="P2030">
        <v>1</v>
      </c>
    </row>
    <row r="2031" spans="1:16" x14ac:dyDescent="0.25">
      <c r="A2031" s="4">
        <v>44142</v>
      </c>
      <c r="B2031" t="s">
        <v>9</v>
      </c>
      <c r="C2031" t="s">
        <v>78</v>
      </c>
      <c r="F2031">
        <v>240</v>
      </c>
      <c r="J2031">
        <v>1.1599999999999999</v>
      </c>
      <c r="K2031">
        <v>43.64</v>
      </c>
      <c r="L2031">
        <v>37.619999999999997</v>
      </c>
      <c r="M2031">
        <v>170</v>
      </c>
      <c r="N2031">
        <v>26</v>
      </c>
      <c r="O2031">
        <v>2</v>
      </c>
      <c r="P2031">
        <v>0</v>
      </c>
    </row>
    <row r="2032" spans="1:16" x14ac:dyDescent="0.25">
      <c r="A2032" s="4">
        <v>44144</v>
      </c>
      <c r="B2032" t="s">
        <v>10</v>
      </c>
      <c r="C2032">
        <v>1</v>
      </c>
      <c r="F2032">
        <v>411</v>
      </c>
      <c r="J2032">
        <v>1.325</v>
      </c>
      <c r="K2032">
        <v>46.18</v>
      </c>
      <c r="L2032">
        <v>34.86</v>
      </c>
      <c r="M2032">
        <v>229</v>
      </c>
      <c r="N2032">
        <v>52</v>
      </c>
      <c r="O2032">
        <v>17</v>
      </c>
      <c r="P2032">
        <v>0</v>
      </c>
    </row>
    <row r="2033" spans="1:16" x14ac:dyDescent="0.25">
      <c r="A2033" s="4">
        <v>44144</v>
      </c>
      <c r="B2033" t="s">
        <v>9</v>
      </c>
      <c r="C2033">
        <v>1</v>
      </c>
      <c r="F2033">
        <v>432</v>
      </c>
      <c r="J2033">
        <v>1.1910000000000001</v>
      </c>
      <c r="K2033">
        <v>48.54</v>
      </c>
      <c r="L2033">
        <v>40.76</v>
      </c>
      <c r="M2033">
        <v>261</v>
      </c>
      <c r="N2033">
        <v>56</v>
      </c>
      <c r="O2033">
        <v>10</v>
      </c>
      <c r="P2033">
        <v>1</v>
      </c>
    </row>
    <row r="2034" spans="1:16" x14ac:dyDescent="0.25">
      <c r="A2034" s="4">
        <v>44144</v>
      </c>
      <c r="B2034" t="s">
        <v>10</v>
      </c>
      <c r="C2034" t="s">
        <v>78</v>
      </c>
      <c r="F2034">
        <v>411</v>
      </c>
      <c r="J2034">
        <v>1.325</v>
      </c>
      <c r="K2034">
        <v>46.18</v>
      </c>
      <c r="L2034">
        <v>34.86</v>
      </c>
      <c r="M2034">
        <v>229</v>
      </c>
      <c r="N2034">
        <v>52</v>
      </c>
      <c r="O2034">
        <v>17</v>
      </c>
      <c r="P2034">
        <v>0</v>
      </c>
    </row>
    <row r="2035" spans="1:16" x14ac:dyDescent="0.25">
      <c r="A2035" s="4">
        <v>44144</v>
      </c>
      <c r="B2035" t="s">
        <v>9</v>
      </c>
      <c r="C2035" t="s">
        <v>78</v>
      </c>
      <c r="F2035">
        <v>432</v>
      </c>
      <c r="J2035">
        <v>1.1910000000000001</v>
      </c>
      <c r="K2035">
        <v>48.54</v>
      </c>
      <c r="L2035">
        <v>40.76</v>
      </c>
      <c r="M2035">
        <v>261</v>
      </c>
      <c r="N2035">
        <v>56</v>
      </c>
      <c r="O2035">
        <v>10</v>
      </c>
      <c r="P2035">
        <v>1</v>
      </c>
    </row>
    <row r="2036" spans="1:16" x14ac:dyDescent="0.25">
      <c r="A2036" s="4">
        <v>44145</v>
      </c>
      <c r="B2036" t="s">
        <v>10</v>
      </c>
      <c r="C2036">
        <v>1</v>
      </c>
      <c r="F2036">
        <v>433</v>
      </c>
      <c r="J2036">
        <v>1.4139999999999999</v>
      </c>
      <c r="K2036">
        <v>48.65</v>
      </c>
      <c r="L2036">
        <v>34.42</v>
      </c>
      <c r="M2036">
        <v>279</v>
      </c>
      <c r="N2036">
        <v>44</v>
      </c>
      <c r="O2036">
        <v>11</v>
      </c>
      <c r="P2036">
        <v>2</v>
      </c>
    </row>
    <row r="2037" spans="1:16" x14ac:dyDescent="0.25">
      <c r="A2037" s="4">
        <v>44145</v>
      </c>
      <c r="B2037" t="s">
        <v>9</v>
      </c>
      <c r="C2037">
        <v>1</v>
      </c>
      <c r="F2037">
        <v>400</v>
      </c>
      <c r="J2037">
        <v>1.1240000000000001</v>
      </c>
      <c r="K2037">
        <v>44.94</v>
      </c>
      <c r="L2037">
        <v>39.979999999999997</v>
      </c>
      <c r="M2037">
        <v>250</v>
      </c>
      <c r="N2037">
        <v>37</v>
      </c>
      <c r="O2037">
        <v>11</v>
      </c>
      <c r="P2037">
        <v>3</v>
      </c>
    </row>
    <row r="2038" spans="1:16" x14ac:dyDescent="0.25">
      <c r="A2038" s="4">
        <v>44145</v>
      </c>
      <c r="B2038" t="s">
        <v>10</v>
      </c>
      <c r="C2038" t="s">
        <v>78</v>
      </c>
      <c r="F2038">
        <v>433</v>
      </c>
      <c r="J2038">
        <v>1.4139999999999999</v>
      </c>
      <c r="K2038">
        <v>48.65</v>
      </c>
      <c r="L2038">
        <v>34.42</v>
      </c>
      <c r="M2038">
        <v>279</v>
      </c>
      <c r="N2038">
        <v>44</v>
      </c>
      <c r="O2038">
        <v>11</v>
      </c>
      <c r="P2038">
        <v>2</v>
      </c>
    </row>
    <row r="2039" spans="1:16" x14ac:dyDescent="0.25">
      <c r="A2039" s="4">
        <v>44145</v>
      </c>
      <c r="B2039" t="s">
        <v>9</v>
      </c>
      <c r="C2039" t="s">
        <v>78</v>
      </c>
      <c r="F2039">
        <v>400</v>
      </c>
      <c r="J2039">
        <v>1.1240000000000001</v>
      </c>
      <c r="K2039">
        <v>44.94</v>
      </c>
      <c r="L2039">
        <v>39.979999999999997</v>
      </c>
      <c r="M2039">
        <v>250</v>
      </c>
      <c r="N2039">
        <v>37</v>
      </c>
      <c r="O2039">
        <v>11</v>
      </c>
      <c r="P2039">
        <v>3</v>
      </c>
    </row>
    <row r="2040" spans="1:16" x14ac:dyDescent="0.25">
      <c r="A2040" s="4">
        <v>44146</v>
      </c>
      <c r="B2040" t="s">
        <v>10</v>
      </c>
      <c r="C2040">
        <v>1</v>
      </c>
      <c r="F2040">
        <v>401</v>
      </c>
      <c r="J2040">
        <v>1.2809999999999999</v>
      </c>
      <c r="K2040">
        <v>45.06</v>
      </c>
      <c r="L2040">
        <v>35.17</v>
      </c>
      <c r="M2040">
        <v>235</v>
      </c>
      <c r="N2040">
        <v>45</v>
      </c>
      <c r="O2040">
        <v>19</v>
      </c>
      <c r="P2040">
        <v>0</v>
      </c>
    </row>
    <row r="2041" spans="1:16" x14ac:dyDescent="0.25">
      <c r="A2041" s="4">
        <v>44146</v>
      </c>
      <c r="B2041" t="s">
        <v>9</v>
      </c>
      <c r="C2041">
        <v>1</v>
      </c>
      <c r="F2041">
        <v>400</v>
      </c>
      <c r="J2041">
        <v>1.0880000000000001</v>
      </c>
      <c r="K2041">
        <v>44.94</v>
      </c>
      <c r="L2041">
        <v>41.29</v>
      </c>
      <c r="M2041">
        <v>235</v>
      </c>
      <c r="N2041">
        <v>40</v>
      </c>
      <c r="O2041">
        <v>21</v>
      </c>
      <c r="P2041">
        <v>1</v>
      </c>
    </row>
    <row r="2042" spans="1:16" x14ac:dyDescent="0.25">
      <c r="A2042" s="4">
        <v>44146</v>
      </c>
      <c r="B2042" t="s">
        <v>10</v>
      </c>
      <c r="C2042" t="s">
        <v>78</v>
      </c>
      <c r="F2042">
        <v>401</v>
      </c>
      <c r="J2042">
        <v>1.2809999999999999</v>
      </c>
      <c r="K2042">
        <v>45.06</v>
      </c>
      <c r="L2042">
        <v>35.17</v>
      </c>
      <c r="M2042">
        <v>235</v>
      </c>
      <c r="N2042">
        <v>45</v>
      </c>
      <c r="O2042">
        <v>19</v>
      </c>
      <c r="P2042">
        <v>0</v>
      </c>
    </row>
    <row r="2043" spans="1:16" x14ac:dyDescent="0.25">
      <c r="A2043" s="4">
        <v>44146</v>
      </c>
      <c r="B2043" t="s">
        <v>9</v>
      </c>
      <c r="C2043" t="s">
        <v>78</v>
      </c>
      <c r="F2043">
        <v>400</v>
      </c>
      <c r="J2043">
        <v>1.0880000000000001</v>
      </c>
      <c r="K2043">
        <v>44.94</v>
      </c>
      <c r="L2043">
        <v>41.29</v>
      </c>
      <c r="M2043">
        <v>235</v>
      </c>
      <c r="N2043">
        <v>40</v>
      </c>
      <c r="O2043">
        <v>21</v>
      </c>
      <c r="P2043">
        <v>1</v>
      </c>
    </row>
    <row r="2044" spans="1:16" x14ac:dyDescent="0.25">
      <c r="A2044" s="4">
        <v>44147</v>
      </c>
      <c r="B2044" t="s">
        <v>10</v>
      </c>
      <c r="C2044">
        <v>1</v>
      </c>
      <c r="F2044">
        <v>385</v>
      </c>
      <c r="J2044">
        <v>1.33</v>
      </c>
      <c r="K2044">
        <v>44.77</v>
      </c>
      <c r="L2044">
        <v>33.67</v>
      </c>
      <c r="M2044">
        <v>254</v>
      </c>
      <c r="N2044">
        <v>34</v>
      </c>
      <c r="O2044">
        <v>16</v>
      </c>
      <c r="P2044">
        <v>0</v>
      </c>
    </row>
    <row r="2045" spans="1:16" x14ac:dyDescent="0.25">
      <c r="A2045" s="4">
        <v>44147</v>
      </c>
      <c r="B2045" t="s">
        <v>9</v>
      </c>
      <c r="C2045">
        <v>1</v>
      </c>
      <c r="F2045">
        <v>391</v>
      </c>
      <c r="J2045">
        <v>1.1180000000000001</v>
      </c>
      <c r="K2045">
        <v>45.47</v>
      </c>
      <c r="L2045">
        <v>40.67</v>
      </c>
      <c r="M2045">
        <v>217</v>
      </c>
      <c r="N2045">
        <v>44</v>
      </c>
      <c r="O2045">
        <v>21</v>
      </c>
      <c r="P2045">
        <v>0</v>
      </c>
    </row>
    <row r="2046" spans="1:16" x14ac:dyDescent="0.25">
      <c r="A2046" s="4">
        <v>44147</v>
      </c>
      <c r="B2046" t="s">
        <v>10</v>
      </c>
      <c r="C2046" t="s">
        <v>78</v>
      </c>
      <c r="F2046">
        <v>385</v>
      </c>
      <c r="J2046">
        <v>1.33</v>
      </c>
      <c r="K2046">
        <v>44.77</v>
      </c>
      <c r="L2046">
        <v>33.67</v>
      </c>
      <c r="M2046">
        <v>254</v>
      </c>
      <c r="N2046">
        <v>34</v>
      </c>
      <c r="O2046">
        <v>16</v>
      </c>
      <c r="P2046">
        <v>0</v>
      </c>
    </row>
    <row r="2047" spans="1:16" x14ac:dyDescent="0.25">
      <c r="A2047" s="4">
        <v>44147</v>
      </c>
      <c r="B2047" t="s">
        <v>9</v>
      </c>
      <c r="C2047" t="s">
        <v>78</v>
      </c>
      <c r="F2047">
        <v>391</v>
      </c>
      <c r="J2047">
        <v>1.1180000000000001</v>
      </c>
      <c r="K2047">
        <v>45.47</v>
      </c>
      <c r="L2047">
        <v>40.67</v>
      </c>
      <c r="M2047">
        <v>217</v>
      </c>
      <c r="N2047">
        <v>44</v>
      </c>
      <c r="O2047">
        <v>21</v>
      </c>
      <c r="P2047">
        <v>0</v>
      </c>
    </row>
    <row r="2048" spans="1:16" x14ac:dyDescent="0.25">
      <c r="A2048" s="4">
        <v>44148</v>
      </c>
      <c r="B2048" t="s">
        <v>10</v>
      </c>
      <c r="C2048">
        <v>1</v>
      </c>
      <c r="F2048">
        <v>358</v>
      </c>
      <c r="J2048">
        <v>1.1419999999999999</v>
      </c>
      <c r="K2048">
        <v>40.22</v>
      </c>
      <c r="L2048">
        <v>35.21</v>
      </c>
      <c r="M2048">
        <v>213</v>
      </c>
      <c r="N2048">
        <v>47</v>
      </c>
      <c r="O2048">
        <v>12</v>
      </c>
      <c r="P2048">
        <v>0</v>
      </c>
    </row>
    <row r="2049" spans="1:16" x14ac:dyDescent="0.25">
      <c r="A2049" s="4">
        <v>44148</v>
      </c>
      <c r="B2049" t="s">
        <v>9</v>
      </c>
      <c r="C2049">
        <v>1</v>
      </c>
      <c r="F2049">
        <v>386</v>
      </c>
      <c r="J2049">
        <v>1.093</v>
      </c>
      <c r="K2049">
        <v>43.37</v>
      </c>
      <c r="L2049">
        <v>39.69</v>
      </c>
      <c r="M2049">
        <v>248</v>
      </c>
      <c r="N2049">
        <v>41</v>
      </c>
      <c r="O2049">
        <v>15</v>
      </c>
      <c r="P2049">
        <v>0</v>
      </c>
    </row>
    <row r="2050" spans="1:16" x14ac:dyDescent="0.25">
      <c r="A2050" s="4">
        <v>44148</v>
      </c>
      <c r="B2050" t="s">
        <v>10</v>
      </c>
      <c r="C2050" t="s">
        <v>78</v>
      </c>
      <c r="F2050">
        <v>358</v>
      </c>
      <c r="J2050">
        <v>1.1419999999999999</v>
      </c>
      <c r="K2050">
        <v>40.22</v>
      </c>
      <c r="L2050">
        <v>35.21</v>
      </c>
      <c r="M2050">
        <v>213</v>
      </c>
      <c r="N2050">
        <v>47</v>
      </c>
      <c r="O2050">
        <v>12</v>
      </c>
      <c r="P2050">
        <v>0</v>
      </c>
    </row>
    <row r="2051" spans="1:16" x14ac:dyDescent="0.25">
      <c r="A2051" s="4">
        <v>44148</v>
      </c>
      <c r="B2051" t="s">
        <v>9</v>
      </c>
      <c r="C2051" t="s">
        <v>78</v>
      </c>
      <c r="F2051">
        <v>386</v>
      </c>
      <c r="J2051">
        <v>1.093</v>
      </c>
      <c r="K2051">
        <v>43.37</v>
      </c>
      <c r="L2051">
        <v>39.69</v>
      </c>
      <c r="M2051">
        <v>248</v>
      </c>
      <c r="N2051">
        <v>41</v>
      </c>
      <c r="O2051">
        <v>15</v>
      </c>
      <c r="P2051">
        <v>0</v>
      </c>
    </row>
    <row r="2052" spans="1:16" x14ac:dyDescent="0.25">
      <c r="A2052" s="4">
        <v>44151</v>
      </c>
      <c r="B2052" t="s">
        <v>10</v>
      </c>
      <c r="C2052">
        <v>1</v>
      </c>
      <c r="F2052">
        <v>391</v>
      </c>
      <c r="J2052">
        <v>1.33</v>
      </c>
      <c r="K2052">
        <v>44.77</v>
      </c>
      <c r="L2052">
        <v>33.67</v>
      </c>
      <c r="M2052">
        <v>254</v>
      </c>
      <c r="N2052">
        <v>34</v>
      </c>
      <c r="O2052">
        <v>16</v>
      </c>
      <c r="P2052">
        <v>0</v>
      </c>
    </row>
    <row r="2053" spans="1:16" x14ac:dyDescent="0.25">
      <c r="A2053" s="4">
        <v>44151</v>
      </c>
      <c r="B2053" t="s">
        <v>9</v>
      </c>
      <c r="C2053">
        <v>1</v>
      </c>
      <c r="F2053">
        <v>397</v>
      </c>
      <c r="J2053">
        <v>1.1180000000000001</v>
      </c>
      <c r="K2053">
        <v>45.47</v>
      </c>
      <c r="L2053">
        <v>40.67</v>
      </c>
      <c r="M2053">
        <v>217</v>
      </c>
      <c r="N2053">
        <v>44</v>
      </c>
      <c r="O2053">
        <v>21</v>
      </c>
      <c r="P2053">
        <v>0</v>
      </c>
    </row>
    <row r="2054" spans="1:16" x14ac:dyDescent="0.25">
      <c r="A2054" s="4">
        <v>44151</v>
      </c>
      <c r="B2054" t="s">
        <v>10</v>
      </c>
      <c r="C2054" t="s">
        <v>78</v>
      </c>
      <c r="F2054">
        <v>391</v>
      </c>
      <c r="J2054">
        <v>1.33</v>
      </c>
      <c r="K2054">
        <v>44.77</v>
      </c>
      <c r="L2054">
        <v>33.67</v>
      </c>
      <c r="M2054">
        <v>254</v>
      </c>
      <c r="N2054">
        <v>34</v>
      </c>
      <c r="O2054">
        <v>16</v>
      </c>
      <c r="P2054">
        <v>0</v>
      </c>
    </row>
    <row r="2055" spans="1:16" x14ac:dyDescent="0.25">
      <c r="A2055" s="4">
        <v>44151</v>
      </c>
      <c r="B2055" t="s">
        <v>9</v>
      </c>
      <c r="C2055" t="s">
        <v>78</v>
      </c>
      <c r="F2055">
        <v>397</v>
      </c>
      <c r="J2055">
        <v>1.1180000000000001</v>
      </c>
      <c r="K2055">
        <v>45.47</v>
      </c>
      <c r="L2055">
        <v>40.67</v>
      </c>
      <c r="M2055">
        <v>217</v>
      </c>
      <c r="N2055">
        <v>44</v>
      </c>
      <c r="O2055">
        <v>21</v>
      </c>
      <c r="P2055">
        <v>0</v>
      </c>
    </row>
    <row r="2056" spans="1:16" x14ac:dyDescent="0.25">
      <c r="A2056" s="4">
        <v>44152</v>
      </c>
      <c r="B2056" t="s">
        <v>10</v>
      </c>
      <c r="C2056">
        <v>1</v>
      </c>
      <c r="F2056">
        <v>371</v>
      </c>
      <c r="J2056">
        <v>1.3180000000000001</v>
      </c>
      <c r="K2056">
        <v>44.7</v>
      </c>
      <c r="L2056">
        <v>33.93</v>
      </c>
      <c r="M2056">
        <v>235</v>
      </c>
      <c r="N2056">
        <v>37</v>
      </c>
      <c r="O2056">
        <v>12</v>
      </c>
      <c r="P2056">
        <v>2</v>
      </c>
    </row>
    <row r="2057" spans="1:16" x14ac:dyDescent="0.25">
      <c r="A2057" s="4">
        <v>44152</v>
      </c>
      <c r="B2057" t="s">
        <v>9</v>
      </c>
      <c r="C2057">
        <v>1</v>
      </c>
      <c r="F2057">
        <v>361</v>
      </c>
      <c r="J2057">
        <v>1.163</v>
      </c>
      <c r="K2057">
        <v>45.7</v>
      </c>
      <c r="L2057">
        <v>39.270000000000003</v>
      </c>
      <c r="M2057">
        <v>237</v>
      </c>
      <c r="N2057">
        <v>35</v>
      </c>
      <c r="O2057">
        <v>11</v>
      </c>
      <c r="P2057">
        <v>1</v>
      </c>
    </row>
    <row r="2058" spans="1:16" x14ac:dyDescent="0.25">
      <c r="A2058" s="4">
        <v>44152</v>
      </c>
      <c r="B2058" t="s">
        <v>10</v>
      </c>
      <c r="C2058" t="s">
        <v>78</v>
      </c>
      <c r="F2058">
        <v>371</v>
      </c>
      <c r="J2058">
        <v>1.3180000000000001</v>
      </c>
      <c r="K2058">
        <v>44.7</v>
      </c>
      <c r="L2058">
        <v>33.93</v>
      </c>
      <c r="M2058">
        <v>235</v>
      </c>
      <c r="N2058">
        <v>37</v>
      </c>
      <c r="O2058">
        <v>12</v>
      </c>
      <c r="P2058">
        <v>2</v>
      </c>
    </row>
    <row r="2059" spans="1:16" x14ac:dyDescent="0.25">
      <c r="A2059" s="4">
        <v>44152</v>
      </c>
      <c r="B2059" t="s">
        <v>9</v>
      </c>
      <c r="C2059" t="s">
        <v>78</v>
      </c>
      <c r="F2059">
        <v>361</v>
      </c>
      <c r="J2059">
        <v>1.163</v>
      </c>
      <c r="K2059">
        <v>45.7</v>
      </c>
      <c r="L2059">
        <v>39.270000000000003</v>
      </c>
      <c r="M2059">
        <v>237</v>
      </c>
      <c r="N2059">
        <v>35</v>
      </c>
      <c r="O2059">
        <v>11</v>
      </c>
      <c r="P2059">
        <v>1</v>
      </c>
    </row>
    <row r="2060" spans="1:16" x14ac:dyDescent="0.25">
      <c r="A2060" s="4">
        <v>44153</v>
      </c>
      <c r="B2060" t="s">
        <v>10</v>
      </c>
      <c r="C2060">
        <v>1</v>
      </c>
      <c r="F2060">
        <v>354</v>
      </c>
      <c r="J2060">
        <v>1.2390000000000001</v>
      </c>
      <c r="K2060">
        <v>42.14</v>
      </c>
      <c r="L2060">
        <v>34.01</v>
      </c>
      <c r="M2060">
        <v>241</v>
      </c>
      <c r="N2060">
        <v>30</v>
      </c>
      <c r="O2060">
        <v>9</v>
      </c>
      <c r="P2060">
        <v>2</v>
      </c>
    </row>
    <row r="2061" spans="1:16" x14ac:dyDescent="0.25">
      <c r="A2061" s="4">
        <v>44153</v>
      </c>
      <c r="B2061" t="s">
        <v>9</v>
      </c>
      <c r="C2061">
        <v>1</v>
      </c>
      <c r="F2061">
        <v>375</v>
      </c>
      <c r="J2061">
        <v>1.109</v>
      </c>
      <c r="K2061">
        <v>42.13</v>
      </c>
      <c r="L2061">
        <v>37.99</v>
      </c>
      <c r="M2061">
        <v>264</v>
      </c>
      <c r="N2061">
        <v>35</v>
      </c>
      <c r="O2061">
        <v>7</v>
      </c>
      <c r="P2061">
        <v>1</v>
      </c>
    </row>
    <row r="2062" spans="1:16" x14ac:dyDescent="0.25">
      <c r="A2062" s="4">
        <v>44153</v>
      </c>
      <c r="B2062" t="s">
        <v>10</v>
      </c>
      <c r="C2062" t="s">
        <v>78</v>
      </c>
      <c r="F2062">
        <v>354</v>
      </c>
      <c r="J2062">
        <v>1.2390000000000001</v>
      </c>
      <c r="K2062">
        <v>42.14</v>
      </c>
      <c r="L2062">
        <v>34.01</v>
      </c>
      <c r="M2062">
        <v>241</v>
      </c>
      <c r="N2062">
        <v>30</v>
      </c>
      <c r="O2062">
        <v>9</v>
      </c>
      <c r="P2062">
        <v>2</v>
      </c>
    </row>
    <row r="2063" spans="1:16" x14ac:dyDescent="0.25">
      <c r="A2063" s="4">
        <v>44153</v>
      </c>
      <c r="B2063" t="s">
        <v>9</v>
      </c>
      <c r="C2063" t="s">
        <v>78</v>
      </c>
      <c r="F2063">
        <v>375</v>
      </c>
      <c r="J2063">
        <v>1.109</v>
      </c>
      <c r="K2063">
        <v>42.13</v>
      </c>
      <c r="L2063">
        <v>37.99</v>
      </c>
      <c r="M2063">
        <v>264</v>
      </c>
      <c r="N2063">
        <v>35</v>
      </c>
      <c r="O2063">
        <v>7</v>
      </c>
      <c r="P2063">
        <v>1</v>
      </c>
    </row>
    <row r="2064" spans="1:16" x14ac:dyDescent="0.25">
      <c r="A2064" s="4">
        <v>44154</v>
      </c>
      <c r="B2064" t="s">
        <v>10</v>
      </c>
      <c r="C2064">
        <v>1</v>
      </c>
      <c r="F2064">
        <v>412</v>
      </c>
      <c r="J2064">
        <v>1.23</v>
      </c>
      <c r="K2064">
        <v>46.29</v>
      </c>
      <c r="L2064">
        <v>37.619999999999997</v>
      </c>
      <c r="M2064">
        <v>202</v>
      </c>
      <c r="N2064">
        <v>51</v>
      </c>
      <c r="O2064">
        <v>28</v>
      </c>
      <c r="P2064">
        <v>0</v>
      </c>
    </row>
    <row r="2065" spans="1:16" x14ac:dyDescent="0.25">
      <c r="A2065" s="4">
        <v>44154</v>
      </c>
      <c r="B2065" t="s">
        <v>9</v>
      </c>
      <c r="C2065">
        <v>1</v>
      </c>
      <c r="F2065">
        <v>410</v>
      </c>
      <c r="J2065">
        <v>1.1499999999999999</v>
      </c>
      <c r="K2065">
        <v>46.07</v>
      </c>
      <c r="L2065">
        <v>40.06</v>
      </c>
      <c r="M2065">
        <v>245</v>
      </c>
      <c r="N2065">
        <v>42</v>
      </c>
      <c r="O2065">
        <v>17</v>
      </c>
      <c r="P2065">
        <v>3</v>
      </c>
    </row>
    <row r="2066" spans="1:16" x14ac:dyDescent="0.25">
      <c r="A2066" s="4">
        <v>44154</v>
      </c>
      <c r="B2066" t="s">
        <v>10</v>
      </c>
      <c r="C2066" t="s">
        <v>78</v>
      </c>
      <c r="F2066">
        <v>412</v>
      </c>
      <c r="J2066">
        <v>1.23</v>
      </c>
      <c r="K2066">
        <v>46.29</v>
      </c>
      <c r="L2066">
        <v>37.619999999999997</v>
      </c>
      <c r="M2066">
        <v>202</v>
      </c>
      <c r="N2066">
        <v>51</v>
      </c>
      <c r="O2066">
        <v>28</v>
      </c>
      <c r="P2066">
        <v>0</v>
      </c>
    </row>
    <row r="2067" spans="1:16" x14ac:dyDescent="0.25">
      <c r="A2067" s="4">
        <v>44154</v>
      </c>
      <c r="B2067" t="s">
        <v>9</v>
      </c>
      <c r="C2067" t="s">
        <v>78</v>
      </c>
      <c r="F2067">
        <v>410</v>
      </c>
      <c r="J2067">
        <v>1.1499999999999999</v>
      </c>
      <c r="K2067">
        <v>46.07</v>
      </c>
      <c r="L2067">
        <v>40.06</v>
      </c>
      <c r="M2067">
        <v>245</v>
      </c>
      <c r="N2067">
        <v>42</v>
      </c>
      <c r="O2067">
        <v>17</v>
      </c>
      <c r="P2067">
        <v>3</v>
      </c>
    </row>
    <row r="2068" spans="1:16" x14ac:dyDescent="0.25">
      <c r="A2068" s="4">
        <v>44155</v>
      </c>
      <c r="B2068" t="s">
        <v>10</v>
      </c>
      <c r="C2068">
        <v>1</v>
      </c>
      <c r="F2068">
        <v>293</v>
      </c>
      <c r="J2068">
        <v>1.171</v>
      </c>
      <c r="K2068">
        <v>40.69</v>
      </c>
      <c r="L2068">
        <v>34.75</v>
      </c>
      <c r="M2068">
        <v>187</v>
      </c>
      <c r="N2068">
        <v>30</v>
      </c>
      <c r="O2068">
        <v>11</v>
      </c>
      <c r="P2068">
        <v>0</v>
      </c>
    </row>
    <row r="2069" spans="1:16" x14ac:dyDescent="0.25">
      <c r="A2069" s="4">
        <v>44155</v>
      </c>
      <c r="B2069" t="s">
        <v>9</v>
      </c>
      <c r="C2069">
        <v>1</v>
      </c>
      <c r="F2069">
        <v>320</v>
      </c>
      <c r="J2069">
        <v>1.145</v>
      </c>
      <c r="K2069">
        <v>44.44</v>
      </c>
      <c r="L2069">
        <v>38.81</v>
      </c>
      <c r="M2069">
        <v>216</v>
      </c>
      <c r="N2069">
        <v>25</v>
      </c>
      <c r="O2069">
        <v>11</v>
      </c>
      <c r="P2069">
        <v>1</v>
      </c>
    </row>
    <row r="2070" spans="1:16" x14ac:dyDescent="0.25">
      <c r="A2070" s="4">
        <v>44155</v>
      </c>
      <c r="B2070" t="s">
        <v>10</v>
      </c>
      <c r="C2070" t="s">
        <v>78</v>
      </c>
      <c r="F2070">
        <v>293</v>
      </c>
      <c r="J2070">
        <v>1.171</v>
      </c>
      <c r="K2070">
        <v>40.69</v>
      </c>
      <c r="L2070">
        <v>34.75</v>
      </c>
      <c r="M2070">
        <v>187</v>
      </c>
      <c r="N2070">
        <v>30</v>
      </c>
      <c r="O2070">
        <v>11</v>
      </c>
      <c r="P2070">
        <v>0</v>
      </c>
    </row>
    <row r="2071" spans="1:16" x14ac:dyDescent="0.25">
      <c r="A2071" s="4">
        <v>44155</v>
      </c>
      <c r="B2071" t="s">
        <v>9</v>
      </c>
      <c r="C2071" t="s">
        <v>78</v>
      </c>
      <c r="F2071">
        <v>320</v>
      </c>
      <c r="J2071">
        <v>1.145</v>
      </c>
      <c r="K2071">
        <v>44.44</v>
      </c>
      <c r="L2071">
        <v>38.81</v>
      </c>
      <c r="M2071">
        <v>216</v>
      </c>
      <c r="N2071">
        <v>25</v>
      </c>
      <c r="O2071">
        <v>11</v>
      </c>
      <c r="P2071">
        <v>1</v>
      </c>
    </row>
    <row r="2072" spans="1:16" x14ac:dyDescent="0.25">
      <c r="A2072" s="4">
        <v>44156</v>
      </c>
      <c r="B2072" t="s">
        <v>10</v>
      </c>
      <c r="C2072">
        <v>1</v>
      </c>
      <c r="F2072">
        <v>263</v>
      </c>
      <c r="J2072">
        <v>1.234</v>
      </c>
      <c r="K2072">
        <v>47.82</v>
      </c>
      <c r="L2072">
        <v>38.76</v>
      </c>
      <c r="M2072">
        <v>158</v>
      </c>
      <c r="N2072">
        <v>35</v>
      </c>
      <c r="O2072">
        <v>10</v>
      </c>
      <c r="P2072">
        <v>0</v>
      </c>
    </row>
    <row r="2073" spans="1:16" x14ac:dyDescent="0.25">
      <c r="A2073" s="4">
        <v>44156</v>
      </c>
      <c r="B2073" t="s">
        <v>9</v>
      </c>
      <c r="C2073">
        <v>1</v>
      </c>
      <c r="F2073">
        <v>232</v>
      </c>
      <c r="J2073">
        <v>1.2430000000000001</v>
      </c>
      <c r="K2073">
        <v>42.18</v>
      </c>
      <c r="L2073">
        <v>33.94</v>
      </c>
      <c r="M2073">
        <v>204</v>
      </c>
      <c r="N2073">
        <v>9</v>
      </c>
      <c r="O2073">
        <v>2</v>
      </c>
      <c r="P2073">
        <v>0</v>
      </c>
    </row>
    <row r="2074" spans="1:16" x14ac:dyDescent="0.25">
      <c r="A2074" s="4">
        <v>44156</v>
      </c>
      <c r="B2074" t="s">
        <v>10</v>
      </c>
      <c r="C2074" t="s">
        <v>78</v>
      </c>
      <c r="F2074">
        <v>263</v>
      </c>
      <c r="J2074">
        <v>1.234</v>
      </c>
      <c r="K2074">
        <v>47.82</v>
      </c>
      <c r="L2074">
        <v>38.76</v>
      </c>
      <c r="M2074">
        <v>158</v>
      </c>
      <c r="N2074">
        <v>35</v>
      </c>
      <c r="O2074">
        <v>10</v>
      </c>
      <c r="P2074">
        <v>0</v>
      </c>
    </row>
    <row r="2075" spans="1:16" x14ac:dyDescent="0.25">
      <c r="A2075" s="4">
        <v>44156</v>
      </c>
      <c r="B2075" t="s">
        <v>9</v>
      </c>
      <c r="C2075" t="s">
        <v>78</v>
      </c>
      <c r="F2075">
        <v>232</v>
      </c>
      <c r="J2075">
        <v>1.2430000000000001</v>
      </c>
      <c r="K2075">
        <v>42.18</v>
      </c>
      <c r="L2075">
        <v>33.94</v>
      </c>
      <c r="M2075">
        <v>204</v>
      </c>
      <c r="N2075">
        <v>9</v>
      </c>
      <c r="O2075">
        <v>2</v>
      </c>
      <c r="P2075">
        <v>0</v>
      </c>
    </row>
    <row r="2076" spans="1:16" x14ac:dyDescent="0.25">
      <c r="A2076" s="4">
        <v>44158</v>
      </c>
      <c r="B2076" t="s">
        <v>10</v>
      </c>
      <c r="C2076">
        <v>1</v>
      </c>
      <c r="F2076">
        <v>372</v>
      </c>
      <c r="J2076">
        <v>1.272</v>
      </c>
      <c r="K2076">
        <v>42.76</v>
      </c>
      <c r="L2076">
        <v>33.619999999999997</v>
      </c>
      <c r="M2076">
        <v>233</v>
      </c>
      <c r="N2076">
        <v>50</v>
      </c>
      <c r="O2076">
        <v>5</v>
      </c>
      <c r="P2076">
        <v>2</v>
      </c>
    </row>
    <row r="2077" spans="1:16" x14ac:dyDescent="0.25">
      <c r="A2077" s="4">
        <v>44158</v>
      </c>
      <c r="B2077" t="s">
        <v>9</v>
      </c>
      <c r="C2077">
        <v>1</v>
      </c>
      <c r="F2077">
        <v>359</v>
      </c>
      <c r="J2077">
        <v>1.087</v>
      </c>
      <c r="K2077">
        <v>42.24</v>
      </c>
      <c r="L2077">
        <v>38.869999999999997</v>
      </c>
      <c r="M2077">
        <v>259</v>
      </c>
      <c r="N2077">
        <v>22</v>
      </c>
      <c r="O2077">
        <v>11</v>
      </c>
      <c r="P2077">
        <v>1</v>
      </c>
    </row>
    <row r="2078" spans="1:16" x14ac:dyDescent="0.25">
      <c r="A2078" s="4">
        <v>44158</v>
      </c>
      <c r="B2078" t="s">
        <v>10</v>
      </c>
      <c r="C2078" t="s">
        <v>78</v>
      </c>
      <c r="F2078">
        <v>372</v>
      </c>
      <c r="J2078">
        <v>1.272</v>
      </c>
      <c r="K2078">
        <v>42.76</v>
      </c>
      <c r="L2078">
        <v>33.619999999999997</v>
      </c>
      <c r="M2078">
        <v>233</v>
      </c>
      <c r="N2078">
        <v>50</v>
      </c>
      <c r="O2078">
        <v>5</v>
      </c>
      <c r="P2078">
        <v>2</v>
      </c>
    </row>
    <row r="2079" spans="1:16" x14ac:dyDescent="0.25">
      <c r="A2079" s="4">
        <v>44158</v>
      </c>
      <c r="B2079" t="s">
        <v>9</v>
      </c>
      <c r="C2079" t="s">
        <v>78</v>
      </c>
      <c r="F2079">
        <v>359</v>
      </c>
      <c r="J2079">
        <v>1.087</v>
      </c>
      <c r="K2079">
        <v>42.24</v>
      </c>
      <c r="L2079">
        <v>38.869999999999997</v>
      </c>
      <c r="M2079">
        <v>259</v>
      </c>
      <c r="N2079">
        <v>22</v>
      </c>
      <c r="O2079">
        <v>11</v>
      </c>
      <c r="P2079">
        <v>1</v>
      </c>
    </row>
    <row r="2080" spans="1:16" x14ac:dyDescent="0.25">
      <c r="A2080" s="4">
        <v>44159</v>
      </c>
      <c r="B2080" t="s">
        <v>10</v>
      </c>
      <c r="C2080">
        <v>1</v>
      </c>
      <c r="F2080">
        <v>425</v>
      </c>
      <c r="J2080">
        <v>1.3759999999999999</v>
      </c>
      <c r="K2080">
        <v>47.75</v>
      </c>
      <c r="L2080">
        <v>34.700000000000003</v>
      </c>
      <c r="M2080">
        <v>274</v>
      </c>
      <c r="N2080">
        <v>42</v>
      </c>
      <c r="O2080">
        <v>13</v>
      </c>
      <c r="P2080">
        <v>3</v>
      </c>
    </row>
    <row r="2081" spans="1:16" x14ac:dyDescent="0.25">
      <c r="A2081" s="4">
        <v>44159</v>
      </c>
      <c r="B2081" t="s">
        <v>9</v>
      </c>
      <c r="C2081">
        <v>1</v>
      </c>
      <c r="F2081">
        <v>412</v>
      </c>
      <c r="J2081">
        <v>1.28</v>
      </c>
      <c r="K2081">
        <v>46.29</v>
      </c>
      <c r="L2081">
        <v>36.18</v>
      </c>
      <c r="M2081">
        <v>315</v>
      </c>
      <c r="N2081">
        <v>32</v>
      </c>
      <c r="O2081">
        <v>6</v>
      </c>
      <c r="P2081">
        <v>1</v>
      </c>
    </row>
    <row r="2082" spans="1:16" x14ac:dyDescent="0.25">
      <c r="A2082" s="4">
        <v>44159</v>
      </c>
      <c r="B2082" t="s">
        <v>10</v>
      </c>
      <c r="C2082" t="s">
        <v>78</v>
      </c>
      <c r="F2082">
        <v>425</v>
      </c>
      <c r="J2082">
        <v>1.3759999999999999</v>
      </c>
      <c r="K2082">
        <v>47.75</v>
      </c>
      <c r="L2082">
        <v>34.700000000000003</v>
      </c>
      <c r="M2082">
        <v>274</v>
      </c>
      <c r="N2082">
        <v>42</v>
      </c>
      <c r="O2082">
        <v>13</v>
      </c>
      <c r="P2082">
        <v>3</v>
      </c>
    </row>
    <row r="2083" spans="1:16" x14ac:dyDescent="0.25">
      <c r="A2083" s="4">
        <v>44159</v>
      </c>
      <c r="B2083" t="s">
        <v>9</v>
      </c>
      <c r="C2083" t="s">
        <v>78</v>
      </c>
      <c r="F2083">
        <v>412</v>
      </c>
      <c r="J2083">
        <v>1.28</v>
      </c>
      <c r="K2083">
        <v>46.29</v>
      </c>
      <c r="L2083">
        <v>36.18</v>
      </c>
      <c r="M2083">
        <v>315</v>
      </c>
      <c r="N2083">
        <v>32</v>
      </c>
      <c r="O2083">
        <v>6</v>
      </c>
      <c r="P2083">
        <v>1</v>
      </c>
    </row>
    <row r="2084" spans="1:16" x14ac:dyDescent="0.25">
      <c r="A2084" s="4">
        <v>44160</v>
      </c>
      <c r="B2084" t="s">
        <v>10</v>
      </c>
      <c r="C2084">
        <v>1</v>
      </c>
      <c r="F2084">
        <v>337</v>
      </c>
      <c r="J2084">
        <v>1.387</v>
      </c>
      <c r="K2084">
        <v>46.81</v>
      </c>
      <c r="L2084">
        <v>33.75</v>
      </c>
      <c r="M2084">
        <v>243</v>
      </c>
      <c r="N2084">
        <v>31</v>
      </c>
      <c r="O2084">
        <v>6</v>
      </c>
      <c r="P2084">
        <v>1</v>
      </c>
    </row>
    <row r="2085" spans="1:16" x14ac:dyDescent="0.25">
      <c r="A2085" s="4">
        <v>44160</v>
      </c>
      <c r="B2085" t="s">
        <v>9</v>
      </c>
      <c r="C2085">
        <v>1</v>
      </c>
      <c r="F2085">
        <v>357</v>
      </c>
      <c r="J2085">
        <v>1.3240000000000001</v>
      </c>
      <c r="K2085">
        <v>49.58</v>
      </c>
      <c r="L2085">
        <v>37.44</v>
      </c>
      <c r="M2085">
        <v>263</v>
      </c>
      <c r="N2085">
        <v>28</v>
      </c>
      <c r="O2085">
        <v>9</v>
      </c>
      <c r="P2085">
        <v>0</v>
      </c>
    </row>
    <row r="2086" spans="1:16" x14ac:dyDescent="0.25">
      <c r="A2086" s="4">
        <v>44160</v>
      </c>
      <c r="B2086" t="s">
        <v>10</v>
      </c>
      <c r="C2086" t="s">
        <v>78</v>
      </c>
      <c r="F2086">
        <v>337</v>
      </c>
      <c r="J2086">
        <v>1.387</v>
      </c>
      <c r="K2086">
        <v>46.81</v>
      </c>
      <c r="L2086">
        <v>33.75</v>
      </c>
      <c r="M2086">
        <v>243</v>
      </c>
      <c r="N2086">
        <v>31</v>
      </c>
      <c r="O2086">
        <v>6</v>
      </c>
      <c r="P2086">
        <v>1</v>
      </c>
    </row>
    <row r="2087" spans="1:16" x14ac:dyDescent="0.25">
      <c r="A2087" s="4">
        <v>44160</v>
      </c>
      <c r="B2087" t="s">
        <v>9</v>
      </c>
      <c r="C2087" t="s">
        <v>78</v>
      </c>
      <c r="F2087">
        <v>357</v>
      </c>
      <c r="J2087">
        <v>1.3240000000000001</v>
      </c>
      <c r="K2087">
        <v>49.58</v>
      </c>
      <c r="L2087">
        <v>37.44</v>
      </c>
      <c r="M2087">
        <v>263</v>
      </c>
      <c r="N2087">
        <v>28</v>
      </c>
      <c r="O2087">
        <v>9</v>
      </c>
      <c r="P2087">
        <v>0</v>
      </c>
    </row>
    <row r="2088" spans="1:16" x14ac:dyDescent="0.25">
      <c r="A2088" s="4">
        <v>44165</v>
      </c>
      <c r="B2088" t="s">
        <v>10</v>
      </c>
      <c r="C2088">
        <v>1</v>
      </c>
      <c r="F2088">
        <v>316</v>
      </c>
      <c r="J2088">
        <v>1.2509999999999999</v>
      </c>
      <c r="K2088">
        <v>43.9</v>
      </c>
      <c r="L2088">
        <v>35.1</v>
      </c>
      <c r="M2088">
        <v>187</v>
      </c>
      <c r="N2088">
        <v>47</v>
      </c>
      <c r="O2088">
        <v>10</v>
      </c>
    </row>
    <row r="2089" spans="1:16" x14ac:dyDescent="0.25">
      <c r="A2089" s="4">
        <v>44165</v>
      </c>
      <c r="B2089" t="s">
        <v>9</v>
      </c>
      <c r="C2089">
        <v>1</v>
      </c>
      <c r="F2089">
        <v>345</v>
      </c>
      <c r="J2089">
        <v>1.258</v>
      </c>
      <c r="K2089">
        <v>47.9</v>
      </c>
      <c r="L2089">
        <v>38.1</v>
      </c>
      <c r="M2089">
        <v>238</v>
      </c>
      <c r="N2089">
        <v>41</v>
      </c>
      <c r="O2089">
        <v>6</v>
      </c>
    </row>
    <row r="2090" spans="1:16" x14ac:dyDescent="0.25">
      <c r="A2090" s="4">
        <v>44165</v>
      </c>
      <c r="B2090" t="s">
        <v>10</v>
      </c>
      <c r="C2090" t="s">
        <v>78</v>
      </c>
      <c r="F2090">
        <v>316</v>
      </c>
      <c r="J2090">
        <v>1.2509999999999999</v>
      </c>
      <c r="K2090">
        <v>43.9</v>
      </c>
      <c r="L2090">
        <v>35.1</v>
      </c>
      <c r="M2090">
        <v>187</v>
      </c>
      <c r="N2090">
        <v>47</v>
      </c>
      <c r="O2090">
        <v>10</v>
      </c>
    </row>
    <row r="2091" spans="1:16" x14ac:dyDescent="0.25">
      <c r="A2091" s="4">
        <v>44165</v>
      </c>
      <c r="B2091" t="s">
        <v>9</v>
      </c>
      <c r="C2091" t="s">
        <v>78</v>
      </c>
      <c r="F2091">
        <v>345</v>
      </c>
      <c r="J2091">
        <v>1.258</v>
      </c>
      <c r="K2091">
        <v>47.9</v>
      </c>
      <c r="L2091">
        <v>38.1</v>
      </c>
      <c r="M2091">
        <v>238</v>
      </c>
      <c r="N2091">
        <v>41</v>
      </c>
      <c r="O2091">
        <v>6</v>
      </c>
    </row>
    <row r="2092" spans="1:16" x14ac:dyDescent="0.25">
      <c r="A2092" s="4">
        <v>44166</v>
      </c>
      <c r="B2092" t="s">
        <v>10</v>
      </c>
      <c r="C2092">
        <v>1</v>
      </c>
      <c r="F2092">
        <v>327</v>
      </c>
      <c r="J2092">
        <v>1.121</v>
      </c>
      <c r="K2092">
        <v>40.9</v>
      </c>
      <c r="L2092">
        <v>36.5</v>
      </c>
      <c r="M2092">
        <v>167</v>
      </c>
      <c r="N2092">
        <v>42</v>
      </c>
      <c r="O2092">
        <v>15</v>
      </c>
      <c r="P2092">
        <v>2</v>
      </c>
    </row>
    <row r="2093" spans="1:16" x14ac:dyDescent="0.25">
      <c r="A2093" s="4">
        <v>44166</v>
      </c>
      <c r="B2093" t="s">
        <v>9</v>
      </c>
      <c r="C2093">
        <v>1</v>
      </c>
      <c r="F2093">
        <v>302</v>
      </c>
      <c r="J2093">
        <v>0.98299999999999998</v>
      </c>
      <c r="K2093">
        <v>37.799999999999997</v>
      </c>
      <c r="L2093">
        <v>38.4</v>
      </c>
      <c r="M2093">
        <v>195</v>
      </c>
      <c r="N2093">
        <v>38</v>
      </c>
      <c r="O2093">
        <v>7</v>
      </c>
    </row>
    <row r="2094" spans="1:16" x14ac:dyDescent="0.25">
      <c r="A2094" s="4">
        <v>44166</v>
      </c>
      <c r="B2094" t="s">
        <v>10</v>
      </c>
      <c r="C2094" t="s">
        <v>78</v>
      </c>
      <c r="F2094">
        <v>327</v>
      </c>
      <c r="J2094">
        <v>1.121</v>
      </c>
      <c r="K2094">
        <v>40.9</v>
      </c>
      <c r="L2094">
        <v>36.5</v>
      </c>
      <c r="M2094">
        <v>167</v>
      </c>
      <c r="N2094">
        <v>42</v>
      </c>
      <c r="O2094">
        <v>15</v>
      </c>
      <c r="P2094">
        <v>2</v>
      </c>
    </row>
    <row r="2095" spans="1:16" x14ac:dyDescent="0.25">
      <c r="A2095" s="4">
        <v>44166</v>
      </c>
      <c r="B2095" t="s">
        <v>9</v>
      </c>
      <c r="C2095" t="s">
        <v>78</v>
      </c>
      <c r="F2095">
        <v>302</v>
      </c>
      <c r="J2095">
        <v>0.98299999999999998</v>
      </c>
      <c r="K2095">
        <v>37.799999999999997</v>
      </c>
      <c r="L2095">
        <v>38.4</v>
      </c>
      <c r="M2095">
        <v>195</v>
      </c>
      <c r="N2095">
        <v>38</v>
      </c>
      <c r="O2095">
        <v>7</v>
      </c>
    </row>
    <row r="2096" spans="1:16" x14ac:dyDescent="0.25">
      <c r="A2096" s="4">
        <v>44167</v>
      </c>
      <c r="B2096" t="s">
        <v>10</v>
      </c>
      <c r="C2096">
        <v>1</v>
      </c>
      <c r="F2096">
        <v>323</v>
      </c>
      <c r="J2096">
        <v>1.1739999999999999</v>
      </c>
      <c r="K2096">
        <v>40.4</v>
      </c>
      <c r="L2096">
        <v>34.4</v>
      </c>
      <c r="M2096">
        <v>203</v>
      </c>
      <c r="N2096">
        <v>30</v>
      </c>
      <c r="O2096">
        <v>15</v>
      </c>
    </row>
    <row r="2097" spans="1:16" x14ac:dyDescent="0.25">
      <c r="A2097" s="4">
        <v>44167</v>
      </c>
      <c r="B2097" t="s">
        <v>9</v>
      </c>
      <c r="C2097">
        <v>1</v>
      </c>
      <c r="F2097">
        <v>265</v>
      </c>
      <c r="J2097">
        <v>0.90800000000000003</v>
      </c>
      <c r="K2097">
        <v>33.1</v>
      </c>
      <c r="L2097">
        <v>36.5</v>
      </c>
      <c r="M2097">
        <v>204</v>
      </c>
      <c r="N2097">
        <v>18</v>
      </c>
      <c r="O2097">
        <v>6</v>
      </c>
    </row>
    <row r="2098" spans="1:16" x14ac:dyDescent="0.25">
      <c r="A2098" s="4">
        <v>44167</v>
      </c>
      <c r="B2098" t="s">
        <v>10</v>
      </c>
      <c r="C2098" t="s">
        <v>78</v>
      </c>
      <c r="F2098">
        <v>323</v>
      </c>
      <c r="J2098">
        <v>1.1739999999999999</v>
      </c>
      <c r="K2098">
        <v>40.4</v>
      </c>
      <c r="L2098">
        <v>34.4</v>
      </c>
      <c r="M2098">
        <v>203</v>
      </c>
      <c r="N2098">
        <v>30</v>
      </c>
      <c r="O2098">
        <v>15</v>
      </c>
    </row>
    <row r="2099" spans="1:16" x14ac:dyDescent="0.25">
      <c r="A2099" s="4">
        <v>44167</v>
      </c>
      <c r="B2099" t="s">
        <v>9</v>
      </c>
      <c r="C2099" t="s">
        <v>78</v>
      </c>
      <c r="F2099">
        <v>265</v>
      </c>
      <c r="J2099">
        <v>0.90800000000000003</v>
      </c>
      <c r="K2099">
        <v>33.1</v>
      </c>
      <c r="L2099">
        <v>36.5</v>
      </c>
      <c r="M2099">
        <v>204</v>
      </c>
      <c r="N2099">
        <v>18</v>
      </c>
      <c r="O2099">
        <v>6</v>
      </c>
    </row>
    <row r="2100" spans="1:16" x14ac:dyDescent="0.25">
      <c r="A2100" s="4">
        <v>44168</v>
      </c>
      <c r="B2100" t="s">
        <v>10</v>
      </c>
      <c r="C2100">
        <v>1</v>
      </c>
      <c r="F2100">
        <v>311</v>
      </c>
      <c r="J2100">
        <v>1.107</v>
      </c>
      <c r="K2100">
        <v>38.9</v>
      </c>
      <c r="L2100">
        <v>35.1</v>
      </c>
      <c r="M2100">
        <v>181</v>
      </c>
      <c r="N2100">
        <v>46</v>
      </c>
      <c r="O2100">
        <v>10</v>
      </c>
    </row>
    <row r="2101" spans="1:16" x14ac:dyDescent="0.25">
      <c r="A2101" s="4">
        <v>44168</v>
      </c>
      <c r="B2101" t="s">
        <v>9</v>
      </c>
      <c r="C2101">
        <v>1</v>
      </c>
      <c r="F2101">
        <v>317</v>
      </c>
      <c r="J2101">
        <v>1.093</v>
      </c>
      <c r="K2101">
        <v>39.6</v>
      </c>
      <c r="L2101">
        <v>36.299999999999997</v>
      </c>
      <c r="M2101">
        <v>246</v>
      </c>
      <c r="N2101">
        <v>29</v>
      </c>
      <c r="O2101">
        <v>2</v>
      </c>
    </row>
    <row r="2102" spans="1:16" x14ac:dyDescent="0.25">
      <c r="A2102" s="4">
        <v>44168</v>
      </c>
      <c r="B2102" t="s">
        <v>10</v>
      </c>
      <c r="C2102" t="s">
        <v>78</v>
      </c>
      <c r="F2102">
        <v>311</v>
      </c>
      <c r="J2102">
        <v>1.107</v>
      </c>
      <c r="K2102">
        <v>38.9</v>
      </c>
      <c r="L2102">
        <v>35.1</v>
      </c>
      <c r="M2102">
        <v>181</v>
      </c>
      <c r="N2102">
        <v>46</v>
      </c>
      <c r="O2102">
        <v>10</v>
      </c>
    </row>
    <row r="2103" spans="1:16" x14ac:dyDescent="0.25">
      <c r="A2103" s="4">
        <v>44168</v>
      </c>
      <c r="B2103" t="s">
        <v>9</v>
      </c>
      <c r="C2103" t="s">
        <v>78</v>
      </c>
      <c r="F2103">
        <v>317</v>
      </c>
      <c r="J2103">
        <v>1.093</v>
      </c>
      <c r="K2103">
        <v>39.6</v>
      </c>
      <c r="L2103">
        <v>36.299999999999997</v>
      </c>
      <c r="M2103">
        <v>246</v>
      </c>
      <c r="N2103">
        <v>29</v>
      </c>
      <c r="O2103">
        <v>2</v>
      </c>
    </row>
    <row r="2104" spans="1:16" x14ac:dyDescent="0.25">
      <c r="A2104" s="4">
        <v>44169</v>
      </c>
      <c r="B2104" t="s">
        <v>10</v>
      </c>
      <c r="C2104">
        <v>1</v>
      </c>
      <c r="F2104">
        <v>315</v>
      </c>
      <c r="J2104">
        <v>1.2</v>
      </c>
      <c r="K2104">
        <v>39.4</v>
      </c>
      <c r="L2104">
        <v>32.799999999999997</v>
      </c>
      <c r="M2104">
        <v>222</v>
      </c>
      <c r="N2104">
        <v>34</v>
      </c>
      <c r="O2104">
        <v>6</v>
      </c>
    </row>
    <row r="2105" spans="1:16" x14ac:dyDescent="0.25">
      <c r="A2105" s="4">
        <v>44169</v>
      </c>
      <c r="B2105" t="s">
        <v>9</v>
      </c>
      <c r="C2105">
        <v>1</v>
      </c>
      <c r="F2105">
        <v>275</v>
      </c>
      <c r="J2105">
        <v>0.91600000000000004</v>
      </c>
      <c r="K2105">
        <v>34.4</v>
      </c>
      <c r="L2105">
        <v>37.5</v>
      </c>
      <c r="M2105">
        <v>190</v>
      </c>
      <c r="N2105">
        <v>28</v>
      </c>
      <c r="O2105">
        <v>7</v>
      </c>
    </row>
    <row r="2106" spans="1:16" x14ac:dyDescent="0.25">
      <c r="A2106" s="4">
        <v>44169</v>
      </c>
      <c r="B2106" t="s">
        <v>10</v>
      </c>
      <c r="C2106" t="s">
        <v>78</v>
      </c>
      <c r="F2106">
        <v>315</v>
      </c>
      <c r="J2106">
        <v>1.2</v>
      </c>
      <c r="K2106">
        <v>39.4</v>
      </c>
      <c r="L2106">
        <v>32.799999999999997</v>
      </c>
      <c r="M2106">
        <v>222</v>
      </c>
      <c r="N2106">
        <v>34</v>
      </c>
      <c r="O2106">
        <v>6</v>
      </c>
    </row>
    <row r="2107" spans="1:16" x14ac:dyDescent="0.25">
      <c r="A2107" s="4">
        <v>44169</v>
      </c>
      <c r="B2107" t="s">
        <v>9</v>
      </c>
      <c r="C2107" t="s">
        <v>78</v>
      </c>
      <c r="F2107">
        <v>275</v>
      </c>
      <c r="J2107">
        <v>0.91600000000000004</v>
      </c>
      <c r="K2107">
        <v>34.4</v>
      </c>
      <c r="L2107">
        <v>37.5</v>
      </c>
      <c r="M2107">
        <v>190</v>
      </c>
      <c r="N2107">
        <v>28</v>
      </c>
      <c r="O2107">
        <v>7</v>
      </c>
    </row>
    <row r="2108" spans="1:16" x14ac:dyDescent="0.25">
      <c r="A2108" s="4">
        <v>44172</v>
      </c>
      <c r="B2108" t="s">
        <v>10</v>
      </c>
      <c r="C2108">
        <v>1</v>
      </c>
      <c r="F2108">
        <v>344</v>
      </c>
      <c r="J2108">
        <v>1.2470000000000001</v>
      </c>
      <c r="K2108">
        <v>43</v>
      </c>
      <c r="L2108">
        <v>34.5</v>
      </c>
      <c r="M2108">
        <v>199</v>
      </c>
      <c r="N2108">
        <v>45</v>
      </c>
      <c r="O2108">
        <v>15</v>
      </c>
    </row>
    <row r="2109" spans="1:16" x14ac:dyDescent="0.25">
      <c r="A2109" s="4">
        <v>44172</v>
      </c>
      <c r="B2109" t="s">
        <v>9</v>
      </c>
      <c r="C2109">
        <v>1</v>
      </c>
      <c r="F2109">
        <v>322</v>
      </c>
      <c r="J2109">
        <v>1.0580000000000001</v>
      </c>
      <c r="K2109">
        <v>40.299999999999997</v>
      </c>
      <c r="L2109">
        <v>38.1</v>
      </c>
      <c r="M2109">
        <v>224</v>
      </c>
      <c r="N2109">
        <v>27</v>
      </c>
      <c r="O2109">
        <v>8</v>
      </c>
      <c r="P2109">
        <v>2</v>
      </c>
    </row>
    <row r="2110" spans="1:16" x14ac:dyDescent="0.25">
      <c r="A2110" s="4">
        <v>44172</v>
      </c>
      <c r="B2110" t="s">
        <v>10</v>
      </c>
      <c r="C2110" t="s">
        <v>78</v>
      </c>
      <c r="F2110">
        <v>344</v>
      </c>
      <c r="J2110">
        <v>1.2470000000000001</v>
      </c>
      <c r="K2110">
        <v>43</v>
      </c>
      <c r="L2110">
        <v>34.5</v>
      </c>
      <c r="M2110">
        <v>199</v>
      </c>
      <c r="N2110">
        <v>45</v>
      </c>
      <c r="O2110">
        <v>15</v>
      </c>
    </row>
    <row r="2111" spans="1:16" x14ac:dyDescent="0.25">
      <c r="A2111" s="4">
        <v>44172</v>
      </c>
      <c r="B2111" t="s">
        <v>9</v>
      </c>
      <c r="C2111" t="s">
        <v>78</v>
      </c>
      <c r="F2111">
        <v>322</v>
      </c>
      <c r="J2111">
        <v>1.0580000000000001</v>
      </c>
      <c r="K2111">
        <v>40.299999999999997</v>
      </c>
      <c r="L2111">
        <v>38.1</v>
      </c>
      <c r="M2111">
        <v>224</v>
      </c>
      <c r="N2111">
        <v>27</v>
      </c>
      <c r="O2111">
        <v>8</v>
      </c>
      <c r="P2111">
        <v>2</v>
      </c>
    </row>
    <row r="2112" spans="1:16" x14ac:dyDescent="0.25">
      <c r="A2112" s="4">
        <v>44173</v>
      </c>
      <c r="B2112" t="s">
        <v>10</v>
      </c>
      <c r="C2112">
        <v>1</v>
      </c>
      <c r="F2112">
        <v>306</v>
      </c>
      <c r="J2112">
        <v>1.2629999999999999</v>
      </c>
      <c r="K2112">
        <v>42.5</v>
      </c>
      <c r="L2112">
        <v>33.6</v>
      </c>
      <c r="M2112">
        <v>182</v>
      </c>
      <c r="N2112">
        <v>31</v>
      </c>
      <c r="O2112">
        <v>13</v>
      </c>
      <c r="P2112">
        <v>2</v>
      </c>
    </row>
    <row r="2113" spans="1:16" x14ac:dyDescent="0.25">
      <c r="A2113" s="4">
        <v>44173</v>
      </c>
      <c r="B2113" t="s">
        <v>9</v>
      </c>
      <c r="C2113">
        <v>1</v>
      </c>
      <c r="F2113">
        <v>307</v>
      </c>
      <c r="J2113">
        <v>1.1379999999999999</v>
      </c>
      <c r="K2113">
        <v>42.6</v>
      </c>
      <c r="L2113">
        <v>37.5</v>
      </c>
      <c r="M2113">
        <v>222</v>
      </c>
      <c r="N2113">
        <v>26</v>
      </c>
      <c r="O2113">
        <v>7</v>
      </c>
      <c r="P2113">
        <v>1</v>
      </c>
    </row>
    <row r="2114" spans="1:16" x14ac:dyDescent="0.25">
      <c r="A2114" s="4">
        <v>44173</v>
      </c>
      <c r="B2114" t="s">
        <v>10</v>
      </c>
      <c r="C2114" t="s">
        <v>78</v>
      </c>
      <c r="F2114">
        <v>306</v>
      </c>
      <c r="J2114">
        <v>1.2629999999999999</v>
      </c>
      <c r="K2114">
        <v>42.5</v>
      </c>
      <c r="L2114">
        <v>33.6</v>
      </c>
      <c r="M2114">
        <v>182</v>
      </c>
      <c r="N2114">
        <v>31</v>
      </c>
      <c r="O2114">
        <v>13</v>
      </c>
      <c r="P2114">
        <v>2</v>
      </c>
    </row>
    <row r="2115" spans="1:16" x14ac:dyDescent="0.25">
      <c r="A2115" s="4">
        <v>44173</v>
      </c>
      <c r="B2115" t="s">
        <v>9</v>
      </c>
      <c r="C2115" t="s">
        <v>78</v>
      </c>
      <c r="F2115">
        <v>307</v>
      </c>
      <c r="J2115">
        <v>1.1379999999999999</v>
      </c>
      <c r="K2115">
        <v>42.6</v>
      </c>
      <c r="L2115">
        <v>37.5</v>
      </c>
      <c r="M2115">
        <v>222</v>
      </c>
      <c r="N2115">
        <v>26</v>
      </c>
      <c r="O2115">
        <v>7</v>
      </c>
      <c r="P2115">
        <v>1</v>
      </c>
    </row>
    <row r="2116" spans="1:16" x14ac:dyDescent="0.25">
      <c r="A2116" s="4">
        <v>44173</v>
      </c>
      <c r="B2116" t="s">
        <v>10</v>
      </c>
      <c r="C2116">
        <v>1</v>
      </c>
      <c r="F2116">
        <v>306</v>
      </c>
      <c r="J2116">
        <v>1.2629999999999999</v>
      </c>
      <c r="K2116">
        <v>42.5</v>
      </c>
      <c r="L2116">
        <v>33.64</v>
      </c>
      <c r="M2116">
        <v>182</v>
      </c>
      <c r="N2116">
        <v>31</v>
      </c>
      <c r="O2116">
        <v>13</v>
      </c>
      <c r="P2116">
        <v>2</v>
      </c>
    </row>
    <row r="2117" spans="1:16" x14ac:dyDescent="0.25">
      <c r="A2117" s="4">
        <v>44173</v>
      </c>
      <c r="B2117" t="s">
        <v>9</v>
      </c>
      <c r="C2117">
        <v>1</v>
      </c>
      <c r="F2117">
        <v>307</v>
      </c>
      <c r="J2117">
        <v>1.1379999999999999</v>
      </c>
      <c r="K2117">
        <v>42.64</v>
      </c>
      <c r="L2117">
        <v>37.479999999999997</v>
      </c>
      <c r="M2117">
        <v>222</v>
      </c>
      <c r="N2117">
        <v>26</v>
      </c>
      <c r="O2117">
        <v>7</v>
      </c>
      <c r="P2117">
        <v>1</v>
      </c>
    </row>
    <row r="2118" spans="1:16" x14ac:dyDescent="0.25">
      <c r="A2118" s="4">
        <v>44173</v>
      </c>
      <c r="B2118" t="s">
        <v>10</v>
      </c>
      <c r="C2118" t="s">
        <v>78</v>
      </c>
      <c r="F2118">
        <v>306</v>
      </c>
      <c r="J2118">
        <v>1.2629999999999999</v>
      </c>
      <c r="K2118">
        <v>42.5</v>
      </c>
      <c r="L2118">
        <v>33.64</v>
      </c>
      <c r="M2118">
        <v>182</v>
      </c>
      <c r="N2118">
        <v>31</v>
      </c>
      <c r="O2118">
        <v>13</v>
      </c>
      <c r="P2118">
        <v>2</v>
      </c>
    </row>
    <row r="2119" spans="1:16" x14ac:dyDescent="0.25">
      <c r="A2119" s="4">
        <v>44173</v>
      </c>
      <c r="B2119" t="s">
        <v>9</v>
      </c>
      <c r="C2119" t="s">
        <v>78</v>
      </c>
      <c r="F2119">
        <v>307</v>
      </c>
      <c r="J2119">
        <v>1.1379999999999999</v>
      </c>
      <c r="K2119">
        <v>42.64</v>
      </c>
      <c r="L2119">
        <v>37.479999999999997</v>
      </c>
      <c r="M2119">
        <v>222</v>
      </c>
      <c r="N2119">
        <v>26</v>
      </c>
      <c r="O2119">
        <v>7</v>
      </c>
      <c r="P2119">
        <v>1</v>
      </c>
    </row>
    <row r="2120" spans="1:16" x14ac:dyDescent="0.25">
      <c r="A2120" s="4">
        <v>44174</v>
      </c>
      <c r="B2120" t="s">
        <v>10</v>
      </c>
      <c r="C2120">
        <v>1</v>
      </c>
      <c r="F2120">
        <v>389</v>
      </c>
      <c r="J2120">
        <v>1.345</v>
      </c>
      <c r="K2120">
        <v>43.71</v>
      </c>
      <c r="L2120">
        <v>32.49</v>
      </c>
      <c r="M2120">
        <v>281</v>
      </c>
      <c r="N2120">
        <v>34</v>
      </c>
      <c r="O2120">
        <v>9</v>
      </c>
      <c r="P2120">
        <v>1</v>
      </c>
    </row>
    <row r="2121" spans="1:16" x14ac:dyDescent="0.25">
      <c r="A2121" s="4">
        <v>44174</v>
      </c>
      <c r="B2121" t="s">
        <v>9</v>
      </c>
      <c r="C2121">
        <v>1</v>
      </c>
      <c r="F2121">
        <v>407</v>
      </c>
      <c r="J2121">
        <v>1.196</v>
      </c>
      <c r="K2121">
        <v>45.73</v>
      </c>
      <c r="L2121">
        <v>38.22</v>
      </c>
      <c r="M2121">
        <v>289</v>
      </c>
      <c r="N2121">
        <v>32</v>
      </c>
      <c r="O2121">
        <v>11</v>
      </c>
      <c r="P2121">
        <v>2</v>
      </c>
    </row>
    <row r="2122" spans="1:16" x14ac:dyDescent="0.25">
      <c r="A2122" s="4">
        <v>44174</v>
      </c>
      <c r="B2122" t="s">
        <v>10</v>
      </c>
      <c r="C2122" t="s">
        <v>78</v>
      </c>
      <c r="F2122">
        <v>389</v>
      </c>
      <c r="J2122">
        <v>1.345</v>
      </c>
      <c r="K2122">
        <v>43.71</v>
      </c>
      <c r="L2122">
        <v>32.49</v>
      </c>
      <c r="M2122">
        <v>281</v>
      </c>
      <c r="N2122">
        <v>34</v>
      </c>
      <c r="O2122">
        <v>9</v>
      </c>
      <c r="P2122">
        <v>1</v>
      </c>
    </row>
    <row r="2123" spans="1:16" x14ac:dyDescent="0.25">
      <c r="A2123" s="4">
        <v>44174</v>
      </c>
      <c r="B2123" t="s">
        <v>9</v>
      </c>
      <c r="C2123" t="s">
        <v>78</v>
      </c>
      <c r="F2123">
        <v>407</v>
      </c>
      <c r="J2123">
        <v>1.196</v>
      </c>
      <c r="K2123">
        <v>45.73</v>
      </c>
      <c r="L2123">
        <v>38.22</v>
      </c>
      <c r="M2123">
        <v>289</v>
      </c>
      <c r="N2123">
        <v>32</v>
      </c>
      <c r="O2123">
        <v>11</v>
      </c>
      <c r="P2123">
        <v>2</v>
      </c>
    </row>
    <row r="2124" spans="1:16" x14ac:dyDescent="0.25">
      <c r="A2124" s="4">
        <v>44175</v>
      </c>
      <c r="B2124" t="s">
        <v>10</v>
      </c>
      <c r="C2124">
        <v>1</v>
      </c>
      <c r="F2124">
        <v>262</v>
      </c>
      <c r="J2124">
        <v>1.238</v>
      </c>
      <c r="K2124">
        <v>42.26</v>
      </c>
      <c r="L2124">
        <v>34.130000000000003</v>
      </c>
      <c r="M2124">
        <v>154</v>
      </c>
      <c r="N2124">
        <v>31</v>
      </c>
      <c r="O2124">
        <v>8</v>
      </c>
      <c r="P2124">
        <v>2</v>
      </c>
    </row>
    <row r="2125" spans="1:16" x14ac:dyDescent="0.25">
      <c r="A2125" s="4">
        <v>44175</v>
      </c>
      <c r="B2125" t="s">
        <v>9</v>
      </c>
      <c r="C2125">
        <v>1</v>
      </c>
      <c r="F2125">
        <v>255</v>
      </c>
      <c r="J2125">
        <v>1.0620000000000001</v>
      </c>
      <c r="K2125">
        <v>41.13</v>
      </c>
      <c r="L2125">
        <v>38.72</v>
      </c>
      <c r="M2125">
        <v>164</v>
      </c>
      <c r="N2125">
        <v>25</v>
      </c>
      <c r="O2125">
        <v>2</v>
      </c>
      <c r="P2125">
        <v>4</v>
      </c>
    </row>
    <row r="2126" spans="1:16" x14ac:dyDescent="0.25">
      <c r="A2126" s="4">
        <v>44175</v>
      </c>
      <c r="B2126" t="s">
        <v>10</v>
      </c>
      <c r="C2126" t="s">
        <v>78</v>
      </c>
      <c r="F2126">
        <v>262</v>
      </c>
      <c r="J2126">
        <v>1.238</v>
      </c>
      <c r="K2126">
        <v>42.26</v>
      </c>
      <c r="L2126">
        <v>34.130000000000003</v>
      </c>
      <c r="M2126">
        <v>154</v>
      </c>
      <c r="N2126">
        <v>31</v>
      </c>
      <c r="O2126">
        <v>8</v>
      </c>
      <c r="P2126">
        <v>2</v>
      </c>
    </row>
    <row r="2127" spans="1:16" x14ac:dyDescent="0.25">
      <c r="A2127" s="4">
        <v>44175</v>
      </c>
      <c r="B2127" t="s">
        <v>9</v>
      </c>
      <c r="C2127" t="s">
        <v>78</v>
      </c>
      <c r="F2127">
        <v>255</v>
      </c>
      <c r="J2127">
        <v>1.0620000000000001</v>
      </c>
      <c r="K2127">
        <v>41.13</v>
      </c>
      <c r="L2127">
        <v>38.72</v>
      </c>
      <c r="M2127">
        <v>164</v>
      </c>
      <c r="N2127">
        <v>25</v>
      </c>
      <c r="O2127">
        <v>2</v>
      </c>
      <c r="P2127">
        <v>4</v>
      </c>
    </row>
    <row r="2128" spans="1:16" x14ac:dyDescent="0.25">
      <c r="A2128" s="4">
        <v>44176</v>
      </c>
      <c r="B2128" t="s">
        <v>10</v>
      </c>
      <c r="C2128">
        <v>1</v>
      </c>
      <c r="F2128">
        <v>310</v>
      </c>
      <c r="J2128">
        <v>1.3440000000000001</v>
      </c>
      <c r="K2128">
        <v>43.06</v>
      </c>
      <c r="L2128">
        <v>32.03</v>
      </c>
      <c r="M2128">
        <v>224</v>
      </c>
      <c r="N2128">
        <v>21</v>
      </c>
      <c r="O2128">
        <v>12</v>
      </c>
      <c r="P2128">
        <v>0</v>
      </c>
    </row>
    <row r="2129" spans="1:16" x14ac:dyDescent="0.25">
      <c r="A2129" s="4">
        <v>44176</v>
      </c>
      <c r="B2129" t="s">
        <v>9</v>
      </c>
      <c r="C2129">
        <v>1</v>
      </c>
      <c r="F2129">
        <v>292</v>
      </c>
      <c r="J2129">
        <v>1.1479999999999999</v>
      </c>
      <c r="K2129">
        <v>40.56</v>
      </c>
      <c r="L2129">
        <v>35.32</v>
      </c>
      <c r="M2129">
        <v>244</v>
      </c>
      <c r="N2129">
        <v>20</v>
      </c>
      <c r="O2129">
        <v>1</v>
      </c>
      <c r="P2129">
        <v>0</v>
      </c>
    </row>
    <row r="2130" spans="1:16" x14ac:dyDescent="0.25">
      <c r="A2130" s="4">
        <v>44176</v>
      </c>
      <c r="B2130" t="s">
        <v>10</v>
      </c>
      <c r="C2130" t="s">
        <v>78</v>
      </c>
      <c r="F2130">
        <v>310</v>
      </c>
      <c r="J2130">
        <v>1.3440000000000001</v>
      </c>
      <c r="K2130">
        <v>43.06</v>
      </c>
      <c r="L2130">
        <v>32.03</v>
      </c>
      <c r="M2130">
        <v>224</v>
      </c>
      <c r="N2130">
        <v>21</v>
      </c>
      <c r="O2130">
        <v>12</v>
      </c>
      <c r="P2130">
        <v>0</v>
      </c>
    </row>
    <row r="2131" spans="1:16" x14ac:dyDescent="0.25">
      <c r="A2131" s="4">
        <v>44176</v>
      </c>
      <c r="B2131" t="s">
        <v>9</v>
      </c>
      <c r="C2131" t="s">
        <v>78</v>
      </c>
      <c r="F2131">
        <v>292</v>
      </c>
      <c r="J2131">
        <v>1.1479999999999999</v>
      </c>
      <c r="K2131">
        <v>40.56</v>
      </c>
      <c r="L2131">
        <v>35.32</v>
      </c>
      <c r="M2131">
        <v>244</v>
      </c>
      <c r="N2131">
        <v>20</v>
      </c>
      <c r="O2131">
        <v>1</v>
      </c>
      <c r="P2131">
        <v>0</v>
      </c>
    </row>
    <row r="2132" spans="1:16" x14ac:dyDescent="0.25">
      <c r="A2132" s="4">
        <v>44179</v>
      </c>
      <c r="B2132" t="s">
        <v>10</v>
      </c>
      <c r="C2132">
        <v>1</v>
      </c>
      <c r="F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</row>
    <row r="2133" spans="1:16" x14ac:dyDescent="0.25">
      <c r="A2133" s="4">
        <v>44179</v>
      </c>
      <c r="B2133" t="s">
        <v>9</v>
      </c>
      <c r="C2133">
        <v>1</v>
      </c>
      <c r="F2133">
        <v>329</v>
      </c>
      <c r="J2133">
        <v>1.208</v>
      </c>
      <c r="K2133">
        <v>45.69</v>
      </c>
      <c r="L2133">
        <v>37.83</v>
      </c>
      <c r="M2133">
        <v>184</v>
      </c>
      <c r="N2133">
        <v>50</v>
      </c>
      <c r="O2133">
        <v>10</v>
      </c>
      <c r="P2133">
        <v>0</v>
      </c>
    </row>
    <row r="2134" spans="1:16" x14ac:dyDescent="0.25">
      <c r="A2134" s="4">
        <v>44179</v>
      </c>
      <c r="B2134" t="s">
        <v>10</v>
      </c>
      <c r="C2134" t="s">
        <v>78</v>
      </c>
      <c r="F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</row>
    <row r="2135" spans="1:16" x14ac:dyDescent="0.25">
      <c r="A2135" s="4">
        <v>44179</v>
      </c>
      <c r="B2135" t="s">
        <v>9</v>
      </c>
      <c r="C2135" t="s">
        <v>78</v>
      </c>
      <c r="F2135">
        <v>329</v>
      </c>
      <c r="J2135">
        <v>1.208</v>
      </c>
      <c r="K2135">
        <v>45.69</v>
      </c>
      <c r="L2135">
        <v>37.83</v>
      </c>
      <c r="M2135">
        <v>184</v>
      </c>
      <c r="N2135">
        <v>50</v>
      </c>
      <c r="O2135">
        <v>10</v>
      </c>
      <c r="P2135">
        <v>0</v>
      </c>
    </row>
    <row r="2136" spans="1:16" x14ac:dyDescent="0.25">
      <c r="A2136" s="4">
        <v>44180</v>
      </c>
      <c r="B2136" t="s">
        <v>10</v>
      </c>
      <c r="C2136">
        <v>1</v>
      </c>
      <c r="F2136">
        <v>302</v>
      </c>
      <c r="J2136">
        <v>1.2529999999999999</v>
      </c>
      <c r="K2136">
        <v>41.94</v>
      </c>
      <c r="L2136">
        <v>33.49</v>
      </c>
      <c r="M2136">
        <v>196</v>
      </c>
      <c r="N2136">
        <v>29</v>
      </c>
      <c r="O2136">
        <v>8</v>
      </c>
      <c r="P2136">
        <v>2</v>
      </c>
    </row>
    <row r="2137" spans="1:16" x14ac:dyDescent="0.25">
      <c r="A2137" s="4">
        <v>44180</v>
      </c>
      <c r="B2137" t="s">
        <v>9</v>
      </c>
      <c r="C2137">
        <v>1</v>
      </c>
      <c r="F2137">
        <v>312</v>
      </c>
      <c r="J2137">
        <v>1.1499999999999999</v>
      </c>
      <c r="K2137">
        <v>43.33</v>
      </c>
      <c r="L2137">
        <v>37.69</v>
      </c>
      <c r="M2137">
        <v>220</v>
      </c>
      <c r="N2137">
        <v>26</v>
      </c>
      <c r="O2137">
        <v>6</v>
      </c>
      <c r="P2137">
        <v>1</v>
      </c>
    </row>
    <row r="2138" spans="1:16" x14ac:dyDescent="0.25">
      <c r="A2138" s="4">
        <v>44180</v>
      </c>
      <c r="B2138" t="s">
        <v>10</v>
      </c>
      <c r="C2138" t="s">
        <v>78</v>
      </c>
      <c r="F2138">
        <v>302</v>
      </c>
      <c r="J2138">
        <v>1.2529999999999999</v>
      </c>
      <c r="K2138">
        <v>41.94</v>
      </c>
      <c r="L2138">
        <v>33.49</v>
      </c>
      <c r="M2138">
        <v>196</v>
      </c>
      <c r="N2138">
        <v>29</v>
      </c>
      <c r="O2138">
        <v>8</v>
      </c>
      <c r="P2138">
        <v>2</v>
      </c>
    </row>
    <row r="2139" spans="1:16" x14ac:dyDescent="0.25">
      <c r="A2139" s="4">
        <v>44180</v>
      </c>
      <c r="B2139" t="s">
        <v>9</v>
      </c>
      <c r="C2139" t="s">
        <v>78</v>
      </c>
      <c r="F2139">
        <v>312</v>
      </c>
      <c r="J2139">
        <v>1.1499999999999999</v>
      </c>
      <c r="K2139">
        <v>43.33</v>
      </c>
      <c r="L2139">
        <v>37.69</v>
      </c>
      <c r="M2139">
        <v>220</v>
      </c>
      <c r="N2139">
        <v>26</v>
      </c>
      <c r="O2139">
        <v>6</v>
      </c>
      <c r="P2139">
        <v>1</v>
      </c>
    </row>
    <row r="2140" spans="1:16" x14ac:dyDescent="0.25">
      <c r="A2140" s="4">
        <v>44181</v>
      </c>
      <c r="B2140" t="s">
        <v>10</v>
      </c>
      <c r="C2140">
        <v>1</v>
      </c>
      <c r="F2140">
        <v>341</v>
      </c>
      <c r="J2140">
        <v>1.141</v>
      </c>
      <c r="K2140">
        <v>38.31</v>
      </c>
      <c r="L2140">
        <v>33.57</v>
      </c>
      <c r="M2140">
        <v>219</v>
      </c>
      <c r="N2140">
        <v>36</v>
      </c>
      <c r="O2140">
        <v>11</v>
      </c>
      <c r="P2140">
        <v>1</v>
      </c>
    </row>
    <row r="2141" spans="1:16" x14ac:dyDescent="0.25">
      <c r="A2141" s="4">
        <v>44181</v>
      </c>
      <c r="B2141" t="s">
        <v>9</v>
      </c>
      <c r="C2141">
        <v>1</v>
      </c>
      <c r="F2141">
        <v>381</v>
      </c>
      <c r="J2141">
        <v>1.1180000000000001</v>
      </c>
      <c r="K2141">
        <v>42.81</v>
      </c>
      <c r="L2141">
        <v>38.28</v>
      </c>
      <c r="M2141">
        <v>255</v>
      </c>
      <c r="N2141">
        <v>27</v>
      </c>
      <c r="O2141">
        <v>7</v>
      </c>
      <c r="P2141">
        <v>6</v>
      </c>
    </row>
    <row r="2142" spans="1:16" x14ac:dyDescent="0.25">
      <c r="A2142" s="4">
        <v>44181</v>
      </c>
      <c r="B2142" t="s">
        <v>10</v>
      </c>
      <c r="C2142" t="s">
        <v>78</v>
      </c>
      <c r="F2142">
        <v>341</v>
      </c>
      <c r="J2142">
        <v>1.141</v>
      </c>
      <c r="K2142">
        <v>38.31</v>
      </c>
      <c r="L2142">
        <v>33.57</v>
      </c>
      <c r="M2142">
        <v>219</v>
      </c>
      <c r="N2142">
        <v>36</v>
      </c>
      <c r="O2142">
        <v>11</v>
      </c>
      <c r="P2142">
        <v>1</v>
      </c>
    </row>
    <row r="2143" spans="1:16" x14ac:dyDescent="0.25">
      <c r="A2143" s="4">
        <v>44181</v>
      </c>
      <c r="B2143" t="s">
        <v>9</v>
      </c>
      <c r="C2143" t="s">
        <v>78</v>
      </c>
      <c r="F2143">
        <v>381</v>
      </c>
      <c r="J2143">
        <v>1.1180000000000001</v>
      </c>
      <c r="K2143">
        <v>42.81</v>
      </c>
      <c r="L2143">
        <v>38.28</v>
      </c>
      <c r="M2143">
        <v>255</v>
      </c>
      <c r="N2143">
        <v>27</v>
      </c>
      <c r="O2143">
        <v>7</v>
      </c>
      <c r="P2143">
        <v>6</v>
      </c>
    </row>
    <row r="2144" spans="1:16" x14ac:dyDescent="0.25">
      <c r="A2144" s="4">
        <v>44182</v>
      </c>
      <c r="B2144" t="s">
        <v>10</v>
      </c>
      <c r="C2144">
        <v>1</v>
      </c>
      <c r="F2144">
        <v>296</v>
      </c>
      <c r="J2144">
        <v>1.242</v>
      </c>
      <c r="K2144">
        <v>41.11</v>
      </c>
      <c r="L2144">
        <v>33.1</v>
      </c>
      <c r="M2144">
        <v>223</v>
      </c>
      <c r="N2144">
        <v>21</v>
      </c>
      <c r="O2144">
        <v>5</v>
      </c>
      <c r="P2144">
        <v>1</v>
      </c>
    </row>
    <row r="2145" spans="1:16" x14ac:dyDescent="0.25">
      <c r="A2145" s="4">
        <v>44182</v>
      </c>
      <c r="B2145" t="s">
        <v>9</v>
      </c>
      <c r="C2145">
        <v>1</v>
      </c>
      <c r="F2145">
        <v>294</v>
      </c>
      <c r="J2145">
        <v>1.095</v>
      </c>
      <c r="K2145">
        <v>40.83</v>
      </c>
      <c r="L2145">
        <v>37.299999999999997</v>
      </c>
      <c r="M2145">
        <v>221</v>
      </c>
      <c r="N2145">
        <v>26</v>
      </c>
      <c r="O2145">
        <v>4</v>
      </c>
      <c r="P2145">
        <v>0</v>
      </c>
    </row>
    <row r="2146" spans="1:16" x14ac:dyDescent="0.25">
      <c r="A2146" s="4">
        <v>44182</v>
      </c>
      <c r="B2146" t="s">
        <v>10</v>
      </c>
      <c r="C2146" t="s">
        <v>78</v>
      </c>
      <c r="F2146">
        <v>296</v>
      </c>
      <c r="J2146">
        <v>1.242</v>
      </c>
      <c r="K2146">
        <v>41.11</v>
      </c>
      <c r="L2146">
        <v>33.1</v>
      </c>
      <c r="M2146">
        <v>223</v>
      </c>
      <c r="N2146">
        <v>21</v>
      </c>
      <c r="O2146">
        <v>5</v>
      </c>
      <c r="P2146">
        <v>1</v>
      </c>
    </row>
    <row r="2147" spans="1:16" x14ac:dyDescent="0.25">
      <c r="A2147" s="4">
        <v>44182</v>
      </c>
      <c r="B2147" t="s">
        <v>9</v>
      </c>
      <c r="C2147" t="s">
        <v>78</v>
      </c>
      <c r="F2147">
        <v>294</v>
      </c>
      <c r="J2147">
        <v>1.095</v>
      </c>
      <c r="K2147">
        <v>40.83</v>
      </c>
      <c r="L2147">
        <v>37.299999999999997</v>
      </c>
      <c r="M2147">
        <v>221</v>
      </c>
      <c r="N2147">
        <v>26</v>
      </c>
      <c r="O2147">
        <v>4</v>
      </c>
      <c r="P2147">
        <v>0</v>
      </c>
    </row>
    <row r="2148" spans="1:16" x14ac:dyDescent="0.25">
      <c r="A2148" s="4">
        <v>44183</v>
      </c>
      <c r="B2148" t="s">
        <v>10</v>
      </c>
      <c r="C2148">
        <v>1</v>
      </c>
      <c r="F2148">
        <v>313</v>
      </c>
      <c r="J2148">
        <v>1.3080000000000001</v>
      </c>
      <c r="K2148">
        <v>43.47</v>
      </c>
      <c r="L2148">
        <v>33.25</v>
      </c>
      <c r="M2148">
        <v>228</v>
      </c>
      <c r="N2148">
        <v>23</v>
      </c>
      <c r="O2148">
        <v>7</v>
      </c>
      <c r="P2148">
        <v>1</v>
      </c>
    </row>
    <row r="2149" spans="1:16" x14ac:dyDescent="0.25">
      <c r="A2149" s="4">
        <v>44183</v>
      </c>
      <c r="B2149" t="s">
        <v>9</v>
      </c>
      <c r="C2149">
        <v>1</v>
      </c>
      <c r="F2149">
        <v>291</v>
      </c>
      <c r="J2149">
        <v>1.069</v>
      </c>
      <c r="K2149">
        <v>40.42</v>
      </c>
      <c r="L2149">
        <v>37.799999999999997</v>
      </c>
      <c r="M2149">
        <v>201</v>
      </c>
      <c r="N2149">
        <v>18</v>
      </c>
      <c r="O2149">
        <v>12</v>
      </c>
      <c r="P2149">
        <v>1</v>
      </c>
    </row>
    <row r="2150" spans="1:16" x14ac:dyDescent="0.25">
      <c r="A2150" s="4">
        <v>44183</v>
      </c>
      <c r="B2150" t="s">
        <v>10</v>
      </c>
      <c r="C2150" t="s">
        <v>78</v>
      </c>
      <c r="F2150">
        <v>313</v>
      </c>
      <c r="J2150">
        <v>1.3080000000000001</v>
      </c>
      <c r="K2150">
        <v>43.47</v>
      </c>
      <c r="L2150">
        <v>33.25</v>
      </c>
      <c r="M2150">
        <v>228</v>
      </c>
      <c r="N2150">
        <v>23</v>
      </c>
      <c r="O2150">
        <v>7</v>
      </c>
      <c r="P2150">
        <v>1</v>
      </c>
    </row>
    <row r="2151" spans="1:16" x14ac:dyDescent="0.25">
      <c r="A2151" s="4">
        <v>44183</v>
      </c>
      <c r="B2151" t="s">
        <v>9</v>
      </c>
      <c r="C2151" t="s">
        <v>78</v>
      </c>
      <c r="F2151">
        <v>291</v>
      </c>
      <c r="J2151">
        <v>1.069</v>
      </c>
      <c r="K2151">
        <v>40.42</v>
      </c>
      <c r="L2151">
        <v>37.799999999999997</v>
      </c>
      <c r="M2151">
        <v>201</v>
      </c>
      <c r="N2151">
        <v>18</v>
      </c>
      <c r="O2151">
        <v>12</v>
      </c>
      <c r="P2151">
        <v>1</v>
      </c>
    </row>
    <row r="2152" spans="1:16" x14ac:dyDescent="0.25">
      <c r="A2152" s="4">
        <v>44186</v>
      </c>
      <c r="B2152" t="s">
        <v>10</v>
      </c>
      <c r="C2152">
        <v>1</v>
      </c>
      <c r="F2152">
        <v>262</v>
      </c>
      <c r="J2152">
        <v>1.1160000000000001</v>
      </c>
      <c r="K2152">
        <v>36.9</v>
      </c>
      <c r="L2152">
        <v>33.07</v>
      </c>
      <c r="M2152">
        <v>188</v>
      </c>
      <c r="N2152">
        <v>31</v>
      </c>
      <c r="O2152">
        <v>2</v>
      </c>
      <c r="P2152">
        <v>0</v>
      </c>
    </row>
    <row r="2153" spans="1:16" x14ac:dyDescent="0.25">
      <c r="A2153" s="4">
        <v>44186</v>
      </c>
      <c r="B2153" t="s">
        <v>9</v>
      </c>
      <c r="C2153">
        <v>1</v>
      </c>
      <c r="F2153">
        <v>249</v>
      </c>
      <c r="J2153">
        <v>1.091</v>
      </c>
      <c r="K2153">
        <v>40.82</v>
      </c>
      <c r="L2153">
        <v>37.4</v>
      </c>
      <c r="M2153">
        <v>193</v>
      </c>
      <c r="N2153">
        <v>10</v>
      </c>
      <c r="O2153">
        <v>6</v>
      </c>
      <c r="P2153">
        <v>2</v>
      </c>
    </row>
    <row r="2154" spans="1:16" x14ac:dyDescent="0.25">
      <c r="A2154" s="4">
        <v>44186</v>
      </c>
      <c r="B2154" t="s">
        <v>10</v>
      </c>
      <c r="C2154" t="s">
        <v>78</v>
      </c>
      <c r="F2154">
        <v>262</v>
      </c>
      <c r="J2154">
        <v>1.1160000000000001</v>
      </c>
      <c r="K2154">
        <v>36.9</v>
      </c>
      <c r="L2154">
        <v>33.07</v>
      </c>
      <c r="M2154">
        <v>188</v>
      </c>
      <c r="N2154">
        <v>31</v>
      </c>
      <c r="O2154">
        <v>2</v>
      </c>
      <c r="P2154">
        <v>0</v>
      </c>
    </row>
    <row r="2155" spans="1:16" x14ac:dyDescent="0.25">
      <c r="A2155" s="4">
        <v>44186</v>
      </c>
      <c r="B2155" t="s">
        <v>9</v>
      </c>
      <c r="C2155" t="s">
        <v>78</v>
      </c>
      <c r="F2155">
        <v>249</v>
      </c>
      <c r="J2155">
        <v>1.091</v>
      </c>
      <c r="K2155">
        <v>40.82</v>
      </c>
      <c r="L2155">
        <v>37.4</v>
      </c>
      <c r="M2155">
        <v>193</v>
      </c>
      <c r="N2155">
        <v>10</v>
      </c>
      <c r="O2155">
        <v>6</v>
      </c>
      <c r="P2155">
        <v>2</v>
      </c>
    </row>
    <row r="2156" spans="1:16" x14ac:dyDescent="0.25">
      <c r="A2156" s="4">
        <v>44187</v>
      </c>
      <c r="B2156" t="s">
        <v>10</v>
      </c>
      <c r="C2156">
        <v>1</v>
      </c>
      <c r="F2156">
        <v>282</v>
      </c>
      <c r="J2156">
        <v>1.1930000000000001</v>
      </c>
      <c r="K2156">
        <v>39.17</v>
      </c>
      <c r="L2156">
        <v>32.82</v>
      </c>
      <c r="M2156">
        <v>176</v>
      </c>
      <c r="N2156">
        <v>32</v>
      </c>
      <c r="O2156">
        <v>10</v>
      </c>
      <c r="P2156">
        <v>1</v>
      </c>
    </row>
    <row r="2157" spans="1:16" x14ac:dyDescent="0.25">
      <c r="A2157" s="4">
        <v>44187</v>
      </c>
      <c r="B2157" t="s">
        <v>9</v>
      </c>
      <c r="C2157">
        <v>1</v>
      </c>
      <c r="F2157">
        <v>228</v>
      </c>
      <c r="J2157">
        <v>1.032</v>
      </c>
      <c r="K2157">
        <v>40.71</v>
      </c>
      <c r="L2157">
        <v>39.450000000000003</v>
      </c>
      <c r="M2157">
        <v>142</v>
      </c>
      <c r="N2157">
        <v>18</v>
      </c>
      <c r="O2157">
        <v>8</v>
      </c>
      <c r="P2157">
        <v>3</v>
      </c>
    </row>
    <row r="2158" spans="1:16" x14ac:dyDescent="0.25">
      <c r="A2158" s="4">
        <v>44187</v>
      </c>
      <c r="B2158" t="s">
        <v>10</v>
      </c>
      <c r="C2158" t="s">
        <v>78</v>
      </c>
      <c r="F2158">
        <v>282</v>
      </c>
      <c r="J2158">
        <v>1.1930000000000001</v>
      </c>
      <c r="K2158">
        <v>39.17</v>
      </c>
      <c r="L2158">
        <v>32.82</v>
      </c>
      <c r="M2158">
        <v>176</v>
      </c>
      <c r="N2158">
        <v>32</v>
      </c>
      <c r="O2158">
        <v>10</v>
      </c>
      <c r="P2158">
        <v>1</v>
      </c>
    </row>
    <row r="2159" spans="1:16" x14ac:dyDescent="0.25">
      <c r="A2159" s="4">
        <v>44187</v>
      </c>
      <c r="B2159" t="s">
        <v>9</v>
      </c>
      <c r="C2159" t="s">
        <v>78</v>
      </c>
      <c r="F2159">
        <v>228</v>
      </c>
      <c r="J2159">
        <v>1.032</v>
      </c>
      <c r="K2159">
        <v>40.71</v>
      </c>
      <c r="L2159">
        <v>39.450000000000003</v>
      </c>
      <c r="M2159">
        <v>142</v>
      </c>
      <c r="N2159">
        <v>18</v>
      </c>
      <c r="O2159">
        <v>8</v>
      </c>
      <c r="P2159">
        <v>3</v>
      </c>
    </row>
    <row r="2160" spans="1:16" x14ac:dyDescent="0.25">
      <c r="A2160" s="4">
        <v>44188</v>
      </c>
      <c r="B2160" t="s">
        <v>10</v>
      </c>
      <c r="C2160">
        <v>1</v>
      </c>
      <c r="F2160">
        <v>267</v>
      </c>
      <c r="J2160">
        <v>1.2709999999999999</v>
      </c>
      <c r="K2160">
        <v>40.450000000000003</v>
      </c>
      <c r="L2160">
        <v>31.84</v>
      </c>
      <c r="M2160">
        <v>198</v>
      </c>
      <c r="N2160">
        <v>21</v>
      </c>
      <c r="O2160">
        <v>5</v>
      </c>
      <c r="P2160">
        <v>1</v>
      </c>
    </row>
    <row r="2161" spans="1:16" x14ac:dyDescent="0.25">
      <c r="A2161" s="4">
        <v>44188</v>
      </c>
      <c r="B2161" t="s">
        <v>9</v>
      </c>
      <c r="C2161">
        <v>1</v>
      </c>
      <c r="F2161">
        <v>269</v>
      </c>
      <c r="J2161">
        <v>1.091</v>
      </c>
      <c r="K2161">
        <v>40.15</v>
      </c>
      <c r="L2161">
        <v>36.81</v>
      </c>
      <c r="M2161">
        <v>205</v>
      </c>
      <c r="N2161">
        <v>19</v>
      </c>
      <c r="O2161">
        <v>5</v>
      </c>
      <c r="P2161">
        <v>0</v>
      </c>
    </row>
    <row r="2162" spans="1:16" x14ac:dyDescent="0.25">
      <c r="A2162" s="4">
        <v>44188</v>
      </c>
      <c r="B2162" t="s">
        <v>10</v>
      </c>
      <c r="C2162" t="s">
        <v>78</v>
      </c>
      <c r="F2162">
        <v>267</v>
      </c>
      <c r="J2162">
        <v>1.2709999999999999</v>
      </c>
      <c r="K2162">
        <v>40.450000000000003</v>
      </c>
      <c r="L2162">
        <v>31.84</v>
      </c>
      <c r="M2162">
        <v>198</v>
      </c>
      <c r="N2162">
        <v>21</v>
      </c>
      <c r="O2162">
        <v>5</v>
      </c>
      <c r="P2162">
        <v>1</v>
      </c>
    </row>
    <row r="2163" spans="1:16" x14ac:dyDescent="0.25">
      <c r="A2163" s="4">
        <v>44188</v>
      </c>
      <c r="B2163" t="s">
        <v>9</v>
      </c>
      <c r="C2163" t="s">
        <v>78</v>
      </c>
      <c r="F2163">
        <v>269</v>
      </c>
      <c r="J2163">
        <v>1.091</v>
      </c>
      <c r="K2163">
        <v>40.15</v>
      </c>
      <c r="L2163">
        <v>36.81</v>
      </c>
      <c r="M2163">
        <v>205</v>
      </c>
      <c r="N2163">
        <v>19</v>
      </c>
      <c r="O2163">
        <v>5</v>
      </c>
      <c r="P2163">
        <v>0</v>
      </c>
    </row>
    <row r="2164" spans="1:16" x14ac:dyDescent="0.25">
      <c r="A2164" s="4">
        <v>44193</v>
      </c>
      <c r="B2164" t="s">
        <v>10</v>
      </c>
      <c r="C2164">
        <v>1</v>
      </c>
      <c r="F2164">
        <v>238</v>
      </c>
      <c r="J2164">
        <v>0.85499999999999998</v>
      </c>
      <c r="K2164">
        <v>33.06</v>
      </c>
      <c r="L2164">
        <v>38.65</v>
      </c>
      <c r="M2164">
        <v>99</v>
      </c>
      <c r="N2164">
        <v>48</v>
      </c>
      <c r="O2164">
        <v>9</v>
      </c>
      <c r="P2164">
        <v>1</v>
      </c>
    </row>
    <row r="2165" spans="1:16" x14ac:dyDescent="0.25">
      <c r="A2165" s="4">
        <v>44193</v>
      </c>
      <c r="B2165" t="s">
        <v>9</v>
      </c>
      <c r="C2165">
        <v>1</v>
      </c>
      <c r="F2165">
        <v>268</v>
      </c>
      <c r="J2165">
        <v>1.03</v>
      </c>
      <c r="K2165">
        <v>40</v>
      </c>
      <c r="L2165">
        <v>38.840000000000003</v>
      </c>
      <c r="M2165">
        <v>163</v>
      </c>
      <c r="N2165">
        <v>36</v>
      </c>
      <c r="O2165">
        <v>8</v>
      </c>
      <c r="P2165">
        <v>0</v>
      </c>
    </row>
    <row r="2166" spans="1:16" x14ac:dyDescent="0.25">
      <c r="A2166" s="4">
        <v>44193</v>
      </c>
      <c r="B2166" t="s">
        <v>10</v>
      </c>
      <c r="C2166" t="s">
        <v>78</v>
      </c>
      <c r="F2166">
        <v>238</v>
      </c>
      <c r="J2166">
        <v>0.85499999999999998</v>
      </c>
      <c r="K2166">
        <v>33.06</v>
      </c>
      <c r="L2166">
        <v>38.65</v>
      </c>
      <c r="M2166">
        <v>99</v>
      </c>
      <c r="N2166">
        <v>48</v>
      </c>
      <c r="O2166">
        <v>9</v>
      </c>
      <c r="P2166">
        <v>1</v>
      </c>
    </row>
    <row r="2167" spans="1:16" x14ac:dyDescent="0.25">
      <c r="A2167" s="4">
        <v>44193</v>
      </c>
      <c r="B2167" t="s">
        <v>9</v>
      </c>
      <c r="C2167" t="s">
        <v>78</v>
      </c>
      <c r="F2167">
        <v>268</v>
      </c>
      <c r="J2167">
        <v>1.03</v>
      </c>
      <c r="K2167">
        <v>40</v>
      </c>
      <c r="L2167">
        <v>38.840000000000003</v>
      </c>
      <c r="M2167">
        <v>163</v>
      </c>
      <c r="N2167">
        <v>36</v>
      </c>
      <c r="O2167">
        <v>8</v>
      </c>
      <c r="P2167">
        <v>0</v>
      </c>
    </row>
    <row r="2168" spans="1:16" x14ac:dyDescent="0.25">
      <c r="A2168" s="4">
        <v>44194</v>
      </c>
      <c r="B2168" t="s">
        <v>10</v>
      </c>
      <c r="C2168">
        <v>1</v>
      </c>
      <c r="F2168">
        <v>315</v>
      </c>
      <c r="J2168">
        <v>1.2689999999999999</v>
      </c>
      <c r="K2168">
        <v>43.75</v>
      </c>
      <c r="L2168">
        <v>34.479999999999997</v>
      </c>
      <c r="M2168">
        <v>180</v>
      </c>
      <c r="N2168">
        <v>47</v>
      </c>
      <c r="O2168">
        <v>9</v>
      </c>
      <c r="P2168">
        <v>1</v>
      </c>
    </row>
    <row r="2169" spans="1:16" x14ac:dyDescent="0.25">
      <c r="A2169" s="4">
        <v>44194</v>
      </c>
      <c r="B2169" t="s">
        <v>9</v>
      </c>
      <c r="C2169">
        <v>1</v>
      </c>
      <c r="F2169">
        <v>302</v>
      </c>
      <c r="J2169">
        <v>1.1040000000000001</v>
      </c>
      <c r="K2169">
        <v>41.94</v>
      </c>
      <c r="L2169">
        <v>37.99</v>
      </c>
      <c r="M2169">
        <v>171</v>
      </c>
      <c r="N2169">
        <v>53</v>
      </c>
      <c r="O2169">
        <v>6</v>
      </c>
      <c r="P2169">
        <v>0</v>
      </c>
    </row>
    <row r="2170" spans="1:16" x14ac:dyDescent="0.25">
      <c r="A2170" s="4">
        <v>44194</v>
      </c>
      <c r="B2170" t="s">
        <v>10</v>
      </c>
      <c r="C2170" t="s">
        <v>78</v>
      </c>
      <c r="F2170">
        <v>315</v>
      </c>
      <c r="J2170">
        <v>1.2689999999999999</v>
      </c>
      <c r="K2170">
        <v>43.75</v>
      </c>
      <c r="L2170">
        <v>34.479999999999997</v>
      </c>
      <c r="M2170">
        <v>180</v>
      </c>
      <c r="N2170">
        <v>47</v>
      </c>
      <c r="O2170">
        <v>9</v>
      </c>
      <c r="P2170">
        <v>1</v>
      </c>
    </row>
    <row r="2171" spans="1:16" x14ac:dyDescent="0.25">
      <c r="A2171" s="4">
        <v>44194</v>
      </c>
      <c r="B2171" t="s">
        <v>9</v>
      </c>
      <c r="C2171" t="s">
        <v>78</v>
      </c>
      <c r="F2171">
        <v>302</v>
      </c>
      <c r="J2171">
        <v>1.1040000000000001</v>
      </c>
      <c r="K2171">
        <v>41.94</v>
      </c>
      <c r="L2171">
        <v>37.99</v>
      </c>
      <c r="M2171">
        <v>171</v>
      </c>
      <c r="N2171">
        <v>53</v>
      </c>
      <c r="O2171">
        <v>6</v>
      </c>
      <c r="P2171">
        <v>0</v>
      </c>
    </row>
    <row r="2172" spans="1:16" x14ac:dyDescent="0.25">
      <c r="A2172" s="4">
        <v>44195</v>
      </c>
      <c r="B2172" t="s">
        <v>10</v>
      </c>
      <c r="C2172">
        <v>1</v>
      </c>
      <c r="F2172">
        <v>269</v>
      </c>
      <c r="J2172">
        <v>1.1719999999999999</v>
      </c>
      <c r="K2172">
        <v>37.36</v>
      </c>
      <c r="L2172">
        <v>31.87</v>
      </c>
      <c r="M2172">
        <v>211</v>
      </c>
      <c r="N2172">
        <v>17</v>
      </c>
      <c r="O2172">
        <v>4</v>
      </c>
      <c r="P2172">
        <v>0</v>
      </c>
    </row>
    <row r="2173" spans="1:16" x14ac:dyDescent="0.25">
      <c r="A2173" s="4">
        <v>44195</v>
      </c>
      <c r="B2173" t="s">
        <v>9</v>
      </c>
      <c r="C2173">
        <v>1</v>
      </c>
      <c r="F2173">
        <v>220</v>
      </c>
      <c r="J2173">
        <v>0.83699999999999997</v>
      </c>
      <c r="K2173">
        <v>30.56</v>
      </c>
      <c r="L2173">
        <v>36.520000000000003</v>
      </c>
      <c r="M2173">
        <v>160</v>
      </c>
      <c r="N2173">
        <v>18</v>
      </c>
      <c r="O2173">
        <v>3</v>
      </c>
      <c r="P2173">
        <v>1</v>
      </c>
    </row>
    <row r="2174" spans="1:16" x14ac:dyDescent="0.25">
      <c r="A2174" s="4">
        <v>44195</v>
      </c>
      <c r="B2174" t="s">
        <v>10</v>
      </c>
      <c r="C2174" t="s">
        <v>78</v>
      </c>
      <c r="F2174">
        <v>269</v>
      </c>
      <c r="J2174">
        <v>1.1719999999999999</v>
      </c>
      <c r="K2174">
        <v>37.36</v>
      </c>
      <c r="L2174">
        <v>31.87</v>
      </c>
      <c r="M2174">
        <v>211</v>
      </c>
      <c r="N2174">
        <v>17</v>
      </c>
      <c r="O2174">
        <v>4</v>
      </c>
      <c r="P2174">
        <v>0</v>
      </c>
    </row>
    <row r="2175" spans="1:16" x14ac:dyDescent="0.25">
      <c r="A2175" s="4">
        <v>44195</v>
      </c>
      <c r="B2175" t="s">
        <v>9</v>
      </c>
      <c r="C2175" t="s">
        <v>78</v>
      </c>
      <c r="F2175">
        <v>220</v>
      </c>
      <c r="J2175">
        <v>0.83699999999999997</v>
      </c>
      <c r="K2175">
        <v>30.56</v>
      </c>
      <c r="L2175">
        <v>36.520000000000003</v>
      </c>
      <c r="M2175">
        <v>160</v>
      </c>
      <c r="N2175">
        <v>18</v>
      </c>
      <c r="O2175">
        <v>3</v>
      </c>
      <c r="P2175">
        <v>1</v>
      </c>
    </row>
    <row r="2176" spans="1:16" x14ac:dyDescent="0.25">
      <c r="A2176" s="4">
        <v>44196</v>
      </c>
      <c r="B2176" t="s">
        <v>10</v>
      </c>
      <c r="C2176">
        <v>1</v>
      </c>
      <c r="F2176">
        <v>233</v>
      </c>
      <c r="J2176">
        <v>1.141</v>
      </c>
      <c r="K2176">
        <v>37.58</v>
      </c>
      <c r="L2176">
        <v>32.94</v>
      </c>
      <c r="M2176">
        <v>135</v>
      </c>
      <c r="N2176">
        <v>43</v>
      </c>
      <c r="O2176">
        <v>4</v>
      </c>
      <c r="P2176">
        <v>0</v>
      </c>
    </row>
    <row r="2177" spans="1:16" x14ac:dyDescent="0.25">
      <c r="A2177" s="4">
        <v>44196</v>
      </c>
      <c r="B2177" t="s">
        <v>9</v>
      </c>
      <c r="C2177">
        <v>1</v>
      </c>
      <c r="F2177">
        <v>244</v>
      </c>
      <c r="J2177">
        <v>1.0740000000000001</v>
      </c>
      <c r="K2177">
        <v>39.35</v>
      </c>
      <c r="L2177">
        <v>36.64</v>
      </c>
      <c r="M2177">
        <v>183</v>
      </c>
      <c r="N2177">
        <v>17</v>
      </c>
      <c r="O2177">
        <v>3</v>
      </c>
      <c r="P2177">
        <v>1</v>
      </c>
    </row>
    <row r="2178" spans="1:16" x14ac:dyDescent="0.25">
      <c r="A2178" s="4">
        <v>44196</v>
      </c>
      <c r="B2178" t="s">
        <v>10</v>
      </c>
      <c r="C2178" t="s">
        <v>78</v>
      </c>
      <c r="F2178">
        <v>233</v>
      </c>
      <c r="J2178">
        <v>1.141</v>
      </c>
      <c r="K2178">
        <v>37.58</v>
      </c>
      <c r="L2178">
        <v>32.94</v>
      </c>
      <c r="M2178">
        <v>135</v>
      </c>
      <c r="N2178">
        <v>43</v>
      </c>
      <c r="O2178">
        <v>4</v>
      </c>
      <c r="P2178">
        <v>0</v>
      </c>
    </row>
    <row r="2179" spans="1:16" x14ac:dyDescent="0.25">
      <c r="A2179" s="4">
        <v>44196</v>
      </c>
      <c r="B2179" t="s">
        <v>9</v>
      </c>
      <c r="C2179" t="s">
        <v>78</v>
      </c>
      <c r="F2179">
        <v>244</v>
      </c>
      <c r="J2179">
        <v>1.0740000000000001</v>
      </c>
      <c r="K2179">
        <v>39.35</v>
      </c>
      <c r="L2179">
        <v>36.64</v>
      </c>
      <c r="M2179">
        <v>183</v>
      </c>
      <c r="N2179">
        <v>17</v>
      </c>
      <c r="O2179">
        <v>3</v>
      </c>
      <c r="P2179">
        <v>1</v>
      </c>
    </row>
    <row r="2180" spans="1:16" x14ac:dyDescent="0.25">
      <c r="A2180" s="4">
        <v>44200</v>
      </c>
      <c r="B2180" t="s">
        <v>10</v>
      </c>
      <c r="C2180">
        <v>1</v>
      </c>
      <c r="F2180">
        <v>207</v>
      </c>
      <c r="J2180">
        <v>1.1259999999999999</v>
      </c>
      <c r="K2180">
        <v>38.33</v>
      </c>
      <c r="L2180">
        <v>34.049999999999997</v>
      </c>
      <c r="M2180">
        <v>136</v>
      </c>
      <c r="N2180">
        <v>20</v>
      </c>
      <c r="O2180">
        <v>5</v>
      </c>
      <c r="P2180">
        <v>2</v>
      </c>
    </row>
    <row r="2181" spans="1:16" x14ac:dyDescent="0.25">
      <c r="A2181" s="4">
        <v>44200</v>
      </c>
      <c r="B2181" t="s">
        <v>9</v>
      </c>
      <c r="C2181">
        <v>1</v>
      </c>
      <c r="F2181">
        <v>212</v>
      </c>
      <c r="J2181">
        <v>1.0580000000000001</v>
      </c>
      <c r="K2181">
        <v>39.26</v>
      </c>
      <c r="L2181">
        <v>37.11</v>
      </c>
      <c r="M2181">
        <v>168</v>
      </c>
      <c r="N2181">
        <v>17</v>
      </c>
      <c r="O2181">
        <v>2</v>
      </c>
      <c r="P2181">
        <v>0</v>
      </c>
    </row>
    <row r="2182" spans="1:16" x14ac:dyDescent="0.25">
      <c r="A2182" s="4">
        <v>44200</v>
      </c>
      <c r="B2182" t="s">
        <v>10</v>
      </c>
      <c r="C2182" t="s">
        <v>78</v>
      </c>
      <c r="F2182">
        <v>207</v>
      </c>
      <c r="J2182">
        <v>1.1259999999999999</v>
      </c>
      <c r="K2182">
        <v>38.33</v>
      </c>
      <c r="L2182">
        <v>34.049999999999997</v>
      </c>
      <c r="M2182">
        <v>136</v>
      </c>
      <c r="N2182">
        <v>20</v>
      </c>
      <c r="O2182">
        <v>5</v>
      </c>
      <c r="P2182">
        <v>2</v>
      </c>
    </row>
    <row r="2183" spans="1:16" x14ac:dyDescent="0.25">
      <c r="A2183" s="4">
        <v>44200</v>
      </c>
      <c r="B2183" t="s">
        <v>9</v>
      </c>
      <c r="C2183" t="s">
        <v>78</v>
      </c>
      <c r="F2183">
        <v>212</v>
      </c>
      <c r="J2183">
        <v>1.0580000000000001</v>
      </c>
      <c r="K2183">
        <v>39.26</v>
      </c>
      <c r="L2183">
        <v>37.11</v>
      </c>
      <c r="M2183">
        <v>168</v>
      </c>
      <c r="N2183">
        <v>17</v>
      </c>
      <c r="O2183">
        <v>2</v>
      </c>
      <c r="P2183">
        <v>0</v>
      </c>
    </row>
    <row r="2184" spans="1:16" x14ac:dyDescent="0.25">
      <c r="A2184" s="4">
        <v>44201</v>
      </c>
      <c r="B2184" t="s">
        <v>10</v>
      </c>
      <c r="C2184">
        <v>1</v>
      </c>
      <c r="F2184">
        <v>249</v>
      </c>
      <c r="J2184">
        <v>1.091</v>
      </c>
      <c r="K2184">
        <v>37.159999999999997</v>
      </c>
      <c r="L2184">
        <v>34.07</v>
      </c>
      <c r="M2184">
        <v>171</v>
      </c>
      <c r="N2184">
        <v>22</v>
      </c>
      <c r="O2184">
        <v>9</v>
      </c>
      <c r="P2184">
        <v>0</v>
      </c>
    </row>
    <row r="2185" spans="1:16" x14ac:dyDescent="0.25">
      <c r="A2185" s="4">
        <v>44201</v>
      </c>
      <c r="B2185" t="s">
        <v>9</v>
      </c>
      <c r="C2185">
        <v>1</v>
      </c>
      <c r="F2185">
        <v>258</v>
      </c>
      <c r="J2185">
        <v>1.014</v>
      </c>
      <c r="K2185">
        <v>38.51</v>
      </c>
      <c r="L2185">
        <v>37.97</v>
      </c>
      <c r="M2185">
        <v>184</v>
      </c>
      <c r="N2185">
        <v>17</v>
      </c>
      <c r="O2185">
        <v>8</v>
      </c>
      <c r="P2185">
        <v>1</v>
      </c>
    </row>
    <row r="2186" spans="1:16" x14ac:dyDescent="0.25">
      <c r="A2186" s="4">
        <v>44201</v>
      </c>
      <c r="B2186" t="s">
        <v>10</v>
      </c>
      <c r="C2186" t="s">
        <v>78</v>
      </c>
      <c r="F2186">
        <v>249</v>
      </c>
      <c r="J2186">
        <v>1.091</v>
      </c>
      <c r="K2186">
        <v>37.159999999999997</v>
      </c>
      <c r="L2186">
        <v>34.07</v>
      </c>
      <c r="M2186">
        <v>171</v>
      </c>
      <c r="N2186">
        <v>22</v>
      </c>
      <c r="O2186">
        <v>9</v>
      </c>
      <c r="P2186">
        <v>0</v>
      </c>
    </row>
    <row r="2187" spans="1:16" x14ac:dyDescent="0.25">
      <c r="A2187" s="4">
        <v>44201</v>
      </c>
      <c r="B2187" t="s">
        <v>9</v>
      </c>
      <c r="C2187" t="s">
        <v>78</v>
      </c>
      <c r="F2187">
        <v>258</v>
      </c>
      <c r="J2187">
        <v>1.014</v>
      </c>
      <c r="K2187">
        <v>38.51</v>
      </c>
      <c r="L2187">
        <v>37.97</v>
      </c>
      <c r="M2187">
        <v>184</v>
      </c>
      <c r="N2187">
        <v>17</v>
      </c>
      <c r="O2187">
        <v>8</v>
      </c>
      <c r="P2187">
        <v>1</v>
      </c>
    </row>
    <row r="2188" spans="1:16" x14ac:dyDescent="0.25">
      <c r="A2188" s="4">
        <v>44202</v>
      </c>
      <c r="B2188" t="s">
        <v>10</v>
      </c>
      <c r="C2188">
        <v>1</v>
      </c>
      <c r="F2188">
        <v>284</v>
      </c>
      <c r="J2188">
        <v>1.1910000000000001</v>
      </c>
      <c r="K2188">
        <v>39.44</v>
      </c>
      <c r="L2188">
        <v>33.119999999999997</v>
      </c>
      <c r="M2188">
        <v>193</v>
      </c>
      <c r="N2188">
        <v>29</v>
      </c>
      <c r="O2188">
        <v>10</v>
      </c>
      <c r="P2188">
        <v>0</v>
      </c>
    </row>
    <row r="2189" spans="1:16" x14ac:dyDescent="0.25">
      <c r="A2189" s="4">
        <v>44202</v>
      </c>
      <c r="B2189" t="s">
        <v>9</v>
      </c>
      <c r="C2189">
        <v>1</v>
      </c>
      <c r="F2189">
        <v>266</v>
      </c>
      <c r="J2189">
        <v>1.091</v>
      </c>
      <c r="K2189">
        <v>39.700000000000003</v>
      </c>
      <c r="L2189">
        <v>36.4</v>
      </c>
      <c r="M2189">
        <v>200</v>
      </c>
      <c r="N2189">
        <v>18</v>
      </c>
      <c r="O2189">
        <v>5</v>
      </c>
      <c r="P2189">
        <v>1</v>
      </c>
    </row>
    <row r="2190" spans="1:16" x14ac:dyDescent="0.25">
      <c r="A2190" s="4">
        <v>44202</v>
      </c>
      <c r="B2190" t="s">
        <v>10</v>
      </c>
      <c r="C2190" t="s">
        <v>78</v>
      </c>
      <c r="F2190">
        <v>284</v>
      </c>
      <c r="J2190">
        <v>1.1910000000000001</v>
      </c>
      <c r="K2190">
        <v>39.44</v>
      </c>
      <c r="L2190">
        <v>33.119999999999997</v>
      </c>
      <c r="M2190">
        <v>193</v>
      </c>
      <c r="N2190">
        <v>29</v>
      </c>
      <c r="O2190">
        <v>10</v>
      </c>
      <c r="P2190">
        <v>0</v>
      </c>
    </row>
    <row r="2191" spans="1:16" x14ac:dyDescent="0.25">
      <c r="A2191" s="4">
        <v>44202</v>
      </c>
      <c r="B2191" t="s">
        <v>9</v>
      </c>
      <c r="C2191" t="s">
        <v>78</v>
      </c>
      <c r="F2191">
        <v>266</v>
      </c>
      <c r="J2191">
        <v>1.091</v>
      </c>
      <c r="K2191">
        <v>39.700000000000003</v>
      </c>
      <c r="L2191">
        <v>36.4</v>
      </c>
      <c r="M2191">
        <v>200</v>
      </c>
      <c r="N2191">
        <v>18</v>
      </c>
      <c r="O2191">
        <v>5</v>
      </c>
      <c r="P2191">
        <v>1</v>
      </c>
    </row>
    <row r="2192" spans="1:16" x14ac:dyDescent="0.25">
      <c r="A2192" s="4">
        <v>44203</v>
      </c>
      <c r="B2192" t="s">
        <v>10</v>
      </c>
      <c r="C2192">
        <v>1</v>
      </c>
      <c r="F2192">
        <v>234</v>
      </c>
      <c r="J2192">
        <v>1.083</v>
      </c>
      <c r="K2192">
        <v>36</v>
      </c>
      <c r="L2192">
        <v>33.229999999999997</v>
      </c>
      <c r="M2192">
        <v>170</v>
      </c>
      <c r="N2192">
        <v>25</v>
      </c>
      <c r="O2192">
        <v>4</v>
      </c>
      <c r="P2192">
        <v>0</v>
      </c>
    </row>
    <row r="2193" spans="1:16" x14ac:dyDescent="0.25">
      <c r="A2193" s="4">
        <v>44203</v>
      </c>
      <c r="B2193" t="s">
        <v>9</v>
      </c>
      <c r="C2193">
        <v>1</v>
      </c>
      <c r="F2193">
        <v>295</v>
      </c>
      <c r="J2193">
        <v>1.1379999999999999</v>
      </c>
      <c r="K2193">
        <v>40.97</v>
      </c>
      <c r="L2193">
        <v>36.020000000000003</v>
      </c>
      <c r="M2193">
        <v>214</v>
      </c>
      <c r="N2193">
        <v>36</v>
      </c>
      <c r="O2193">
        <v>3</v>
      </c>
      <c r="P2193">
        <v>0</v>
      </c>
    </row>
    <row r="2194" spans="1:16" x14ac:dyDescent="0.25">
      <c r="A2194" s="4">
        <v>44203</v>
      </c>
      <c r="B2194" t="s">
        <v>10</v>
      </c>
      <c r="C2194" t="s">
        <v>78</v>
      </c>
      <c r="F2194">
        <v>234</v>
      </c>
      <c r="J2194">
        <v>1.083</v>
      </c>
      <c r="K2194">
        <v>36</v>
      </c>
      <c r="L2194">
        <v>33.229999999999997</v>
      </c>
      <c r="M2194">
        <v>170</v>
      </c>
      <c r="N2194">
        <v>25</v>
      </c>
      <c r="O2194">
        <v>4</v>
      </c>
      <c r="P2194">
        <v>0</v>
      </c>
    </row>
    <row r="2195" spans="1:16" x14ac:dyDescent="0.25">
      <c r="A2195" s="4">
        <v>44203</v>
      </c>
      <c r="B2195" t="s">
        <v>9</v>
      </c>
      <c r="C2195" t="s">
        <v>78</v>
      </c>
      <c r="F2195">
        <v>295</v>
      </c>
      <c r="J2195">
        <v>1.1379999999999999</v>
      </c>
      <c r="K2195">
        <v>40.97</v>
      </c>
      <c r="L2195">
        <v>36.020000000000003</v>
      </c>
      <c r="M2195">
        <v>214</v>
      </c>
      <c r="N2195">
        <v>36</v>
      </c>
      <c r="O2195">
        <v>3</v>
      </c>
      <c r="P2195">
        <v>0</v>
      </c>
    </row>
    <row r="2196" spans="1:16" x14ac:dyDescent="0.25">
      <c r="A2196" s="4">
        <v>44204</v>
      </c>
      <c r="B2196" t="s">
        <v>10</v>
      </c>
      <c r="C2196">
        <v>1</v>
      </c>
      <c r="F2196">
        <v>185</v>
      </c>
      <c r="J2196">
        <v>0.97099999999999997</v>
      </c>
      <c r="K2196">
        <v>31.36</v>
      </c>
      <c r="L2196">
        <v>32.29</v>
      </c>
      <c r="M2196">
        <v>141</v>
      </c>
      <c r="N2196">
        <v>22</v>
      </c>
      <c r="O2196">
        <v>0</v>
      </c>
      <c r="P2196">
        <v>0</v>
      </c>
    </row>
    <row r="2197" spans="1:16" x14ac:dyDescent="0.25">
      <c r="A2197" s="4">
        <v>44204</v>
      </c>
      <c r="B2197" t="s">
        <v>9</v>
      </c>
      <c r="C2197">
        <v>1</v>
      </c>
      <c r="F2197">
        <v>286</v>
      </c>
      <c r="J2197">
        <v>1.135</v>
      </c>
      <c r="K2197">
        <v>39.72</v>
      </c>
      <c r="L2197">
        <v>35.01</v>
      </c>
      <c r="M2197">
        <v>231</v>
      </c>
      <c r="N2197">
        <v>22</v>
      </c>
      <c r="O2197">
        <v>3</v>
      </c>
      <c r="P2197">
        <v>0</v>
      </c>
    </row>
    <row r="2198" spans="1:16" x14ac:dyDescent="0.25">
      <c r="A2198" s="4">
        <v>44204</v>
      </c>
      <c r="B2198" t="s">
        <v>10</v>
      </c>
      <c r="C2198" t="s">
        <v>78</v>
      </c>
      <c r="F2198">
        <v>185</v>
      </c>
      <c r="J2198">
        <v>0.97099999999999997</v>
      </c>
      <c r="K2198">
        <v>31.36</v>
      </c>
      <c r="L2198">
        <v>32.29</v>
      </c>
      <c r="M2198">
        <v>141</v>
      </c>
      <c r="N2198">
        <v>22</v>
      </c>
      <c r="O2198">
        <v>0</v>
      </c>
      <c r="P2198">
        <v>0</v>
      </c>
    </row>
    <row r="2199" spans="1:16" x14ac:dyDescent="0.25">
      <c r="A2199" s="4">
        <v>44204</v>
      </c>
      <c r="B2199" t="s">
        <v>9</v>
      </c>
      <c r="C2199" t="s">
        <v>78</v>
      </c>
      <c r="F2199">
        <v>286</v>
      </c>
      <c r="J2199">
        <v>1.135</v>
      </c>
      <c r="K2199">
        <v>39.72</v>
      </c>
      <c r="L2199">
        <v>35.01</v>
      </c>
      <c r="M2199">
        <v>231</v>
      </c>
      <c r="N2199">
        <v>22</v>
      </c>
      <c r="O2199">
        <v>3</v>
      </c>
      <c r="P2199">
        <v>0</v>
      </c>
    </row>
    <row r="2200" spans="1:16" x14ac:dyDescent="0.25">
      <c r="A2200" s="4">
        <v>44207</v>
      </c>
      <c r="B2200" t="s">
        <v>10</v>
      </c>
      <c r="C2200">
        <v>1</v>
      </c>
      <c r="F2200">
        <v>244</v>
      </c>
      <c r="J2200">
        <v>1.036</v>
      </c>
      <c r="K2200">
        <v>33.89</v>
      </c>
      <c r="L2200">
        <v>32.72</v>
      </c>
      <c r="M2200">
        <v>162</v>
      </c>
      <c r="N2200">
        <v>29</v>
      </c>
      <c r="O2200">
        <v>7</v>
      </c>
      <c r="P2200">
        <v>0</v>
      </c>
    </row>
    <row r="2201" spans="1:16" x14ac:dyDescent="0.25">
      <c r="A2201" s="4">
        <v>44207</v>
      </c>
      <c r="B2201" t="s">
        <v>9</v>
      </c>
      <c r="C2201">
        <v>1</v>
      </c>
      <c r="F2201">
        <v>305</v>
      </c>
      <c r="J2201">
        <v>1.1339999999999999</v>
      </c>
      <c r="K2201">
        <v>42.36</v>
      </c>
      <c r="L2201">
        <v>37.35</v>
      </c>
      <c r="M2201">
        <v>223</v>
      </c>
      <c r="N2201">
        <v>31</v>
      </c>
      <c r="O2201">
        <v>3</v>
      </c>
      <c r="P2201">
        <v>1</v>
      </c>
    </row>
    <row r="2202" spans="1:16" x14ac:dyDescent="0.25">
      <c r="A2202" s="4">
        <v>44207</v>
      </c>
      <c r="B2202" t="s">
        <v>10</v>
      </c>
      <c r="C2202" t="s">
        <v>78</v>
      </c>
      <c r="F2202">
        <v>244</v>
      </c>
      <c r="J2202">
        <v>1.036</v>
      </c>
      <c r="K2202">
        <v>33.89</v>
      </c>
      <c r="L2202">
        <v>32.72</v>
      </c>
      <c r="M2202">
        <v>162</v>
      </c>
      <c r="N2202">
        <v>29</v>
      </c>
      <c r="O2202">
        <v>7</v>
      </c>
      <c r="P2202">
        <v>0</v>
      </c>
    </row>
    <row r="2203" spans="1:16" x14ac:dyDescent="0.25">
      <c r="A2203" s="4">
        <v>44207</v>
      </c>
      <c r="B2203" t="s">
        <v>9</v>
      </c>
      <c r="C2203" t="s">
        <v>78</v>
      </c>
      <c r="F2203">
        <v>305</v>
      </c>
      <c r="J2203">
        <v>1.1339999999999999</v>
      </c>
      <c r="K2203">
        <v>42.36</v>
      </c>
      <c r="L2203">
        <v>37.35</v>
      </c>
      <c r="M2203">
        <v>223</v>
      </c>
      <c r="N2203">
        <v>31</v>
      </c>
      <c r="O2203">
        <v>3</v>
      </c>
      <c r="P2203">
        <v>1</v>
      </c>
    </row>
    <row r="2204" spans="1:16" x14ac:dyDescent="0.25">
      <c r="A2204" s="4">
        <v>44208</v>
      </c>
      <c r="B2204" t="s">
        <v>10</v>
      </c>
      <c r="C2204">
        <v>1</v>
      </c>
      <c r="F2204">
        <v>269</v>
      </c>
      <c r="J2204">
        <v>1.1140000000000001</v>
      </c>
      <c r="K2204">
        <v>37.36</v>
      </c>
      <c r="L2204">
        <v>33.54</v>
      </c>
      <c r="M2204">
        <v>199</v>
      </c>
      <c r="N2204">
        <v>23</v>
      </c>
      <c r="O2204">
        <v>5</v>
      </c>
      <c r="P2204">
        <v>1</v>
      </c>
    </row>
    <row r="2205" spans="1:16" x14ac:dyDescent="0.25">
      <c r="A2205" s="4">
        <v>44208</v>
      </c>
      <c r="B2205" t="s">
        <v>9</v>
      </c>
      <c r="C2205">
        <v>1</v>
      </c>
      <c r="F2205">
        <v>279</v>
      </c>
      <c r="J2205">
        <v>1.0900000000000001</v>
      </c>
      <c r="K2205">
        <v>38.75</v>
      </c>
      <c r="L2205">
        <v>35.54</v>
      </c>
      <c r="M2205">
        <v>220</v>
      </c>
      <c r="N2205">
        <v>19</v>
      </c>
      <c r="O2205">
        <v>4</v>
      </c>
      <c r="P2205">
        <v>1</v>
      </c>
    </row>
    <row r="2206" spans="1:16" x14ac:dyDescent="0.25">
      <c r="A2206" s="4">
        <v>44208</v>
      </c>
      <c r="B2206" t="s">
        <v>10</v>
      </c>
      <c r="C2206" t="s">
        <v>78</v>
      </c>
      <c r="F2206">
        <v>269</v>
      </c>
      <c r="J2206">
        <v>1.1140000000000001</v>
      </c>
      <c r="K2206">
        <v>37.36</v>
      </c>
      <c r="L2206">
        <v>33.54</v>
      </c>
      <c r="M2206">
        <v>199</v>
      </c>
      <c r="N2206">
        <v>23</v>
      </c>
      <c r="O2206">
        <v>5</v>
      </c>
      <c r="P2206">
        <v>1</v>
      </c>
    </row>
    <row r="2207" spans="1:16" x14ac:dyDescent="0.25">
      <c r="A2207" s="4">
        <v>44208</v>
      </c>
      <c r="B2207" t="s">
        <v>9</v>
      </c>
      <c r="C2207" t="s">
        <v>78</v>
      </c>
      <c r="F2207">
        <v>279</v>
      </c>
      <c r="J2207">
        <v>1.0900000000000001</v>
      </c>
      <c r="K2207">
        <v>38.75</v>
      </c>
      <c r="L2207">
        <v>35.54</v>
      </c>
      <c r="M2207">
        <v>220</v>
      </c>
      <c r="N2207">
        <v>19</v>
      </c>
      <c r="O2207">
        <v>4</v>
      </c>
      <c r="P2207">
        <v>1</v>
      </c>
    </row>
    <row r="2208" spans="1:16" x14ac:dyDescent="0.25">
      <c r="A2208" s="4">
        <v>44209</v>
      </c>
      <c r="B2208" t="s">
        <v>10</v>
      </c>
      <c r="C2208">
        <v>1</v>
      </c>
      <c r="F2208">
        <v>292</v>
      </c>
      <c r="J2208">
        <v>1.24</v>
      </c>
      <c r="K2208">
        <v>40.56</v>
      </c>
      <c r="L2208">
        <v>32.700000000000003</v>
      </c>
      <c r="M2208">
        <v>238</v>
      </c>
      <c r="N2208">
        <v>13</v>
      </c>
      <c r="O2208">
        <v>6</v>
      </c>
      <c r="P2208">
        <v>1</v>
      </c>
    </row>
    <row r="2209" spans="1:16" x14ac:dyDescent="0.25">
      <c r="A2209" s="4">
        <v>44209</v>
      </c>
      <c r="B2209" t="s">
        <v>9</v>
      </c>
      <c r="C2209">
        <v>1</v>
      </c>
      <c r="F2209">
        <v>285</v>
      </c>
      <c r="J2209">
        <v>1.079</v>
      </c>
      <c r="K2209">
        <v>39.58</v>
      </c>
      <c r="L2209">
        <v>36.69</v>
      </c>
      <c r="M2209">
        <v>220</v>
      </c>
      <c r="N2209">
        <v>21</v>
      </c>
      <c r="O2209">
        <v>5</v>
      </c>
      <c r="P2209">
        <v>0</v>
      </c>
    </row>
    <row r="2210" spans="1:16" x14ac:dyDescent="0.25">
      <c r="A2210" s="4">
        <v>44209</v>
      </c>
      <c r="B2210" t="s">
        <v>10</v>
      </c>
      <c r="C2210" t="s">
        <v>78</v>
      </c>
      <c r="F2210">
        <v>292</v>
      </c>
      <c r="J2210">
        <v>1.24</v>
      </c>
      <c r="K2210">
        <v>40.56</v>
      </c>
      <c r="L2210">
        <v>32.700000000000003</v>
      </c>
      <c r="M2210">
        <v>238</v>
      </c>
      <c r="N2210">
        <v>13</v>
      </c>
      <c r="O2210">
        <v>6</v>
      </c>
      <c r="P2210">
        <v>1</v>
      </c>
    </row>
    <row r="2211" spans="1:16" x14ac:dyDescent="0.25">
      <c r="A2211" s="4">
        <v>44209</v>
      </c>
      <c r="B2211" t="s">
        <v>9</v>
      </c>
      <c r="C2211" t="s">
        <v>78</v>
      </c>
      <c r="F2211">
        <v>285</v>
      </c>
      <c r="J2211">
        <v>1.079</v>
      </c>
      <c r="K2211">
        <v>39.58</v>
      </c>
      <c r="L2211">
        <v>36.69</v>
      </c>
      <c r="M2211">
        <v>220</v>
      </c>
      <c r="N2211">
        <v>21</v>
      </c>
      <c r="O2211">
        <v>5</v>
      </c>
      <c r="P2211">
        <v>0</v>
      </c>
    </row>
    <row r="2212" spans="1:16" x14ac:dyDescent="0.25">
      <c r="A2212" s="4">
        <v>44210</v>
      </c>
      <c r="B2212" t="s">
        <v>10</v>
      </c>
      <c r="C2212">
        <v>1</v>
      </c>
      <c r="F2212">
        <v>228</v>
      </c>
      <c r="J2212">
        <v>0.96799999999999997</v>
      </c>
      <c r="K2212">
        <v>31.67</v>
      </c>
      <c r="L2212">
        <v>32.71</v>
      </c>
      <c r="M2212">
        <v>161</v>
      </c>
      <c r="N2212">
        <v>29</v>
      </c>
      <c r="O2212">
        <v>3</v>
      </c>
      <c r="P2212">
        <v>0</v>
      </c>
    </row>
    <row r="2213" spans="1:16" x14ac:dyDescent="0.25">
      <c r="A2213" s="4">
        <v>44210</v>
      </c>
      <c r="B2213" t="s">
        <v>9</v>
      </c>
      <c r="C2213">
        <v>1</v>
      </c>
      <c r="F2213">
        <v>284</v>
      </c>
      <c r="J2213">
        <v>1.1080000000000001</v>
      </c>
      <c r="K2213">
        <v>39.44</v>
      </c>
      <c r="L2213">
        <v>35.58</v>
      </c>
      <c r="M2213">
        <v>225</v>
      </c>
      <c r="N2213">
        <v>17</v>
      </c>
      <c r="O2213">
        <v>5</v>
      </c>
      <c r="P2213">
        <v>0</v>
      </c>
    </row>
    <row r="2214" spans="1:16" x14ac:dyDescent="0.25">
      <c r="A2214" s="4">
        <v>44210</v>
      </c>
      <c r="B2214" t="s">
        <v>10</v>
      </c>
      <c r="C2214" t="s">
        <v>78</v>
      </c>
      <c r="F2214">
        <v>228</v>
      </c>
      <c r="J2214">
        <v>0.96799999999999997</v>
      </c>
      <c r="K2214">
        <v>31.67</v>
      </c>
      <c r="L2214">
        <v>32.71</v>
      </c>
      <c r="M2214">
        <v>161</v>
      </c>
      <c r="N2214">
        <v>29</v>
      </c>
      <c r="O2214">
        <v>3</v>
      </c>
      <c r="P2214">
        <v>0</v>
      </c>
    </row>
    <row r="2215" spans="1:16" x14ac:dyDescent="0.25">
      <c r="A2215" s="4">
        <v>44210</v>
      </c>
      <c r="B2215" t="s">
        <v>9</v>
      </c>
      <c r="C2215" t="s">
        <v>78</v>
      </c>
      <c r="F2215">
        <v>284</v>
      </c>
      <c r="J2215">
        <v>1.1080000000000001</v>
      </c>
      <c r="K2215">
        <v>39.44</v>
      </c>
      <c r="L2215">
        <v>35.58</v>
      </c>
      <c r="M2215">
        <v>225</v>
      </c>
      <c r="N2215">
        <v>17</v>
      </c>
      <c r="O2215">
        <v>5</v>
      </c>
      <c r="P2215">
        <v>0</v>
      </c>
    </row>
    <row r="2216" spans="1:16" x14ac:dyDescent="0.25">
      <c r="A2216" s="4">
        <v>44211</v>
      </c>
      <c r="B2216" t="s">
        <v>10</v>
      </c>
      <c r="C2216">
        <v>1</v>
      </c>
      <c r="F2216">
        <v>228</v>
      </c>
      <c r="J2216">
        <v>1.143</v>
      </c>
      <c r="K2216">
        <v>37.380000000000003</v>
      </c>
      <c r="L2216">
        <v>32.71</v>
      </c>
      <c r="M2216">
        <v>161</v>
      </c>
      <c r="N2216">
        <v>29</v>
      </c>
      <c r="O2216">
        <v>3</v>
      </c>
      <c r="P2216">
        <v>0</v>
      </c>
    </row>
    <row r="2217" spans="1:16" x14ac:dyDescent="0.25">
      <c r="A2217" s="4">
        <v>44211</v>
      </c>
      <c r="B2217" t="s">
        <v>9</v>
      </c>
      <c r="C2217">
        <v>1</v>
      </c>
      <c r="F2217">
        <v>285</v>
      </c>
      <c r="J2217">
        <v>1.2150000000000001</v>
      </c>
      <c r="K2217">
        <v>43.18</v>
      </c>
      <c r="L2217">
        <v>35.549999999999997</v>
      </c>
      <c r="M2217">
        <v>226</v>
      </c>
      <c r="N2217">
        <v>17</v>
      </c>
      <c r="O2217">
        <v>5</v>
      </c>
      <c r="P2217">
        <v>0</v>
      </c>
    </row>
    <row r="2218" spans="1:16" x14ac:dyDescent="0.25">
      <c r="A2218" s="4">
        <v>44211</v>
      </c>
      <c r="B2218" t="s">
        <v>10</v>
      </c>
      <c r="C2218" t="s">
        <v>78</v>
      </c>
      <c r="F2218">
        <v>228</v>
      </c>
      <c r="J2218">
        <v>1.143</v>
      </c>
      <c r="K2218">
        <v>37.380000000000003</v>
      </c>
      <c r="L2218">
        <v>32.71</v>
      </c>
      <c r="M2218">
        <v>161</v>
      </c>
      <c r="N2218">
        <v>29</v>
      </c>
      <c r="O2218">
        <v>3</v>
      </c>
      <c r="P2218">
        <v>0</v>
      </c>
    </row>
    <row r="2219" spans="1:16" x14ac:dyDescent="0.25">
      <c r="A2219" s="4">
        <v>44211</v>
      </c>
      <c r="B2219" t="s">
        <v>9</v>
      </c>
      <c r="C2219" t="s">
        <v>78</v>
      </c>
      <c r="F2219">
        <v>285</v>
      </c>
      <c r="J2219">
        <v>1.2150000000000001</v>
      </c>
      <c r="K2219">
        <v>43.18</v>
      </c>
      <c r="L2219">
        <v>35.549999999999997</v>
      </c>
      <c r="M2219">
        <v>226</v>
      </c>
      <c r="N2219">
        <v>17</v>
      </c>
      <c r="O2219">
        <v>5</v>
      </c>
      <c r="P2219">
        <v>0</v>
      </c>
    </row>
    <row r="2220" spans="1:16" x14ac:dyDescent="0.25">
      <c r="A2220" s="4">
        <v>44214</v>
      </c>
      <c r="B2220" t="s">
        <v>10</v>
      </c>
      <c r="C2220">
        <v>1</v>
      </c>
      <c r="F2220">
        <v>242</v>
      </c>
      <c r="J2220">
        <v>1.0269999999999999</v>
      </c>
      <c r="K2220">
        <v>34.57</v>
      </c>
      <c r="L2220">
        <v>33.67</v>
      </c>
      <c r="M2220">
        <v>171</v>
      </c>
      <c r="N2220">
        <v>21</v>
      </c>
      <c r="O2220">
        <v>5</v>
      </c>
      <c r="P2220">
        <v>2</v>
      </c>
    </row>
    <row r="2221" spans="1:16" x14ac:dyDescent="0.25">
      <c r="A2221" s="4">
        <v>44214</v>
      </c>
      <c r="B2221" t="s">
        <v>9</v>
      </c>
      <c r="C2221">
        <v>1</v>
      </c>
      <c r="F2221">
        <v>358</v>
      </c>
      <c r="J2221">
        <v>1.101</v>
      </c>
      <c r="K2221">
        <v>41.15</v>
      </c>
      <c r="L2221">
        <v>37.369999999999997</v>
      </c>
      <c r="M2221">
        <v>239</v>
      </c>
      <c r="N2221">
        <v>46</v>
      </c>
      <c r="O2221">
        <v>7</v>
      </c>
      <c r="P2221">
        <v>0</v>
      </c>
    </row>
    <row r="2222" spans="1:16" x14ac:dyDescent="0.25">
      <c r="A2222" s="4">
        <v>44214</v>
      </c>
      <c r="B2222" t="s">
        <v>10</v>
      </c>
      <c r="C2222" t="s">
        <v>78</v>
      </c>
      <c r="F2222">
        <v>242</v>
      </c>
      <c r="J2222">
        <v>1.0269999999999999</v>
      </c>
      <c r="K2222">
        <v>34.57</v>
      </c>
      <c r="L2222">
        <v>33.67</v>
      </c>
      <c r="M2222">
        <v>171</v>
      </c>
      <c r="N2222">
        <v>21</v>
      </c>
      <c r="O2222">
        <v>5</v>
      </c>
      <c r="P2222">
        <v>2</v>
      </c>
    </row>
    <row r="2223" spans="1:16" x14ac:dyDescent="0.25">
      <c r="A2223" s="4">
        <v>44214</v>
      </c>
      <c r="B2223" t="s">
        <v>9</v>
      </c>
      <c r="C2223" t="s">
        <v>78</v>
      </c>
      <c r="F2223">
        <v>358</v>
      </c>
      <c r="J2223">
        <v>1.101</v>
      </c>
      <c r="K2223">
        <v>41.15</v>
      </c>
      <c r="L2223">
        <v>37.369999999999997</v>
      </c>
      <c r="M2223">
        <v>239</v>
      </c>
      <c r="N2223">
        <v>46</v>
      </c>
      <c r="O2223">
        <v>7</v>
      </c>
      <c r="P2223">
        <v>0</v>
      </c>
    </row>
    <row r="2224" spans="1:16" x14ac:dyDescent="0.25">
      <c r="A2224" s="4">
        <v>44215</v>
      </c>
      <c r="B2224" t="s">
        <v>10</v>
      </c>
      <c r="C2224">
        <v>1</v>
      </c>
      <c r="F2224">
        <v>320</v>
      </c>
      <c r="J2224">
        <v>1.1000000000000001</v>
      </c>
      <c r="K2224">
        <v>37.65</v>
      </c>
      <c r="L2224">
        <v>34.229999999999997</v>
      </c>
      <c r="M2224">
        <v>218</v>
      </c>
      <c r="N2224">
        <v>28</v>
      </c>
      <c r="O2224">
        <v>11</v>
      </c>
      <c r="P2224">
        <v>1</v>
      </c>
    </row>
    <row r="2225" spans="1:16" x14ac:dyDescent="0.25">
      <c r="A2225" s="4">
        <v>44215</v>
      </c>
      <c r="B2225" t="s">
        <v>9</v>
      </c>
      <c r="C2225">
        <v>1</v>
      </c>
      <c r="F2225">
        <v>356</v>
      </c>
      <c r="J2225">
        <v>1.073</v>
      </c>
      <c r="K2225">
        <v>40.92</v>
      </c>
      <c r="L2225">
        <v>38.130000000000003</v>
      </c>
      <c r="M2225">
        <v>250</v>
      </c>
      <c r="N2225">
        <v>28</v>
      </c>
      <c r="O2225">
        <v>11</v>
      </c>
      <c r="P2225">
        <v>0</v>
      </c>
    </row>
    <row r="2226" spans="1:16" x14ac:dyDescent="0.25">
      <c r="A2226" s="4">
        <v>44215</v>
      </c>
      <c r="B2226" t="s">
        <v>10</v>
      </c>
      <c r="C2226" t="s">
        <v>78</v>
      </c>
      <c r="F2226">
        <v>320</v>
      </c>
      <c r="J2226">
        <v>1.1000000000000001</v>
      </c>
      <c r="K2226">
        <v>37.65</v>
      </c>
      <c r="L2226">
        <v>34.229999999999997</v>
      </c>
      <c r="M2226">
        <v>218</v>
      </c>
      <c r="N2226">
        <v>28</v>
      </c>
      <c r="O2226">
        <v>11</v>
      </c>
      <c r="P2226">
        <v>1</v>
      </c>
    </row>
    <row r="2227" spans="1:16" x14ac:dyDescent="0.25">
      <c r="A2227" s="4">
        <v>44215</v>
      </c>
      <c r="B2227" t="s">
        <v>9</v>
      </c>
      <c r="C2227" t="s">
        <v>78</v>
      </c>
      <c r="F2227">
        <v>356</v>
      </c>
      <c r="J2227">
        <v>1.073</v>
      </c>
      <c r="K2227">
        <v>40.92</v>
      </c>
      <c r="L2227">
        <v>38.130000000000003</v>
      </c>
      <c r="M2227">
        <v>250</v>
      </c>
      <c r="N2227">
        <v>28</v>
      </c>
      <c r="O2227">
        <v>11</v>
      </c>
      <c r="P2227">
        <v>0</v>
      </c>
    </row>
    <row r="2228" spans="1:16" x14ac:dyDescent="0.25">
      <c r="A2228" s="4">
        <v>44216</v>
      </c>
      <c r="B2228" t="s">
        <v>10</v>
      </c>
      <c r="C2228">
        <v>1</v>
      </c>
      <c r="F2228">
        <v>386</v>
      </c>
      <c r="J2228">
        <v>1.266</v>
      </c>
      <c r="K2228">
        <v>42.89</v>
      </c>
      <c r="L2228">
        <v>33.869999999999997</v>
      </c>
      <c r="M2228">
        <v>257</v>
      </c>
      <c r="N2228">
        <v>43</v>
      </c>
      <c r="O2228">
        <v>10</v>
      </c>
      <c r="P2228">
        <v>1</v>
      </c>
    </row>
    <row r="2229" spans="1:16" x14ac:dyDescent="0.25">
      <c r="A2229" s="4">
        <v>44216</v>
      </c>
      <c r="B2229" t="s">
        <v>9</v>
      </c>
      <c r="C2229">
        <v>1</v>
      </c>
      <c r="F2229">
        <v>368</v>
      </c>
      <c r="J2229">
        <v>1.099</v>
      </c>
      <c r="K2229">
        <v>40.89</v>
      </c>
      <c r="L2229">
        <v>37.200000000000003</v>
      </c>
      <c r="M2229">
        <v>267</v>
      </c>
      <c r="N2229">
        <v>34</v>
      </c>
      <c r="O2229">
        <v>7</v>
      </c>
      <c r="P2229">
        <v>0</v>
      </c>
    </row>
    <row r="2230" spans="1:16" x14ac:dyDescent="0.25">
      <c r="A2230" s="4">
        <v>44216</v>
      </c>
      <c r="B2230" t="s">
        <v>10</v>
      </c>
      <c r="C2230" t="s">
        <v>78</v>
      </c>
      <c r="F2230">
        <v>386</v>
      </c>
      <c r="J2230">
        <v>1.266</v>
      </c>
      <c r="K2230">
        <v>42.89</v>
      </c>
      <c r="L2230">
        <v>33.869999999999997</v>
      </c>
      <c r="M2230">
        <v>257</v>
      </c>
      <c r="N2230">
        <v>43</v>
      </c>
      <c r="O2230">
        <v>10</v>
      </c>
      <c r="P2230">
        <v>1</v>
      </c>
    </row>
    <row r="2231" spans="1:16" x14ac:dyDescent="0.25">
      <c r="A2231" s="4">
        <v>44216</v>
      </c>
      <c r="B2231" t="s">
        <v>9</v>
      </c>
      <c r="C2231" t="s">
        <v>78</v>
      </c>
      <c r="F2231">
        <v>368</v>
      </c>
      <c r="J2231">
        <v>1.099</v>
      </c>
      <c r="K2231">
        <v>40.89</v>
      </c>
      <c r="L2231">
        <v>37.200000000000003</v>
      </c>
      <c r="M2231">
        <v>267</v>
      </c>
      <c r="N2231">
        <v>34</v>
      </c>
      <c r="O2231">
        <v>7</v>
      </c>
      <c r="P2231">
        <v>0</v>
      </c>
    </row>
    <row r="2232" spans="1:16" x14ac:dyDescent="0.25">
      <c r="A2232" s="4">
        <v>44217</v>
      </c>
      <c r="B2232" t="s">
        <v>10</v>
      </c>
      <c r="C2232">
        <v>1</v>
      </c>
      <c r="F2232">
        <v>304</v>
      </c>
      <c r="J2232">
        <v>1.2729999999999999</v>
      </c>
      <c r="K2232">
        <v>42.22</v>
      </c>
      <c r="L2232">
        <v>33.17</v>
      </c>
      <c r="M2232">
        <v>221</v>
      </c>
      <c r="N2232">
        <v>27</v>
      </c>
      <c r="O2232">
        <v>8</v>
      </c>
      <c r="P2232">
        <v>0</v>
      </c>
    </row>
    <row r="2233" spans="1:16" x14ac:dyDescent="0.25">
      <c r="A2233" s="4">
        <v>44217</v>
      </c>
      <c r="B2233" t="s">
        <v>9</v>
      </c>
      <c r="C2233">
        <v>1</v>
      </c>
      <c r="F2233">
        <v>324</v>
      </c>
      <c r="J2233">
        <v>1.2210000000000001</v>
      </c>
      <c r="K2233">
        <v>45</v>
      </c>
      <c r="L2233">
        <v>36.86</v>
      </c>
      <c r="M2233">
        <v>243</v>
      </c>
      <c r="N2233">
        <v>22</v>
      </c>
      <c r="O2233">
        <v>4</v>
      </c>
      <c r="P2233">
        <v>2</v>
      </c>
    </row>
    <row r="2234" spans="1:16" x14ac:dyDescent="0.25">
      <c r="A2234" s="4">
        <v>44217</v>
      </c>
      <c r="B2234" t="s">
        <v>10</v>
      </c>
      <c r="C2234" t="s">
        <v>78</v>
      </c>
      <c r="F2234">
        <v>304</v>
      </c>
      <c r="J2234">
        <v>1.2729999999999999</v>
      </c>
      <c r="K2234">
        <v>42.22</v>
      </c>
      <c r="L2234">
        <v>33.17</v>
      </c>
      <c r="M2234">
        <v>221</v>
      </c>
      <c r="N2234">
        <v>27</v>
      </c>
      <c r="O2234">
        <v>8</v>
      </c>
      <c r="P2234">
        <v>0</v>
      </c>
    </row>
    <row r="2235" spans="1:16" x14ac:dyDescent="0.25">
      <c r="A2235" s="4">
        <v>44217</v>
      </c>
      <c r="B2235" t="s">
        <v>9</v>
      </c>
      <c r="C2235" t="s">
        <v>78</v>
      </c>
      <c r="F2235">
        <v>324</v>
      </c>
      <c r="J2235">
        <v>1.2210000000000001</v>
      </c>
      <c r="K2235">
        <v>45</v>
      </c>
      <c r="L2235">
        <v>36.86</v>
      </c>
      <c r="M2235">
        <v>243</v>
      </c>
      <c r="N2235">
        <v>22</v>
      </c>
      <c r="O2235">
        <v>4</v>
      </c>
      <c r="P2235">
        <v>2</v>
      </c>
    </row>
    <row r="2236" spans="1:16" x14ac:dyDescent="0.25">
      <c r="A2236" s="4">
        <v>44218</v>
      </c>
      <c r="B2236" t="s">
        <v>10</v>
      </c>
      <c r="C2236">
        <v>1</v>
      </c>
      <c r="F2236">
        <v>301</v>
      </c>
      <c r="J2236">
        <v>1.41</v>
      </c>
      <c r="K2236">
        <v>44.26</v>
      </c>
      <c r="L2236">
        <v>31.39</v>
      </c>
      <c r="M2236">
        <v>226</v>
      </c>
      <c r="N2236">
        <v>31</v>
      </c>
      <c r="O2236">
        <v>3</v>
      </c>
      <c r="P2236">
        <v>0</v>
      </c>
    </row>
    <row r="2237" spans="1:16" x14ac:dyDescent="0.25">
      <c r="A2237" s="4">
        <v>44218</v>
      </c>
      <c r="B2237" t="s">
        <v>9</v>
      </c>
      <c r="C2237">
        <v>1</v>
      </c>
      <c r="F2237">
        <v>266</v>
      </c>
      <c r="J2237">
        <v>1.1020000000000001</v>
      </c>
      <c r="K2237">
        <v>39.119999999999997</v>
      </c>
      <c r="L2237">
        <v>35.479999999999997</v>
      </c>
      <c r="M2237">
        <v>215</v>
      </c>
      <c r="N2237">
        <v>23</v>
      </c>
      <c r="O2237">
        <v>1</v>
      </c>
      <c r="P2237">
        <v>0</v>
      </c>
    </row>
    <row r="2238" spans="1:16" x14ac:dyDescent="0.25">
      <c r="A2238" s="4">
        <v>44218</v>
      </c>
      <c r="B2238" t="s">
        <v>10</v>
      </c>
      <c r="C2238" t="s">
        <v>78</v>
      </c>
      <c r="F2238">
        <v>301</v>
      </c>
      <c r="J2238">
        <v>1.41</v>
      </c>
      <c r="K2238">
        <v>44.26</v>
      </c>
      <c r="L2238">
        <v>31.39</v>
      </c>
      <c r="M2238">
        <v>226</v>
      </c>
      <c r="N2238">
        <v>31</v>
      </c>
      <c r="O2238">
        <v>3</v>
      </c>
      <c r="P2238">
        <v>0</v>
      </c>
    </row>
    <row r="2239" spans="1:16" x14ac:dyDescent="0.25">
      <c r="A2239" s="4">
        <v>44218</v>
      </c>
      <c r="B2239" t="s">
        <v>9</v>
      </c>
      <c r="C2239" t="s">
        <v>78</v>
      </c>
      <c r="F2239">
        <v>266</v>
      </c>
      <c r="J2239">
        <v>1.1020000000000001</v>
      </c>
      <c r="K2239">
        <v>39.119999999999997</v>
      </c>
      <c r="L2239">
        <v>35.479999999999997</v>
      </c>
      <c r="M2239">
        <v>215</v>
      </c>
      <c r="N2239">
        <v>23</v>
      </c>
      <c r="O2239">
        <v>1</v>
      </c>
      <c r="P2239">
        <v>0</v>
      </c>
    </row>
    <row r="2240" spans="1:16" x14ac:dyDescent="0.25">
      <c r="A2240" s="4">
        <v>44221</v>
      </c>
      <c r="B2240" t="s">
        <v>10</v>
      </c>
      <c r="C2240">
        <v>1</v>
      </c>
      <c r="F2240">
        <v>359</v>
      </c>
      <c r="J2240">
        <v>1.4359999999999999</v>
      </c>
      <c r="K2240">
        <v>49.86</v>
      </c>
      <c r="L2240">
        <v>34.729999999999997</v>
      </c>
      <c r="M2240">
        <v>220</v>
      </c>
      <c r="N2240">
        <v>41</v>
      </c>
      <c r="O2240">
        <v>9</v>
      </c>
      <c r="P2240">
        <v>3</v>
      </c>
    </row>
    <row r="2241" spans="1:16" x14ac:dyDescent="0.25">
      <c r="A2241" s="4">
        <v>44221</v>
      </c>
      <c r="B2241" t="s">
        <v>9</v>
      </c>
      <c r="C2241">
        <v>1</v>
      </c>
      <c r="F2241">
        <v>307</v>
      </c>
      <c r="J2241">
        <v>1.137</v>
      </c>
      <c r="K2241">
        <v>42.64</v>
      </c>
      <c r="L2241">
        <v>37.51</v>
      </c>
      <c r="M2241">
        <v>224</v>
      </c>
      <c r="N2241">
        <v>22</v>
      </c>
      <c r="O2241">
        <v>8</v>
      </c>
      <c r="P2241">
        <v>1</v>
      </c>
    </row>
    <row r="2242" spans="1:16" x14ac:dyDescent="0.25">
      <c r="A2242" s="4">
        <v>44221</v>
      </c>
      <c r="B2242" t="s">
        <v>10</v>
      </c>
      <c r="C2242" t="s">
        <v>78</v>
      </c>
      <c r="F2242">
        <v>359</v>
      </c>
      <c r="J2242">
        <v>1.4359999999999999</v>
      </c>
      <c r="K2242">
        <v>49.86</v>
      </c>
      <c r="L2242">
        <v>34.729999999999997</v>
      </c>
      <c r="M2242">
        <v>220</v>
      </c>
      <c r="N2242">
        <v>41</v>
      </c>
      <c r="O2242">
        <v>9</v>
      </c>
      <c r="P2242">
        <v>3</v>
      </c>
    </row>
    <row r="2243" spans="1:16" x14ac:dyDescent="0.25">
      <c r="A2243" s="4">
        <v>44221</v>
      </c>
      <c r="B2243" t="s">
        <v>9</v>
      </c>
      <c r="C2243" t="s">
        <v>78</v>
      </c>
      <c r="F2243">
        <v>307</v>
      </c>
      <c r="J2243">
        <v>1.137</v>
      </c>
      <c r="K2243">
        <v>42.64</v>
      </c>
      <c r="L2243">
        <v>37.51</v>
      </c>
      <c r="M2243">
        <v>224</v>
      </c>
      <c r="N2243">
        <v>22</v>
      </c>
      <c r="O2243">
        <v>8</v>
      </c>
      <c r="P2243">
        <v>1</v>
      </c>
    </row>
    <row r="2244" spans="1:16" x14ac:dyDescent="0.25">
      <c r="A2244" s="4">
        <v>44222</v>
      </c>
      <c r="B2244" t="s">
        <v>10</v>
      </c>
      <c r="C2244">
        <v>1</v>
      </c>
      <c r="F2244">
        <v>339</v>
      </c>
      <c r="J2244">
        <v>1.38</v>
      </c>
      <c r="K2244">
        <v>47.08</v>
      </c>
      <c r="L2244">
        <v>34.119999999999997</v>
      </c>
      <c r="M2244">
        <v>212</v>
      </c>
      <c r="N2244">
        <v>45</v>
      </c>
      <c r="O2244">
        <v>8</v>
      </c>
      <c r="P2244">
        <v>0</v>
      </c>
    </row>
    <row r="2245" spans="1:16" x14ac:dyDescent="0.25">
      <c r="A2245" s="4">
        <v>44222</v>
      </c>
      <c r="B2245" t="s">
        <v>9</v>
      </c>
      <c r="C2245">
        <v>1</v>
      </c>
      <c r="F2245">
        <v>316</v>
      </c>
      <c r="J2245">
        <v>1.1539999999999999</v>
      </c>
      <c r="K2245">
        <v>43.89</v>
      </c>
      <c r="L2245">
        <v>38.04</v>
      </c>
      <c r="M2245">
        <v>207</v>
      </c>
      <c r="N2245">
        <v>31</v>
      </c>
      <c r="O2245">
        <v>8</v>
      </c>
      <c r="P2245">
        <v>2</v>
      </c>
    </row>
    <row r="2246" spans="1:16" x14ac:dyDescent="0.25">
      <c r="A2246" s="4">
        <v>44222</v>
      </c>
      <c r="B2246" t="s">
        <v>10</v>
      </c>
      <c r="C2246" t="s">
        <v>78</v>
      </c>
      <c r="F2246">
        <v>339</v>
      </c>
      <c r="J2246">
        <v>1.38</v>
      </c>
      <c r="K2246">
        <v>47.08</v>
      </c>
      <c r="L2246">
        <v>34.119999999999997</v>
      </c>
      <c r="M2246">
        <v>212</v>
      </c>
      <c r="N2246">
        <v>45</v>
      </c>
      <c r="O2246">
        <v>8</v>
      </c>
      <c r="P2246">
        <v>0</v>
      </c>
    </row>
    <row r="2247" spans="1:16" x14ac:dyDescent="0.25">
      <c r="A2247" s="4">
        <v>44222</v>
      </c>
      <c r="B2247" t="s">
        <v>9</v>
      </c>
      <c r="C2247" t="s">
        <v>78</v>
      </c>
      <c r="F2247">
        <v>316</v>
      </c>
      <c r="J2247">
        <v>1.1539999999999999</v>
      </c>
      <c r="K2247">
        <v>43.89</v>
      </c>
      <c r="L2247">
        <v>38.04</v>
      </c>
      <c r="M2247">
        <v>207</v>
      </c>
      <c r="N2247">
        <v>31</v>
      </c>
      <c r="O2247">
        <v>8</v>
      </c>
      <c r="P2247">
        <v>2</v>
      </c>
    </row>
    <row r="2248" spans="1:16" x14ac:dyDescent="0.25">
      <c r="A2248" s="4">
        <v>44223</v>
      </c>
      <c r="B2248" t="s">
        <v>10</v>
      </c>
      <c r="C2248">
        <v>1</v>
      </c>
      <c r="F2248">
        <v>372</v>
      </c>
      <c r="J2248">
        <v>1.272</v>
      </c>
      <c r="K2248">
        <v>42.27</v>
      </c>
      <c r="L2248">
        <v>33.24</v>
      </c>
      <c r="M2248">
        <v>259</v>
      </c>
      <c r="N2248">
        <v>41</v>
      </c>
      <c r="O2248">
        <v>5</v>
      </c>
      <c r="P2248">
        <v>1</v>
      </c>
    </row>
    <row r="2249" spans="1:16" x14ac:dyDescent="0.25">
      <c r="A2249" s="4">
        <v>44223</v>
      </c>
      <c r="B2249" t="s">
        <v>9</v>
      </c>
      <c r="C2249">
        <v>1</v>
      </c>
      <c r="F2249">
        <v>387</v>
      </c>
      <c r="J2249">
        <v>1.1359999999999999</v>
      </c>
      <c r="K2249">
        <v>43</v>
      </c>
      <c r="L2249">
        <v>37.85</v>
      </c>
      <c r="M2249">
        <v>247</v>
      </c>
      <c r="N2249">
        <v>54</v>
      </c>
      <c r="O2249">
        <v>7</v>
      </c>
      <c r="P2249">
        <v>1</v>
      </c>
    </row>
    <row r="2250" spans="1:16" x14ac:dyDescent="0.25">
      <c r="A2250" s="4">
        <v>44223</v>
      </c>
      <c r="B2250" t="s">
        <v>10</v>
      </c>
      <c r="C2250" t="s">
        <v>78</v>
      </c>
      <c r="F2250">
        <v>372</v>
      </c>
      <c r="J2250">
        <v>1.272</v>
      </c>
      <c r="K2250">
        <v>42.27</v>
      </c>
      <c r="L2250">
        <v>33.24</v>
      </c>
      <c r="M2250">
        <v>259</v>
      </c>
      <c r="N2250">
        <v>41</v>
      </c>
      <c r="O2250">
        <v>5</v>
      </c>
      <c r="P2250">
        <v>1</v>
      </c>
    </row>
    <row r="2251" spans="1:16" x14ac:dyDescent="0.25">
      <c r="A2251" s="4">
        <v>44223</v>
      </c>
      <c r="B2251" t="s">
        <v>9</v>
      </c>
      <c r="C2251" t="s">
        <v>78</v>
      </c>
      <c r="F2251">
        <v>387</v>
      </c>
      <c r="J2251">
        <v>1.1359999999999999</v>
      </c>
      <c r="K2251">
        <v>43</v>
      </c>
      <c r="L2251">
        <v>37.85</v>
      </c>
      <c r="M2251">
        <v>247</v>
      </c>
      <c r="N2251">
        <v>54</v>
      </c>
      <c r="O2251">
        <v>7</v>
      </c>
      <c r="P2251">
        <v>1</v>
      </c>
    </row>
    <row r="2252" spans="1:16" x14ac:dyDescent="0.25">
      <c r="A2252" s="4">
        <v>44224</v>
      </c>
      <c r="B2252" t="s">
        <v>10</v>
      </c>
      <c r="C2252">
        <v>1</v>
      </c>
      <c r="F2252">
        <v>357</v>
      </c>
      <c r="J2252">
        <v>1.1870000000000001</v>
      </c>
      <c r="K2252">
        <v>39.67</v>
      </c>
      <c r="L2252">
        <v>33.4</v>
      </c>
      <c r="M2252">
        <v>264</v>
      </c>
      <c r="N2252">
        <v>33</v>
      </c>
      <c r="O2252">
        <v>5</v>
      </c>
      <c r="P2252">
        <v>1</v>
      </c>
    </row>
    <row r="2253" spans="1:16" x14ac:dyDescent="0.25">
      <c r="A2253" s="4">
        <v>44224</v>
      </c>
      <c r="B2253" t="s">
        <v>9</v>
      </c>
      <c r="C2253">
        <v>1</v>
      </c>
      <c r="F2253">
        <v>366</v>
      </c>
      <c r="J2253">
        <v>1.1259999999999999</v>
      </c>
      <c r="K2253">
        <v>40.67</v>
      </c>
      <c r="L2253">
        <v>36.119999999999997</v>
      </c>
      <c r="M2253">
        <v>270</v>
      </c>
      <c r="N2253">
        <v>36</v>
      </c>
      <c r="O2253">
        <v>5</v>
      </c>
      <c r="P2253">
        <v>1</v>
      </c>
    </row>
    <row r="2254" spans="1:16" x14ac:dyDescent="0.25">
      <c r="A2254" s="4">
        <v>44224</v>
      </c>
      <c r="B2254" t="s">
        <v>10</v>
      </c>
      <c r="C2254" t="s">
        <v>78</v>
      </c>
      <c r="F2254">
        <v>357</v>
      </c>
      <c r="J2254">
        <v>1.1870000000000001</v>
      </c>
      <c r="K2254">
        <v>39.67</v>
      </c>
      <c r="L2254">
        <v>33.4</v>
      </c>
      <c r="M2254">
        <v>264</v>
      </c>
      <c r="N2254">
        <v>33</v>
      </c>
      <c r="O2254">
        <v>5</v>
      </c>
      <c r="P2254">
        <v>1</v>
      </c>
    </row>
    <row r="2255" spans="1:16" x14ac:dyDescent="0.25">
      <c r="A2255" s="4">
        <v>44224</v>
      </c>
      <c r="B2255" t="s">
        <v>9</v>
      </c>
      <c r="C2255" t="s">
        <v>78</v>
      </c>
      <c r="F2255">
        <v>366</v>
      </c>
      <c r="J2255">
        <v>1.1259999999999999</v>
      </c>
      <c r="K2255">
        <v>40.67</v>
      </c>
      <c r="L2255">
        <v>36.119999999999997</v>
      </c>
      <c r="M2255">
        <v>270</v>
      </c>
      <c r="N2255">
        <v>36</v>
      </c>
      <c r="O2255">
        <v>5</v>
      </c>
      <c r="P2255">
        <v>1</v>
      </c>
    </row>
    <row r="2256" spans="1:16" x14ac:dyDescent="0.25">
      <c r="A2256" s="4">
        <v>44225</v>
      </c>
      <c r="B2256" t="s">
        <v>10</v>
      </c>
      <c r="C2256">
        <v>1</v>
      </c>
      <c r="F2256">
        <v>316</v>
      </c>
      <c r="J2256">
        <v>1.1279999999999999</v>
      </c>
      <c r="K2256">
        <v>37.18</v>
      </c>
      <c r="L2256">
        <v>32.950000000000003</v>
      </c>
      <c r="M2256">
        <v>242</v>
      </c>
      <c r="N2256">
        <v>26</v>
      </c>
      <c r="O2256">
        <v>6</v>
      </c>
      <c r="P2256">
        <v>0</v>
      </c>
    </row>
    <row r="2257" spans="1:16" x14ac:dyDescent="0.25">
      <c r="A2257" s="4">
        <v>44225</v>
      </c>
      <c r="B2257" t="s">
        <v>9</v>
      </c>
      <c r="C2257">
        <v>1</v>
      </c>
      <c r="F2257">
        <v>337</v>
      </c>
      <c r="J2257">
        <v>1.054</v>
      </c>
      <c r="K2257">
        <v>39.65</v>
      </c>
      <c r="L2257">
        <v>37.619999999999997</v>
      </c>
      <c r="M2257">
        <v>239</v>
      </c>
      <c r="N2257">
        <v>30</v>
      </c>
      <c r="O2257">
        <v>6</v>
      </c>
      <c r="P2257">
        <v>2</v>
      </c>
    </row>
    <row r="2258" spans="1:16" x14ac:dyDescent="0.25">
      <c r="A2258" s="4">
        <v>44225</v>
      </c>
      <c r="B2258" t="s">
        <v>10</v>
      </c>
      <c r="C2258" t="s">
        <v>78</v>
      </c>
      <c r="F2258">
        <v>316</v>
      </c>
      <c r="J2258">
        <v>1.1279999999999999</v>
      </c>
      <c r="K2258">
        <v>37.18</v>
      </c>
      <c r="L2258">
        <v>32.950000000000003</v>
      </c>
      <c r="M2258">
        <v>242</v>
      </c>
      <c r="N2258">
        <v>26</v>
      </c>
      <c r="O2258">
        <v>6</v>
      </c>
      <c r="P2258">
        <v>0</v>
      </c>
    </row>
    <row r="2259" spans="1:16" x14ac:dyDescent="0.25">
      <c r="A2259" s="4">
        <v>44225</v>
      </c>
      <c r="B2259" t="s">
        <v>9</v>
      </c>
      <c r="C2259" t="s">
        <v>78</v>
      </c>
      <c r="F2259">
        <v>337</v>
      </c>
      <c r="J2259">
        <v>1.054</v>
      </c>
      <c r="K2259">
        <v>39.65</v>
      </c>
      <c r="L2259">
        <v>37.619999999999997</v>
      </c>
      <c r="M2259">
        <v>239</v>
      </c>
      <c r="N2259">
        <v>30</v>
      </c>
      <c r="O2259">
        <v>6</v>
      </c>
      <c r="P2259">
        <v>2</v>
      </c>
    </row>
    <row r="2260" spans="1:16" x14ac:dyDescent="0.25">
      <c r="A2260" s="4">
        <v>44228</v>
      </c>
      <c r="B2260" t="s">
        <v>10</v>
      </c>
      <c r="C2260">
        <v>1</v>
      </c>
      <c r="F2260">
        <v>208</v>
      </c>
      <c r="J2260">
        <v>1.0960000000000001</v>
      </c>
      <c r="K2260">
        <v>41.6</v>
      </c>
      <c r="L2260">
        <v>37.97</v>
      </c>
      <c r="M2260">
        <v>138</v>
      </c>
      <c r="N2260">
        <v>35</v>
      </c>
      <c r="O2260">
        <v>0</v>
      </c>
      <c r="P2260">
        <v>0</v>
      </c>
    </row>
    <row r="2261" spans="1:16" x14ac:dyDescent="0.25">
      <c r="A2261" s="4">
        <v>44228</v>
      </c>
      <c r="B2261" t="s">
        <v>9</v>
      </c>
      <c r="C2261">
        <v>1</v>
      </c>
      <c r="F2261">
        <v>387</v>
      </c>
      <c r="J2261">
        <v>1.0529999999999999</v>
      </c>
      <c r="K2261">
        <v>43</v>
      </c>
      <c r="L2261">
        <v>40.85</v>
      </c>
      <c r="M2261">
        <v>174</v>
      </c>
      <c r="N2261">
        <v>70</v>
      </c>
      <c r="O2261">
        <v>15</v>
      </c>
      <c r="P2261">
        <v>2</v>
      </c>
    </row>
    <row r="2262" spans="1:16" x14ac:dyDescent="0.25">
      <c r="A2262" s="4">
        <v>44228</v>
      </c>
      <c r="B2262" t="s">
        <v>10</v>
      </c>
      <c r="C2262" t="s">
        <v>78</v>
      </c>
      <c r="F2262">
        <v>208</v>
      </c>
      <c r="J2262">
        <v>1.0960000000000001</v>
      </c>
      <c r="K2262">
        <v>41.6</v>
      </c>
      <c r="L2262">
        <v>37.97</v>
      </c>
      <c r="M2262">
        <v>138</v>
      </c>
      <c r="N2262">
        <v>35</v>
      </c>
      <c r="O2262">
        <v>0</v>
      </c>
      <c r="P2262">
        <v>0</v>
      </c>
    </row>
    <row r="2263" spans="1:16" x14ac:dyDescent="0.25">
      <c r="A2263" s="4">
        <v>44228</v>
      </c>
      <c r="B2263" t="s">
        <v>9</v>
      </c>
      <c r="C2263" t="s">
        <v>78</v>
      </c>
      <c r="F2263">
        <v>387</v>
      </c>
      <c r="J2263">
        <v>1.0529999999999999</v>
      </c>
      <c r="K2263">
        <v>43</v>
      </c>
      <c r="L2263">
        <v>40.85</v>
      </c>
      <c r="M2263">
        <v>174</v>
      </c>
      <c r="N2263">
        <v>70</v>
      </c>
      <c r="O2263">
        <v>15</v>
      </c>
      <c r="P2263">
        <v>2</v>
      </c>
    </row>
    <row r="2264" spans="1:16" x14ac:dyDescent="0.25">
      <c r="A2264" s="4">
        <v>44229</v>
      </c>
      <c r="B2264" t="s">
        <v>10</v>
      </c>
      <c r="C2264">
        <v>1</v>
      </c>
      <c r="F2264">
        <v>333</v>
      </c>
      <c r="J2264">
        <v>1.0820000000000001</v>
      </c>
      <c r="K2264">
        <v>37</v>
      </c>
      <c r="L2264">
        <v>34.18</v>
      </c>
      <c r="M2264">
        <v>216</v>
      </c>
      <c r="N2264">
        <v>35</v>
      </c>
      <c r="O2264">
        <v>13</v>
      </c>
      <c r="P2264">
        <v>0</v>
      </c>
    </row>
    <row r="2265" spans="1:16" x14ac:dyDescent="0.25">
      <c r="A2265" s="4">
        <v>44229</v>
      </c>
      <c r="B2265" t="s">
        <v>9</v>
      </c>
      <c r="C2265">
        <v>1</v>
      </c>
      <c r="F2265">
        <v>381</v>
      </c>
      <c r="J2265">
        <v>1.093</v>
      </c>
      <c r="K2265">
        <v>42.33</v>
      </c>
      <c r="L2265">
        <v>38.729999999999997</v>
      </c>
      <c r="M2265">
        <v>261</v>
      </c>
      <c r="N2265">
        <v>36</v>
      </c>
      <c r="O2265">
        <v>10</v>
      </c>
      <c r="P2265">
        <v>1</v>
      </c>
    </row>
    <row r="2266" spans="1:16" x14ac:dyDescent="0.25">
      <c r="A2266" s="4">
        <v>44229</v>
      </c>
      <c r="B2266" t="s">
        <v>10</v>
      </c>
      <c r="C2266" t="s">
        <v>78</v>
      </c>
      <c r="F2266">
        <v>333</v>
      </c>
      <c r="J2266">
        <v>1.0820000000000001</v>
      </c>
      <c r="K2266">
        <v>37</v>
      </c>
      <c r="L2266">
        <v>34.18</v>
      </c>
      <c r="M2266">
        <v>216</v>
      </c>
      <c r="N2266">
        <v>35</v>
      </c>
      <c r="O2266">
        <v>13</v>
      </c>
      <c r="P2266">
        <v>0</v>
      </c>
    </row>
    <row r="2267" spans="1:16" x14ac:dyDescent="0.25">
      <c r="A2267" s="4">
        <v>44229</v>
      </c>
      <c r="B2267" t="s">
        <v>9</v>
      </c>
      <c r="C2267" t="s">
        <v>78</v>
      </c>
      <c r="F2267">
        <v>381</v>
      </c>
      <c r="J2267">
        <v>1.093</v>
      </c>
      <c r="K2267">
        <v>42.33</v>
      </c>
      <c r="L2267">
        <v>38.729999999999997</v>
      </c>
      <c r="M2267">
        <v>261</v>
      </c>
      <c r="N2267">
        <v>36</v>
      </c>
      <c r="O2267">
        <v>10</v>
      </c>
      <c r="P2267">
        <v>1</v>
      </c>
    </row>
    <row r="2268" spans="1:16" x14ac:dyDescent="0.25">
      <c r="A2268" s="4">
        <v>44230</v>
      </c>
      <c r="B2268" t="s">
        <v>10</v>
      </c>
      <c r="C2268">
        <v>1</v>
      </c>
      <c r="F2268">
        <v>353</v>
      </c>
      <c r="J2268">
        <v>1.196</v>
      </c>
      <c r="K2268">
        <v>41.05</v>
      </c>
      <c r="L2268">
        <v>34.31</v>
      </c>
      <c r="M2268">
        <v>231</v>
      </c>
      <c r="N2268">
        <v>43</v>
      </c>
      <c r="O2268">
        <v>5</v>
      </c>
      <c r="P2268">
        <v>1</v>
      </c>
    </row>
    <row r="2269" spans="1:16" x14ac:dyDescent="0.25">
      <c r="A2269" s="4">
        <v>44230</v>
      </c>
      <c r="B2269" t="s">
        <v>9</v>
      </c>
      <c r="C2269">
        <v>1</v>
      </c>
      <c r="F2269">
        <v>355</v>
      </c>
      <c r="J2269">
        <v>1.0649999999999999</v>
      </c>
      <c r="K2269">
        <v>39.44</v>
      </c>
      <c r="L2269">
        <v>37.03</v>
      </c>
      <c r="M2269">
        <v>243</v>
      </c>
      <c r="N2269">
        <v>34</v>
      </c>
      <c r="O2269">
        <v>11</v>
      </c>
      <c r="P2269">
        <v>0</v>
      </c>
    </row>
    <row r="2270" spans="1:16" x14ac:dyDescent="0.25">
      <c r="A2270" s="4">
        <v>44230</v>
      </c>
      <c r="B2270" t="s">
        <v>10</v>
      </c>
      <c r="C2270" t="s">
        <v>78</v>
      </c>
      <c r="F2270">
        <v>353</v>
      </c>
      <c r="J2270">
        <v>1.196</v>
      </c>
      <c r="K2270">
        <v>41.05</v>
      </c>
      <c r="L2270">
        <v>34.31</v>
      </c>
      <c r="M2270">
        <v>231</v>
      </c>
      <c r="N2270">
        <v>43</v>
      </c>
      <c r="O2270">
        <v>5</v>
      </c>
      <c r="P2270">
        <v>1</v>
      </c>
    </row>
    <row r="2271" spans="1:16" x14ac:dyDescent="0.25">
      <c r="A2271" s="4">
        <v>44230</v>
      </c>
      <c r="B2271" t="s">
        <v>9</v>
      </c>
      <c r="C2271" t="s">
        <v>78</v>
      </c>
      <c r="F2271">
        <v>355</v>
      </c>
      <c r="J2271">
        <v>1.0649999999999999</v>
      </c>
      <c r="K2271">
        <v>39.44</v>
      </c>
      <c r="L2271">
        <v>37.03</v>
      </c>
      <c r="M2271">
        <v>243</v>
      </c>
      <c r="N2271">
        <v>34</v>
      </c>
      <c r="O2271">
        <v>11</v>
      </c>
      <c r="P2271">
        <v>0</v>
      </c>
    </row>
    <row r="2272" spans="1:16" x14ac:dyDescent="0.25">
      <c r="A2272" s="4">
        <v>44231</v>
      </c>
      <c r="B2272" t="s">
        <v>10</v>
      </c>
      <c r="C2272">
        <v>1</v>
      </c>
      <c r="F2272">
        <v>340</v>
      </c>
      <c r="J2272">
        <v>1.1160000000000001</v>
      </c>
      <c r="K2272">
        <v>37.78</v>
      </c>
      <c r="L2272">
        <v>33.85</v>
      </c>
      <c r="M2272">
        <v>237</v>
      </c>
      <c r="N2272">
        <v>33</v>
      </c>
      <c r="O2272">
        <v>11</v>
      </c>
      <c r="P2272">
        <v>0</v>
      </c>
    </row>
    <row r="2273" spans="1:16" x14ac:dyDescent="0.25">
      <c r="A2273" s="4">
        <v>44231</v>
      </c>
      <c r="B2273" t="s">
        <v>9</v>
      </c>
      <c r="C2273">
        <v>1</v>
      </c>
      <c r="F2273">
        <v>360</v>
      </c>
      <c r="J2273">
        <v>1.103</v>
      </c>
      <c r="K2273">
        <v>40</v>
      </c>
      <c r="L2273">
        <v>36.26</v>
      </c>
      <c r="M2273">
        <v>262</v>
      </c>
      <c r="N2273">
        <v>36</v>
      </c>
      <c r="O2273">
        <v>6</v>
      </c>
      <c r="P2273">
        <v>0</v>
      </c>
    </row>
    <row r="2274" spans="1:16" x14ac:dyDescent="0.25">
      <c r="A2274" s="4">
        <v>44231</v>
      </c>
      <c r="B2274" t="s">
        <v>10</v>
      </c>
      <c r="C2274" t="s">
        <v>78</v>
      </c>
      <c r="F2274">
        <v>340</v>
      </c>
      <c r="J2274">
        <v>1.1160000000000001</v>
      </c>
      <c r="K2274">
        <v>37.78</v>
      </c>
      <c r="L2274">
        <v>33.85</v>
      </c>
      <c r="M2274">
        <v>237</v>
      </c>
      <c r="N2274">
        <v>33</v>
      </c>
      <c r="O2274">
        <v>11</v>
      </c>
      <c r="P2274">
        <v>0</v>
      </c>
    </row>
    <row r="2275" spans="1:16" x14ac:dyDescent="0.25">
      <c r="A2275" s="4">
        <v>44231</v>
      </c>
      <c r="B2275" t="s">
        <v>9</v>
      </c>
      <c r="C2275" t="s">
        <v>78</v>
      </c>
      <c r="F2275">
        <v>360</v>
      </c>
      <c r="J2275">
        <v>1.103</v>
      </c>
      <c r="K2275">
        <v>40</v>
      </c>
      <c r="L2275">
        <v>36.26</v>
      </c>
      <c r="M2275">
        <v>262</v>
      </c>
      <c r="N2275">
        <v>36</v>
      </c>
      <c r="O2275">
        <v>6</v>
      </c>
      <c r="P2275">
        <v>0</v>
      </c>
    </row>
    <row r="2276" spans="1:16" x14ac:dyDescent="0.25">
      <c r="A2276" s="4">
        <v>44232</v>
      </c>
      <c r="B2276" t="s">
        <v>10</v>
      </c>
      <c r="C2276">
        <v>1</v>
      </c>
      <c r="F2276">
        <v>359</v>
      </c>
      <c r="J2276">
        <v>1.212</v>
      </c>
      <c r="K2276">
        <v>39.89</v>
      </c>
      <c r="L2276">
        <v>32.9</v>
      </c>
      <c r="M2276">
        <v>274</v>
      </c>
      <c r="N2276">
        <v>32</v>
      </c>
      <c r="O2276">
        <v>4</v>
      </c>
      <c r="P2276">
        <v>0</v>
      </c>
    </row>
    <row r="2277" spans="1:16" x14ac:dyDescent="0.25">
      <c r="A2277" s="4">
        <v>44232</v>
      </c>
      <c r="B2277" t="s">
        <v>9</v>
      </c>
      <c r="C2277">
        <v>1</v>
      </c>
      <c r="F2277">
        <v>360</v>
      </c>
      <c r="J2277">
        <v>1.0469999999999999</v>
      </c>
      <c r="K2277">
        <v>40</v>
      </c>
      <c r="L2277">
        <v>38.200000000000003</v>
      </c>
      <c r="M2277">
        <v>237</v>
      </c>
      <c r="N2277">
        <v>33</v>
      </c>
      <c r="O2277">
        <v>11</v>
      </c>
      <c r="P2277">
        <v>2</v>
      </c>
    </row>
    <row r="2278" spans="1:16" x14ac:dyDescent="0.25">
      <c r="A2278" s="4">
        <v>44232</v>
      </c>
      <c r="B2278" t="s">
        <v>10</v>
      </c>
      <c r="C2278" t="s">
        <v>78</v>
      </c>
      <c r="F2278">
        <v>359</v>
      </c>
      <c r="J2278">
        <v>1.212</v>
      </c>
      <c r="K2278">
        <v>39.89</v>
      </c>
      <c r="L2278">
        <v>32.9</v>
      </c>
      <c r="M2278">
        <v>274</v>
      </c>
      <c r="N2278">
        <v>32</v>
      </c>
      <c r="O2278">
        <v>4</v>
      </c>
      <c r="P2278">
        <v>0</v>
      </c>
    </row>
    <row r="2279" spans="1:16" x14ac:dyDescent="0.25">
      <c r="A2279" s="4">
        <v>44232</v>
      </c>
      <c r="B2279" t="s">
        <v>9</v>
      </c>
      <c r="C2279" t="s">
        <v>78</v>
      </c>
      <c r="F2279">
        <v>360</v>
      </c>
      <c r="J2279">
        <v>1.0469999999999999</v>
      </c>
      <c r="K2279">
        <v>40</v>
      </c>
      <c r="L2279">
        <v>38.200000000000003</v>
      </c>
      <c r="M2279">
        <v>237</v>
      </c>
      <c r="N2279">
        <v>33</v>
      </c>
      <c r="O2279">
        <v>11</v>
      </c>
      <c r="P2279">
        <v>2</v>
      </c>
    </row>
    <row r="2280" spans="1:16" x14ac:dyDescent="0.25">
      <c r="A2280" s="4">
        <v>44235</v>
      </c>
      <c r="B2280" t="s">
        <v>10</v>
      </c>
      <c r="C2280">
        <v>1</v>
      </c>
      <c r="F2280">
        <v>316</v>
      </c>
      <c r="J2280">
        <v>1.2829999999999999</v>
      </c>
      <c r="K2280">
        <v>43.9</v>
      </c>
      <c r="L2280">
        <v>34.200000000000003</v>
      </c>
      <c r="M2280">
        <v>194</v>
      </c>
      <c r="N2280">
        <v>43</v>
      </c>
      <c r="O2280">
        <v>10</v>
      </c>
    </row>
    <row r="2281" spans="1:16" x14ac:dyDescent="0.25">
      <c r="A2281" s="4">
        <v>44235</v>
      </c>
      <c r="B2281" t="s">
        <v>9</v>
      </c>
      <c r="C2281">
        <v>1</v>
      </c>
      <c r="F2281">
        <v>293</v>
      </c>
      <c r="J2281">
        <v>1.0680000000000001</v>
      </c>
      <c r="K2281">
        <v>40.700000000000003</v>
      </c>
      <c r="L2281">
        <v>38.1</v>
      </c>
      <c r="M2281">
        <v>187</v>
      </c>
      <c r="N2281">
        <v>36</v>
      </c>
      <c r="O2281">
        <v>7</v>
      </c>
    </row>
    <row r="2282" spans="1:16" x14ac:dyDescent="0.25">
      <c r="A2282" s="4">
        <v>44235</v>
      </c>
      <c r="B2282" t="s">
        <v>10</v>
      </c>
      <c r="C2282" t="s">
        <v>78</v>
      </c>
      <c r="F2282">
        <v>316</v>
      </c>
      <c r="J2282">
        <v>1.2829999999999999</v>
      </c>
      <c r="K2282">
        <v>43.9</v>
      </c>
      <c r="L2282">
        <v>34.200000000000003</v>
      </c>
      <c r="M2282">
        <v>194</v>
      </c>
      <c r="N2282">
        <v>43</v>
      </c>
      <c r="O2282">
        <v>10</v>
      </c>
    </row>
    <row r="2283" spans="1:16" x14ac:dyDescent="0.25">
      <c r="A2283" s="4">
        <v>44235</v>
      </c>
      <c r="B2283" t="s">
        <v>9</v>
      </c>
      <c r="C2283" t="s">
        <v>78</v>
      </c>
      <c r="F2283">
        <v>293</v>
      </c>
      <c r="J2283">
        <v>1.0680000000000001</v>
      </c>
      <c r="K2283">
        <v>40.700000000000003</v>
      </c>
      <c r="L2283">
        <v>38.1</v>
      </c>
      <c r="M2283">
        <v>187</v>
      </c>
      <c r="N2283">
        <v>36</v>
      </c>
      <c r="O2283">
        <v>7</v>
      </c>
    </row>
    <row r="2284" spans="1:16" x14ac:dyDescent="0.25">
      <c r="A2284" s="4">
        <v>44236</v>
      </c>
      <c r="B2284" t="s">
        <v>10</v>
      </c>
      <c r="C2284">
        <v>1</v>
      </c>
      <c r="F2284">
        <v>377</v>
      </c>
      <c r="J2284">
        <v>1.204</v>
      </c>
      <c r="K2284">
        <v>41.9</v>
      </c>
      <c r="L2284">
        <v>34.799999999999997</v>
      </c>
      <c r="M2284">
        <v>242</v>
      </c>
      <c r="N2284">
        <v>55</v>
      </c>
      <c r="O2284">
        <v>6</v>
      </c>
    </row>
    <row r="2285" spans="1:16" x14ac:dyDescent="0.25">
      <c r="A2285" s="4">
        <v>44236</v>
      </c>
      <c r="B2285" t="s">
        <v>9</v>
      </c>
      <c r="C2285">
        <v>1</v>
      </c>
      <c r="F2285">
        <v>374</v>
      </c>
      <c r="J2285">
        <v>1.123</v>
      </c>
      <c r="K2285">
        <v>41.6</v>
      </c>
      <c r="L2285">
        <v>37.01</v>
      </c>
      <c r="M2285">
        <v>249</v>
      </c>
      <c r="N2285">
        <v>41</v>
      </c>
      <c r="O2285">
        <v>11</v>
      </c>
    </row>
    <row r="2286" spans="1:16" x14ac:dyDescent="0.25">
      <c r="A2286" s="4">
        <v>44236</v>
      </c>
      <c r="B2286" t="s">
        <v>10</v>
      </c>
      <c r="C2286" t="s">
        <v>78</v>
      </c>
      <c r="F2286">
        <v>377</v>
      </c>
      <c r="J2286">
        <v>1.204</v>
      </c>
      <c r="K2286">
        <v>41.9</v>
      </c>
      <c r="L2286">
        <v>34.799999999999997</v>
      </c>
      <c r="M2286">
        <v>242</v>
      </c>
      <c r="N2286">
        <v>55</v>
      </c>
      <c r="O2286">
        <v>6</v>
      </c>
    </row>
    <row r="2287" spans="1:16" x14ac:dyDescent="0.25">
      <c r="A2287" s="4">
        <v>44236</v>
      </c>
      <c r="B2287" t="s">
        <v>9</v>
      </c>
      <c r="C2287" t="s">
        <v>78</v>
      </c>
      <c r="F2287">
        <v>374</v>
      </c>
      <c r="J2287">
        <v>1.123</v>
      </c>
      <c r="K2287">
        <v>41.6</v>
      </c>
      <c r="L2287">
        <v>37.01</v>
      </c>
      <c r="M2287">
        <v>249</v>
      </c>
      <c r="N2287">
        <v>41</v>
      </c>
      <c r="O2287">
        <v>11</v>
      </c>
    </row>
    <row r="2288" spans="1:16" x14ac:dyDescent="0.25">
      <c r="A2288" s="4">
        <v>44237</v>
      </c>
      <c r="B2288" t="s">
        <v>10</v>
      </c>
      <c r="C2288">
        <v>1</v>
      </c>
      <c r="F2288">
        <v>358</v>
      </c>
      <c r="J2288">
        <v>1.2130000000000001</v>
      </c>
      <c r="K2288">
        <v>39.799999999999997</v>
      </c>
      <c r="L2288">
        <v>32.799999999999997</v>
      </c>
      <c r="M2288">
        <v>267</v>
      </c>
      <c r="N2288">
        <v>32</v>
      </c>
      <c r="O2288">
        <v>6</v>
      </c>
    </row>
    <row r="2289" spans="1:16" x14ac:dyDescent="0.25">
      <c r="A2289" s="4">
        <v>44237</v>
      </c>
      <c r="B2289" t="s">
        <v>9</v>
      </c>
      <c r="C2289">
        <v>1</v>
      </c>
      <c r="F2289">
        <v>366</v>
      </c>
      <c r="J2289">
        <v>1.1120000000000001</v>
      </c>
      <c r="K2289">
        <v>41.6</v>
      </c>
      <c r="L2289">
        <v>37.4</v>
      </c>
      <c r="M2289">
        <v>253</v>
      </c>
      <c r="N2289">
        <v>38</v>
      </c>
      <c r="O2289">
        <v>10</v>
      </c>
    </row>
    <row r="2290" spans="1:16" x14ac:dyDescent="0.25">
      <c r="A2290" s="4">
        <v>44237</v>
      </c>
      <c r="B2290" t="s">
        <v>10</v>
      </c>
      <c r="C2290" t="s">
        <v>78</v>
      </c>
      <c r="F2290">
        <v>358</v>
      </c>
      <c r="J2290">
        <v>1.2130000000000001</v>
      </c>
      <c r="K2290">
        <v>39.799999999999997</v>
      </c>
      <c r="L2290">
        <v>32.799999999999997</v>
      </c>
      <c r="M2290">
        <v>267</v>
      </c>
      <c r="N2290">
        <v>32</v>
      </c>
      <c r="O2290">
        <v>6</v>
      </c>
    </row>
    <row r="2291" spans="1:16" x14ac:dyDescent="0.25">
      <c r="A2291" s="4">
        <v>44237</v>
      </c>
      <c r="B2291" t="s">
        <v>9</v>
      </c>
      <c r="C2291" t="s">
        <v>78</v>
      </c>
      <c r="F2291">
        <v>366</v>
      </c>
      <c r="J2291">
        <v>1.1120000000000001</v>
      </c>
      <c r="K2291">
        <v>41.6</v>
      </c>
      <c r="L2291">
        <v>37.4</v>
      </c>
      <c r="M2291">
        <v>253</v>
      </c>
      <c r="N2291">
        <v>38</v>
      </c>
      <c r="O2291">
        <v>10</v>
      </c>
    </row>
    <row r="2292" spans="1:16" x14ac:dyDescent="0.25">
      <c r="A2292" s="4">
        <v>44238</v>
      </c>
      <c r="B2292" t="s">
        <v>10</v>
      </c>
      <c r="C2292">
        <v>1</v>
      </c>
      <c r="F2292">
        <v>388</v>
      </c>
      <c r="J2292">
        <v>1.2729999999999999</v>
      </c>
      <c r="K2292">
        <v>43.1</v>
      </c>
      <c r="L2292">
        <v>33.9</v>
      </c>
      <c r="M2292">
        <v>272</v>
      </c>
      <c r="N2292">
        <v>33</v>
      </c>
      <c r="O2292">
        <v>10</v>
      </c>
      <c r="P2292">
        <v>1</v>
      </c>
    </row>
    <row r="2293" spans="1:16" x14ac:dyDescent="0.25">
      <c r="A2293" s="4">
        <v>44238</v>
      </c>
      <c r="B2293" t="s">
        <v>9</v>
      </c>
      <c r="C2293">
        <v>1</v>
      </c>
      <c r="F2293">
        <v>296</v>
      </c>
      <c r="J2293">
        <v>1.1120000000000001</v>
      </c>
      <c r="K2293">
        <v>47</v>
      </c>
      <c r="L2293">
        <v>42.3</v>
      </c>
      <c r="M2293">
        <v>154</v>
      </c>
      <c r="N2293">
        <v>40</v>
      </c>
      <c r="O2293">
        <v>7</v>
      </c>
      <c r="P2293">
        <v>4</v>
      </c>
    </row>
    <row r="2294" spans="1:16" x14ac:dyDescent="0.25">
      <c r="A2294" s="4">
        <v>44238</v>
      </c>
      <c r="B2294" t="s">
        <v>10</v>
      </c>
      <c r="C2294" t="s">
        <v>78</v>
      </c>
      <c r="F2294">
        <v>388</v>
      </c>
      <c r="J2294">
        <v>1.2729999999999999</v>
      </c>
      <c r="K2294">
        <v>43.1</v>
      </c>
      <c r="L2294">
        <v>33.9</v>
      </c>
      <c r="M2294">
        <v>272</v>
      </c>
      <c r="N2294">
        <v>33</v>
      </c>
      <c r="O2294">
        <v>10</v>
      </c>
      <c r="P2294">
        <v>1</v>
      </c>
    </row>
    <row r="2295" spans="1:16" x14ac:dyDescent="0.25">
      <c r="A2295" s="4">
        <v>44238</v>
      </c>
      <c r="B2295" t="s">
        <v>9</v>
      </c>
      <c r="C2295" t="s">
        <v>78</v>
      </c>
      <c r="F2295">
        <v>296</v>
      </c>
      <c r="J2295">
        <v>1.1120000000000001</v>
      </c>
      <c r="K2295">
        <v>47</v>
      </c>
      <c r="L2295">
        <v>42.3</v>
      </c>
      <c r="M2295">
        <v>154</v>
      </c>
      <c r="N2295">
        <v>40</v>
      </c>
      <c r="O2295">
        <v>7</v>
      </c>
      <c r="P2295">
        <v>4</v>
      </c>
    </row>
    <row r="2296" spans="1:16" x14ac:dyDescent="0.25">
      <c r="A2296" s="4">
        <v>44239</v>
      </c>
      <c r="B2296" t="s">
        <v>10</v>
      </c>
      <c r="C2296">
        <v>1</v>
      </c>
      <c r="F2296">
        <v>244</v>
      </c>
      <c r="J2296">
        <v>1.254</v>
      </c>
      <c r="K2296">
        <v>42.6</v>
      </c>
      <c r="L2296">
        <v>34</v>
      </c>
      <c r="M2296">
        <v>204</v>
      </c>
      <c r="N2296">
        <v>31</v>
      </c>
      <c r="O2296">
        <v>8</v>
      </c>
      <c r="P2296">
        <v>1</v>
      </c>
    </row>
    <row r="2297" spans="1:16" x14ac:dyDescent="0.25">
      <c r="A2297" s="4">
        <v>44239</v>
      </c>
      <c r="B2297" t="s">
        <v>9</v>
      </c>
      <c r="C2297">
        <v>1</v>
      </c>
      <c r="F2297">
        <v>360</v>
      </c>
      <c r="J2297">
        <v>1.3129999999999999</v>
      </c>
      <c r="K2297">
        <v>50</v>
      </c>
      <c r="L2297">
        <v>38.1</v>
      </c>
      <c r="M2297">
        <v>242</v>
      </c>
      <c r="N2297">
        <v>30</v>
      </c>
      <c r="O2297">
        <v>12</v>
      </c>
      <c r="P2297">
        <v>2</v>
      </c>
    </row>
    <row r="2298" spans="1:16" x14ac:dyDescent="0.25">
      <c r="A2298" s="4">
        <v>44239</v>
      </c>
      <c r="B2298" t="s">
        <v>10</v>
      </c>
      <c r="C2298" t="s">
        <v>78</v>
      </c>
      <c r="F2298">
        <v>244</v>
      </c>
      <c r="J2298">
        <v>1.254</v>
      </c>
      <c r="K2298">
        <v>42.6</v>
      </c>
      <c r="L2298">
        <v>34</v>
      </c>
      <c r="M2298">
        <v>204</v>
      </c>
      <c r="N2298">
        <v>31</v>
      </c>
      <c r="O2298">
        <v>8</v>
      </c>
      <c r="P2298">
        <v>1</v>
      </c>
    </row>
    <row r="2299" spans="1:16" x14ac:dyDescent="0.25">
      <c r="A2299" s="4">
        <v>44239</v>
      </c>
      <c r="B2299" t="s">
        <v>9</v>
      </c>
      <c r="C2299" t="s">
        <v>78</v>
      </c>
      <c r="F2299">
        <v>360</v>
      </c>
      <c r="J2299">
        <v>1.3129999999999999</v>
      </c>
      <c r="K2299">
        <v>50</v>
      </c>
      <c r="L2299">
        <v>38.1</v>
      </c>
      <c r="M2299">
        <v>242</v>
      </c>
      <c r="N2299">
        <v>30</v>
      </c>
      <c r="O2299">
        <v>12</v>
      </c>
      <c r="P2299">
        <v>2</v>
      </c>
    </row>
    <row r="2300" spans="1:16" x14ac:dyDescent="0.25">
      <c r="A2300" s="4">
        <v>44240</v>
      </c>
      <c r="B2300" t="s">
        <v>10</v>
      </c>
      <c r="C2300">
        <v>1</v>
      </c>
      <c r="F2300">
        <v>263</v>
      </c>
      <c r="J2300">
        <v>0.99199999999999999</v>
      </c>
      <c r="K2300">
        <v>37.6</v>
      </c>
      <c r="L2300">
        <v>37.9</v>
      </c>
      <c r="M2300">
        <v>201</v>
      </c>
      <c r="N2300">
        <v>22</v>
      </c>
      <c r="O2300">
        <v>6</v>
      </c>
      <c r="P2300">
        <v>0</v>
      </c>
    </row>
    <row r="2301" spans="1:16" x14ac:dyDescent="0.25">
      <c r="A2301" s="4">
        <v>44240</v>
      </c>
      <c r="B2301" t="s">
        <v>9</v>
      </c>
      <c r="C2301">
        <v>1</v>
      </c>
      <c r="F2301">
        <v>264</v>
      </c>
      <c r="J2301">
        <v>0.95</v>
      </c>
      <c r="K2301">
        <v>37.700000000000003</v>
      </c>
      <c r="L2301">
        <v>39.700000000000003</v>
      </c>
      <c r="M2301">
        <v>224</v>
      </c>
      <c r="N2301">
        <v>11</v>
      </c>
      <c r="O2301">
        <v>5</v>
      </c>
      <c r="P2301">
        <v>0</v>
      </c>
    </row>
    <row r="2302" spans="1:16" x14ac:dyDescent="0.25">
      <c r="A2302" s="4">
        <v>44240</v>
      </c>
      <c r="B2302" t="s">
        <v>10</v>
      </c>
      <c r="C2302" t="s">
        <v>78</v>
      </c>
      <c r="F2302">
        <v>263</v>
      </c>
      <c r="J2302">
        <v>0.99199999999999999</v>
      </c>
      <c r="K2302">
        <v>37.6</v>
      </c>
      <c r="L2302">
        <v>37.9</v>
      </c>
      <c r="M2302">
        <v>201</v>
      </c>
      <c r="N2302">
        <v>22</v>
      </c>
      <c r="O2302">
        <v>6</v>
      </c>
      <c r="P2302">
        <v>0</v>
      </c>
    </row>
    <row r="2303" spans="1:16" x14ac:dyDescent="0.25">
      <c r="A2303" s="4">
        <v>44240</v>
      </c>
      <c r="B2303" t="s">
        <v>9</v>
      </c>
      <c r="C2303" t="s">
        <v>78</v>
      </c>
      <c r="F2303">
        <v>264</v>
      </c>
      <c r="J2303">
        <v>0.95</v>
      </c>
      <c r="K2303">
        <v>37.700000000000003</v>
      </c>
      <c r="L2303">
        <v>39.700000000000003</v>
      </c>
      <c r="M2303">
        <v>224</v>
      </c>
      <c r="N2303">
        <v>11</v>
      </c>
      <c r="O2303">
        <v>5</v>
      </c>
      <c r="P2303">
        <v>0</v>
      </c>
    </row>
    <row r="2304" spans="1:16" x14ac:dyDescent="0.25">
      <c r="A2304" s="4">
        <v>44242</v>
      </c>
      <c r="B2304" t="s">
        <v>10</v>
      </c>
      <c r="C2304">
        <v>1</v>
      </c>
      <c r="F2304">
        <v>341</v>
      </c>
      <c r="J2304">
        <v>1.357</v>
      </c>
      <c r="K2304">
        <v>47.4</v>
      </c>
      <c r="L2304">
        <v>34.9</v>
      </c>
      <c r="M2304">
        <v>209</v>
      </c>
      <c r="N2304">
        <v>42</v>
      </c>
      <c r="O2304">
        <v>11</v>
      </c>
      <c r="P2304">
        <v>1</v>
      </c>
    </row>
    <row r="2305" spans="1:16" x14ac:dyDescent="0.25">
      <c r="A2305" s="4">
        <v>44242</v>
      </c>
      <c r="B2305" t="s">
        <v>9</v>
      </c>
      <c r="C2305">
        <v>1</v>
      </c>
      <c r="F2305">
        <v>310</v>
      </c>
      <c r="J2305">
        <v>1.141</v>
      </c>
      <c r="K2305">
        <v>50</v>
      </c>
      <c r="L2305">
        <v>43.8</v>
      </c>
      <c r="M2305">
        <v>142</v>
      </c>
      <c r="N2305">
        <v>46</v>
      </c>
      <c r="O2305">
        <v>9</v>
      </c>
      <c r="P2305">
        <v>4</v>
      </c>
    </row>
    <row r="2306" spans="1:16" x14ac:dyDescent="0.25">
      <c r="A2306" s="4">
        <v>44242</v>
      </c>
      <c r="B2306" t="s">
        <v>10</v>
      </c>
      <c r="C2306" t="s">
        <v>78</v>
      </c>
      <c r="F2306">
        <v>341</v>
      </c>
      <c r="J2306">
        <v>1.357</v>
      </c>
      <c r="K2306">
        <v>47.4</v>
      </c>
      <c r="L2306">
        <v>34.9</v>
      </c>
      <c r="M2306">
        <v>209</v>
      </c>
      <c r="N2306">
        <v>42</v>
      </c>
      <c r="O2306">
        <v>11</v>
      </c>
      <c r="P2306">
        <v>1</v>
      </c>
    </row>
    <row r="2307" spans="1:16" x14ac:dyDescent="0.25">
      <c r="A2307" s="4">
        <v>44242</v>
      </c>
      <c r="B2307" t="s">
        <v>9</v>
      </c>
      <c r="C2307" t="s">
        <v>78</v>
      </c>
      <c r="F2307">
        <v>310</v>
      </c>
      <c r="J2307">
        <v>1.141</v>
      </c>
      <c r="K2307">
        <v>50</v>
      </c>
      <c r="L2307">
        <v>43.8</v>
      </c>
      <c r="M2307">
        <v>142</v>
      </c>
      <c r="N2307">
        <v>46</v>
      </c>
      <c r="O2307">
        <v>9</v>
      </c>
      <c r="P2307">
        <v>4</v>
      </c>
    </row>
    <row r="2308" spans="1:16" x14ac:dyDescent="0.25">
      <c r="A2308" s="4">
        <v>44243</v>
      </c>
      <c r="B2308" t="s">
        <v>10</v>
      </c>
      <c r="C2308">
        <v>1</v>
      </c>
      <c r="F2308">
        <v>394</v>
      </c>
      <c r="J2308">
        <v>1.3169999999999999</v>
      </c>
      <c r="K2308">
        <v>44.8</v>
      </c>
      <c r="L2308">
        <v>34</v>
      </c>
      <c r="M2308">
        <v>280</v>
      </c>
      <c r="N2308">
        <v>32</v>
      </c>
      <c r="O2308">
        <v>10</v>
      </c>
      <c r="P2308">
        <v>1</v>
      </c>
    </row>
    <row r="2309" spans="1:16" x14ac:dyDescent="0.25">
      <c r="A2309" s="4">
        <v>44243</v>
      </c>
      <c r="B2309" t="s">
        <v>9</v>
      </c>
      <c r="C2309">
        <v>1</v>
      </c>
      <c r="F2309">
        <v>387</v>
      </c>
      <c r="J2309">
        <v>1.1619999999999999</v>
      </c>
      <c r="K2309">
        <v>44</v>
      </c>
      <c r="L2309">
        <v>37.9</v>
      </c>
      <c r="M2309">
        <v>269</v>
      </c>
      <c r="N2309">
        <v>34</v>
      </c>
      <c r="O2309">
        <v>8</v>
      </c>
      <c r="P2309">
        <v>3</v>
      </c>
    </row>
    <row r="2310" spans="1:16" x14ac:dyDescent="0.25">
      <c r="A2310" s="4">
        <v>44243</v>
      </c>
      <c r="B2310" t="s">
        <v>10</v>
      </c>
      <c r="C2310" t="s">
        <v>78</v>
      </c>
      <c r="F2310">
        <v>394</v>
      </c>
      <c r="J2310">
        <v>1.3169999999999999</v>
      </c>
      <c r="K2310">
        <v>44.8</v>
      </c>
      <c r="L2310">
        <v>34</v>
      </c>
      <c r="M2310">
        <v>280</v>
      </c>
      <c r="N2310">
        <v>32</v>
      </c>
      <c r="O2310">
        <v>10</v>
      </c>
      <c r="P2310">
        <v>1</v>
      </c>
    </row>
    <row r="2311" spans="1:16" x14ac:dyDescent="0.25">
      <c r="A2311" s="4">
        <v>44243</v>
      </c>
      <c r="B2311" t="s">
        <v>9</v>
      </c>
      <c r="C2311" t="s">
        <v>78</v>
      </c>
      <c r="F2311">
        <v>387</v>
      </c>
      <c r="J2311">
        <v>1.1619999999999999</v>
      </c>
      <c r="K2311">
        <v>44</v>
      </c>
      <c r="L2311">
        <v>37.9</v>
      </c>
      <c r="M2311">
        <v>269</v>
      </c>
      <c r="N2311">
        <v>34</v>
      </c>
      <c r="O2311">
        <v>8</v>
      </c>
      <c r="P2311">
        <v>3</v>
      </c>
    </row>
    <row r="2312" spans="1:16" x14ac:dyDescent="0.25">
      <c r="A2312" s="4">
        <v>44244</v>
      </c>
      <c r="B2312" t="s">
        <v>10</v>
      </c>
      <c r="C2312">
        <v>1</v>
      </c>
      <c r="F2312">
        <v>317</v>
      </c>
      <c r="J2312">
        <v>1.246</v>
      </c>
      <c r="K2312">
        <v>43.9</v>
      </c>
      <c r="L2312">
        <v>35.200000000000003</v>
      </c>
      <c r="M2312">
        <v>271</v>
      </c>
      <c r="N2312">
        <v>31</v>
      </c>
      <c r="O2312">
        <v>13</v>
      </c>
      <c r="P2312">
        <v>2</v>
      </c>
    </row>
    <row r="2313" spans="1:16" x14ac:dyDescent="0.25">
      <c r="A2313" s="4">
        <v>44244</v>
      </c>
      <c r="B2313" t="s">
        <v>9</v>
      </c>
      <c r="C2313">
        <v>1</v>
      </c>
      <c r="F2313">
        <v>343</v>
      </c>
      <c r="J2313">
        <v>1.054</v>
      </c>
      <c r="K2313">
        <v>40.4</v>
      </c>
      <c r="L2313">
        <v>38.299999999999997</v>
      </c>
      <c r="M2313">
        <v>243</v>
      </c>
      <c r="N2313">
        <v>26</v>
      </c>
      <c r="O2313">
        <v>10</v>
      </c>
    </row>
    <row r="2314" spans="1:16" x14ac:dyDescent="0.25">
      <c r="A2314" s="4">
        <v>44244</v>
      </c>
      <c r="B2314" t="s">
        <v>10</v>
      </c>
      <c r="C2314" t="s">
        <v>78</v>
      </c>
      <c r="F2314">
        <v>317</v>
      </c>
      <c r="J2314">
        <v>1.246</v>
      </c>
      <c r="K2314">
        <v>43.9</v>
      </c>
      <c r="L2314">
        <v>35.200000000000003</v>
      </c>
      <c r="M2314">
        <v>271</v>
      </c>
      <c r="N2314">
        <v>31</v>
      </c>
      <c r="O2314">
        <v>13</v>
      </c>
      <c r="P2314">
        <v>2</v>
      </c>
    </row>
    <row r="2315" spans="1:16" x14ac:dyDescent="0.25">
      <c r="A2315" s="4">
        <v>44244</v>
      </c>
      <c r="B2315" t="s">
        <v>9</v>
      </c>
      <c r="C2315" t="s">
        <v>78</v>
      </c>
      <c r="F2315">
        <v>343</v>
      </c>
      <c r="J2315">
        <v>1.054</v>
      </c>
      <c r="K2315">
        <v>40.4</v>
      </c>
      <c r="L2315">
        <v>38.299999999999997</v>
      </c>
      <c r="M2315">
        <v>243</v>
      </c>
      <c r="N2315">
        <v>26</v>
      </c>
      <c r="O2315">
        <v>10</v>
      </c>
    </row>
    <row r="2316" spans="1:16" x14ac:dyDescent="0.25">
      <c r="A2316" s="4">
        <v>44245</v>
      </c>
      <c r="B2316" t="s">
        <v>10</v>
      </c>
      <c r="C2316">
        <v>1</v>
      </c>
      <c r="F2316">
        <v>384</v>
      </c>
      <c r="J2316">
        <v>1.2629999999999999</v>
      </c>
      <c r="K2316">
        <v>42.7</v>
      </c>
      <c r="L2316">
        <v>33.799999999999997</v>
      </c>
      <c r="M2316">
        <v>266</v>
      </c>
      <c r="N2316">
        <v>35</v>
      </c>
      <c r="O2316">
        <v>6</v>
      </c>
      <c r="P2316">
        <v>3</v>
      </c>
    </row>
    <row r="2317" spans="1:16" x14ac:dyDescent="0.25">
      <c r="A2317" s="4">
        <v>44245</v>
      </c>
      <c r="B2317" t="s">
        <v>9</v>
      </c>
      <c r="C2317">
        <v>1</v>
      </c>
      <c r="F2317">
        <v>370</v>
      </c>
      <c r="J2317">
        <v>1.0780000000000001</v>
      </c>
      <c r="K2317">
        <v>41.1</v>
      </c>
      <c r="L2317">
        <v>38.200000000000003</v>
      </c>
      <c r="M2317">
        <v>257</v>
      </c>
      <c r="N2317">
        <v>30</v>
      </c>
      <c r="O2317">
        <v>11</v>
      </c>
      <c r="P2317">
        <v>1</v>
      </c>
    </row>
    <row r="2318" spans="1:16" x14ac:dyDescent="0.25">
      <c r="A2318" s="4">
        <v>44245</v>
      </c>
      <c r="B2318" t="s">
        <v>10</v>
      </c>
      <c r="C2318" t="s">
        <v>78</v>
      </c>
      <c r="F2318">
        <v>384</v>
      </c>
      <c r="J2318">
        <v>1.2629999999999999</v>
      </c>
      <c r="K2318">
        <v>42.7</v>
      </c>
      <c r="L2318">
        <v>33.799999999999997</v>
      </c>
      <c r="M2318">
        <v>266</v>
      </c>
      <c r="N2318">
        <v>35</v>
      </c>
      <c r="O2318">
        <v>6</v>
      </c>
      <c r="P2318">
        <v>3</v>
      </c>
    </row>
    <row r="2319" spans="1:16" x14ac:dyDescent="0.25">
      <c r="A2319" s="4">
        <v>44245</v>
      </c>
      <c r="B2319" t="s">
        <v>9</v>
      </c>
      <c r="C2319" t="s">
        <v>78</v>
      </c>
      <c r="F2319">
        <v>370</v>
      </c>
      <c r="J2319">
        <v>1.0780000000000001</v>
      </c>
      <c r="K2319">
        <v>41.1</v>
      </c>
      <c r="L2319">
        <v>38.200000000000003</v>
      </c>
      <c r="M2319">
        <v>257</v>
      </c>
      <c r="N2319">
        <v>30</v>
      </c>
      <c r="O2319">
        <v>11</v>
      </c>
      <c r="P2319">
        <v>1</v>
      </c>
    </row>
    <row r="2320" spans="1:16" x14ac:dyDescent="0.25">
      <c r="A2320" s="4">
        <v>44246</v>
      </c>
      <c r="B2320" t="s">
        <v>10</v>
      </c>
      <c r="C2320">
        <v>1</v>
      </c>
      <c r="F2320">
        <v>288</v>
      </c>
      <c r="J2320">
        <v>1.3540000000000001</v>
      </c>
      <c r="K2320">
        <v>43</v>
      </c>
      <c r="L2320">
        <v>31.7</v>
      </c>
      <c r="M2320">
        <v>231</v>
      </c>
      <c r="N2320">
        <v>17</v>
      </c>
      <c r="O2320">
        <v>6</v>
      </c>
    </row>
    <row r="2321" spans="1:16" x14ac:dyDescent="0.25">
      <c r="A2321" s="4">
        <v>44246</v>
      </c>
      <c r="B2321" t="s">
        <v>9</v>
      </c>
      <c r="C2321">
        <v>1</v>
      </c>
      <c r="F2321">
        <v>268</v>
      </c>
      <c r="J2321">
        <v>1.206</v>
      </c>
      <c r="K2321">
        <v>41.9</v>
      </c>
      <c r="L2321">
        <v>34.700000000000003</v>
      </c>
      <c r="M2321">
        <v>209</v>
      </c>
      <c r="N2321">
        <v>26</v>
      </c>
      <c r="O2321">
        <v>1</v>
      </c>
    </row>
    <row r="2322" spans="1:16" x14ac:dyDescent="0.25">
      <c r="A2322" s="4">
        <v>44246</v>
      </c>
      <c r="B2322" t="s">
        <v>10</v>
      </c>
      <c r="C2322" t="s">
        <v>78</v>
      </c>
      <c r="F2322">
        <v>288</v>
      </c>
      <c r="J2322">
        <v>1.3540000000000001</v>
      </c>
      <c r="K2322">
        <v>43</v>
      </c>
      <c r="L2322">
        <v>31.7</v>
      </c>
      <c r="M2322">
        <v>231</v>
      </c>
      <c r="N2322">
        <v>17</v>
      </c>
      <c r="O2322">
        <v>6</v>
      </c>
    </row>
    <row r="2323" spans="1:16" x14ac:dyDescent="0.25">
      <c r="A2323" s="4">
        <v>44246</v>
      </c>
      <c r="B2323" t="s">
        <v>9</v>
      </c>
      <c r="C2323" t="s">
        <v>78</v>
      </c>
      <c r="F2323">
        <v>268</v>
      </c>
      <c r="J2323">
        <v>1.206</v>
      </c>
      <c r="K2323">
        <v>41.9</v>
      </c>
      <c r="L2323">
        <v>34.700000000000003</v>
      </c>
      <c r="M2323">
        <v>209</v>
      </c>
      <c r="N2323">
        <v>26</v>
      </c>
      <c r="O2323">
        <v>1</v>
      </c>
    </row>
    <row r="2324" spans="1:16" x14ac:dyDescent="0.25">
      <c r="A2324" s="4">
        <v>44249</v>
      </c>
      <c r="B2324" t="s">
        <v>10</v>
      </c>
      <c r="C2324">
        <v>1</v>
      </c>
      <c r="F2324">
        <v>410</v>
      </c>
      <c r="J2324">
        <v>1.319</v>
      </c>
      <c r="K2324">
        <v>45.6</v>
      </c>
      <c r="L2324">
        <v>34.5</v>
      </c>
      <c r="M2324">
        <v>289</v>
      </c>
      <c r="N2324">
        <v>32</v>
      </c>
      <c r="O2324">
        <v>12</v>
      </c>
      <c r="P2324">
        <v>2</v>
      </c>
    </row>
    <row r="2325" spans="1:16" x14ac:dyDescent="0.25">
      <c r="A2325" s="4">
        <v>44249</v>
      </c>
      <c r="B2325" t="s">
        <v>9</v>
      </c>
      <c r="C2325">
        <v>1</v>
      </c>
      <c r="F2325">
        <v>385</v>
      </c>
      <c r="J2325">
        <v>1.111</v>
      </c>
      <c r="K2325">
        <v>42.8</v>
      </c>
      <c r="L2325">
        <v>38.5</v>
      </c>
      <c r="M2325">
        <v>262</v>
      </c>
      <c r="N2325">
        <v>44</v>
      </c>
      <c r="O2325">
        <v>6</v>
      </c>
      <c r="P2325">
        <v>2</v>
      </c>
    </row>
    <row r="2326" spans="1:16" x14ac:dyDescent="0.25">
      <c r="A2326" s="4">
        <v>44249</v>
      </c>
      <c r="B2326" t="s">
        <v>10</v>
      </c>
      <c r="C2326" t="s">
        <v>78</v>
      </c>
      <c r="F2326">
        <v>410</v>
      </c>
      <c r="J2326">
        <v>1.319</v>
      </c>
      <c r="K2326">
        <v>45.6</v>
      </c>
      <c r="L2326">
        <v>34.5</v>
      </c>
      <c r="M2326">
        <v>289</v>
      </c>
      <c r="N2326">
        <v>32</v>
      </c>
      <c r="O2326">
        <v>12</v>
      </c>
      <c r="P2326">
        <v>2</v>
      </c>
    </row>
    <row r="2327" spans="1:16" x14ac:dyDescent="0.25">
      <c r="A2327" s="4">
        <v>44249</v>
      </c>
      <c r="B2327" t="s">
        <v>9</v>
      </c>
      <c r="C2327" t="s">
        <v>78</v>
      </c>
      <c r="F2327">
        <v>385</v>
      </c>
      <c r="J2327">
        <v>1.111</v>
      </c>
      <c r="K2327">
        <v>42.8</v>
      </c>
      <c r="L2327">
        <v>38.5</v>
      </c>
      <c r="M2327">
        <v>262</v>
      </c>
      <c r="N2327">
        <v>44</v>
      </c>
      <c r="O2327">
        <v>6</v>
      </c>
      <c r="P2327">
        <v>2</v>
      </c>
    </row>
    <row r="2328" spans="1:16" x14ac:dyDescent="0.25">
      <c r="A2328" s="4">
        <v>44250</v>
      </c>
      <c r="B2328" t="s">
        <v>10</v>
      </c>
      <c r="C2328">
        <v>1</v>
      </c>
      <c r="F2328">
        <v>400</v>
      </c>
      <c r="J2328">
        <v>1.3080000000000001</v>
      </c>
      <c r="K2328">
        <v>44.4</v>
      </c>
      <c r="L2328">
        <v>34</v>
      </c>
      <c r="M2328">
        <v>262</v>
      </c>
      <c r="N2328">
        <v>48</v>
      </c>
      <c r="O2328">
        <v>11</v>
      </c>
    </row>
    <row r="2329" spans="1:16" x14ac:dyDescent="0.25">
      <c r="A2329" s="4">
        <v>44250</v>
      </c>
      <c r="B2329" t="s">
        <v>9</v>
      </c>
      <c r="C2329">
        <v>1</v>
      </c>
      <c r="F2329">
        <v>369</v>
      </c>
      <c r="J2329">
        <v>1.1240000000000001</v>
      </c>
      <c r="K2329">
        <v>41</v>
      </c>
      <c r="L2329">
        <v>36.5</v>
      </c>
      <c r="M2329">
        <v>278</v>
      </c>
      <c r="N2329">
        <v>35</v>
      </c>
      <c r="O2329">
        <v>3</v>
      </c>
      <c r="P2329">
        <v>1</v>
      </c>
    </row>
    <row r="2330" spans="1:16" x14ac:dyDescent="0.25">
      <c r="A2330" s="4">
        <v>44250</v>
      </c>
      <c r="B2330" t="s">
        <v>10</v>
      </c>
      <c r="C2330" t="s">
        <v>78</v>
      </c>
      <c r="F2330">
        <v>400</v>
      </c>
      <c r="J2330">
        <v>1.3080000000000001</v>
      </c>
      <c r="K2330">
        <v>44.4</v>
      </c>
      <c r="L2330">
        <v>34</v>
      </c>
      <c r="M2330">
        <v>262</v>
      </c>
      <c r="N2330">
        <v>48</v>
      </c>
      <c r="O2330">
        <v>11</v>
      </c>
    </row>
    <row r="2331" spans="1:16" x14ac:dyDescent="0.25">
      <c r="A2331" s="4">
        <v>44250</v>
      </c>
      <c r="B2331" t="s">
        <v>9</v>
      </c>
      <c r="C2331" t="s">
        <v>78</v>
      </c>
      <c r="F2331">
        <v>369</v>
      </c>
      <c r="J2331">
        <v>1.1240000000000001</v>
      </c>
      <c r="K2331">
        <v>41</v>
      </c>
      <c r="L2331">
        <v>36.5</v>
      </c>
      <c r="M2331">
        <v>278</v>
      </c>
      <c r="N2331">
        <v>35</v>
      </c>
      <c r="O2331">
        <v>3</v>
      </c>
      <c r="P2331">
        <v>1</v>
      </c>
    </row>
    <row r="2332" spans="1:16" x14ac:dyDescent="0.25">
      <c r="A2332" s="4">
        <v>44251</v>
      </c>
      <c r="B2332" t="s">
        <v>10</v>
      </c>
      <c r="C2332">
        <v>1</v>
      </c>
      <c r="F2332">
        <v>403</v>
      </c>
      <c r="J2332">
        <v>1.339</v>
      </c>
      <c r="K2332">
        <v>44.8</v>
      </c>
      <c r="L2332">
        <v>33.5</v>
      </c>
      <c r="M2332">
        <v>273</v>
      </c>
      <c r="N2332">
        <v>38</v>
      </c>
      <c r="O2332">
        <v>13</v>
      </c>
    </row>
    <row r="2333" spans="1:16" x14ac:dyDescent="0.25">
      <c r="A2333" s="4">
        <v>44251</v>
      </c>
      <c r="B2333" t="s">
        <v>9</v>
      </c>
      <c r="C2333">
        <v>1</v>
      </c>
      <c r="F2333">
        <v>305</v>
      </c>
      <c r="J2333">
        <v>1.089</v>
      </c>
      <c r="K2333">
        <v>39.1</v>
      </c>
      <c r="L2333">
        <v>35.9</v>
      </c>
      <c r="M2333">
        <v>237</v>
      </c>
      <c r="N2333">
        <v>22</v>
      </c>
      <c r="O2333">
        <v>4</v>
      </c>
      <c r="P2333">
        <v>1</v>
      </c>
    </row>
    <row r="2334" spans="1:16" x14ac:dyDescent="0.25">
      <c r="A2334" s="4">
        <v>44251</v>
      </c>
      <c r="B2334" t="s">
        <v>10</v>
      </c>
      <c r="C2334" t="s">
        <v>78</v>
      </c>
      <c r="F2334">
        <v>403</v>
      </c>
      <c r="J2334">
        <v>1.339</v>
      </c>
      <c r="K2334">
        <v>44.8</v>
      </c>
      <c r="L2334">
        <v>33.5</v>
      </c>
      <c r="M2334">
        <v>273</v>
      </c>
      <c r="N2334">
        <v>38</v>
      </c>
      <c r="O2334">
        <v>13</v>
      </c>
    </row>
    <row r="2335" spans="1:16" x14ac:dyDescent="0.25">
      <c r="A2335" s="4">
        <v>44251</v>
      </c>
      <c r="B2335" t="s">
        <v>9</v>
      </c>
      <c r="C2335" t="s">
        <v>78</v>
      </c>
      <c r="F2335">
        <v>305</v>
      </c>
      <c r="J2335">
        <v>1.089</v>
      </c>
      <c r="K2335">
        <v>39.1</v>
      </c>
      <c r="L2335">
        <v>35.9</v>
      </c>
      <c r="M2335">
        <v>237</v>
      </c>
      <c r="N2335">
        <v>22</v>
      </c>
      <c r="O2335">
        <v>4</v>
      </c>
      <c r="P2335">
        <v>1</v>
      </c>
    </row>
    <row r="2336" spans="1:16" x14ac:dyDescent="0.25">
      <c r="A2336" s="4">
        <v>44252</v>
      </c>
      <c r="B2336" t="s">
        <v>10</v>
      </c>
      <c r="C2336">
        <v>1</v>
      </c>
      <c r="F2336">
        <v>369</v>
      </c>
      <c r="J2336">
        <v>1.45</v>
      </c>
      <c r="K2336">
        <v>47.9</v>
      </c>
      <c r="L2336">
        <v>33</v>
      </c>
      <c r="M2336">
        <v>263</v>
      </c>
      <c r="N2336">
        <v>40</v>
      </c>
      <c r="O2336">
        <v>7</v>
      </c>
    </row>
    <row r="2337" spans="1:16" x14ac:dyDescent="0.25">
      <c r="A2337" s="4">
        <v>44252</v>
      </c>
      <c r="B2337" t="s">
        <v>9</v>
      </c>
      <c r="C2337">
        <v>1</v>
      </c>
      <c r="F2337">
        <v>262</v>
      </c>
      <c r="J2337">
        <v>1.087</v>
      </c>
      <c r="K2337">
        <v>40.9</v>
      </c>
      <c r="L2337">
        <v>37.700000000000003</v>
      </c>
      <c r="M2337">
        <v>179</v>
      </c>
      <c r="N2337">
        <v>31</v>
      </c>
      <c r="O2337">
        <v>5</v>
      </c>
    </row>
    <row r="2338" spans="1:16" x14ac:dyDescent="0.25">
      <c r="A2338" s="4">
        <v>44252</v>
      </c>
      <c r="B2338" t="s">
        <v>10</v>
      </c>
      <c r="C2338" t="s">
        <v>78</v>
      </c>
      <c r="F2338">
        <v>369</v>
      </c>
      <c r="J2338">
        <v>1.45</v>
      </c>
      <c r="K2338">
        <v>47.9</v>
      </c>
      <c r="L2338">
        <v>33</v>
      </c>
      <c r="M2338">
        <v>263</v>
      </c>
      <c r="N2338">
        <v>40</v>
      </c>
      <c r="O2338">
        <v>7</v>
      </c>
    </row>
    <row r="2339" spans="1:16" x14ac:dyDescent="0.25">
      <c r="A2339" s="4">
        <v>44252</v>
      </c>
      <c r="B2339" t="s">
        <v>9</v>
      </c>
      <c r="C2339" t="s">
        <v>78</v>
      </c>
      <c r="F2339">
        <v>262</v>
      </c>
      <c r="J2339">
        <v>1.087</v>
      </c>
      <c r="K2339">
        <v>40.9</v>
      </c>
      <c r="L2339">
        <v>37.700000000000003</v>
      </c>
      <c r="M2339">
        <v>179</v>
      </c>
      <c r="N2339">
        <v>31</v>
      </c>
      <c r="O2339">
        <v>5</v>
      </c>
    </row>
    <row r="2340" spans="1:16" x14ac:dyDescent="0.25">
      <c r="A2340" s="4">
        <v>44253</v>
      </c>
      <c r="B2340" t="s">
        <v>10</v>
      </c>
      <c r="C2340">
        <v>1</v>
      </c>
      <c r="F2340">
        <v>367</v>
      </c>
      <c r="J2340">
        <v>1.278</v>
      </c>
      <c r="K2340">
        <v>42.7</v>
      </c>
      <c r="L2340">
        <v>33.4</v>
      </c>
      <c r="M2340">
        <v>260</v>
      </c>
      <c r="N2340">
        <v>36</v>
      </c>
      <c r="O2340">
        <v>9</v>
      </c>
    </row>
    <row r="2341" spans="1:16" x14ac:dyDescent="0.25">
      <c r="A2341" s="4">
        <v>44253</v>
      </c>
      <c r="B2341" t="s">
        <v>9</v>
      </c>
      <c r="C2341">
        <v>1</v>
      </c>
      <c r="F2341">
        <v>378</v>
      </c>
      <c r="J2341">
        <v>1.173</v>
      </c>
      <c r="K2341">
        <v>43.5</v>
      </c>
      <c r="L2341">
        <v>37</v>
      </c>
      <c r="M2341">
        <v>282</v>
      </c>
      <c r="N2341">
        <v>33</v>
      </c>
      <c r="O2341">
        <v>7</v>
      </c>
    </row>
    <row r="2342" spans="1:16" x14ac:dyDescent="0.25">
      <c r="A2342" s="4">
        <v>44253</v>
      </c>
      <c r="B2342" t="s">
        <v>10</v>
      </c>
      <c r="C2342" t="s">
        <v>78</v>
      </c>
      <c r="F2342">
        <v>367</v>
      </c>
      <c r="J2342">
        <v>1.278</v>
      </c>
      <c r="K2342">
        <v>42.7</v>
      </c>
      <c r="L2342">
        <v>33.4</v>
      </c>
      <c r="M2342">
        <v>260</v>
      </c>
      <c r="N2342">
        <v>36</v>
      </c>
      <c r="O2342">
        <v>9</v>
      </c>
    </row>
    <row r="2343" spans="1:16" x14ac:dyDescent="0.25">
      <c r="A2343" s="4">
        <v>44253</v>
      </c>
      <c r="B2343" t="s">
        <v>9</v>
      </c>
      <c r="C2343" t="s">
        <v>78</v>
      </c>
      <c r="F2343">
        <v>378</v>
      </c>
      <c r="J2343">
        <v>1.173</v>
      </c>
      <c r="K2343">
        <v>43.5</v>
      </c>
      <c r="L2343">
        <v>37</v>
      </c>
      <c r="M2343">
        <v>282</v>
      </c>
      <c r="N2343">
        <v>33</v>
      </c>
      <c r="O2343">
        <v>7</v>
      </c>
    </row>
    <row r="2344" spans="1:16" x14ac:dyDescent="0.25">
      <c r="A2344" s="4">
        <v>44256</v>
      </c>
      <c r="B2344" t="s">
        <v>10</v>
      </c>
      <c r="C2344">
        <v>1</v>
      </c>
      <c r="F2344">
        <v>323</v>
      </c>
      <c r="J2344">
        <v>1.3580000000000001</v>
      </c>
      <c r="K2344">
        <v>44.9</v>
      </c>
      <c r="L2344">
        <v>33</v>
      </c>
      <c r="M2344">
        <v>232</v>
      </c>
      <c r="N2344">
        <v>25</v>
      </c>
      <c r="O2344">
        <v>12</v>
      </c>
    </row>
    <row r="2345" spans="1:16" x14ac:dyDescent="0.25">
      <c r="A2345" s="4">
        <v>44256</v>
      </c>
      <c r="B2345" t="s">
        <v>9</v>
      </c>
      <c r="C2345">
        <v>1</v>
      </c>
      <c r="F2345">
        <v>284</v>
      </c>
      <c r="J2345">
        <v>1.0589999999999999</v>
      </c>
      <c r="K2345">
        <v>42.4</v>
      </c>
      <c r="L2345">
        <v>40</v>
      </c>
      <c r="M2345">
        <v>167</v>
      </c>
      <c r="N2345">
        <v>32</v>
      </c>
      <c r="O2345">
        <v>8</v>
      </c>
      <c r="P2345">
        <v>2</v>
      </c>
    </row>
    <row r="2346" spans="1:16" x14ac:dyDescent="0.25">
      <c r="A2346" s="4">
        <v>44256</v>
      </c>
      <c r="B2346" t="s">
        <v>10</v>
      </c>
      <c r="C2346" t="s">
        <v>78</v>
      </c>
      <c r="F2346">
        <v>323</v>
      </c>
      <c r="J2346">
        <v>1.3580000000000001</v>
      </c>
      <c r="K2346">
        <v>44.9</v>
      </c>
      <c r="L2346">
        <v>33</v>
      </c>
      <c r="M2346">
        <v>232</v>
      </c>
      <c r="N2346">
        <v>25</v>
      </c>
      <c r="O2346">
        <v>12</v>
      </c>
    </row>
    <row r="2347" spans="1:16" x14ac:dyDescent="0.25">
      <c r="A2347" s="4">
        <v>44256</v>
      </c>
      <c r="B2347" t="s">
        <v>9</v>
      </c>
      <c r="C2347" t="s">
        <v>78</v>
      </c>
      <c r="F2347">
        <v>284</v>
      </c>
      <c r="J2347">
        <v>1.0589999999999999</v>
      </c>
      <c r="K2347">
        <v>42.4</v>
      </c>
      <c r="L2347">
        <v>40</v>
      </c>
      <c r="M2347">
        <v>167</v>
      </c>
      <c r="N2347">
        <v>32</v>
      </c>
      <c r="O2347">
        <v>8</v>
      </c>
      <c r="P2347">
        <v>2</v>
      </c>
    </row>
    <row r="2348" spans="1:16" x14ac:dyDescent="0.25">
      <c r="A2348" s="4">
        <v>44257</v>
      </c>
      <c r="B2348" t="s">
        <v>10</v>
      </c>
      <c r="C2348">
        <v>1</v>
      </c>
      <c r="F2348">
        <v>434</v>
      </c>
      <c r="J2348">
        <v>1.329</v>
      </c>
      <c r="K2348">
        <v>48.2</v>
      </c>
      <c r="L2348">
        <v>36.299999999999997</v>
      </c>
      <c r="M2348">
        <v>242</v>
      </c>
      <c r="N2348">
        <v>53</v>
      </c>
      <c r="O2348">
        <v>17</v>
      </c>
      <c r="P2348">
        <v>3</v>
      </c>
    </row>
    <row r="2349" spans="1:16" x14ac:dyDescent="0.25">
      <c r="A2349" s="4">
        <v>44257</v>
      </c>
      <c r="B2349" t="s">
        <v>9</v>
      </c>
      <c r="C2349">
        <v>1</v>
      </c>
      <c r="F2349">
        <v>370</v>
      </c>
      <c r="J2349">
        <v>1.0680000000000001</v>
      </c>
      <c r="K2349">
        <v>41.1</v>
      </c>
      <c r="L2349">
        <v>38.5</v>
      </c>
      <c r="M2349">
        <v>227</v>
      </c>
      <c r="N2349">
        <v>40</v>
      </c>
      <c r="O2349">
        <v>13</v>
      </c>
      <c r="P2349">
        <v>2</v>
      </c>
    </row>
    <row r="2350" spans="1:16" x14ac:dyDescent="0.25">
      <c r="A2350" s="4">
        <v>44257</v>
      </c>
      <c r="B2350" t="s">
        <v>10</v>
      </c>
      <c r="C2350" t="s">
        <v>78</v>
      </c>
      <c r="F2350">
        <v>434</v>
      </c>
      <c r="J2350">
        <v>1.329</v>
      </c>
      <c r="K2350">
        <v>48.2</v>
      </c>
      <c r="L2350">
        <v>36.299999999999997</v>
      </c>
      <c r="M2350">
        <v>242</v>
      </c>
      <c r="N2350">
        <v>53</v>
      </c>
      <c r="O2350">
        <v>17</v>
      </c>
      <c r="P2350">
        <v>3</v>
      </c>
    </row>
    <row r="2351" spans="1:16" x14ac:dyDescent="0.25">
      <c r="A2351" s="4">
        <v>44257</v>
      </c>
      <c r="B2351" t="s">
        <v>9</v>
      </c>
      <c r="C2351" t="s">
        <v>78</v>
      </c>
      <c r="F2351">
        <v>370</v>
      </c>
      <c r="J2351">
        <v>1.0680000000000001</v>
      </c>
      <c r="K2351">
        <v>41.1</v>
      </c>
      <c r="L2351">
        <v>38.5</v>
      </c>
      <c r="M2351">
        <v>227</v>
      </c>
      <c r="N2351">
        <v>40</v>
      </c>
      <c r="O2351">
        <v>13</v>
      </c>
      <c r="P2351">
        <v>2</v>
      </c>
    </row>
    <row r="2352" spans="1:16" x14ac:dyDescent="0.25">
      <c r="A2352" s="4">
        <v>44258</v>
      </c>
      <c r="B2352" t="s">
        <v>10</v>
      </c>
      <c r="C2352">
        <v>1</v>
      </c>
      <c r="F2352">
        <v>418</v>
      </c>
      <c r="J2352">
        <v>1.407</v>
      </c>
      <c r="K2352">
        <v>46.4</v>
      </c>
      <c r="L2352">
        <v>33.01</v>
      </c>
      <c r="M2352">
        <v>284</v>
      </c>
      <c r="N2352">
        <v>47</v>
      </c>
      <c r="O2352">
        <v>10</v>
      </c>
    </row>
    <row r="2353" spans="1:16" x14ac:dyDescent="0.25">
      <c r="A2353" s="4">
        <v>44258</v>
      </c>
      <c r="B2353" t="s">
        <v>9</v>
      </c>
      <c r="C2353">
        <v>1</v>
      </c>
      <c r="F2353">
        <v>395</v>
      </c>
      <c r="J2353">
        <v>1.258</v>
      </c>
      <c r="K2353">
        <v>47.6</v>
      </c>
      <c r="L2353">
        <v>37.799999999999997</v>
      </c>
      <c r="M2353">
        <v>257</v>
      </c>
      <c r="N2353">
        <v>49</v>
      </c>
      <c r="O2353">
        <v>7</v>
      </c>
      <c r="P2353">
        <v>1</v>
      </c>
    </row>
    <row r="2354" spans="1:16" x14ac:dyDescent="0.25">
      <c r="A2354" s="4">
        <v>44258</v>
      </c>
      <c r="B2354" t="s">
        <v>10</v>
      </c>
      <c r="C2354" t="s">
        <v>78</v>
      </c>
      <c r="F2354">
        <v>418</v>
      </c>
      <c r="J2354">
        <v>1.407</v>
      </c>
      <c r="K2354">
        <v>46.4</v>
      </c>
      <c r="L2354">
        <v>33.01</v>
      </c>
      <c r="M2354">
        <v>284</v>
      </c>
      <c r="N2354">
        <v>47</v>
      </c>
      <c r="O2354">
        <v>10</v>
      </c>
    </row>
    <row r="2355" spans="1:16" x14ac:dyDescent="0.25">
      <c r="A2355" s="4">
        <v>44258</v>
      </c>
      <c r="B2355" t="s">
        <v>9</v>
      </c>
      <c r="C2355" t="s">
        <v>78</v>
      </c>
      <c r="F2355">
        <v>395</v>
      </c>
      <c r="J2355">
        <v>1.258</v>
      </c>
      <c r="K2355">
        <v>47.6</v>
      </c>
      <c r="L2355">
        <v>37.799999999999997</v>
      </c>
      <c r="M2355">
        <v>257</v>
      </c>
      <c r="N2355">
        <v>49</v>
      </c>
      <c r="O2355">
        <v>7</v>
      </c>
      <c r="P2355">
        <v>1</v>
      </c>
    </row>
    <row r="2356" spans="1:16" x14ac:dyDescent="0.25">
      <c r="A2356" s="4">
        <v>44259</v>
      </c>
      <c r="B2356" t="s">
        <v>10</v>
      </c>
      <c r="C2356">
        <v>1</v>
      </c>
      <c r="F2356">
        <v>386</v>
      </c>
      <c r="J2356">
        <v>1.357</v>
      </c>
      <c r="K2356">
        <v>45.4</v>
      </c>
      <c r="L2356">
        <v>33.5</v>
      </c>
      <c r="M2356">
        <v>264</v>
      </c>
      <c r="N2356">
        <v>40</v>
      </c>
      <c r="O2356">
        <v>9</v>
      </c>
      <c r="P2356">
        <v>1</v>
      </c>
    </row>
    <row r="2357" spans="1:16" x14ac:dyDescent="0.25">
      <c r="A2357" s="4">
        <v>44259</v>
      </c>
      <c r="B2357" t="s">
        <v>9</v>
      </c>
      <c r="C2357">
        <v>1</v>
      </c>
      <c r="F2357">
        <v>384</v>
      </c>
      <c r="J2357">
        <v>1.171</v>
      </c>
      <c r="K2357">
        <v>45.2</v>
      </c>
      <c r="L2357">
        <v>35.6</v>
      </c>
      <c r="M2357">
        <v>256</v>
      </c>
      <c r="N2357">
        <v>44</v>
      </c>
      <c r="O2357">
        <v>8</v>
      </c>
      <c r="P2357">
        <v>1</v>
      </c>
    </row>
    <row r="2358" spans="1:16" x14ac:dyDescent="0.25">
      <c r="A2358" s="4">
        <v>44259</v>
      </c>
      <c r="B2358" t="s">
        <v>10</v>
      </c>
      <c r="C2358" t="s">
        <v>78</v>
      </c>
      <c r="F2358">
        <v>386</v>
      </c>
      <c r="J2358">
        <v>1.357</v>
      </c>
      <c r="K2358">
        <v>45.4</v>
      </c>
      <c r="L2358">
        <v>33.5</v>
      </c>
      <c r="M2358">
        <v>264</v>
      </c>
      <c r="N2358">
        <v>40</v>
      </c>
      <c r="O2358">
        <v>9</v>
      </c>
      <c r="P2358">
        <v>1</v>
      </c>
    </row>
    <row r="2359" spans="1:16" x14ac:dyDescent="0.25">
      <c r="A2359" s="4">
        <v>44259</v>
      </c>
      <c r="B2359" t="s">
        <v>9</v>
      </c>
      <c r="C2359" t="s">
        <v>78</v>
      </c>
      <c r="F2359">
        <v>384</v>
      </c>
      <c r="J2359">
        <v>1.171</v>
      </c>
      <c r="K2359">
        <v>45.2</v>
      </c>
      <c r="L2359">
        <v>35.6</v>
      </c>
      <c r="M2359">
        <v>256</v>
      </c>
      <c r="N2359">
        <v>44</v>
      </c>
      <c r="O2359">
        <v>8</v>
      </c>
      <c r="P2359">
        <v>1</v>
      </c>
    </row>
    <row r="2360" spans="1:16" x14ac:dyDescent="0.25">
      <c r="A2360" s="4">
        <v>44260</v>
      </c>
      <c r="B2360" t="s">
        <v>10</v>
      </c>
      <c r="C2360">
        <v>1</v>
      </c>
      <c r="F2360">
        <v>385</v>
      </c>
      <c r="J2360">
        <v>1.417</v>
      </c>
      <c r="K2360">
        <v>48.1</v>
      </c>
      <c r="L2360">
        <v>34</v>
      </c>
      <c r="M2360">
        <v>263</v>
      </c>
      <c r="N2360">
        <v>34</v>
      </c>
      <c r="O2360">
        <v>9</v>
      </c>
      <c r="P2360">
        <v>3</v>
      </c>
    </row>
    <row r="2361" spans="1:16" x14ac:dyDescent="0.25">
      <c r="A2361" s="4">
        <v>44260</v>
      </c>
      <c r="B2361" t="s">
        <v>9</v>
      </c>
      <c r="C2361">
        <v>1</v>
      </c>
      <c r="F2361">
        <v>357</v>
      </c>
      <c r="J2361">
        <v>1.2230000000000001</v>
      </c>
      <c r="K2361">
        <v>44.6</v>
      </c>
      <c r="L2361">
        <v>36.5</v>
      </c>
      <c r="M2361">
        <v>279</v>
      </c>
      <c r="N2361">
        <v>25</v>
      </c>
      <c r="O2361">
        <v>5</v>
      </c>
      <c r="P2361">
        <v>1</v>
      </c>
    </row>
    <row r="2362" spans="1:16" x14ac:dyDescent="0.25">
      <c r="A2362" s="4">
        <v>44260</v>
      </c>
      <c r="B2362" t="s">
        <v>10</v>
      </c>
      <c r="C2362" t="s">
        <v>78</v>
      </c>
      <c r="F2362">
        <v>385</v>
      </c>
      <c r="J2362">
        <v>1.417</v>
      </c>
      <c r="K2362">
        <v>48.1</v>
      </c>
      <c r="L2362">
        <v>34</v>
      </c>
      <c r="M2362">
        <v>263</v>
      </c>
      <c r="N2362">
        <v>34</v>
      </c>
      <c r="O2362">
        <v>9</v>
      </c>
      <c r="P2362">
        <v>3</v>
      </c>
    </row>
    <row r="2363" spans="1:16" x14ac:dyDescent="0.25">
      <c r="A2363" s="4">
        <v>44260</v>
      </c>
      <c r="B2363" t="s">
        <v>9</v>
      </c>
      <c r="C2363" t="s">
        <v>78</v>
      </c>
      <c r="F2363">
        <v>357</v>
      </c>
      <c r="J2363">
        <v>1.2230000000000001</v>
      </c>
      <c r="K2363">
        <v>44.6</v>
      </c>
      <c r="L2363">
        <v>36.5</v>
      </c>
      <c r="M2363">
        <v>279</v>
      </c>
      <c r="N2363">
        <v>25</v>
      </c>
      <c r="O2363">
        <v>5</v>
      </c>
      <c r="P2363">
        <v>1</v>
      </c>
    </row>
    <row r="2364" spans="1:16" x14ac:dyDescent="0.25">
      <c r="A2364" s="4">
        <v>44261</v>
      </c>
      <c r="B2364" t="s">
        <v>10</v>
      </c>
      <c r="C2364">
        <v>1</v>
      </c>
      <c r="F2364">
        <v>236</v>
      </c>
      <c r="J2364">
        <v>1.2829999999999999</v>
      </c>
      <c r="K2364">
        <v>48.2</v>
      </c>
      <c r="L2364">
        <v>37.5</v>
      </c>
      <c r="M2364">
        <v>164</v>
      </c>
      <c r="N2364">
        <v>25</v>
      </c>
      <c r="O2364">
        <v>4</v>
      </c>
      <c r="P2364">
        <v>1</v>
      </c>
    </row>
    <row r="2365" spans="1:16" x14ac:dyDescent="0.25">
      <c r="A2365" s="4">
        <v>44261</v>
      </c>
      <c r="B2365" t="s">
        <v>9</v>
      </c>
      <c r="C2365">
        <v>1</v>
      </c>
      <c r="F2365">
        <v>224</v>
      </c>
      <c r="J2365">
        <v>1.1950000000000001</v>
      </c>
      <c r="K2365">
        <v>45.7</v>
      </c>
      <c r="L2365">
        <v>38.299999999999997</v>
      </c>
      <c r="M2365">
        <v>187</v>
      </c>
      <c r="N2365">
        <v>14</v>
      </c>
      <c r="O2365">
        <v>2</v>
      </c>
    </row>
    <row r="2366" spans="1:16" x14ac:dyDescent="0.25">
      <c r="A2366" s="4">
        <v>44261</v>
      </c>
      <c r="B2366" t="s">
        <v>10</v>
      </c>
      <c r="C2366" t="s">
        <v>78</v>
      </c>
      <c r="F2366">
        <v>236</v>
      </c>
      <c r="J2366">
        <v>1.2829999999999999</v>
      </c>
      <c r="K2366">
        <v>48.2</v>
      </c>
      <c r="L2366">
        <v>37.5</v>
      </c>
      <c r="M2366">
        <v>164</v>
      </c>
      <c r="N2366">
        <v>25</v>
      </c>
      <c r="O2366">
        <v>4</v>
      </c>
      <c r="P2366">
        <v>1</v>
      </c>
    </row>
    <row r="2367" spans="1:16" x14ac:dyDescent="0.25">
      <c r="A2367" s="4">
        <v>44261</v>
      </c>
      <c r="B2367" t="s">
        <v>9</v>
      </c>
      <c r="C2367" t="s">
        <v>78</v>
      </c>
      <c r="F2367">
        <v>224</v>
      </c>
      <c r="J2367">
        <v>1.1950000000000001</v>
      </c>
      <c r="K2367">
        <v>45.7</v>
      </c>
      <c r="L2367">
        <v>38.299999999999997</v>
      </c>
      <c r="M2367">
        <v>187</v>
      </c>
      <c r="N2367">
        <v>14</v>
      </c>
      <c r="O2367">
        <v>2</v>
      </c>
    </row>
    <row r="2368" spans="1:16" x14ac:dyDescent="0.25">
      <c r="A2368" s="4">
        <v>44263</v>
      </c>
      <c r="B2368" t="s">
        <v>10</v>
      </c>
      <c r="C2368">
        <v>1</v>
      </c>
      <c r="F2368">
        <v>425</v>
      </c>
      <c r="J2368">
        <v>1.3939999999999999</v>
      </c>
      <c r="K2368">
        <v>47.2</v>
      </c>
      <c r="L2368">
        <v>33.9</v>
      </c>
      <c r="M2368">
        <v>287</v>
      </c>
      <c r="N2368">
        <v>48</v>
      </c>
      <c r="O2368">
        <v>10</v>
      </c>
    </row>
    <row r="2369" spans="1:16" x14ac:dyDescent="0.25">
      <c r="A2369" s="4">
        <v>44263</v>
      </c>
      <c r="B2369" t="s">
        <v>9</v>
      </c>
      <c r="C2369">
        <v>1</v>
      </c>
      <c r="F2369">
        <v>386</v>
      </c>
      <c r="J2369">
        <v>1.109</v>
      </c>
      <c r="K2369">
        <v>42.9</v>
      </c>
      <c r="L2369">
        <v>38.700000000000003</v>
      </c>
      <c r="M2369">
        <v>244</v>
      </c>
      <c r="N2369">
        <v>41</v>
      </c>
      <c r="O2369">
        <v>14</v>
      </c>
      <c r="P2369">
        <v>1</v>
      </c>
    </row>
    <row r="2370" spans="1:16" x14ac:dyDescent="0.25">
      <c r="A2370" s="4">
        <v>44263</v>
      </c>
      <c r="B2370" t="s">
        <v>10</v>
      </c>
      <c r="C2370" t="s">
        <v>78</v>
      </c>
      <c r="F2370">
        <v>425</v>
      </c>
      <c r="J2370">
        <v>1.3939999999999999</v>
      </c>
      <c r="K2370">
        <v>47.2</v>
      </c>
      <c r="L2370">
        <v>33.9</v>
      </c>
      <c r="M2370">
        <v>287</v>
      </c>
      <c r="N2370">
        <v>48</v>
      </c>
      <c r="O2370">
        <v>10</v>
      </c>
    </row>
    <row r="2371" spans="1:16" x14ac:dyDescent="0.25">
      <c r="A2371" s="4">
        <v>44263</v>
      </c>
      <c r="B2371" t="s">
        <v>9</v>
      </c>
      <c r="C2371" t="s">
        <v>78</v>
      </c>
      <c r="F2371">
        <v>386</v>
      </c>
      <c r="J2371">
        <v>1.109</v>
      </c>
      <c r="K2371">
        <v>42.9</v>
      </c>
      <c r="L2371">
        <v>38.700000000000003</v>
      </c>
      <c r="M2371">
        <v>244</v>
      </c>
      <c r="N2371">
        <v>41</v>
      </c>
      <c r="O2371">
        <v>14</v>
      </c>
      <c r="P2371">
        <v>1</v>
      </c>
    </row>
    <row r="2372" spans="1:16" x14ac:dyDescent="0.25">
      <c r="A2372" s="4">
        <v>44264</v>
      </c>
      <c r="B2372" t="s">
        <v>10</v>
      </c>
      <c r="C2372">
        <v>1</v>
      </c>
      <c r="F2372">
        <v>359</v>
      </c>
      <c r="J2372">
        <v>1.2949999999999999</v>
      </c>
      <c r="K2372">
        <v>43.8</v>
      </c>
      <c r="L2372">
        <v>33.799999999999997</v>
      </c>
      <c r="M2372">
        <v>225</v>
      </c>
      <c r="N2372">
        <v>42</v>
      </c>
      <c r="O2372">
        <v>12</v>
      </c>
    </row>
    <row r="2373" spans="1:16" x14ac:dyDescent="0.25">
      <c r="A2373" s="4">
        <v>44264</v>
      </c>
      <c r="B2373" t="s">
        <v>9</v>
      </c>
      <c r="C2373">
        <v>1</v>
      </c>
      <c r="F2373">
        <v>362</v>
      </c>
      <c r="J2373">
        <v>1.167</v>
      </c>
      <c r="K2373">
        <v>44.2</v>
      </c>
      <c r="L2373">
        <v>37.799999999999997</v>
      </c>
      <c r="M2373">
        <v>223</v>
      </c>
      <c r="N2373">
        <v>46</v>
      </c>
      <c r="O2373">
        <v>10</v>
      </c>
    </row>
    <row r="2374" spans="1:16" x14ac:dyDescent="0.25">
      <c r="A2374" s="4">
        <v>44264</v>
      </c>
      <c r="B2374" t="s">
        <v>10</v>
      </c>
      <c r="C2374" t="s">
        <v>78</v>
      </c>
      <c r="F2374">
        <v>359</v>
      </c>
      <c r="J2374">
        <v>1.2949999999999999</v>
      </c>
      <c r="K2374">
        <v>43.8</v>
      </c>
      <c r="L2374">
        <v>33.799999999999997</v>
      </c>
      <c r="M2374">
        <v>225</v>
      </c>
      <c r="N2374">
        <v>42</v>
      </c>
      <c r="O2374">
        <v>12</v>
      </c>
    </row>
    <row r="2375" spans="1:16" x14ac:dyDescent="0.25">
      <c r="A2375" s="4">
        <v>44264</v>
      </c>
      <c r="B2375" t="s">
        <v>9</v>
      </c>
      <c r="C2375" t="s">
        <v>78</v>
      </c>
      <c r="F2375">
        <v>362</v>
      </c>
      <c r="J2375">
        <v>1.167</v>
      </c>
      <c r="K2375">
        <v>44.2</v>
      </c>
      <c r="L2375">
        <v>37.799999999999997</v>
      </c>
      <c r="M2375">
        <v>223</v>
      </c>
      <c r="N2375">
        <v>46</v>
      </c>
      <c r="O2375">
        <v>10</v>
      </c>
    </row>
    <row r="2376" spans="1:16" x14ac:dyDescent="0.25">
      <c r="A2376" s="4">
        <v>44265</v>
      </c>
      <c r="B2376" t="s">
        <v>10</v>
      </c>
      <c r="C2376">
        <v>1</v>
      </c>
      <c r="F2376">
        <v>366</v>
      </c>
      <c r="J2376">
        <v>1.4710000000000001</v>
      </c>
      <c r="K2376">
        <v>50.8</v>
      </c>
      <c r="L2376">
        <v>34.6</v>
      </c>
      <c r="M2376">
        <v>245</v>
      </c>
      <c r="N2376">
        <v>36</v>
      </c>
      <c r="O2376">
        <v>13</v>
      </c>
    </row>
    <row r="2377" spans="1:16" x14ac:dyDescent="0.25">
      <c r="A2377" s="4">
        <v>44265</v>
      </c>
      <c r="B2377" t="s">
        <v>9</v>
      </c>
      <c r="C2377">
        <v>1</v>
      </c>
      <c r="F2377">
        <v>445</v>
      </c>
      <c r="J2377">
        <v>1.3180000000000001</v>
      </c>
      <c r="K2377">
        <v>51.2</v>
      </c>
      <c r="L2377">
        <v>38.799999999999997</v>
      </c>
      <c r="M2377">
        <v>275</v>
      </c>
      <c r="N2377">
        <v>50</v>
      </c>
      <c r="O2377">
        <v>14</v>
      </c>
      <c r="P2377">
        <v>2</v>
      </c>
    </row>
    <row r="2378" spans="1:16" x14ac:dyDescent="0.25">
      <c r="A2378" s="4">
        <v>44265</v>
      </c>
      <c r="B2378" t="s">
        <v>10</v>
      </c>
      <c r="C2378" t="s">
        <v>78</v>
      </c>
      <c r="F2378">
        <v>366</v>
      </c>
      <c r="J2378">
        <v>1.4710000000000001</v>
      </c>
      <c r="K2378">
        <v>50.8</v>
      </c>
      <c r="L2378">
        <v>34.6</v>
      </c>
      <c r="M2378">
        <v>245</v>
      </c>
      <c r="N2378">
        <v>36</v>
      </c>
      <c r="O2378">
        <v>13</v>
      </c>
    </row>
    <row r="2379" spans="1:16" x14ac:dyDescent="0.25">
      <c r="A2379" s="4">
        <v>44265</v>
      </c>
      <c r="B2379" t="s">
        <v>9</v>
      </c>
      <c r="C2379" t="s">
        <v>78</v>
      </c>
      <c r="F2379">
        <v>445</v>
      </c>
      <c r="J2379">
        <v>1.3180000000000001</v>
      </c>
      <c r="K2379">
        <v>51.2</v>
      </c>
      <c r="L2379">
        <v>38.799999999999997</v>
      </c>
      <c r="M2379">
        <v>275</v>
      </c>
      <c r="N2379">
        <v>50</v>
      </c>
      <c r="O2379">
        <v>14</v>
      </c>
      <c r="P2379">
        <v>2</v>
      </c>
    </row>
    <row r="2380" spans="1:16" x14ac:dyDescent="0.25">
      <c r="A2380" s="4">
        <v>44266</v>
      </c>
      <c r="B2380" t="s">
        <v>10</v>
      </c>
      <c r="C2380">
        <v>1</v>
      </c>
      <c r="F2380">
        <v>425</v>
      </c>
      <c r="J2380">
        <v>1.3859999999999999</v>
      </c>
      <c r="K2380">
        <v>47.2</v>
      </c>
      <c r="L2380">
        <v>34.1</v>
      </c>
      <c r="M2380">
        <v>289</v>
      </c>
      <c r="N2380">
        <v>43</v>
      </c>
      <c r="O2380">
        <v>10</v>
      </c>
      <c r="P2380">
        <v>1</v>
      </c>
    </row>
    <row r="2381" spans="1:16" x14ac:dyDescent="0.25">
      <c r="A2381" s="4">
        <v>44266</v>
      </c>
      <c r="B2381" t="s">
        <v>9</v>
      </c>
      <c r="C2381">
        <v>1</v>
      </c>
      <c r="F2381">
        <v>432</v>
      </c>
      <c r="J2381">
        <v>1.302</v>
      </c>
      <c r="K2381">
        <v>48</v>
      </c>
      <c r="L2381">
        <v>36.9</v>
      </c>
      <c r="M2381">
        <v>322</v>
      </c>
      <c r="N2381">
        <v>32</v>
      </c>
      <c r="O2381">
        <v>5</v>
      </c>
      <c r="P2381">
        <v>4</v>
      </c>
    </row>
    <row r="2382" spans="1:16" x14ac:dyDescent="0.25">
      <c r="A2382" s="4">
        <v>44266</v>
      </c>
      <c r="B2382" t="s">
        <v>10</v>
      </c>
      <c r="C2382" t="s">
        <v>78</v>
      </c>
      <c r="F2382">
        <v>425</v>
      </c>
      <c r="J2382">
        <v>1.3859999999999999</v>
      </c>
      <c r="K2382">
        <v>47.2</v>
      </c>
      <c r="L2382">
        <v>34.1</v>
      </c>
      <c r="M2382">
        <v>289</v>
      </c>
      <c r="N2382">
        <v>43</v>
      </c>
      <c r="O2382">
        <v>10</v>
      </c>
      <c r="P2382">
        <v>1</v>
      </c>
    </row>
    <row r="2383" spans="1:16" x14ac:dyDescent="0.25">
      <c r="A2383" s="4">
        <v>44266</v>
      </c>
      <c r="B2383" t="s">
        <v>9</v>
      </c>
      <c r="C2383" t="s">
        <v>78</v>
      </c>
      <c r="F2383">
        <v>432</v>
      </c>
      <c r="J2383">
        <v>1.302</v>
      </c>
      <c r="K2383">
        <v>48</v>
      </c>
      <c r="L2383">
        <v>36.9</v>
      </c>
      <c r="M2383">
        <v>322</v>
      </c>
      <c r="N2383">
        <v>32</v>
      </c>
      <c r="O2383">
        <v>5</v>
      </c>
      <c r="P2383">
        <v>4</v>
      </c>
    </row>
    <row r="2384" spans="1:16" x14ac:dyDescent="0.25">
      <c r="A2384" s="4">
        <v>44267</v>
      </c>
      <c r="B2384" t="s">
        <v>10</v>
      </c>
      <c r="C2384">
        <v>1</v>
      </c>
      <c r="F2384">
        <v>360</v>
      </c>
      <c r="J2384">
        <v>1.343</v>
      </c>
      <c r="K2384">
        <v>50</v>
      </c>
      <c r="L2384">
        <v>37.200000000000003</v>
      </c>
      <c r="M2384">
        <v>205</v>
      </c>
      <c r="N2384">
        <v>36</v>
      </c>
      <c r="O2384">
        <v>19</v>
      </c>
      <c r="P2384">
        <v>2</v>
      </c>
    </row>
    <row r="2385" spans="1:16" x14ac:dyDescent="0.25">
      <c r="A2385" s="4">
        <v>44267</v>
      </c>
      <c r="B2385" t="s">
        <v>9</v>
      </c>
      <c r="C2385">
        <v>1</v>
      </c>
      <c r="F2385">
        <v>359</v>
      </c>
      <c r="J2385">
        <v>1.236</v>
      </c>
      <c r="K2385">
        <v>49.9</v>
      </c>
      <c r="L2385">
        <v>40.4</v>
      </c>
      <c r="M2385">
        <v>219</v>
      </c>
      <c r="N2385">
        <v>42</v>
      </c>
      <c r="O2385">
        <v>11</v>
      </c>
      <c r="P2385">
        <v>1</v>
      </c>
    </row>
    <row r="2386" spans="1:16" x14ac:dyDescent="0.25">
      <c r="A2386" s="4">
        <v>44267</v>
      </c>
      <c r="B2386" t="s">
        <v>10</v>
      </c>
      <c r="C2386" t="s">
        <v>78</v>
      </c>
      <c r="F2386">
        <v>360</v>
      </c>
      <c r="J2386">
        <v>1.343</v>
      </c>
      <c r="K2386">
        <v>50</v>
      </c>
      <c r="L2386">
        <v>37.200000000000003</v>
      </c>
      <c r="M2386">
        <v>205</v>
      </c>
      <c r="N2386">
        <v>36</v>
      </c>
      <c r="O2386">
        <v>19</v>
      </c>
      <c r="P2386">
        <v>2</v>
      </c>
    </row>
    <row r="2387" spans="1:16" x14ac:dyDescent="0.25">
      <c r="A2387" s="4">
        <v>44267</v>
      </c>
      <c r="B2387" t="s">
        <v>9</v>
      </c>
      <c r="C2387" t="s">
        <v>78</v>
      </c>
      <c r="F2387">
        <v>359</v>
      </c>
      <c r="J2387">
        <v>1.236</v>
      </c>
      <c r="K2387">
        <v>49.9</v>
      </c>
      <c r="L2387">
        <v>40.4</v>
      </c>
      <c r="M2387">
        <v>219</v>
      </c>
      <c r="N2387">
        <v>42</v>
      </c>
      <c r="O2387">
        <v>11</v>
      </c>
      <c r="P2387">
        <v>1</v>
      </c>
    </row>
    <row r="2388" spans="1:16" x14ac:dyDescent="0.25">
      <c r="A2388" s="4">
        <v>44270</v>
      </c>
      <c r="B2388" t="s">
        <v>10</v>
      </c>
      <c r="C2388">
        <v>1</v>
      </c>
      <c r="F2388">
        <v>359</v>
      </c>
      <c r="J2388">
        <v>1.3959999999999999</v>
      </c>
      <c r="K2388">
        <v>49.9</v>
      </c>
      <c r="L2388">
        <v>35.700000000000003</v>
      </c>
      <c r="M2388">
        <v>206</v>
      </c>
      <c r="N2388">
        <v>36</v>
      </c>
      <c r="O2388">
        <v>20</v>
      </c>
      <c r="P2388">
        <v>1</v>
      </c>
    </row>
    <row r="2389" spans="1:16" x14ac:dyDescent="0.25">
      <c r="A2389" s="4">
        <v>44270</v>
      </c>
      <c r="B2389" t="s">
        <v>9</v>
      </c>
      <c r="C2389">
        <v>1</v>
      </c>
      <c r="F2389">
        <v>350</v>
      </c>
      <c r="J2389">
        <v>1.2829999999999999</v>
      </c>
      <c r="K2389">
        <v>48.6</v>
      </c>
      <c r="L2389">
        <v>37.9</v>
      </c>
      <c r="M2389">
        <v>246</v>
      </c>
      <c r="N2389">
        <v>31</v>
      </c>
      <c r="O2389">
        <v>6</v>
      </c>
      <c r="P2389">
        <v>2</v>
      </c>
    </row>
    <row r="2390" spans="1:16" x14ac:dyDescent="0.25">
      <c r="A2390" s="4">
        <v>44270</v>
      </c>
      <c r="B2390" t="s">
        <v>10</v>
      </c>
      <c r="C2390" t="s">
        <v>78</v>
      </c>
      <c r="F2390">
        <v>359</v>
      </c>
      <c r="J2390">
        <v>1.3959999999999999</v>
      </c>
      <c r="K2390">
        <v>49.9</v>
      </c>
      <c r="L2390">
        <v>35.700000000000003</v>
      </c>
      <c r="M2390">
        <v>206</v>
      </c>
      <c r="N2390">
        <v>36</v>
      </c>
      <c r="O2390">
        <v>20</v>
      </c>
      <c r="P2390">
        <v>1</v>
      </c>
    </row>
    <row r="2391" spans="1:16" x14ac:dyDescent="0.25">
      <c r="A2391" s="4">
        <v>44270</v>
      </c>
      <c r="B2391" t="s">
        <v>9</v>
      </c>
      <c r="C2391" t="s">
        <v>78</v>
      </c>
      <c r="F2391">
        <v>350</v>
      </c>
      <c r="J2391">
        <v>1.2829999999999999</v>
      </c>
      <c r="K2391">
        <v>48.6</v>
      </c>
      <c r="L2391">
        <v>37.9</v>
      </c>
      <c r="M2391">
        <v>246</v>
      </c>
      <c r="N2391">
        <v>31</v>
      </c>
      <c r="O2391">
        <v>6</v>
      </c>
      <c r="P2391">
        <v>2</v>
      </c>
    </row>
    <row r="2392" spans="1:16" x14ac:dyDescent="0.25">
      <c r="A2392" s="4">
        <v>44270</v>
      </c>
      <c r="B2392" t="s">
        <v>10</v>
      </c>
      <c r="C2392">
        <v>1</v>
      </c>
      <c r="F2392">
        <v>359</v>
      </c>
      <c r="J2392">
        <v>1.3959999999999999</v>
      </c>
      <c r="K2392">
        <v>49.9</v>
      </c>
      <c r="L2392">
        <v>35.700000000000003</v>
      </c>
      <c r="M2392">
        <v>206</v>
      </c>
      <c r="N2392">
        <v>36</v>
      </c>
      <c r="O2392">
        <v>20</v>
      </c>
      <c r="P2392">
        <v>1</v>
      </c>
    </row>
    <row r="2393" spans="1:16" x14ac:dyDescent="0.25">
      <c r="A2393" s="4">
        <v>44270</v>
      </c>
      <c r="B2393" t="s">
        <v>9</v>
      </c>
      <c r="C2393">
        <v>1</v>
      </c>
      <c r="F2393">
        <v>350</v>
      </c>
      <c r="J2393">
        <v>1.2829999999999999</v>
      </c>
      <c r="K2393">
        <v>48.6</v>
      </c>
      <c r="L2393">
        <v>37.9</v>
      </c>
      <c r="M2393">
        <v>246</v>
      </c>
      <c r="N2393">
        <v>31</v>
      </c>
      <c r="O2393">
        <v>6</v>
      </c>
      <c r="P2393">
        <v>2</v>
      </c>
    </row>
    <row r="2394" spans="1:16" x14ac:dyDescent="0.25">
      <c r="A2394" s="4">
        <v>44270</v>
      </c>
      <c r="B2394" t="s">
        <v>10</v>
      </c>
      <c r="C2394" t="s">
        <v>78</v>
      </c>
      <c r="F2394">
        <v>359</v>
      </c>
      <c r="J2394">
        <v>1.3959999999999999</v>
      </c>
      <c r="K2394">
        <v>49.9</v>
      </c>
      <c r="L2394">
        <v>35.700000000000003</v>
      </c>
      <c r="M2394">
        <v>206</v>
      </c>
      <c r="N2394">
        <v>36</v>
      </c>
      <c r="O2394">
        <v>20</v>
      </c>
      <c r="P2394">
        <v>1</v>
      </c>
    </row>
    <row r="2395" spans="1:16" x14ac:dyDescent="0.25">
      <c r="A2395" s="4">
        <v>44270</v>
      </c>
      <c r="B2395" t="s">
        <v>9</v>
      </c>
      <c r="C2395" t="s">
        <v>78</v>
      </c>
      <c r="F2395">
        <v>350</v>
      </c>
      <c r="J2395">
        <v>1.2829999999999999</v>
      </c>
      <c r="K2395">
        <v>48.6</v>
      </c>
      <c r="L2395">
        <v>37.9</v>
      </c>
      <c r="M2395">
        <v>246</v>
      </c>
      <c r="N2395">
        <v>31</v>
      </c>
      <c r="O2395">
        <v>6</v>
      </c>
      <c r="P2395">
        <v>2</v>
      </c>
    </row>
    <row r="2396" spans="1:16" x14ac:dyDescent="0.25">
      <c r="A2396" s="4">
        <v>44271</v>
      </c>
      <c r="B2396" t="s">
        <v>10</v>
      </c>
      <c r="C2396">
        <v>1</v>
      </c>
      <c r="F2396">
        <v>370</v>
      </c>
      <c r="J2396">
        <v>1.423</v>
      </c>
      <c r="K2396">
        <v>51.4</v>
      </c>
      <c r="L2396">
        <v>36.1</v>
      </c>
      <c r="M2396">
        <v>188</v>
      </c>
      <c r="N2396">
        <v>43</v>
      </c>
      <c r="O2396">
        <v>23</v>
      </c>
      <c r="P2396">
        <v>3</v>
      </c>
    </row>
    <row r="2397" spans="1:16" x14ac:dyDescent="0.25">
      <c r="A2397" s="4">
        <v>44271</v>
      </c>
      <c r="B2397" t="s">
        <v>9</v>
      </c>
      <c r="C2397">
        <v>1</v>
      </c>
      <c r="F2397">
        <v>344</v>
      </c>
      <c r="J2397">
        <v>1.2350000000000001</v>
      </c>
      <c r="K2397">
        <v>47.8</v>
      </c>
      <c r="L2397">
        <v>38.700000000000003</v>
      </c>
      <c r="M2397">
        <v>228</v>
      </c>
      <c r="N2397">
        <v>29</v>
      </c>
      <c r="O2397">
        <v>8</v>
      </c>
      <c r="P2397">
        <v>3</v>
      </c>
    </row>
    <row r="2398" spans="1:16" x14ac:dyDescent="0.25">
      <c r="A2398" s="4">
        <v>44271</v>
      </c>
      <c r="B2398" t="s">
        <v>10</v>
      </c>
      <c r="C2398" t="s">
        <v>78</v>
      </c>
      <c r="F2398">
        <v>370</v>
      </c>
      <c r="J2398">
        <v>1.423</v>
      </c>
      <c r="K2398">
        <v>51.4</v>
      </c>
      <c r="L2398">
        <v>36.1</v>
      </c>
      <c r="M2398">
        <v>188</v>
      </c>
      <c r="N2398">
        <v>43</v>
      </c>
      <c r="O2398">
        <v>23</v>
      </c>
      <c r="P2398">
        <v>3</v>
      </c>
    </row>
    <row r="2399" spans="1:16" x14ac:dyDescent="0.25">
      <c r="A2399" s="4">
        <v>44271</v>
      </c>
      <c r="B2399" t="s">
        <v>9</v>
      </c>
      <c r="C2399" t="s">
        <v>78</v>
      </c>
      <c r="F2399">
        <v>344</v>
      </c>
      <c r="J2399">
        <v>1.2350000000000001</v>
      </c>
      <c r="K2399">
        <v>47.8</v>
      </c>
      <c r="L2399">
        <v>38.700000000000003</v>
      </c>
      <c r="M2399">
        <v>228</v>
      </c>
      <c r="N2399">
        <v>29</v>
      </c>
      <c r="O2399">
        <v>8</v>
      </c>
      <c r="P2399">
        <v>3</v>
      </c>
    </row>
    <row r="2400" spans="1:16" x14ac:dyDescent="0.25">
      <c r="A2400" s="4">
        <v>44272</v>
      </c>
      <c r="B2400" t="s">
        <v>10</v>
      </c>
      <c r="C2400">
        <v>1</v>
      </c>
      <c r="F2400">
        <v>410</v>
      </c>
      <c r="J2400">
        <v>1.3180000000000001</v>
      </c>
      <c r="K2400">
        <v>45.6</v>
      </c>
      <c r="L2400">
        <v>34.6</v>
      </c>
      <c r="M2400">
        <v>263</v>
      </c>
      <c r="N2400">
        <v>48</v>
      </c>
      <c r="O2400">
        <v>14</v>
      </c>
    </row>
    <row r="2401" spans="1:16" x14ac:dyDescent="0.25">
      <c r="A2401" s="4">
        <v>44272</v>
      </c>
      <c r="B2401" t="s">
        <v>9</v>
      </c>
      <c r="C2401">
        <v>1</v>
      </c>
      <c r="F2401">
        <v>405</v>
      </c>
      <c r="J2401">
        <v>1.153</v>
      </c>
      <c r="K2401">
        <v>45</v>
      </c>
      <c r="L2401">
        <v>39.04</v>
      </c>
      <c r="M2401">
        <v>263</v>
      </c>
      <c r="N2401">
        <v>38</v>
      </c>
      <c r="O2401">
        <v>17</v>
      </c>
    </row>
    <row r="2402" spans="1:16" x14ac:dyDescent="0.25">
      <c r="A2402" s="4">
        <v>44272</v>
      </c>
      <c r="B2402" t="s">
        <v>10</v>
      </c>
      <c r="C2402" t="s">
        <v>78</v>
      </c>
      <c r="F2402">
        <v>410</v>
      </c>
      <c r="J2402">
        <v>1.3180000000000001</v>
      </c>
      <c r="K2402">
        <v>45.6</v>
      </c>
      <c r="L2402">
        <v>34.6</v>
      </c>
      <c r="M2402">
        <v>263</v>
      </c>
      <c r="N2402">
        <v>48</v>
      </c>
      <c r="O2402">
        <v>14</v>
      </c>
    </row>
    <row r="2403" spans="1:16" x14ac:dyDescent="0.25">
      <c r="A2403" s="4">
        <v>44272</v>
      </c>
      <c r="B2403" t="s">
        <v>9</v>
      </c>
      <c r="C2403" t="s">
        <v>78</v>
      </c>
      <c r="F2403">
        <v>405</v>
      </c>
      <c r="J2403">
        <v>1.153</v>
      </c>
      <c r="K2403">
        <v>45</v>
      </c>
      <c r="L2403">
        <v>39.04</v>
      </c>
      <c r="M2403">
        <v>263</v>
      </c>
      <c r="N2403">
        <v>38</v>
      </c>
      <c r="O2403">
        <v>17</v>
      </c>
    </row>
    <row r="2404" spans="1:16" x14ac:dyDescent="0.25">
      <c r="A2404" s="4">
        <v>44273</v>
      </c>
      <c r="B2404" t="s">
        <v>10</v>
      </c>
      <c r="C2404">
        <v>1</v>
      </c>
      <c r="F2404">
        <v>404</v>
      </c>
      <c r="J2404">
        <v>1.302</v>
      </c>
      <c r="K2404">
        <v>45.9</v>
      </c>
      <c r="L2404">
        <v>35.299999999999997</v>
      </c>
      <c r="M2404">
        <v>245</v>
      </c>
      <c r="N2404">
        <v>40</v>
      </c>
      <c r="O2404">
        <v>18</v>
      </c>
      <c r="P2404">
        <v>1</v>
      </c>
    </row>
    <row r="2405" spans="1:16" x14ac:dyDescent="0.25">
      <c r="A2405" s="4">
        <v>44273</v>
      </c>
      <c r="B2405" t="s">
        <v>9</v>
      </c>
      <c r="C2405">
        <v>1</v>
      </c>
      <c r="F2405">
        <v>369</v>
      </c>
      <c r="J2405">
        <v>1.0580000000000001</v>
      </c>
      <c r="K2405">
        <v>41.9</v>
      </c>
      <c r="L2405">
        <v>39.700000000000003</v>
      </c>
      <c r="M2405">
        <v>224</v>
      </c>
      <c r="N2405">
        <v>28</v>
      </c>
      <c r="O2405">
        <v>19</v>
      </c>
      <c r="P2405">
        <v>2</v>
      </c>
    </row>
    <row r="2406" spans="1:16" x14ac:dyDescent="0.25">
      <c r="A2406" s="4">
        <v>44273</v>
      </c>
      <c r="B2406" t="s">
        <v>10</v>
      </c>
      <c r="C2406" t="s">
        <v>78</v>
      </c>
      <c r="F2406">
        <v>404</v>
      </c>
      <c r="J2406">
        <v>1.302</v>
      </c>
      <c r="K2406">
        <v>45.9</v>
      </c>
      <c r="L2406">
        <v>35.299999999999997</v>
      </c>
      <c r="M2406">
        <v>245</v>
      </c>
      <c r="N2406">
        <v>40</v>
      </c>
      <c r="O2406">
        <v>18</v>
      </c>
      <c r="P2406">
        <v>1</v>
      </c>
    </row>
    <row r="2407" spans="1:16" x14ac:dyDescent="0.25">
      <c r="A2407" s="4">
        <v>44273</v>
      </c>
      <c r="B2407" t="s">
        <v>9</v>
      </c>
      <c r="C2407" t="s">
        <v>78</v>
      </c>
      <c r="F2407">
        <v>369</v>
      </c>
      <c r="J2407">
        <v>1.0580000000000001</v>
      </c>
      <c r="K2407">
        <v>41.9</v>
      </c>
      <c r="L2407">
        <v>39.700000000000003</v>
      </c>
      <c r="M2407">
        <v>224</v>
      </c>
      <c r="N2407">
        <v>28</v>
      </c>
      <c r="O2407">
        <v>19</v>
      </c>
      <c r="P2407">
        <v>2</v>
      </c>
    </row>
    <row r="2408" spans="1:16" x14ac:dyDescent="0.25">
      <c r="A2408" s="4">
        <v>44274</v>
      </c>
      <c r="B2408" t="s">
        <v>10</v>
      </c>
      <c r="C2408">
        <v>1</v>
      </c>
      <c r="F2408">
        <v>343</v>
      </c>
      <c r="J2408">
        <v>1.403</v>
      </c>
      <c r="K2408">
        <v>47.6</v>
      </c>
      <c r="L2408">
        <v>34</v>
      </c>
      <c r="M2408">
        <v>240</v>
      </c>
      <c r="N2408">
        <v>27</v>
      </c>
      <c r="O2408">
        <v>12</v>
      </c>
    </row>
    <row r="2409" spans="1:16" x14ac:dyDescent="0.25">
      <c r="A2409" s="4">
        <v>44274</v>
      </c>
      <c r="B2409" t="s">
        <v>9</v>
      </c>
      <c r="C2409">
        <v>1</v>
      </c>
      <c r="F2409">
        <v>314</v>
      </c>
      <c r="J2409">
        <v>1.1950000000000001</v>
      </c>
      <c r="K2409">
        <v>43.6</v>
      </c>
      <c r="L2409">
        <v>36.5</v>
      </c>
      <c r="M2409">
        <v>236</v>
      </c>
      <c r="N2409">
        <v>26</v>
      </c>
      <c r="O2409">
        <v>5</v>
      </c>
    </row>
    <row r="2410" spans="1:16" x14ac:dyDescent="0.25">
      <c r="A2410" s="4">
        <v>44274</v>
      </c>
      <c r="B2410" t="s">
        <v>10</v>
      </c>
      <c r="C2410" t="s">
        <v>78</v>
      </c>
      <c r="F2410">
        <v>343</v>
      </c>
      <c r="J2410">
        <v>1.403</v>
      </c>
      <c r="K2410">
        <v>47.6</v>
      </c>
      <c r="L2410">
        <v>34</v>
      </c>
      <c r="M2410">
        <v>240</v>
      </c>
      <c r="N2410">
        <v>27</v>
      </c>
      <c r="O2410">
        <v>12</v>
      </c>
    </row>
    <row r="2411" spans="1:16" x14ac:dyDescent="0.25">
      <c r="A2411" s="4">
        <v>44274</v>
      </c>
      <c r="B2411" t="s">
        <v>9</v>
      </c>
      <c r="C2411" t="s">
        <v>78</v>
      </c>
      <c r="F2411">
        <v>314</v>
      </c>
      <c r="J2411">
        <v>1.1950000000000001</v>
      </c>
      <c r="K2411">
        <v>43.6</v>
      </c>
      <c r="L2411">
        <v>36.5</v>
      </c>
      <c r="M2411">
        <v>236</v>
      </c>
      <c r="N2411">
        <v>26</v>
      </c>
      <c r="O2411">
        <v>5</v>
      </c>
    </row>
    <row r="2412" spans="1:16" x14ac:dyDescent="0.25">
      <c r="A2412" s="4">
        <v>44277</v>
      </c>
      <c r="B2412" t="s">
        <v>10</v>
      </c>
      <c r="C2412">
        <v>1</v>
      </c>
      <c r="F2412">
        <v>415</v>
      </c>
      <c r="J2412">
        <v>1.3009999999999999</v>
      </c>
      <c r="K2412">
        <v>46.11</v>
      </c>
      <c r="L2412">
        <v>35.4</v>
      </c>
      <c r="M2412">
        <v>254</v>
      </c>
      <c r="N2412">
        <v>45</v>
      </c>
      <c r="O2412">
        <v>18</v>
      </c>
      <c r="P2412">
        <v>2</v>
      </c>
    </row>
    <row r="2413" spans="1:16" x14ac:dyDescent="0.25">
      <c r="A2413" s="4">
        <v>44277</v>
      </c>
      <c r="B2413" t="s">
        <v>9</v>
      </c>
      <c r="C2413">
        <v>1</v>
      </c>
      <c r="F2413">
        <v>422</v>
      </c>
      <c r="J2413">
        <v>1.1599999999999999</v>
      </c>
      <c r="K2413">
        <v>46.9</v>
      </c>
      <c r="L2413">
        <v>40.4</v>
      </c>
      <c r="M2413">
        <v>229</v>
      </c>
      <c r="N2413">
        <v>52</v>
      </c>
      <c r="O2413">
        <v>21</v>
      </c>
      <c r="P2413">
        <v>1</v>
      </c>
    </row>
    <row r="2414" spans="1:16" x14ac:dyDescent="0.25">
      <c r="A2414" s="4">
        <v>44277</v>
      </c>
      <c r="B2414" t="s">
        <v>10</v>
      </c>
      <c r="C2414" t="s">
        <v>78</v>
      </c>
      <c r="F2414">
        <v>415</v>
      </c>
      <c r="J2414">
        <v>1.3009999999999999</v>
      </c>
      <c r="K2414">
        <v>46.11</v>
      </c>
      <c r="L2414">
        <v>35.4</v>
      </c>
      <c r="M2414">
        <v>254</v>
      </c>
      <c r="N2414">
        <v>45</v>
      </c>
      <c r="O2414">
        <v>18</v>
      </c>
      <c r="P2414">
        <v>2</v>
      </c>
    </row>
    <row r="2415" spans="1:16" x14ac:dyDescent="0.25">
      <c r="A2415" s="4">
        <v>44277</v>
      </c>
      <c r="B2415" t="s">
        <v>9</v>
      </c>
      <c r="C2415" t="s">
        <v>78</v>
      </c>
      <c r="F2415">
        <v>422</v>
      </c>
      <c r="J2415">
        <v>1.1599999999999999</v>
      </c>
      <c r="K2415">
        <v>46.9</v>
      </c>
      <c r="L2415">
        <v>40.4</v>
      </c>
      <c r="M2415">
        <v>229</v>
      </c>
      <c r="N2415">
        <v>52</v>
      </c>
      <c r="O2415">
        <v>21</v>
      </c>
      <c r="P2415">
        <v>1</v>
      </c>
    </row>
    <row r="2416" spans="1:16" x14ac:dyDescent="0.25">
      <c r="A2416" s="4">
        <v>44278</v>
      </c>
      <c r="B2416" t="s">
        <v>10</v>
      </c>
      <c r="C2416">
        <v>1</v>
      </c>
      <c r="F2416">
        <v>466</v>
      </c>
      <c r="J2416">
        <v>1.4510000000000001</v>
      </c>
      <c r="K2416">
        <v>51.8</v>
      </c>
      <c r="L2416">
        <v>35.700000000000003</v>
      </c>
      <c r="M2416">
        <v>261</v>
      </c>
      <c r="N2416">
        <v>62</v>
      </c>
      <c r="O2416">
        <v>12</v>
      </c>
      <c r="P2416">
        <v>5</v>
      </c>
    </row>
    <row r="2417" spans="1:16" x14ac:dyDescent="0.25">
      <c r="A2417" s="4">
        <v>44278</v>
      </c>
      <c r="B2417" t="s">
        <v>9</v>
      </c>
      <c r="C2417">
        <v>1</v>
      </c>
      <c r="F2417">
        <v>398</v>
      </c>
      <c r="J2417">
        <v>1.071</v>
      </c>
      <c r="K2417">
        <v>44.2</v>
      </c>
      <c r="L2417">
        <v>41.3</v>
      </c>
      <c r="M2417">
        <v>214</v>
      </c>
      <c r="N2417">
        <v>42</v>
      </c>
      <c r="O2417">
        <v>16</v>
      </c>
      <c r="P2417">
        <v>5</v>
      </c>
    </row>
    <row r="2418" spans="1:16" x14ac:dyDescent="0.25">
      <c r="A2418" s="4">
        <v>44278</v>
      </c>
      <c r="B2418" t="s">
        <v>10</v>
      </c>
      <c r="C2418" t="s">
        <v>78</v>
      </c>
      <c r="F2418">
        <v>466</v>
      </c>
      <c r="J2418">
        <v>1.4510000000000001</v>
      </c>
      <c r="K2418">
        <v>51.8</v>
      </c>
      <c r="L2418">
        <v>35.700000000000003</v>
      </c>
      <c r="M2418">
        <v>261</v>
      </c>
      <c r="N2418">
        <v>62</v>
      </c>
      <c r="O2418">
        <v>12</v>
      </c>
      <c r="P2418">
        <v>5</v>
      </c>
    </row>
    <row r="2419" spans="1:16" x14ac:dyDescent="0.25">
      <c r="A2419" s="4">
        <v>44278</v>
      </c>
      <c r="B2419" t="s">
        <v>9</v>
      </c>
      <c r="C2419" t="s">
        <v>78</v>
      </c>
      <c r="F2419">
        <v>398</v>
      </c>
      <c r="J2419">
        <v>1.071</v>
      </c>
      <c r="K2419">
        <v>44.2</v>
      </c>
      <c r="L2419">
        <v>41.3</v>
      </c>
      <c r="M2419">
        <v>214</v>
      </c>
      <c r="N2419">
        <v>42</v>
      </c>
      <c r="O2419">
        <v>16</v>
      </c>
      <c r="P2419">
        <v>5</v>
      </c>
    </row>
    <row r="2420" spans="1:16" x14ac:dyDescent="0.25">
      <c r="A2420" s="4">
        <v>44279</v>
      </c>
      <c r="B2420" t="s">
        <v>10</v>
      </c>
      <c r="C2420">
        <v>1</v>
      </c>
      <c r="F2420">
        <v>449</v>
      </c>
      <c r="J2420">
        <v>1.5189999999999999</v>
      </c>
      <c r="K2420">
        <v>49.9</v>
      </c>
      <c r="L2420">
        <v>32.799999999999997</v>
      </c>
      <c r="M2420">
        <v>321</v>
      </c>
      <c r="N2420">
        <v>42</v>
      </c>
      <c r="O2420">
        <v>10</v>
      </c>
      <c r="P2420">
        <v>1</v>
      </c>
    </row>
    <row r="2421" spans="1:16" x14ac:dyDescent="0.25">
      <c r="A2421" s="4">
        <v>44279</v>
      </c>
      <c r="B2421" t="s">
        <v>9</v>
      </c>
      <c r="C2421">
        <v>1</v>
      </c>
      <c r="F2421">
        <v>404</v>
      </c>
      <c r="J2421">
        <v>1.2250000000000001</v>
      </c>
      <c r="K2421">
        <v>44.9</v>
      </c>
      <c r="L2421">
        <v>36.700000000000003</v>
      </c>
      <c r="M2421">
        <v>306</v>
      </c>
      <c r="N2421">
        <v>30</v>
      </c>
      <c r="O2421">
        <v>8</v>
      </c>
      <c r="P2421">
        <v>1</v>
      </c>
    </row>
    <row r="2422" spans="1:16" x14ac:dyDescent="0.25">
      <c r="A2422" s="4">
        <v>44279</v>
      </c>
      <c r="B2422" t="s">
        <v>10</v>
      </c>
      <c r="C2422" t="s">
        <v>78</v>
      </c>
      <c r="F2422">
        <v>449</v>
      </c>
      <c r="J2422">
        <v>1.5189999999999999</v>
      </c>
      <c r="K2422">
        <v>49.9</v>
      </c>
      <c r="L2422">
        <v>32.799999999999997</v>
      </c>
      <c r="M2422">
        <v>321</v>
      </c>
      <c r="N2422">
        <v>42</v>
      </c>
      <c r="O2422">
        <v>10</v>
      </c>
      <c r="P2422">
        <v>1</v>
      </c>
    </row>
    <row r="2423" spans="1:16" x14ac:dyDescent="0.25">
      <c r="A2423" s="4">
        <v>44279</v>
      </c>
      <c r="B2423" t="s">
        <v>9</v>
      </c>
      <c r="C2423" t="s">
        <v>78</v>
      </c>
      <c r="F2423">
        <v>404</v>
      </c>
      <c r="J2423">
        <v>1.2250000000000001</v>
      </c>
      <c r="K2423">
        <v>44.9</v>
      </c>
      <c r="L2423">
        <v>36.700000000000003</v>
      </c>
      <c r="M2423">
        <v>306</v>
      </c>
      <c r="N2423">
        <v>30</v>
      </c>
      <c r="O2423">
        <v>8</v>
      </c>
      <c r="P2423">
        <v>1</v>
      </c>
    </row>
    <row r="2424" spans="1:16" x14ac:dyDescent="0.25">
      <c r="A2424" s="4">
        <v>44280</v>
      </c>
      <c r="B2424" t="s">
        <v>10</v>
      </c>
      <c r="C2424">
        <v>1</v>
      </c>
      <c r="F2424">
        <v>411</v>
      </c>
      <c r="J2424">
        <v>1.3</v>
      </c>
      <c r="K2424">
        <v>45.7</v>
      </c>
      <c r="L2424">
        <v>35.1</v>
      </c>
      <c r="M2424">
        <v>237</v>
      </c>
      <c r="N2424">
        <v>55</v>
      </c>
      <c r="O2424">
        <v>14</v>
      </c>
      <c r="P2424">
        <v>2</v>
      </c>
    </row>
    <row r="2425" spans="1:16" x14ac:dyDescent="0.25">
      <c r="A2425" s="4">
        <v>44280</v>
      </c>
      <c r="B2425" t="s">
        <v>9</v>
      </c>
      <c r="C2425">
        <v>1</v>
      </c>
      <c r="F2425">
        <v>378</v>
      </c>
      <c r="J2425">
        <v>1.117</v>
      </c>
      <c r="K2425">
        <v>42</v>
      </c>
      <c r="L2425">
        <v>37.6</v>
      </c>
      <c r="M2425">
        <v>259</v>
      </c>
      <c r="N2425">
        <v>38</v>
      </c>
      <c r="O2425">
        <v>4</v>
      </c>
      <c r="P2425">
        <v>2</v>
      </c>
    </row>
    <row r="2426" spans="1:16" x14ac:dyDescent="0.25">
      <c r="A2426" s="4">
        <v>44280</v>
      </c>
      <c r="B2426" t="s">
        <v>10</v>
      </c>
      <c r="C2426" t="s">
        <v>78</v>
      </c>
      <c r="F2426">
        <v>411</v>
      </c>
      <c r="J2426">
        <v>1.3</v>
      </c>
      <c r="K2426">
        <v>45.7</v>
      </c>
      <c r="L2426">
        <v>35.1</v>
      </c>
      <c r="M2426">
        <v>237</v>
      </c>
      <c r="N2426">
        <v>55</v>
      </c>
      <c r="O2426">
        <v>14</v>
      </c>
      <c r="P2426">
        <v>2</v>
      </c>
    </row>
    <row r="2427" spans="1:16" x14ac:dyDescent="0.25">
      <c r="A2427" s="4">
        <v>44280</v>
      </c>
      <c r="B2427" t="s">
        <v>9</v>
      </c>
      <c r="C2427" t="s">
        <v>78</v>
      </c>
      <c r="F2427">
        <v>378</v>
      </c>
      <c r="J2427">
        <v>1.117</v>
      </c>
      <c r="K2427">
        <v>42</v>
      </c>
      <c r="L2427">
        <v>37.6</v>
      </c>
      <c r="M2427">
        <v>259</v>
      </c>
      <c r="N2427">
        <v>38</v>
      </c>
      <c r="O2427">
        <v>4</v>
      </c>
      <c r="P2427">
        <v>2</v>
      </c>
    </row>
    <row r="2428" spans="1:16" x14ac:dyDescent="0.25">
      <c r="A2428" s="4">
        <v>44281</v>
      </c>
      <c r="B2428" t="s">
        <v>10</v>
      </c>
      <c r="C2428">
        <v>1</v>
      </c>
      <c r="F2428">
        <v>411</v>
      </c>
      <c r="J2428">
        <v>1.345</v>
      </c>
      <c r="K2428">
        <v>47.2</v>
      </c>
      <c r="L2428">
        <v>35.1</v>
      </c>
      <c r="M2428">
        <v>237</v>
      </c>
      <c r="N2428">
        <v>55</v>
      </c>
      <c r="O2428">
        <v>14</v>
      </c>
      <c r="P2428">
        <v>2</v>
      </c>
    </row>
    <row r="2429" spans="1:16" x14ac:dyDescent="0.25">
      <c r="A2429" s="4">
        <v>44281</v>
      </c>
      <c r="B2429" t="s">
        <v>9</v>
      </c>
      <c r="C2429">
        <v>1</v>
      </c>
      <c r="F2429">
        <v>378</v>
      </c>
      <c r="J2429">
        <v>1.155</v>
      </c>
      <c r="K2429">
        <v>43.5</v>
      </c>
      <c r="L2429">
        <v>37.6</v>
      </c>
      <c r="M2429">
        <v>259</v>
      </c>
      <c r="N2429">
        <v>38</v>
      </c>
      <c r="O2429">
        <v>4</v>
      </c>
      <c r="P2429">
        <v>2</v>
      </c>
    </row>
    <row r="2430" spans="1:16" x14ac:dyDescent="0.25">
      <c r="A2430" s="4">
        <v>44281</v>
      </c>
      <c r="B2430" t="s">
        <v>10</v>
      </c>
      <c r="C2430" t="s">
        <v>78</v>
      </c>
      <c r="F2430">
        <v>411</v>
      </c>
      <c r="J2430">
        <v>1.345</v>
      </c>
      <c r="K2430">
        <v>47.2</v>
      </c>
      <c r="L2430">
        <v>35.1</v>
      </c>
      <c r="M2430">
        <v>237</v>
      </c>
      <c r="N2430">
        <v>55</v>
      </c>
      <c r="O2430">
        <v>14</v>
      </c>
      <c r="P2430">
        <v>2</v>
      </c>
    </row>
    <row r="2431" spans="1:16" x14ac:dyDescent="0.25">
      <c r="A2431" s="4">
        <v>44281</v>
      </c>
      <c r="B2431" t="s">
        <v>9</v>
      </c>
      <c r="C2431" t="s">
        <v>78</v>
      </c>
      <c r="F2431">
        <v>378</v>
      </c>
      <c r="J2431">
        <v>1.155</v>
      </c>
      <c r="K2431">
        <v>43.5</v>
      </c>
      <c r="L2431">
        <v>37.6</v>
      </c>
      <c r="M2431">
        <v>259</v>
      </c>
      <c r="N2431">
        <v>38</v>
      </c>
      <c r="O2431">
        <v>4</v>
      </c>
      <c r="P2431">
        <v>2</v>
      </c>
    </row>
    <row r="2432" spans="1:16" x14ac:dyDescent="0.25">
      <c r="A2432" s="4">
        <v>44282</v>
      </c>
      <c r="B2432" t="s">
        <v>10</v>
      </c>
      <c r="C2432">
        <v>1</v>
      </c>
      <c r="F2432">
        <v>214</v>
      </c>
      <c r="J2432">
        <v>1.091</v>
      </c>
      <c r="K2432">
        <v>40.4</v>
      </c>
      <c r="L2432">
        <v>37</v>
      </c>
      <c r="M2432">
        <v>140</v>
      </c>
      <c r="N2432">
        <v>28</v>
      </c>
      <c r="O2432">
        <v>6</v>
      </c>
    </row>
    <row r="2433" spans="1:16" x14ac:dyDescent="0.25">
      <c r="A2433" s="4">
        <v>44282</v>
      </c>
      <c r="B2433" t="s">
        <v>9</v>
      </c>
      <c r="C2433">
        <v>1</v>
      </c>
      <c r="F2433">
        <v>271</v>
      </c>
      <c r="J2433">
        <v>1.21</v>
      </c>
      <c r="K2433">
        <v>51.1</v>
      </c>
      <c r="L2433">
        <v>42.3</v>
      </c>
      <c r="M2433">
        <v>167</v>
      </c>
      <c r="N2433">
        <v>47</v>
      </c>
      <c r="O2433">
        <v>3</v>
      </c>
    </row>
    <row r="2434" spans="1:16" x14ac:dyDescent="0.25">
      <c r="A2434" s="4">
        <v>44282</v>
      </c>
      <c r="B2434" t="s">
        <v>10</v>
      </c>
      <c r="C2434" t="s">
        <v>78</v>
      </c>
      <c r="F2434">
        <v>214</v>
      </c>
      <c r="J2434">
        <v>1.091</v>
      </c>
      <c r="K2434">
        <v>40.4</v>
      </c>
      <c r="L2434">
        <v>37</v>
      </c>
      <c r="M2434">
        <v>140</v>
      </c>
      <c r="N2434">
        <v>28</v>
      </c>
      <c r="O2434">
        <v>6</v>
      </c>
    </row>
    <row r="2435" spans="1:16" x14ac:dyDescent="0.25">
      <c r="A2435" s="4">
        <v>44282</v>
      </c>
      <c r="B2435" t="s">
        <v>9</v>
      </c>
      <c r="C2435" t="s">
        <v>78</v>
      </c>
      <c r="F2435">
        <v>271</v>
      </c>
      <c r="J2435">
        <v>1.21</v>
      </c>
      <c r="K2435">
        <v>51.1</v>
      </c>
      <c r="L2435">
        <v>42.3</v>
      </c>
      <c r="M2435">
        <v>167</v>
      </c>
      <c r="N2435">
        <v>47</v>
      </c>
      <c r="O2435">
        <v>3</v>
      </c>
    </row>
    <row r="2436" spans="1:16" x14ac:dyDescent="0.25">
      <c r="A2436" s="4">
        <v>44284</v>
      </c>
      <c r="B2436" t="s">
        <v>10</v>
      </c>
      <c r="C2436">
        <v>1</v>
      </c>
      <c r="F2436">
        <v>475</v>
      </c>
      <c r="J2436">
        <v>1.419</v>
      </c>
      <c r="K2436">
        <v>52.8</v>
      </c>
      <c r="L2436">
        <v>37.200000000000003</v>
      </c>
      <c r="M2436">
        <v>234</v>
      </c>
      <c r="N2436">
        <v>52</v>
      </c>
      <c r="O2436">
        <v>28</v>
      </c>
      <c r="P2436">
        <v>4</v>
      </c>
    </row>
    <row r="2437" spans="1:16" x14ac:dyDescent="0.25">
      <c r="A2437" s="4">
        <v>44284</v>
      </c>
      <c r="B2437" t="s">
        <v>9</v>
      </c>
      <c r="C2437">
        <v>1</v>
      </c>
      <c r="F2437">
        <v>392</v>
      </c>
      <c r="J2437">
        <v>1.0389999999999999</v>
      </c>
      <c r="K2437">
        <v>43.6</v>
      </c>
      <c r="L2437">
        <v>41.9</v>
      </c>
      <c r="M2437">
        <v>188</v>
      </c>
      <c r="N2437">
        <v>40</v>
      </c>
      <c r="O2437">
        <v>21</v>
      </c>
      <c r="P2437">
        <v>5</v>
      </c>
    </row>
    <row r="2438" spans="1:16" x14ac:dyDescent="0.25">
      <c r="A2438" s="4">
        <v>44284</v>
      </c>
      <c r="B2438" t="s">
        <v>10</v>
      </c>
      <c r="C2438" t="s">
        <v>78</v>
      </c>
      <c r="F2438">
        <v>475</v>
      </c>
      <c r="J2438">
        <v>1.419</v>
      </c>
      <c r="K2438">
        <v>52.8</v>
      </c>
      <c r="L2438">
        <v>37.200000000000003</v>
      </c>
      <c r="M2438">
        <v>234</v>
      </c>
      <c r="N2438">
        <v>52</v>
      </c>
      <c r="O2438">
        <v>28</v>
      </c>
      <c r="P2438">
        <v>4</v>
      </c>
    </row>
    <row r="2439" spans="1:16" x14ac:dyDescent="0.25">
      <c r="A2439" s="4">
        <v>44284</v>
      </c>
      <c r="B2439" t="s">
        <v>9</v>
      </c>
      <c r="C2439" t="s">
        <v>78</v>
      </c>
      <c r="F2439">
        <v>392</v>
      </c>
      <c r="J2439">
        <v>1.0389999999999999</v>
      </c>
      <c r="K2439">
        <v>43.6</v>
      </c>
      <c r="L2439">
        <v>41.9</v>
      </c>
      <c r="M2439">
        <v>188</v>
      </c>
      <c r="N2439">
        <v>40</v>
      </c>
      <c r="O2439">
        <v>21</v>
      </c>
      <c r="P2439">
        <v>5</v>
      </c>
    </row>
    <row r="2440" spans="1:16" x14ac:dyDescent="0.25">
      <c r="A2440" s="4">
        <v>44285</v>
      </c>
      <c r="B2440" t="s">
        <v>10</v>
      </c>
      <c r="C2440">
        <v>1</v>
      </c>
      <c r="F2440">
        <v>422</v>
      </c>
      <c r="J2440">
        <v>1.3260000000000001</v>
      </c>
      <c r="K2440">
        <v>35.4</v>
      </c>
      <c r="L2440">
        <v>262</v>
      </c>
      <c r="M2440">
        <v>45</v>
      </c>
      <c r="N2440">
        <v>14</v>
      </c>
      <c r="O2440">
        <v>1</v>
      </c>
    </row>
    <row r="2441" spans="1:16" x14ac:dyDescent="0.25">
      <c r="A2441" s="4">
        <v>44285</v>
      </c>
      <c r="B2441" t="s">
        <v>9</v>
      </c>
      <c r="C2441">
        <v>1</v>
      </c>
      <c r="F2441">
        <v>424</v>
      </c>
      <c r="J2441">
        <v>1.2529999999999999</v>
      </c>
      <c r="K2441">
        <v>47.1</v>
      </c>
      <c r="L2441">
        <v>37.6</v>
      </c>
      <c r="M2441">
        <v>291</v>
      </c>
      <c r="N2441">
        <v>41</v>
      </c>
      <c r="O2441">
        <v>9</v>
      </c>
      <c r="P2441">
        <v>1</v>
      </c>
    </row>
    <row r="2442" spans="1:16" x14ac:dyDescent="0.25">
      <c r="A2442" s="4">
        <v>44285</v>
      </c>
      <c r="B2442" t="s">
        <v>10</v>
      </c>
      <c r="C2442" t="s">
        <v>78</v>
      </c>
      <c r="F2442">
        <v>422</v>
      </c>
      <c r="J2442">
        <v>1.3260000000000001</v>
      </c>
      <c r="K2442">
        <v>35.4</v>
      </c>
      <c r="L2442">
        <v>262</v>
      </c>
      <c r="M2442">
        <v>45</v>
      </c>
      <c r="N2442">
        <v>14</v>
      </c>
      <c r="O2442">
        <v>1</v>
      </c>
    </row>
    <row r="2443" spans="1:16" x14ac:dyDescent="0.25">
      <c r="A2443" s="4">
        <v>44285</v>
      </c>
      <c r="B2443" t="s">
        <v>9</v>
      </c>
      <c r="C2443" t="s">
        <v>78</v>
      </c>
      <c r="F2443">
        <v>424</v>
      </c>
      <c r="J2443">
        <v>1.2529999999999999</v>
      </c>
      <c r="K2443">
        <v>47.1</v>
      </c>
      <c r="L2443">
        <v>37.6</v>
      </c>
      <c r="M2443">
        <v>291</v>
      </c>
      <c r="N2443">
        <v>41</v>
      </c>
      <c r="O2443">
        <v>9</v>
      </c>
      <c r="P2443">
        <v>1</v>
      </c>
    </row>
    <row r="2444" spans="1:16" x14ac:dyDescent="0.25">
      <c r="A2444" s="4">
        <v>44286</v>
      </c>
      <c r="B2444" t="s">
        <v>10</v>
      </c>
      <c r="C2444">
        <v>1</v>
      </c>
      <c r="F2444">
        <v>414</v>
      </c>
      <c r="J2444">
        <v>1.363</v>
      </c>
      <c r="K2444">
        <v>47.1</v>
      </c>
      <c r="L2444">
        <v>34.5</v>
      </c>
      <c r="M2444">
        <v>272</v>
      </c>
      <c r="N2444">
        <v>42</v>
      </c>
      <c r="O2444">
        <v>15</v>
      </c>
    </row>
    <row r="2445" spans="1:16" x14ac:dyDescent="0.25">
      <c r="A2445" s="4">
        <v>44286</v>
      </c>
      <c r="B2445" t="s">
        <v>9</v>
      </c>
      <c r="C2445">
        <v>1</v>
      </c>
      <c r="F2445">
        <v>424</v>
      </c>
      <c r="J2445">
        <v>1.2669999999999999</v>
      </c>
      <c r="K2445">
        <v>48.2</v>
      </c>
      <c r="L2445">
        <v>38</v>
      </c>
      <c r="M2445">
        <v>288</v>
      </c>
      <c r="N2445">
        <v>38</v>
      </c>
      <c r="O2445">
        <v>16</v>
      </c>
    </row>
    <row r="2446" spans="1:16" x14ac:dyDescent="0.25">
      <c r="A2446" s="4">
        <v>44286</v>
      </c>
      <c r="B2446" t="s">
        <v>10</v>
      </c>
      <c r="C2446" t="s">
        <v>78</v>
      </c>
      <c r="F2446">
        <v>414</v>
      </c>
      <c r="J2446">
        <v>1.363</v>
      </c>
      <c r="K2446">
        <v>47.1</v>
      </c>
      <c r="L2446">
        <v>34.5</v>
      </c>
      <c r="M2446">
        <v>272</v>
      </c>
      <c r="N2446">
        <v>42</v>
      </c>
      <c r="O2446">
        <v>15</v>
      </c>
    </row>
    <row r="2447" spans="1:16" x14ac:dyDescent="0.25">
      <c r="A2447" s="4">
        <v>44286</v>
      </c>
      <c r="B2447" t="s">
        <v>9</v>
      </c>
      <c r="C2447" t="s">
        <v>78</v>
      </c>
      <c r="F2447">
        <v>424</v>
      </c>
      <c r="J2447">
        <v>1.2669999999999999</v>
      </c>
      <c r="K2447">
        <v>48.2</v>
      </c>
      <c r="L2447">
        <v>38</v>
      </c>
      <c r="M2447">
        <v>288</v>
      </c>
      <c r="N2447">
        <v>38</v>
      </c>
      <c r="O2447">
        <v>16</v>
      </c>
    </row>
    <row r="2448" spans="1:16" x14ac:dyDescent="0.25">
      <c r="A2448" s="4">
        <v>44287</v>
      </c>
      <c r="B2448" t="s">
        <v>10</v>
      </c>
      <c r="C2448">
        <v>1</v>
      </c>
      <c r="F2448">
        <v>415</v>
      </c>
      <c r="J2448">
        <v>1.3480000000000001</v>
      </c>
      <c r="K2448">
        <v>46.1</v>
      </c>
      <c r="L2448">
        <v>34.200000000000003</v>
      </c>
      <c r="M2448">
        <v>271</v>
      </c>
      <c r="N2448">
        <v>55</v>
      </c>
      <c r="O2448">
        <v>8</v>
      </c>
      <c r="P2448">
        <v>1</v>
      </c>
    </row>
    <row r="2449" spans="1:16" x14ac:dyDescent="0.25">
      <c r="A2449" s="4">
        <v>44287</v>
      </c>
      <c r="B2449" t="s">
        <v>9</v>
      </c>
      <c r="C2449">
        <v>1</v>
      </c>
      <c r="F2449">
        <v>405</v>
      </c>
      <c r="J2449">
        <v>1.1890000000000001</v>
      </c>
      <c r="K2449">
        <v>45</v>
      </c>
      <c r="L2449">
        <v>37.9</v>
      </c>
      <c r="M2449">
        <v>282</v>
      </c>
      <c r="N2449">
        <v>40</v>
      </c>
      <c r="O2449">
        <v>8</v>
      </c>
      <c r="P2449">
        <v>1</v>
      </c>
    </row>
    <row r="2450" spans="1:16" x14ac:dyDescent="0.25">
      <c r="A2450" s="4">
        <v>44287</v>
      </c>
      <c r="B2450" t="s">
        <v>10</v>
      </c>
      <c r="C2450" t="s">
        <v>78</v>
      </c>
      <c r="F2450">
        <v>415</v>
      </c>
      <c r="J2450">
        <v>1.3480000000000001</v>
      </c>
      <c r="K2450">
        <v>46.1</v>
      </c>
      <c r="L2450">
        <v>34.200000000000003</v>
      </c>
      <c r="M2450">
        <v>271</v>
      </c>
      <c r="N2450">
        <v>55</v>
      </c>
      <c r="O2450">
        <v>8</v>
      </c>
      <c r="P2450">
        <v>1</v>
      </c>
    </row>
    <row r="2451" spans="1:16" x14ac:dyDescent="0.25">
      <c r="A2451" s="4">
        <v>44287</v>
      </c>
      <c r="B2451" t="s">
        <v>9</v>
      </c>
      <c r="C2451" t="s">
        <v>78</v>
      </c>
      <c r="F2451">
        <v>405</v>
      </c>
      <c r="J2451">
        <v>1.1890000000000001</v>
      </c>
      <c r="K2451">
        <v>45</v>
      </c>
      <c r="L2451">
        <v>37.9</v>
      </c>
      <c r="M2451">
        <v>282</v>
      </c>
      <c r="N2451">
        <v>40</v>
      </c>
      <c r="O2451">
        <v>8</v>
      </c>
      <c r="P2451">
        <v>1</v>
      </c>
    </row>
    <row r="2452" spans="1:16" x14ac:dyDescent="0.25">
      <c r="A2452" s="4">
        <v>44291</v>
      </c>
      <c r="B2452" t="s">
        <v>10</v>
      </c>
      <c r="C2452">
        <v>1</v>
      </c>
      <c r="F2452">
        <v>106</v>
      </c>
      <c r="J2452">
        <v>1.2170000000000001</v>
      </c>
      <c r="K2452">
        <v>42.4</v>
      </c>
      <c r="L2452">
        <v>34.799999999999997</v>
      </c>
      <c r="M2452">
        <v>70</v>
      </c>
      <c r="N2452">
        <v>10</v>
      </c>
      <c r="O2452">
        <v>5</v>
      </c>
    </row>
    <row r="2453" spans="1:16" x14ac:dyDescent="0.25">
      <c r="A2453" s="4">
        <v>44291</v>
      </c>
      <c r="B2453" t="s">
        <v>9</v>
      </c>
      <c r="C2453">
        <v>1</v>
      </c>
      <c r="F2453">
        <v>516</v>
      </c>
      <c r="J2453">
        <v>1.3440000000000001</v>
      </c>
      <c r="K2453">
        <v>57.3</v>
      </c>
      <c r="L2453">
        <v>42.7</v>
      </c>
      <c r="M2453">
        <v>244</v>
      </c>
      <c r="N2453">
        <v>65</v>
      </c>
      <c r="O2453">
        <v>19</v>
      </c>
      <c r="P2453">
        <v>9</v>
      </c>
    </row>
    <row r="2454" spans="1:16" x14ac:dyDescent="0.25">
      <c r="A2454" s="4">
        <v>44291</v>
      </c>
      <c r="B2454" t="s">
        <v>10</v>
      </c>
      <c r="C2454" t="s">
        <v>78</v>
      </c>
      <c r="F2454">
        <v>106</v>
      </c>
      <c r="J2454">
        <v>1.2170000000000001</v>
      </c>
      <c r="K2454">
        <v>42.4</v>
      </c>
      <c r="L2454">
        <v>34.799999999999997</v>
      </c>
      <c r="M2454">
        <v>70</v>
      </c>
      <c r="N2454">
        <v>10</v>
      </c>
      <c r="O2454">
        <v>5</v>
      </c>
    </row>
    <row r="2455" spans="1:16" x14ac:dyDescent="0.25">
      <c r="A2455" s="4">
        <v>44291</v>
      </c>
      <c r="B2455" t="s">
        <v>9</v>
      </c>
      <c r="C2455" t="s">
        <v>78</v>
      </c>
      <c r="F2455">
        <v>516</v>
      </c>
      <c r="J2455">
        <v>1.3440000000000001</v>
      </c>
      <c r="K2455">
        <v>57.3</v>
      </c>
      <c r="L2455">
        <v>42.7</v>
      </c>
      <c r="M2455">
        <v>244</v>
      </c>
      <c r="N2455">
        <v>65</v>
      </c>
      <c r="O2455">
        <v>19</v>
      </c>
      <c r="P2455">
        <v>9</v>
      </c>
    </row>
    <row r="2456" spans="1:16" x14ac:dyDescent="0.25">
      <c r="A2456" s="4">
        <v>44292</v>
      </c>
      <c r="B2456" t="s">
        <v>10</v>
      </c>
      <c r="C2456">
        <v>1</v>
      </c>
      <c r="F2456">
        <v>273</v>
      </c>
      <c r="J2456">
        <v>1.5820000000000001</v>
      </c>
      <c r="K2456">
        <v>58.1</v>
      </c>
      <c r="L2456">
        <v>36.700000000000003</v>
      </c>
      <c r="M2456">
        <v>138</v>
      </c>
      <c r="N2456">
        <v>26</v>
      </c>
      <c r="O2456">
        <v>18</v>
      </c>
      <c r="P2456">
        <v>2</v>
      </c>
    </row>
    <row r="2457" spans="1:16" x14ac:dyDescent="0.25">
      <c r="A2457" s="4">
        <v>44292</v>
      </c>
      <c r="B2457" t="s">
        <v>9</v>
      </c>
      <c r="C2457">
        <v>1</v>
      </c>
      <c r="F2457">
        <v>410</v>
      </c>
      <c r="J2457">
        <v>1.141</v>
      </c>
      <c r="K2457">
        <v>45.6</v>
      </c>
      <c r="L2457">
        <v>39.9</v>
      </c>
      <c r="M2457">
        <v>243</v>
      </c>
      <c r="N2457">
        <v>46</v>
      </c>
      <c r="O2457">
        <v>13</v>
      </c>
      <c r="P2457">
        <v>2</v>
      </c>
    </row>
    <row r="2458" spans="1:16" x14ac:dyDescent="0.25">
      <c r="A2458" s="4">
        <v>44292</v>
      </c>
      <c r="B2458" t="s">
        <v>10</v>
      </c>
      <c r="C2458" t="s">
        <v>78</v>
      </c>
      <c r="F2458">
        <v>273</v>
      </c>
      <c r="J2458">
        <v>1.5820000000000001</v>
      </c>
      <c r="K2458">
        <v>58.1</v>
      </c>
      <c r="L2458">
        <v>36.700000000000003</v>
      </c>
      <c r="M2458">
        <v>138</v>
      </c>
      <c r="N2458">
        <v>26</v>
      </c>
      <c r="O2458">
        <v>18</v>
      </c>
      <c r="P2458">
        <v>2</v>
      </c>
    </row>
    <row r="2459" spans="1:16" x14ac:dyDescent="0.25">
      <c r="A2459" s="4">
        <v>44292</v>
      </c>
      <c r="B2459" t="s">
        <v>9</v>
      </c>
      <c r="C2459" t="s">
        <v>78</v>
      </c>
      <c r="F2459">
        <v>410</v>
      </c>
      <c r="J2459">
        <v>1.141</v>
      </c>
      <c r="K2459">
        <v>45.6</v>
      </c>
      <c r="L2459">
        <v>39.9</v>
      </c>
      <c r="M2459">
        <v>243</v>
      </c>
      <c r="N2459">
        <v>46</v>
      </c>
      <c r="O2459">
        <v>13</v>
      </c>
      <c r="P2459">
        <v>2</v>
      </c>
    </row>
    <row r="2460" spans="1:16" x14ac:dyDescent="0.25">
      <c r="A2460" s="4">
        <v>44293</v>
      </c>
      <c r="B2460" t="s">
        <v>10</v>
      </c>
      <c r="C2460">
        <v>1</v>
      </c>
      <c r="F2460">
        <v>502</v>
      </c>
      <c r="J2460">
        <v>1.585</v>
      </c>
      <c r="K2460">
        <v>55.8</v>
      </c>
      <c r="L2460">
        <v>35.200000000000003</v>
      </c>
      <c r="M2460">
        <v>290</v>
      </c>
      <c r="N2460">
        <v>53</v>
      </c>
      <c r="O2460">
        <v>28</v>
      </c>
      <c r="P2460">
        <v>1</v>
      </c>
    </row>
    <row r="2461" spans="1:16" x14ac:dyDescent="0.25">
      <c r="A2461" s="4">
        <v>44293</v>
      </c>
      <c r="B2461" t="s">
        <v>9</v>
      </c>
      <c r="C2461">
        <v>1</v>
      </c>
      <c r="F2461">
        <v>453</v>
      </c>
      <c r="J2461">
        <v>1.339</v>
      </c>
      <c r="K2461">
        <v>50.3</v>
      </c>
      <c r="L2461">
        <v>37.6</v>
      </c>
      <c r="M2461">
        <v>293</v>
      </c>
      <c r="N2461">
        <v>43</v>
      </c>
      <c r="O2461">
        <v>18</v>
      </c>
    </row>
    <row r="2462" spans="1:16" x14ac:dyDescent="0.25">
      <c r="A2462" s="4">
        <v>44293</v>
      </c>
      <c r="B2462" t="s">
        <v>10</v>
      </c>
      <c r="C2462" t="s">
        <v>78</v>
      </c>
      <c r="F2462">
        <v>502</v>
      </c>
      <c r="J2462">
        <v>1.585</v>
      </c>
      <c r="K2462">
        <v>55.8</v>
      </c>
      <c r="L2462">
        <v>35.200000000000003</v>
      </c>
      <c r="M2462">
        <v>290</v>
      </c>
      <c r="N2462">
        <v>53</v>
      </c>
      <c r="O2462">
        <v>28</v>
      </c>
      <c r="P2462">
        <v>1</v>
      </c>
    </row>
    <row r="2463" spans="1:16" x14ac:dyDescent="0.25">
      <c r="A2463" s="4">
        <v>44293</v>
      </c>
      <c r="B2463" t="s">
        <v>9</v>
      </c>
      <c r="C2463" t="s">
        <v>78</v>
      </c>
      <c r="F2463">
        <v>453</v>
      </c>
      <c r="J2463">
        <v>1.339</v>
      </c>
      <c r="K2463">
        <v>50.3</v>
      </c>
      <c r="L2463">
        <v>37.6</v>
      </c>
      <c r="M2463">
        <v>293</v>
      </c>
      <c r="N2463">
        <v>43</v>
      </c>
      <c r="O2463">
        <v>18</v>
      </c>
    </row>
    <row r="2464" spans="1:16" x14ac:dyDescent="0.25">
      <c r="A2464" s="4">
        <v>44294</v>
      </c>
      <c r="B2464" t="s">
        <v>10</v>
      </c>
      <c r="C2464">
        <v>1</v>
      </c>
      <c r="F2464">
        <v>447</v>
      </c>
      <c r="J2464">
        <v>1.4219999999999999</v>
      </c>
      <c r="K2464">
        <v>49.7</v>
      </c>
      <c r="L2464">
        <v>34.9</v>
      </c>
      <c r="M2464">
        <v>254</v>
      </c>
      <c r="N2464">
        <v>50</v>
      </c>
      <c r="O2464">
        <v>21</v>
      </c>
      <c r="P2464">
        <v>2</v>
      </c>
    </row>
    <row r="2465" spans="1:16" x14ac:dyDescent="0.25">
      <c r="A2465" s="4">
        <v>44294</v>
      </c>
      <c r="B2465" t="s">
        <v>9</v>
      </c>
      <c r="C2465">
        <v>1</v>
      </c>
      <c r="F2465">
        <v>417</v>
      </c>
      <c r="J2465">
        <v>1.2090000000000001</v>
      </c>
      <c r="K2465">
        <v>46.3</v>
      </c>
      <c r="L2465">
        <v>38.299999999999997</v>
      </c>
      <c r="M2465">
        <v>268</v>
      </c>
      <c r="N2465">
        <v>39</v>
      </c>
      <c r="O2465">
        <v>16</v>
      </c>
    </row>
    <row r="2466" spans="1:16" x14ac:dyDescent="0.25">
      <c r="A2466" s="4">
        <v>44294</v>
      </c>
      <c r="B2466" t="s">
        <v>10</v>
      </c>
      <c r="C2466" t="s">
        <v>78</v>
      </c>
      <c r="F2466">
        <v>447</v>
      </c>
      <c r="J2466">
        <v>1.4219999999999999</v>
      </c>
      <c r="K2466">
        <v>49.7</v>
      </c>
      <c r="L2466">
        <v>34.9</v>
      </c>
      <c r="M2466">
        <v>254</v>
      </c>
      <c r="N2466">
        <v>50</v>
      </c>
      <c r="O2466">
        <v>21</v>
      </c>
      <c r="P2466">
        <v>2</v>
      </c>
    </row>
    <row r="2467" spans="1:16" x14ac:dyDescent="0.25">
      <c r="A2467" s="4">
        <v>44294</v>
      </c>
      <c r="B2467" t="s">
        <v>9</v>
      </c>
      <c r="C2467" t="s">
        <v>78</v>
      </c>
      <c r="F2467">
        <v>417</v>
      </c>
      <c r="J2467">
        <v>1.2090000000000001</v>
      </c>
      <c r="K2467">
        <v>46.3</v>
      </c>
      <c r="L2467">
        <v>38.299999999999997</v>
      </c>
      <c r="M2467">
        <v>268</v>
      </c>
      <c r="N2467">
        <v>39</v>
      </c>
      <c r="O2467">
        <v>16</v>
      </c>
    </row>
    <row r="2468" spans="1:16" x14ac:dyDescent="0.25">
      <c r="A2468" s="4">
        <v>44295</v>
      </c>
      <c r="B2468" t="s">
        <v>10</v>
      </c>
      <c r="C2468">
        <v>1</v>
      </c>
      <c r="F2468">
        <v>456</v>
      </c>
      <c r="J2468">
        <v>1.411</v>
      </c>
      <c r="K2468">
        <v>50.7</v>
      </c>
      <c r="L2468">
        <v>35.9</v>
      </c>
      <c r="M2468">
        <v>261</v>
      </c>
      <c r="N2468">
        <v>36</v>
      </c>
      <c r="O2468">
        <v>30</v>
      </c>
      <c r="P2468">
        <v>2</v>
      </c>
    </row>
    <row r="2469" spans="1:16" x14ac:dyDescent="0.25">
      <c r="A2469" s="4">
        <v>44295</v>
      </c>
      <c r="B2469" t="s">
        <v>9</v>
      </c>
      <c r="C2469">
        <v>1</v>
      </c>
      <c r="F2469">
        <v>417</v>
      </c>
      <c r="J2469">
        <v>1.234</v>
      </c>
      <c r="K2469">
        <v>47.9</v>
      </c>
      <c r="L2469">
        <v>38.9</v>
      </c>
      <c r="M2469">
        <v>238</v>
      </c>
      <c r="N2469">
        <v>43</v>
      </c>
      <c r="O2469">
        <v>19</v>
      </c>
      <c r="P2469">
        <v>2</v>
      </c>
    </row>
    <row r="2470" spans="1:16" x14ac:dyDescent="0.25">
      <c r="A2470" s="4">
        <v>44295</v>
      </c>
      <c r="B2470" t="s">
        <v>10</v>
      </c>
      <c r="C2470" t="s">
        <v>78</v>
      </c>
      <c r="F2470">
        <v>456</v>
      </c>
      <c r="J2470">
        <v>1.411</v>
      </c>
      <c r="K2470">
        <v>50.7</v>
      </c>
      <c r="L2470">
        <v>35.9</v>
      </c>
      <c r="M2470">
        <v>261</v>
      </c>
      <c r="N2470">
        <v>36</v>
      </c>
      <c r="O2470">
        <v>30</v>
      </c>
      <c r="P2470">
        <v>2</v>
      </c>
    </row>
    <row r="2471" spans="1:16" x14ac:dyDescent="0.25">
      <c r="A2471" s="4">
        <v>44295</v>
      </c>
      <c r="B2471" t="s">
        <v>9</v>
      </c>
      <c r="C2471" t="s">
        <v>78</v>
      </c>
      <c r="F2471">
        <v>417</v>
      </c>
      <c r="J2471">
        <v>1.234</v>
      </c>
      <c r="K2471">
        <v>47.9</v>
      </c>
      <c r="L2471">
        <v>38.9</v>
      </c>
      <c r="M2471">
        <v>238</v>
      </c>
      <c r="N2471">
        <v>43</v>
      </c>
      <c r="O2471">
        <v>19</v>
      </c>
      <c r="P2471">
        <v>2</v>
      </c>
    </row>
    <row r="2472" spans="1:16" x14ac:dyDescent="0.25">
      <c r="A2472" s="4">
        <v>44296</v>
      </c>
      <c r="B2472" t="s">
        <v>10</v>
      </c>
      <c r="C2472">
        <v>1</v>
      </c>
      <c r="F2472">
        <v>209</v>
      </c>
      <c r="J2472">
        <v>1.5409999999999999</v>
      </c>
      <c r="K2472">
        <v>55</v>
      </c>
      <c r="L2472">
        <v>35.700000000000003</v>
      </c>
      <c r="M2472">
        <v>134</v>
      </c>
      <c r="N2472">
        <v>23</v>
      </c>
      <c r="O2472">
        <v>7</v>
      </c>
    </row>
    <row r="2473" spans="1:16" x14ac:dyDescent="0.25">
      <c r="A2473" s="4">
        <v>44296</v>
      </c>
      <c r="B2473" t="s">
        <v>9</v>
      </c>
      <c r="C2473">
        <v>1</v>
      </c>
      <c r="F2473">
        <v>191</v>
      </c>
      <c r="J2473">
        <v>1.397</v>
      </c>
      <c r="K2473">
        <v>50.3</v>
      </c>
      <c r="L2473">
        <v>36</v>
      </c>
      <c r="M2473">
        <v>148</v>
      </c>
      <c r="N2473">
        <v>15</v>
      </c>
      <c r="O2473">
        <v>3</v>
      </c>
    </row>
    <row r="2474" spans="1:16" x14ac:dyDescent="0.25">
      <c r="A2474" s="4">
        <v>44296</v>
      </c>
      <c r="B2474" t="s">
        <v>10</v>
      </c>
      <c r="C2474" t="s">
        <v>78</v>
      </c>
      <c r="F2474">
        <v>209</v>
      </c>
      <c r="J2474">
        <v>1.5409999999999999</v>
      </c>
      <c r="K2474">
        <v>55</v>
      </c>
      <c r="L2474">
        <v>35.700000000000003</v>
      </c>
      <c r="M2474">
        <v>134</v>
      </c>
      <c r="N2474">
        <v>23</v>
      </c>
      <c r="O2474">
        <v>7</v>
      </c>
    </row>
    <row r="2475" spans="1:16" x14ac:dyDescent="0.25">
      <c r="A2475" s="4">
        <v>44296</v>
      </c>
      <c r="B2475" t="s">
        <v>9</v>
      </c>
      <c r="C2475" t="s">
        <v>78</v>
      </c>
      <c r="F2475">
        <v>191</v>
      </c>
      <c r="J2475">
        <v>1.397</v>
      </c>
      <c r="K2475">
        <v>50.3</v>
      </c>
      <c r="L2475">
        <v>36</v>
      </c>
      <c r="M2475">
        <v>148</v>
      </c>
      <c r="N2475">
        <v>15</v>
      </c>
      <c r="O2475">
        <v>3</v>
      </c>
    </row>
    <row r="2476" spans="1:16" x14ac:dyDescent="0.25">
      <c r="A2476" s="4">
        <v>44319</v>
      </c>
      <c r="B2476" t="s">
        <v>10</v>
      </c>
      <c r="C2476">
        <v>1</v>
      </c>
      <c r="F2476">
        <v>340</v>
      </c>
      <c r="J2476">
        <v>1.103</v>
      </c>
      <c r="K2476">
        <v>47.2</v>
      </c>
      <c r="L2476">
        <v>43</v>
      </c>
    </row>
    <row r="2477" spans="1:16" x14ac:dyDescent="0.25">
      <c r="A2477" s="4">
        <v>44319</v>
      </c>
      <c r="B2477" t="s">
        <v>9</v>
      </c>
      <c r="C2477">
        <v>1</v>
      </c>
      <c r="F2477">
        <v>305</v>
      </c>
      <c r="J2477">
        <v>0.92500000000000004</v>
      </c>
      <c r="K2477">
        <v>42.3</v>
      </c>
      <c r="L2477">
        <v>45.7</v>
      </c>
    </row>
    <row r="2478" spans="1:16" x14ac:dyDescent="0.25">
      <c r="A2478" s="4">
        <v>44319</v>
      </c>
      <c r="B2478" t="s">
        <v>10</v>
      </c>
      <c r="C2478" t="s">
        <v>78</v>
      </c>
      <c r="F2478">
        <v>340</v>
      </c>
      <c r="J2478">
        <v>1.103</v>
      </c>
      <c r="K2478">
        <v>47.2</v>
      </c>
      <c r="L2478">
        <v>43</v>
      </c>
    </row>
    <row r="2479" spans="1:16" x14ac:dyDescent="0.25">
      <c r="A2479" s="4">
        <v>44319</v>
      </c>
      <c r="B2479" t="s">
        <v>9</v>
      </c>
      <c r="C2479" t="s">
        <v>78</v>
      </c>
      <c r="F2479">
        <v>305</v>
      </c>
      <c r="J2479">
        <v>0.92500000000000004</v>
      </c>
      <c r="K2479">
        <v>42.3</v>
      </c>
      <c r="L2479">
        <v>45.7</v>
      </c>
    </row>
    <row r="2480" spans="1:16" x14ac:dyDescent="0.25">
      <c r="A2480" s="4">
        <v>44320</v>
      </c>
      <c r="B2480" t="s">
        <v>10</v>
      </c>
      <c r="C2480">
        <v>1</v>
      </c>
      <c r="F2480">
        <v>433</v>
      </c>
      <c r="J2480">
        <v>1.4390000000000001</v>
      </c>
      <c r="K2480">
        <v>48.4</v>
      </c>
      <c r="L2480">
        <v>33.6</v>
      </c>
    </row>
    <row r="2481" spans="1:12" x14ac:dyDescent="0.25">
      <c r="A2481" s="4">
        <v>44320</v>
      </c>
      <c r="B2481" t="s">
        <v>9</v>
      </c>
      <c r="C2481">
        <v>1</v>
      </c>
      <c r="F2481">
        <v>362</v>
      </c>
      <c r="J2481">
        <v>1.0940000000000001</v>
      </c>
      <c r="K2481">
        <v>40.200000000000003</v>
      </c>
      <c r="L2481">
        <v>36.700000000000003</v>
      </c>
    </row>
    <row r="2482" spans="1:12" x14ac:dyDescent="0.25">
      <c r="A2482" s="4">
        <v>44320</v>
      </c>
      <c r="B2482" t="s">
        <v>10</v>
      </c>
      <c r="C2482" t="s">
        <v>78</v>
      </c>
      <c r="F2482">
        <v>433</v>
      </c>
      <c r="J2482">
        <v>1.4390000000000001</v>
      </c>
      <c r="K2482">
        <v>48.4</v>
      </c>
      <c r="L2482">
        <v>33.6</v>
      </c>
    </row>
    <row r="2483" spans="1:12" x14ac:dyDescent="0.25">
      <c r="A2483" s="4">
        <v>44320</v>
      </c>
      <c r="B2483" t="s">
        <v>9</v>
      </c>
      <c r="C2483" t="s">
        <v>78</v>
      </c>
      <c r="F2483">
        <v>362</v>
      </c>
      <c r="J2483">
        <v>1.0940000000000001</v>
      </c>
      <c r="K2483">
        <v>40.200000000000003</v>
      </c>
      <c r="L2483">
        <v>36.700000000000003</v>
      </c>
    </row>
    <row r="2484" spans="1:12" x14ac:dyDescent="0.25">
      <c r="A2484" s="4">
        <v>44321</v>
      </c>
      <c r="B2484" t="s">
        <v>10</v>
      </c>
      <c r="C2484">
        <v>1</v>
      </c>
      <c r="F2484">
        <v>446</v>
      </c>
      <c r="J2484">
        <v>1.41</v>
      </c>
      <c r="K2484">
        <v>49.5</v>
      </c>
      <c r="L2484">
        <v>35.1</v>
      </c>
    </row>
    <row r="2485" spans="1:12" x14ac:dyDescent="0.25">
      <c r="A2485" s="4">
        <v>44321</v>
      </c>
      <c r="B2485" t="s">
        <v>9</v>
      </c>
      <c r="C2485">
        <v>1</v>
      </c>
      <c r="F2485">
        <v>364</v>
      </c>
      <c r="J2485">
        <v>1.036</v>
      </c>
      <c r="K2485">
        <v>40.4</v>
      </c>
      <c r="L2485">
        <v>39</v>
      </c>
    </row>
    <row r="2486" spans="1:12" x14ac:dyDescent="0.25">
      <c r="A2486" s="4">
        <v>44321</v>
      </c>
      <c r="B2486" t="s">
        <v>10</v>
      </c>
      <c r="C2486" t="s">
        <v>78</v>
      </c>
      <c r="F2486">
        <v>446</v>
      </c>
      <c r="J2486">
        <v>1.41</v>
      </c>
      <c r="K2486">
        <v>49.5</v>
      </c>
      <c r="L2486">
        <v>35.1</v>
      </c>
    </row>
    <row r="2487" spans="1:12" x14ac:dyDescent="0.25">
      <c r="A2487" s="4">
        <v>44321</v>
      </c>
      <c r="B2487" t="s">
        <v>9</v>
      </c>
      <c r="C2487" t="s">
        <v>78</v>
      </c>
      <c r="F2487">
        <v>364</v>
      </c>
      <c r="J2487">
        <v>1.036</v>
      </c>
      <c r="K2487">
        <v>40.4</v>
      </c>
      <c r="L2487">
        <v>39</v>
      </c>
    </row>
    <row r="2488" spans="1:12" x14ac:dyDescent="0.25">
      <c r="A2488" s="4">
        <v>44322</v>
      </c>
      <c r="B2488" t="s">
        <v>10</v>
      </c>
      <c r="C2488">
        <v>1</v>
      </c>
      <c r="F2488">
        <v>466</v>
      </c>
      <c r="J2488">
        <v>1.446</v>
      </c>
      <c r="K2488">
        <v>51.7</v>
      </c>
      <c r="L2488">
        <v>35.799999999999997</v>
      </c>
    </row>
    <row r="2489" spans="1:12" x14ac:dyDescent="0.25">
      <c r="A2489" s="4">
        <v>44322</v>
      </c>
      <c r="B2489" t="s">
        <v>9</v>
      </c>
      <c r="C2489">
        <v>1</v>
      </c>
      <c r="F2489">
        <v>447</v>
      </c>
      <c r="J2489">
        <v>1.2569999999999999</v>
      </c>
      <c r="K2489">
        <v>49.6</v>
      </c>
      <c r="L2489">
        <v>39.5</v>
      </c>
    </row>
    <row r="2490" spans="1:12" x14ac:dyDescent="0.25">
      <c r="A2490" s="4">
        <v>44322</v>
      </c>
      <c r="B2490" t="s">
        <v>10</v>
      </c>
      <c r="C2490" t="s">
        <v>78</v>
      </c>
      <c r="F2490">
        <v>466</v>
      </c>
      <c r="J2490">
        <v>1.446</v>
      </c>
      <c r="K2490">
        <v>51.7</v>
      </c>
      <c r="L2490">
        <v>35.799999999999997</v>
      </c>
    </row>
    <row r="2491" spans="1:12" x14ac:dyDescent="0.25">
      <c r="A2491" s="4">
        <v>44322</v>
      </c>
      <c r="B2491" t="s">
        <v>9</v>
      </c>
      <c r="C2491" t="s">
        <v>78</v>
      </c>
      <c r="F2491">
        <v>447</v>
      </c>
      <c r="J2491">
        <v>1.2569999999999999</v>
      </c>
      <c r="K2491">
        <v>49.6</v>
      </c>
      <c r="L2491">
        <v>39.5</v>
      </c>
    </row>
    <row r="2492" spans="1:12" x14ac:dyDescent="0.25">
      <c r="A2492" s="4">
        <v>44323</v>
      </c>
      <c r="B2492" t="s">
        <v>10</v>
      </c>
      <c r="C2492">
        <v>1</v>
      </c>
      <c r="F2492">
        <v>460</v>
      </c>
      <c r="J2492">
        <v>1.33</v>
      </c>
      <c r="K2492">
        <v>51.1</v>
      </c>
      <c r="L2492">
        <v>38.4</v>
      </c>
    </row>
    <row r="2493" spans="1:12" x14ac:dyDescent="0.25">
      <c r="A2493" s="4">
        <v>44323</v>
      </c>
      <c r="B2493" t="s">
        <v>9</v>
      </c>
      <c r="C2493">
        <v>1</v>
      </c>
      <c r="F2493">
        <v>414</v>
      </c>
      <c r="J2493">
        <v>1.141</v>
      </c>
      <c r="K2493">
        <v>46</v>
      </c>
      <c r="L2493">
        <v>40.299999999999997</v>
      </c>
    </row>
    <row r="2494" spans="1:12" x14ac:dyDescent="0.25">
      <c r="A2494" s="4">
        <v>44323</v>
      </c>
      <c r="B2494" t="s">
        <v>10</v>
      </c>
      <c r="C2494" t="s">
        <v>78</v>
      </c>
      <c r="F2494">
        <v>460</v>
      </c>
      <c r="J2494">
        <v>1.33</v>
      </c>
      <c r="K2494">
        <v>51.1</v>
      </c>
      <c r="L2494">
        <v>38.4</v>
      </c>
    </row>
    <row r="2495" spans="1:12" x14ac:dyDescent="0.25">
      <c r="A2495" s="4">
        <v>44323</v>
      </c>
      <c r="B2495" t="s">
        <v>9</v>
      </c>
      <c r="C2495" t="s">
        <v>78</v>
      </c>
      <c r="F2495">
        <v>414</v>
      </c>
      <c r="J2495">
        <v>1.141</v>
      </c>
      <c r="K2495">
        <v>46</v>
      </c>
      <c r="L2495">
        <v>40.299999999999997</v>
      </c>
    </row>
    <row r="2496" spans="1:12" x14ac:dyDescent="0.25">
      <c r="A2496" s="4">
        <v>44324</v>
      </c>
      <c r="B2496" t="s">
        <v>10</v>
      </c>
      <c r="C2496">
        <v>1</v>
      </c>
      <c r="F2496">
        <v>321</v>
      </c>
      <c r="J2496">
        <v>1.022</v>
      </c>
      <c r="K2496">
        <v>44.5</v>
      </c>
      <c r="L2496">
        <v>43.5</v>
      </c>
    </row>
    <row r="2497" spans="1:12" x14ac:dyDescent="0.25">
      <c r="A2497" s="4">
        <v>44324</v>
      </c>
      <c r="B2497" t="s">
        <v>9</v>
      </c>
      <c r="C2497">
        <v>1</v>
      </c>
      <c r="F2497">
        <v>319</v>
      </c>
      <c r="J2497">
        <v>0.95</v>
      </c>
      <c r="K2497">
        <v>44.3</v>
      </c>
      <c r="L2497">
        <v>46.6</v>
      </c>
    </row>
    <row r="2498" spans="1:12" x14ac:dyDescent="0.25">
      <c r="A2498" s="4">
        <v>44324</v>
      </c>
      <c r="B2498" t="s">
        <v>10</v>
      </c>
      <c r="C2498" t="s">
        <v>78</v>
      </c>
      <c r="F2498">
        <v>321</v>
      </c>
      <c r="J2498">
        <v>1.022</v>
      </c>
      <c r="K2498">
        <v>44.5</v>
      </c>
      <c r="L2498">
        <v>43.5</v>
      </c>
    </row>
    <row r="2499" spans="1:12" x14ac:dyDescent="0.25">
      <c r="A2499" s="4">
        <v>44324</v>
      </c>
      <c r="B2499" t="s">
        <v>9</v>
      </c>
      <c r="C2499" t="s">
        <v>78</v>
      </c>
      <c r="F2499">
        <v>319</v>
      </c>
      <c r="J2499">
        <v>0.95</v>
      </c>
      <c r="K2499">
        <v>44.3</v>
      </c>
      <c r="L2499">
        <v>46.6</v>
      </c>
    </row>
    <row r="2500" spans="1:12" x14ac:dyDescent="0.25">
      <c r="A2500" s="4">
        <v>44326</v>
      </c>
      <c r="B2500" t="s">
        <v>10</v>
      </c>
      <c r="C2500">
        <v>1</v>
      </c>
      <c r="F2500">
        <v>369</v>
      </c>
      <c r="J2500">
        <v>1.1100000000000001</v>
      </c>
      <c r="K2500">
        <v>46.1</v>
      </c>
      <c r="L2500">
        <v>41.5</v>
      </c>
    </row>
    <row r="2501" spans="1:12" x14ac:dyDescent="0.25">
      <c r="A2501" s="4">
        <v>44326</v>
      </c>
      <c r="B2501" t="s">
        <v>9</v>
      </c>
      <c r="C2501">
        <v>1</v>
      </c>
      <c r="F2501">
        <v>329</v>
      </c>
      <c r="J2501">
        <v>0.95599999999999996</v>
      </c>
      <c r="K2501">
        <v>41</v>
      </c>
      <c r="L2501">
        <v>42.9</v>
      </c>
    </row>
    <row r="2502" spans="1:12" x14ac:dyDescent="0.25">
      <c r="A2502" s="4">
        <v>44326</v>
      </c>
      <c r="B2502" t="s">
        <v>10</v>
      </c>
      <c r="C2502" t="s">
        <v>78</v>
      </c>
      <c r="F2502">
        <v>369</v>
      </c>
      <c r="J2502">
        <v>1.1100000000000001</v>
      </c>
      <c r="K2502">
        <v>46.1</v>
      </c>
      <c r="L2502">
        <v>41.5</v>
      </c>
    </row>
    <row r="2503" spans="1:12" x14ac:dyDescent="0.25">
      <c r="A2503" s="4">
        <v>44326</v>
      </c>
      <c r="B2503" t="s">
        <v>9</v>
      </c>
      <c r="C2503" t="s">
        <v>78</v>
      </c>
      <c r="F2503">
        <v>329</v>
      </c>
      <c r="J2503">
        <v>0.95599999999999996</v>
      </c>
      <c r="K2503">
        <v>41</v>
      </c>
      <c r="L2503">
        <v>42.9</v>
      </c>
    </row>
    <row r="2504" spans="1:12" x14ac:dyDescent="0.25">
      <c r="A2504" s="4">
        <v>44327</v>
      </c>
      <c r="B2504" t="s">
        <v>10</v>
      </c>
      <c r="C2504">
        <v>1</v>
      </c>
      <c r="F2504">
        <v>459</v>
      </c>
      <c r="J2504">
        <v>1.35</v>
      </c>
      <c r="K2504">
        <v>51</v>
      </c>
      <c r="L2504">
        <v>37.799999999999997</v>
      </c>
    </row>
    <row r="2505" spans="1:12" x14ac:dyDescent="0.25">
      <c r="A2505" s="4">
        <v>44327</v>
      </c>
      <c r="B2505" t="s">
        <v>9</v>
      </c>
      <c r="C2505">
        <v>1</v>
      </c>
      <c r="F2505">
        <v>373</v>
      </c>
      <c r="J2505">
        <v>1.0580000000000001</v>
      </c>
      <c r="K2505">
        <v>41.4</v>
      </c>
      <c r="L2505">
        <v>39.1</v>
      </c>
    </row>
    <row r="2506" spans="1:12" x14ac:dyDescent="0.25">
      <c r="A2506" s="4">
        <v>44327</v>
      </c>
      <c r="B2506" t="s">
        <v>10</v>
      </c>
      <c r="C2506" t="s">
        <v>78</v>
      </c>
      <c r="F2506">
        <v>459</v>
      </c>
      <c r="J2506">
        <v>1.35</v>
      </c>
      <c r="K2506">
        <v>51</v>
      </c>
      <c r="L2506">
        <v>37.799999999999997</v>
      </c>
    </row>
    <row r="2507" spans="1:12" x14ac:dyDescent="0.25">
      <c r="A2507" s="4">
        <v>44327</v>
      </c>
      <c r="B2507" t="s">
        <v>9</v>
      </c>
      <c r="C2507" t="s">
        <v>78</v>
      </c>
      <c r="F2507">
        <v>373</v>
      </c>
      <c r="J2507">
        <v>1.0580000000000001</v>
      </c>
      <c r="K2507">
        <v>41.4</v>
      </c>
      <c r="L2507">
        <v>39.1</v>
      </c>
    </row>
    <row r="2508" spans="1:12" x14ac:dyDescent="0.25">
      <c r="A2508" s="4">
        <v>44328</v>
      </c>
      <c r="B2508" t="s">
        <v>10</v>
      </c>
      <c r="C2508">
        <v>1</v>
      </c>
      <c r="F2508">
        <v>441</v>
      </c>
      <c r="J2508">
        <v>1.4179999999999999</v>
      </c>
      <c r="K2508">
        <v>49</v>
      </c>
      <c r="L2508">
        <v>34.6</v>
      </c>
    </row>
    <row r="2509" spans="1:12" x14ac:dyDescent="0.25">
      <c r="A2509" s="4">
        <v>44328</v>
      </c>
      <c r="B2509" t="s">
        <v>9</v>
      </c>
      <c r="C2509">
        <v>1</v>
      </c>
      <c r="F2509">
        <v>409</v>
      </c>
      <c r="J2509">
        <v>1.238</v>
      </c>
      <c r="K2509">
        <v>45.4</v>
      </c>
      <c r="L2509">
        <v>36.700000000000003</v>
      </c>
    </row>
    <row r="2510" spans="1:12" x14ac:dyDescent="0.25">
      <c r="A2510" s="4">
        <v>44328</v>
      </c>
      <c r="B2510" t="s">
        <v>10</v>
      </c>
      <c r="C2510" t="s">
        <v>78</v>
      </c>
      <c r="F2510">
        <v>441</v>
      </c>
      <c r="J2510">
        <v>1.4179999999999999</v>
      </c>
      <c r="K2510">
        <v>49</v>
      </c>
      <c r="L2510">
        <v>34.6</v>
      </c>
    </row>
    <row r="2511" spans="1:12" x14ac:dyDescent="0.25">
      <c r="A2511" s="4">
        <v>44328</v>
      </c>
      <c r="B2511" t="s">
        <v>9</v>
      </c>
      <c r="C2511" t="s">
        <v>78</v>
      </c>
      <c r="F2511">
        <v>409</v>
      </c>
      <c r="J2511">
        <v>1.238</v>
      </c>
      <c r="K2511">
        <v>45.4</v>
      </c>
      <c r="L2511">
        <v>36.700000000000003</v>
      </c>
    </row>
    <row r="2512" spans="1:12" x14ac:dyDescent="0.25">
      <c r="A2512" s="4">
        <v>44329</v>
      </c>
      <c r="B2512" t="s">
        <v>10</v>
      </c>
      <c r="C2512">
        <v>1</v>
      </c>
      <c r="F2512">
        <v>406</v>
      </c>
      <c r="J2512">
        <v>1.1919999999999999</v>
      </c>
      <c r="K2512">
        <v>45.1</v>
      </c>
      <c r="L2512">
        <v>37.799999999999997</v>
      </c>
    </row>
    <row r="2513" spans="1:12" x14ac:dyDescent="0.25">
      <c r="A2513" s="4">
        <v>44329</v>
      </c>
      <c r="B2513" t="s">
        <v>9</v>
      </c>
      <c r="C2513">
        <v>1</v>
      </c>
      <c r="F2513">
        <v>383</v>
      </c>
      <c r="J2513">
        <v>1.127</v>
      </c>
      <c r="K2513">
        <v>47.8</v>
      </c>
      <c r="L2513">
        <v>42.4</v>
      </c>
    </row>
    <row r="2514" spans="1:12" x14ac:dyDescent="0.25">
      <c r="A2514" s="4">
        <v>44329</v>
      </c>
      <c r="B2514" t="s">
        <v>10</v>
      </c>
      <c r="C2514" t="s">
        <v>78</v>
      </c>
      <c r="F2514">
        <v>406</v>
      </c>
      <c r="J2514">
        <v>1.1919999999999999</v>
      </c>
      <c r="K2514">
        <v>45.1</v>
      </c>
      <c r="L2514">
        <v>37.799999999999997</v>
      </c>
    </row>
    <row r="2515" spans="1:12" x14ac:dyDescent="0.25">
      <c r="A2515" s="4">
        <v>44329</v>
      </c>
      <c r="B2515" t="s">
        <v>9</v>
      </c>
      <c r="C2515" t="s">
        <v>78</v>
      </c>
      <c r="F2515">
        <v>383</v>
      </c>
      <c r="J2515">
        <v>1.127</v>
      </c>
      <c r="K2515">
        <v>47.8</v>
      </c>
      <c r="L2515">
        <v>42.4</v>
      </c>
    </row>
    <row r="2516" spans="1:12" x14ac:dyDescent="0.25">
      <c r="A2516" s="4">
        <v>44330</v>
      </c>
      <c r="B2516" t="s">
        <v>10</v>
      </c>
      <c r="C2516">
        <v>1</v>
      </c>
      <c r="F2516">
        <v>487</v>
      </c>
      <c r="J2516">
        <v>1.591</v>
      </c>
      <c r="K2516">
        <v>54.1</v>
      </c>
      <c r="L2516">
        <v>34</v>
      </c>
    </row>
    <row r="2517" spans="1:12" x14ac:dyDescent="0.25">
      <c r="A2517" s="4">
        <v>44330</v>
      </c>
      <c r="B2517" t="s">
        <v>9</v>
      </c>
      <c r="C2517">
        <v>1</v>
      </c>
      <c r="F2517">
        <v>431</v>
      </c>
      <c r="J2517">
        <v>1.2569999999999999</v>
      </c>
      <c r="K2517">
        <v>47.8</v>
      </c>
      <c r="L2517">
        <v>38</v>
      </c>
    </row>
    <row r="2518" spans="1:12" x14ac:dyDescent="0.25">
      <c r="A2518" s="4">
        <v>44330</v>
      </c>
      <c r="B2518" t="s">
        <v>10</v>
      </c>
      <c r="C2518" t="s">
        <v>78</v>
      </c>
      <c r="F2518">
        <v>487</v>
      </c>
      <c r="J2518">
        <v>1.591</v>
      </c>
      <c r="K2518">
        <v>54.1</v>
      </c>
      <c r="L2518">
        <v>34</v>
      </c>
    </row>
    <row r="2519" spans="1:12" x14ac:dyDescent="0.25">
      <c r="A2519" s="4">
        <v>44330</v>
      </c>
      <c r="B2519" t="s">
        <v>9</v>
      </c>
      <c r="C2519" t="s">
        <v>78</v>
      </c>
      <c r="F2519">
        <v>431</v>
      </c>
      <c r="J2519">
        <v>1.2569999999999999</v>
      </c>
      <c r="K2519">
        <v>47.8</v>
      </c>
      <c r="L2519">
        <v>38</v>
      </c>
    </row>
    <row r="2520" spans="1:12" x14ac:dyDescent="0.25">
      <c r="A2520" s="4">
        <v>44333</v>
      </c>
      <c r="B2520" t="s">
        <v>9</v>
      </c>
      <c r="C2520">
        <v>1</v>
      </c>
      <c r="F2520">
        <v>374</v>
      </c>
      <c r="J2520">
        <v>1.0589999999999999</v>
      </c>
      <c r="K2520">
        <v>41.5</v>
      </c>
      <c r="L2520">
        <v>39.200000000000003</v>
      </c>
    </row>
    <row r="2521" spans="1:12" x14ac:dyDescent="0.25">
      <c r="A2521" s="4">
        <v>44333</v>
      </c>
      <c r="B2521" t="s">
        <v>9</v>
      </c>
      <c r="C2521" t="s">
        <v>78</v>
      </c>
      <c r="F2521">
        <v>374</v>
      </c>
      <c r="J2521">
        <v>1.0589999999999999</v>
      </c>
      <c r="K2521">
        <v>41.5</v>
      </c>
      <c r="L2521">
        <v>39.200000000000003</v>
      </c>
    </row>
    <row r="2522" spans="1:12" x14ac:dyDescent="0.25">
      <c r="A2522" s="4">
        <v>44334</v>
      </c>
      <c r="B2522" t="s">
        <v>10</v>
      </c>
      <c r="C2522">
        <v>1</v>
      </c>
      <c r="F2522">
        <v>440</v>
      </c>
      <c r="J2522">
        <v>1.4079999999999999</v>
      </c>
      <c r="K2522">
        <v>48.8</v>
      </c>
      <c r="L2522">
        <v>34.700000000000003</v>
      </c>
    </row>
    <row r="2523" spans="1:12" x14ac:dyDescent="0.25">
      <c r="A2523" s="4">
        <v>44334</v>
      </c>
      <c r="B2523" t="s">
        <v>9</v>
      </c>
      <c r="C2523">
        <v>1</v>
      </c>
      <c r="F2523">
        <v>385</v>
      </c>
      <c r="J2523">
        <v>1.0980000000000001</v>
      </c>
      <c r="K2523">
        <v>42.7</v>
      </c>
      <c r="L2523">
        <v>38.9</v>
      </c>
    </row>
    <row r="2524" spans="1:12" x14ac:dyDescent="0.25">
      <c r="A2524" s="4">
        <v>44334</v>
      </c>
      <c r="B2524" t="s">
        <v>10</v>
      </c>
      <c r="C2524" t="s">
        <v>78</v>
      </c>
      <c r="F2524">
        <v>440</v>
      </c>
      <c r="J2524">
        <v>1.4079999999999999</v>
      </c>
      <c r="K2524">
        <v>48.8</v>
      </c>
      <c r="L2524">
        <v>34.700000000000003</v>
      </c>
    </row>
    <row r="2525" spans="1:12" x14ac:dyDescent="0.25">
      <c r="A2525" s="4">
        <v>44334</v>
      </c>
      <c r="B2525" t="s">
        <v>9</v>
      </c>
      <c r="C2525" t="s">
        <v>78</v>
      </c>
      <c r="F2525">
        <v>385</v>
      </c>
      <c r="J2525">
        <v>1.0980000000000001</v>
      </c>
      <c r="K2525">
        <v>42.7</v>
      </c>
      <c r="L2525">
        <v>38.9</v>
      </c>
    </row>
    <row r="2526" spans="1:12" x14ac:dyDescent="0.25">
      <c r="A2526" s="4">
        <v>44335</v>
      </c>
      <c r="B2526" t="s">
        <v>10</v>
      </c>
      <c r="C2526">
        <v>1</v>
      </c>
      <c r="F2526">
        <v>447</v>
      </c>
      <c r="J2526">
        <v>1.4279999999999999</v>
      </c>
      <c r="K2526">
        <v>53</v>
      </c>
      <c r="L2526">
        <v>34.700000000000003</v>
      </c>
    </row>
    <row r="2527" spans="1:12" x14ac:dyDescent="0.25">
      <c r="A2527" s="4">
        <v>44335</v>
      </c>
      <c r="B2527" t="s">
        <v>9</v>
      </c>
      <c r="C2527">
        <v>1</v>
      </c>
      <c r="F2527">
        <v>424</v>
      </c>
      <c r="J2527">
        <v>1.153</v>
      </c>
      <c r="K2527">
        <v>47.1</v>
      </c>
      <c r="L2527">
        <v>40.799999999999997</v>
      </c>
    </row>
    <row r="2528" spans="1:12" x14ac:dyDescent="0.25">
      <c r="A2528" s="4">
        <v>44335</v>
      </c>
      <c r="B2528" t="s">
        <v>10</v>
      </c>
      <c r="C2528" t="s">
        <v>78</v>
      </c>
      <c r="F2528">
        <v>447</v>
      </c>
      <c r="J2528">
        <v>1.4279999999999999</v>
      </c>
      <c r="K2528">
        <v>53</v>
      </c>
      <c r="L2528">
        <v>37.1</v>
      </c>
    </row>
    <row r="2529" spans="1:12" x14ac:dyDescent="0.25">
      <c r="A2529" s="4">
        <v>44335</v>
      </c>
      <c r="B2529" t="s">
        <v>9</v>
      </c>
      <c r="C2529" t="s">
        <v>78</v>
      </c>
      <c r="F2529">
        <v>424</v>
      </c>
      <c r="J2529">
        <v>1.153</v>
      </c>
      <c r="K2529">
        <v>47.1</v>
      </c>
      <c r="L2529">
        <v>40.799999999999997</v>
      </c>
    </row>
    <row r="2530" spans="1:12" x14ac:dyDescent="0.25">
      <c r="A2530" s="4">
        <v>44336</v>
      </c>
      <c r="B2530" t="s">
        <v>10</v>
      </c>
      <c r="C2530">
        <v>1</v>
      </c>
      <c r="F2530">
        <v>481</v>
      </c>
      <c r="J2530">
        <v>1.474</v>
      </c>
      <c r="K2530">
        <v>53.4</v>
      </c>
      <c r="L2530">
        <v>36.200000000000003</v>
      </c>
    </row>
    <row r="2531" spans="1:12" x14ac:dyDescent="0.25">
      <c r="A2531" s="4">
        <v>44336</v>
      </c>
      <c r="B2531" t="s">
        <v>9</v>
      </c>
      <c r="C2531">
        <v>1</v>
      </c>
      <c r="F2531">
        <v>405</v>
      </c>
      <c r="J2531">
        <v>1.1479999999999999</v>
      </c>
      <c r="K2531">
        <v>45</v>
      </c>
      <c r="L2531">
        <v>39.200000000000003</v>
      </c>
    </row>
    <row r="2532" spans="1:12" x14ac:dyDescent="0.25">
      <c r="A2532" s="4">
        <v>44336</v>
      </c>
      <c r="B2532" t="s">
        <v>10</v>
      </c>
      <c r="C2532" t="s">
        <v>78</v>
      </c>
      <c r="F2532">
        <v>481</v>
      </c>
      <c r="J2532">
        <v>1.474</v>
      </c>
      <c r="K2532">
        <v>53.4</v>
      </c>
      <c r="L2532">
        <v>36.200000000000003</v>
      </c>
    </row>
    <row r="2533" spans="1:12" x14ac:dyDescent="0.25">
      <c r="A2533" s="4">
        <v>44336</v>
      </c>
      <c r="B2533" t="s">
        <v>9</v>
      </c>
      <c r="C2533" t="s">
        <v>78</v>
      </c>
      <c r="F2533">
        <v>405</v>
      </c>
      <c r="J2533">
        <v>1.1479999999999999</v>
      </c>
      <c r="K2533">
        <v>45</v>
      </c>
      <c r="L2533">
        <v>39.200000000000003</v>
      </c>
    </row>
    <row r="2534" spans="1:12" x14ac:dyDescent="0.25">
      <c r="A2534" s="4">
        <v>44337</v>
      </c>
      <c r="B2534" t="s">
        <v>10</v>
      </c>
      <c r="C2534">
        <v>1</v>
      </c>
      <c r="F2534">
        <v>333</v>
      </c>
      <c r="J2534">
        <v>1.321</v>
      </c>
      <c r="K2534">
        <v>46.2</v>
      </c>
      <c r="L2534">
        <v>35</v>
      </c>
    </row>
    <row r="2535" spans="1:12" x14ac:dyDescent="0.25">
      <c r="A2535" s="4">
        <v>44337</v>
      </c>
      <c r="B2535" t="s">
        <v>9</v>
      </c>
      <c r="C2535">
        <v>1</v>
      </c>
      <c r="F2535">
        <v>241</v>
      </c>
      <c r="J2535">
        <v>0.9</v>
      </c>
      <c r="K2535">
        <v>33.4</v>
      </c>
      <c r="L2535">
        <v>37.1</v>
      </c>
    </row>
    <row r="2536" spans="1:12" x14ac:dyDescent="0.25">
      <c r="A2536" s="4">
        <v>44337</v>
      </c>
      <c r="B2536" t="s">
        <v>10</v>
      </c>
      <c r="C2536" t="s">
        <v>78</v>
      </c>
      <c r="F2536">
        <v>333</v>
      </c>
      <c r="J2536">
        <v>1.321</v>
      </c>
      <c r="K2536">
        <v>46.2</v>
      </c>
      <c r="L2536">
        <v>35</v>
      </c>
    </row>
    <row r="2537" spans="1:12" x14ac:dyDescent="0.25">
      <c r="A2537" s="4">
        <v>44337</v>
      </c>
      <c r="B2537" t="s">
        <v>9</v>
      </c>
      <c r="C2537" t="s">
        <v>78</v>
      </c>
      <c r="F2537">
        <v>241</v>
      </c>
      <c r="J2537">
        <v>0.9</v>
      </c>
      <c r="K2537">
        <v>33.4</v>
      </c>
      <c r="L2537">
        <v>37.1</v>
      </c>
    </row>
    <row r="2538" spans="1:12" x14ac:dyDescent="0.25">
      <c r="A2538" s="4">
        <v>44338</v>
      </c>
      <c r="B2538" t="s">
        <v>10</v>
      </c>
      <c r="C2538">
        <v>1</v>
      </c>
      <c r="F2538">
        <v>307</v>
      </c>
      <c r="J2538">
        <v>1.119</v>
      </c>
      <c r="K2538">
        <v>42.6</v>
      </c>
      <c r="L2538">
        <v>38.1</v>
      </c>
    </row>
    <row r="2539" spans="1:12" x14ac:dyDescent="0.25">
      <c r="A2539" s="4">
        <v>44338</v>
      </c>
      <c r="B2539" t="s">
        <v>9</v>
      </c>
      <c r="C2539">
        <v>1</v>
      </c>
      <c r="F2539">
        <v>236</v>
      </c>
      <c r="J2539">
        <v>0.89100000000000001</v>
      </c>
      <c r="K2539">
        <v>32.700000000000003</v>
      </c>
      <c r="L2539">
        <v>36.700000000000003</v>
      </c>
    </row>
    <row r="2540" spans="1:12" x14ac:dyDescent="0.25">
      <c r="A2540" s="4">
        <v>44338</v>
      </c>
      <c r="B2540" t="s">
        <v>10</v>
      </c>
      <c r="C2540" t="s">
        <v>78</v>
      </c>
      <c r="F2540">
        <v>307</v>
      </c>
      <c r="J2540">
        <v>1.119</v>
      </c>
      <c r="K2540">
        <v>42.6</v>
      </c>
      <c r="L2540">
        <v>38.1</v>
      </c>
    </row>
    <row r="2541" spans="1:12" x14ac:dyDescent="0.25">
      <c r="A2541" s="4">
        <v>44338</v>
      </c>
      <c r="B2541" t="s">
        <v>9</v>
      </c>
      <c r="C2541" t="s">
        <v>78</v>
      </c>
      <c r="F2541">
        <v>236</v>
      </c>
      <c r="J2541">
        <v>0.89100000000000001</v>
      </c>
      <c r="K2541">
        <v>32.700000000000003</v>
      </c>
      <c r="L2541">
        <v>36.700000000000003</v>
      </c>
    </row>
    <row r="2542" spans="1:12" x14ac:dyDescent="0.25">
      <c r="A2542" s="4">
        <v>44340</v>
      </c>
      <c r="B2542" t="s">
        <v>9</v>
      </c>
      <c r="C2542">
        <v>1</v>
      </c>
      <c r="F2542">
        <v>449</v>
      </c>
      <c r="J2542">
        <v>1.194</v>
      </c>
      <c r="K2542">
        <v>49.8</v>
      </c>
      <c r="L2542">
        <v>41.7</v>
      </c>
    </row>
    <row r="2543" spans="1:12" x14ac:dyDescent="0.25">
      <c r="A2543" s="4">
        <v>44340</v>
      </c>
      <c r="B2543" t="s">
        <v>9</v>
      </c>
      <c r="C2543" t="s">
        <v>78</v>
      </c>
      <c r="F2543">
        <v>449</v>
      </c>
      <c r="J2543">
        <v>1.194</v>
      </c>
      <c r="K2543">
        <v>49.8</v>
      </c>
      <c r="L2543">
        <v>41.7</v>
      </c>
    </row>
    <row r="2544" spans="1:12" x14ac:dyDescent="0.25">
      <c r="A2544" s="4">
        <v>44341</v>
      </c>
      <c r="B2544" t="s">
        <v>10</v>
      </c>
      <c r="C2544">
        <v>1</v>
      </c>
      <c r="F2544">
        <v>411</v>
      </c>
      <c r="J2544">
        <v>1.2529999999999999</v>
      </c>
      <c r="K2544">
        <v>45.6</v>
      </c>
      <c r="L2544">
        <v>36.4</v>
      </c>
    </row>
    <row r="2545" spans="1:16" x14ac:dyDescent="0.25">
      <c r="A2545" s="4">
        <v>44341</v>
      </c>
      <c r="B2545" t="s">
        <v>9</v>
      </c>
      <c r="C2545">
        <v>1</v>
      </c>
      <c r="F2545">
        <v>410</v>
      </c>
      <c r="J2545">
        <v>1.165</v>
      </c>
      <c r="K2545">
        <v>45.5</v>
      </c>
      <c r="L2545">
        <v>39.1</v>
      </c>
    </row>
    <row r="2546" spans="1:16" x14ac:dyDescent="0.25">
      <c r="A2546" s="4">
        <v>44341</v>
      </c>
      <c r="B2546" t="s">
        <v>10</v>
      </c>
      <c r="C2546" t="s">
        <v>78</v>
      </c>
      <c r="F2546">
        <v>411</v>
      </c>
      <c r="J2546">
        <v>1.2529999999999999</v>
      </c>
      <c r="K2546">
        <v>45.6</v>
      </c>
      <c r="L2546">
        <v>36.4</v>
      </c>
    </row>
    <row r="2547" spans="1:16" x14ac:dyDescent="0.25">
      <c r="A2547" s="4">
        <v>44341</v>
      </c>
      <c r="B2547" t="s">
        <v>9</v>
      </c>
      <c r="C2547" t="s">
        <v>78</v>
      </c>
      <c r="F2547">
        <v>410</v>
      </c>
      <c r="J2547">
        <v>1.165</v>
      </c>
      <c r="K2547">
        <v>45.5</v>
      </c>
      <c r="L2547">
        <v>39.1</v>
      </c>
    </row>
    <row r="2548" spans="1:16" x14ac:dyDescent="0.25">
      <c r="A2548" s="4">
        <v>44342</v>
      </c>
      <c r="B2548" t="s">
        <v>10</v>
      </c>
      <c r="C2548">
        <v>1</v>
      </c>
      <c r="F2548">
        <v>274</v>
      </c>
      <c r="J2548">
        <v>1.099</v>
      </c>
      <c r="K2548">
        <v>38</v>
      </c>
      <c r="L2548">
        <v>34.6</v>
      </c>
    </row>
    <row r="2549" spans="1:16" x14ac:dyDescent="0.25">
      <c r="A2549" s="4">
        <v>44342</v>
      </c>
      <c r="B2549" t="s">
        <v>9</v>
      </c>
      <c r="C2549">
        <v>1</v>
      </c>
      <c r="F2549">
        <v>390</v>
      </c>
      <c r="J2549">
        <v>1.4079999999999999</v>
      </c>
      <c r="K2549">
        <v>39</v>
      </c>
      <c r="L2549">
        <v>27.7</v>
      </c>
    </row>
    <row r="2550" spans="1:16" x14ac:dyDescent="0.25">
      <c r="A2550" s="4">
        <v>44342</v>
      </c>
      <c r="B2550" t="s">
        <v>10</v>
      </c>
      <c r="C2550" t="s">
        <v>78</v>
      </c>
      <c r="F2550">
        <v>274</v>
      </c>
      <c r="J2550">
        <v>1.099</v>
      </c>
      <c r="K2550">
        <v>38</v>
      </c>
      <c r="L2550">
        <v>34.6</v>
      </c>
    </row>
    <row r="2551" spans="1:16" x14ac:dyDescent="0.25">
      <c r="A2551" s="4">
        <v>44342</v>
      </c>
      <c r="B2551" t="s">
        <v>9</v>
      </c>
      <c r="C2551" t="s">
        <v>78</v>
      </c>
      <c r="F2551">
        <v>390</v>
      </c>
      <c r="J2551">
        <v>1.4079999999999999</v>
      </c>
      <c r="K2551">
        <v>39</v>
      </c>
      <c r="L2551">
        <v>27.7</v>
      </c>
    </row>
    <row r="2552" spans="1:16" x14ac:dyDescent="0.25">
      <c r="A2552" s="4">
        <v>44343</v>
      </c>
      <c r="B2552" t="s">
        <v>10</v>
      </c>
      <c r="C2552">
        <v>1</v>
      </c>
      <c r="F2552">
        <v>108.4</v>
      </c>
      <c r="J2552">
        <v>1.0840000000000001</v>
      </c>
      <c r="K2552">
        <v>41.3</v>
      </c>
      <c r="L2552">
        <v>38.1</v>
      </c>
    </row>
    <row r="2553" spans="1:16" x14ac:dyDescent="0.25">
      <c r="A2553" s="4">
        <v>44343</v>
      </c>
      <c r="B2553" t="s">
        <v>9</v>
      </c>
      <c r="C2553">
        <v>1</v>
      </c>
      <c r="F2553">
        <v>107.1</v>
      </c>
      <c r="J2553">
        <v>1.071</v>
      </c>
      <c r="K2553">
        <v>39</v>
      </c>
      <c r="L2553">
        <v>36.4</v>
      </c>
    </row>
    <row r="2554" spans="1:16" x14ac:dyDescent="0.25">
      <c r="A2554" s="4">
        <v>44343</v>
      </c>
      <c r="B2554" t="s">
        <v>10</v>
      </c>
      <c r="C2554" t="s">
        <v>78</v>
      </c>
      <c r="F2554">
        <v>108.4</v>
      </c>
      <c r="J2554">
        <v>1.0840000000000001</v>
      </c>
      <c r="K2554">
        <v>41.3</v>
      </c>
      <c r="L2554">
        <v>38.1</v>
      </c>
    </row>
    <row r="2555" spans="1:16" x14ac:dyDescent="0.25">
      <c r="A2555" s="4">
        <v>44343</v>
      </c>
      <c r="B2555" t="s">
        <v>9</v>
      </c>
      <c r="C2555" t="s">
        <v>78</v>
      </c>
      <c r="F2555">
        <v>107.1</v>
      </c>
      <c r="J2555">
        <v>1.071</v>
      </c>
      <c r="K2555">
        <v>39</v>
      </c>
      <c r="L2555">
        <v>36.4</v>
      </c>
    </row>
    <row r="2556" spans="1:16" x14ac:dyDescent="0.25">
      <c r="A2556" s="4">
        <v>44344</v>
      </c>
      <c r="B2556" t="s">
        <v>10</v>
      </c>
      <c r="C2556">
        <v>1</v>
      </c>
      <c r="F2556">
        <v>354</v>
      </c>
      <c r="J2556">
        <v>1.169</v>
      </c>
      <c r="K2556">
        <v>39.299999999999997</v>
      </c>
      <c r="L2556">
        <v>33.6</v>
      </c>
    </row>
    <row r="2557" spans="1:16" x14ac:dyDescent="0.25">
      <c r="A2557" s="4">
        <v>44344</v>
      </c>
      <c r="B2557" t="s">
        <v>9</v>
      </c>
      <c r="C2557">
        <v>1</v>
      </c>
      <c r="F2557">
        <v>394</v>
      </c>
      <c r="J2557">
        <v>1.1779999999999999</v>
      </c>
      <c r="K2557">
        <v>43.7</v>
      </c>
      <c r="L2557">
        <v>37.1</v>
      </c>
    </row>
    <row r="2558" spans="1:16" x14ac:dyDescent="0.25">
      <c r="A2558" s="4">
        <v>44344</v>
      </c>
      <c r="B2558" t="s">
        <v>10</v>
      </c>
      <c r="C2558" t="s">
        <v>78</v>
      </c>
      <c r="F2558">
        <v>354</v>
      </c>
      <c r="J2558">
        <v>1.169</v>
      </c>
      <c r="K2558">
        <v>39.299999999999997</v>
      </c>
      <c r="L2558">
        <v>33.6</v>
      </c>
    </row>
    <row r="2559" spans="1:16" x14ac:dyDescent="0.25">
      <c r="A2559" s="4">
        <v>44344</v>
      </c>
      <c r="B2559" t="s">
        <v>9</v>
      </c>
      <c r="C2559" t="s">
        <v>78</v>
      </c>
      <c r="F2559">
        <v>394</v>
      </c>
      <c r="J2559">
        <v>1.1779999999999999</v>
      </c>
      <c r="K2559">
        <v>43.7</v>
      </c>
      <c r="L2559">
        <v>37.1</v>
      </c>
    </row>
    <row r="2560" spans="1:16" x14ac:dyDescent="0.25">
      <c r="A2560" s="4">
        <v>44348</v>
      </c>
      <c r="B2560" t="s">
        <v>9</v>
      </c>
      <c r="C2560">
        <v>1</v>
      </c>
      <c r="F2560">
        <v>306</v>
      </c>
      <c r="J2560">
        <v>1.137</v>
      </c>
      <c r="K2560">
        <v>43.8</v>
      </c>
      <c r="L2560">
        <v>38.5</v>
      </c>
      <c r="M2560">
        <v>249</v>
      </c>
      <c r="N2560">
        <v>41</v>
      </c>
      <c r="O2560">
        <v>15</v>
      </c>
      <c r="P2560">
        <v>1</v>
      </c>
    </row>
    <row r="2561" spans="1:16" x14ac:dyDescent="0.25">
      <c r="A2561" s="4">
        <v>44348</v>
      </c>
      <c r="B2561" t="s">
        <v>9</v>
      </c>
      <c r="C2561" t="s">
        <v>78</v>
      </c>
      <c r="F2561">
        <v>306</v>
      </c>
      <c r="J2561">
        <v>1.137</v>
      </c>
      <c r="K2561">
        <v>43.8</v>
      </c>
      <c r="L2561">
        <v>38.5</v>
      </c>
      <c r="M2561">
        <v>249</v>
      </c>
      <c r="N2561">
        <v>41</v>
      </c>
      <c r="O2561">
        <v>15</v>
      </c>
      <c r="P2561">
        <v>1</v>
      </c>
    </row>
    <row r="2562" spans="1:16" x14ac:dyDescent="0.25">
      <c r="A2562" s="4">
        <v>44349</v>
      </c>
      <c r="B2562" t="s">
        <v>10</v>
      </c>
      <c r="C2562">
        <v>1</v>
      </c>
      <c r="F2562">
        <v>375</v>
      </c>
      <c r="J2562">
        <v>1.139</v>
      </c>
      <c r="K2562">
        <v>41.6</v>
      </c>
      <c r="L2562">
        <v>36.5</v>
      </c>
    </row>
    <row r="2563" spans="1:16" x14ac:dyDescent="0.25">
      <c r="A2563" s="4">
        <v>44349</v>
      </c>
      <c r="B2563" t="s">
        <v>9</v>
      </c>
      <c r="C2563">
        <v>1</v>
      </c>
      <c r="F2563">
        <v>346</v>
      </c>
      <c r="J2563">
        <v>1.0629999999999999</v>
      </c>
      <c r="K2563">
        <v>38.4</v>
      </c>
      <c r="L2563">
        <v>36.1</v>
      </c>
    </row>
    <row r="2564" spans="1:16" x14ac:dyDescent="0.25">
      <c r="A2564" s="4">
        <v>44349</v>
      </c>
      <c r="B2564" t="s">
        <v>10</v>
      </c>
      <c r="C2564" t="s">
        <v>78</v>
      </c>
      <c r="F2564">
        <v>375</v>
      </c>
      <c r="J2564">
        <v>1.139</v>
      </c>
      <c r="K2564">
        <v>41.6</v>
      </c>
      <c r="L2564">
        <v>36.5</v>
      </c>
    </row>
    <row r="2565" spans="1:16" x14ac:dyDescent="0.25">
      <c r="A2565" s="4">
        <v>44349</v>
      </c>
      <c r="B2565" t="s">
        <v>9</v>
      </c>
      <c r="C2565" t="s">
        <v>78</v>
      </c>
      <c r="F2565">
        <v>346</v>
      </c>
      <c r="J2565">
        <v>1.0629999999999999</v>
      </c>
      <c r="K2565">
        <v>38.4</v>
      </c>
      <c r="L2565">
        <v>36.1</v>
      </c>
    </row>
    <row r="2566" spans="1:16" x14ac:dyDescent="0.25">
      <c r="A2566" s="4">
        <v>44350</v>
      </c>
      <c r="B2566" t="s">
        <v>10</v>
      </c>
      <c r="C2566">
        <v>1</v>
      </c>
      <c r="F2566">
        <v>375</v>
      </c>
      <c r="J2566">
        <v>1.139</v>
      </c>
      <c r="K2566">
        <v>41.7</v>
      </c>
      <c r="L2566">
        <v>36.6</v>
      </c>
      <c r="M2566">
        <v>205</v>
      </c>
      <c r="N2566">
        <v>46</v>
      </c>
      <c r="O2566">
        <v>20</v>
      </c>
    </row>
    <row r="2567" spans="1:16" x14ac:dyDescent="0.25">
      <c r="A2567" s="4">
        <v>44350</v>
      </c>
      <c r="B2567" t="s">
        <v>9</v>
      </c>
      <c r="C2567">
        <v>1</v>
      </c>
      <c r="F2567">
        <v>346</v>
      </c>
      <c r="J2567">
        <v>1.0629999999999999</v>
      </c>
      <c r="K2567">
        <v>38.4</v>
      </c>
      <c r="L2567">
        <v>36.200000000000003</v>
      </c>
      <c r="M2567">
        <v>261</v>
      </c>
      <c r="N2567">
        <v>31</v>
      </c>
      <c r="O2567">
        <v>4</v>
      </c>
    </row>
    <row r="2568" spans="1:16" x14ac:dyDescent="0.25">
      <c r="A2568" s="4">
        <v>44350</v>
      </c>
      <c r="B2568" t="s">
        <v>10</v>
      </c>
      <c r="C2568" t="s">
        <v>78</v>
      </c>
      <c r="F2568">
        <v>375</v>
      </c>
      <c r="J2568">
        <v>1.139</v>
      </c>
      <c r="K2568">
        <v>41.7</v>
      </c>
      <c r="L2568">
        <v>36.6</v>
      </c>
      <c r="M2568">
        <v>205</v>
      </c>
      <c r="N2568">
        <v>46</v>
      </c>
      <c r="O2568">
        <v>20</v>
      </c>
    </row>
    <row r="2569" spans="1:16" x14ac:dyDescent="0.25">
      <c r="A2569" s="4">
        <v>44350</v>
      </c>
      <c r="B2569" t="s">
        <v>9</v>
      </c>
      <c r="C2569" t="s">
        <v>78</v>
      </c>
      <c r="F2569">
        <v>346</v>
      </c>
      <c r="J2569">
        <v>1.0629999999999999</v>
      </c>
      <c r="K2569">
        <v>38.4</v>
      </c>
      <c r="L2569">
        <v>36.200000000000003</v>
      </c>
      <c r="M2569">
        <v>261</v>
      </c>
      <c r="N2569">
        <v>31</v>
      </c>
      <c r="O2569">
        <v>4</v>
      </c>
    </row>
    <row r="2570" spans="1:16" x14ac:dyDescent="0.25">
      <c r="A2570" s="4">
        <v>44351</v>
      </c>
      <c r="B2570" t="s">
        <v>10</v>
      </c>
      <c r="C2570">
        <v>1</v>
      </c>
      <c r="F2570">
        <v>321</v>
      </c>
      <c r="J2570">
        <v>0.97399999999999998</v>
      </c>
      <c r="K2570">
        <v>35.700000000000003</v>
      </c>
      <c r="L2570">
        <v>36.6</v>
      </c>
      <c r="M2570">
        <v>156</v>
      </c>
      <c r="N2570">
        <v>40</v>
      </c>
      <c r="O2570">
        <v>12</v>
      </c>
      <c r="P2570">
        <v>6</v>
      </c>
    </row>
    <row r="2571" spans="1:16" x14ac:dyDescent="0.25">
      <c r="A2571" s="4">
        <v>44351</v>
      </c>
      <c r="B2571" t="s">
        <v>9</v>
      </c>
      <c r="C2571">
        <v>1</v>
      </c>
      <c r="F2571">
        <v>331</v>
      </c>
      <c r="J2571">
        <v>0.98199999999999998</v>
      </c>
      <c r="K2571">
        <v>36.799999999999997</v>
      </c>
      <c r="L2571">
        <v>37.5</v>
      </c>
      <c r="M2571">
        <v>231</v>
      </c>
      <c r="N2571">
        <v>37</v>
      </c>
      <c r="O2571">
        <v>2</v>
      </c>
      <c r="P2571">
        <v>1</v>
      </c>
    </row>
    <row r="2572" spans="1:16" x14ac:dyDescent="0.25">
      <c r="A2572" s="4">
        <v>44351</v>
      </c>
      <c r="B2572" t="s">
        <v>10</v>
      </c>
      <c r="C2572" t="s">
        <v>78</v>
      </c>
      <c r="F2572">
        <v>321</v>
      </c>
      <c r="J2572">
        <v>0.97399999999999998</v>
      </c>
      <c r="K2572">
        <v>35.700000000000003</v>
      </c>
      <c r="L2572">
        <v>36.6</v>
      </c>
      <c r="M2572">
        <v>156</v>
      </c>
      <c r="N2572">
        <v>40</v>
      </c>
      <c r="O2572">
        <v>12</v>
      </c>
      <c r="P2572">
        <v>6</v>
      </c>
    </row>
    <row r="2573" spans="1:16" x14ac:dyDescent="0.25">
      <c r="A2573" s="4">
        <v>44351</v>
      </c>
      <c r="B2573" t="s">
        <v>9</v>
      </c>
      <c r="C2573" t="s">
        <v>78</v>
      </c>
      <c r="F2573">
        <v>331</v>
      </c>
      <c r="J2573">
        <v>0.98199999999999998</v>
      </c>
      <c r="K2573">
        <v>36.799999999999997</v>
      </c>
      <c r="L2573">
        <v>37.5</v>
      </c>
      <c r="M2573">
        <v>231</v>
      </c>
      <c r="N2573">
        <v>37</v>
      </c>
      <c r="O2573">
        <v>2</v>
      </c>
      <c r="P2573">
        <v>1</v>
      </c>
    </row>
    <row r="2574" spans="1:16" x14ac:dyDescent="0.25">
      <c r="A2574" s="4">
        <v>44352</v>
      </c>
      <c r="B2574" t="s">
        <v>10</v>
      </c>
      <c r="C2574">
        <v>1</v>
      </c>
      <c r="F2574">
        <v>277</v>
      </c>
      <c r="J2574">
        <v>1.2989999999999999</v>
      </c>
      <c r="K2574">
        <v>44.7</v>
      </c>
      <c r="L2574">
        <v>34.4</v>
      </c>
      <c r="M2574">
        <v>182</v>
      </c>
      <c r="N2574">
        <v>25</v>
      </c>
      <c r="O2574">
        <v>9</v>
      </c>
      <c r="P2574">
        <v>2</v>
      </c>
    </row>
    <row r="2575" spans="1:16" x14ac:dyDescent="0.25">
      <c r="A2575" s="4">
        <v>44352</v>
      </c>
      <c r="B2575" t="s">
        <v>9</v>
      </c>
      <c r="C2575">
        <v>1</v>
      </c>
      <c r="F2575">
        <v>253</v>
      </c>
      <c r="J2575">
        <v>1.077</v>
      </c>
      <c r="K2575">
        <v>40.799999999999997</v>
      </c>
      <c r="L2575">
        <v>37.9</v>
      </c>
      <c r="M2575">
        <v>164</v>
      </c>
      <c r="N2575">
        <v>23</v>
      </c>
      <c r="O2575">
        <v>11</v>
      </c>
    </row>
    <row r="2576" spans="1:16" x14ac:dyDescent="0.25">
      <c r="A2576" s="4">
        <v>44352</v>
      </c>
      <c r="B2576" t="s">
        <v>10</v>
      </c>
      <c r="C2576" t="s">
        <v>78</v>
      </c>
      <c r="F2576">
        <v>277</v>
      </c>
      <c r="J2576">
        <v>1.2989999999999999</v>
      </c>
      <c r="K2576">
        <v>44.7</v>
      </c>
      <c r="L2576">
        <v>34.4</v>
      </c>
      <c r="M2576">
        <v>182</v>
      </c>
      <c r="N2576">
        <v>25</v>
      </c>
      <c r="O2576">
        <v>9</v>
      </c>
      <c r="P2576">
        <v>2</v>
      </c>
    </row>
    <row r="2577" spans="1:16" x14ac:dyDescent="0.25">
      <c r="A2577" s="4">
        <v>44352</v>
      </c>
      <c r="B2577" t="s">
        <v>9</v>
      </c>
      <c r="C2577" t="s">
        <v>78</v>
      </c>
      <c r="F2577">
        <v>253</v>
      </c>
      <c r="J2577">
        <v>1.077</v>
      </c>
      <c r="K2577">
        <v>40.799999999999997</v>
      </c>
      <c r="L2577">
        <v>37.9</v>
      </c>
      <c r="M2577">
        <v>164</v>
      </c>
      <c r="N2577">
        <v>23</v>
      </c>
      <c r="O2577">
        <v>11</v>
      </c>
    </row>
    <row r="2578" spans="1:16" x14ac:dyDescent="0.25">
      <c r="A2578" s="4">
        <v>44354</v>
      </c>
      <c r="B2578" t="s">
        <v>10</v>
      </c>
      <c r="C2578">
        <v>1</v>
      </c>
      <c r="F2578">
        <v>394</v>
      </c>
      <c r="J2578">
        <v>1.1930000000000001</v>
      </c>
      <c r="K2578">
        <v>43.8</v>
      </c>
      <c r="L2578">
        <v>36.700000000000003</v>
      </c>
      <c r="M2578">
        <v>183</v>
      </c>
      <c r="N2578">
        <v>60</v>
      </c>
      <c r="O2578">
        <v>23</v>
      </c>
      <c r="P2578">
        <v>1</v>
      </c>
    </row>
    <row r="2579" spans="1:16" x14ac:dyDescent="0.25">
      <c r="A2579" s="4">
        <v>44354</v>
      </c>
      <c r="B2579" t="s">
        <v>9</v>
      </c>
      <c r="C2579">
        <v>1</v>
      </c>
      <c r="F2579">
        <v>143</v>
      </c>
      <c r="J2579">
        <v>1.2150000000000001</v>
      </c>
      <c r="K2579">
        <v>49.3</v>
      </c>
      <c r="L2579">
        <v>40.6</v>
      </c>
      <c r="M2579">
        <v>78</v>
      </c>
      <c r="N2579">
        <v>17</v>
      </c>
      <c r="O2579">
        <v>5</v>
      </c>
      <c r="P2579">
        <v>2</v>
      </c>
    </row>
    <row r="2580" spans="1:16" x14ac:dyDescent="0.25">
      <c r="A2580" s="4">
        <v>44354</v>
      </c>
      <c r="B2580" t="s">
        <v>10</v>
      </c>
      <c r="C2580" t="s">
        <v>78</v>
      </c>
      <c r="F2580">
        <v>394</v>
      </c>
      <c r="J2580">
        <v>1.1930000000000001</v>
      </c>
      <c r="K2580">
        <v>43.8</v>
      </c>
      <c r="L2580">
        <v>36.700000000000003</v>
      </c>
      <c r="M2580">
        <v>183</v>
      </c>
      <c r="N2580">
        <v>60</v>
      </c>
      <c r="O2580">
        <v>23</v>
      </c>
      <c r="P2580">
        <v>1</v>
      </c>
    </row>
    <row r="2581" spans="1:16" x14ac:dyDescent="0.25">
      <c r="A2581" s="4">
        <v>44354</v>
      </c>
      <c r="B2581" t="s">
        <v>9</v>
      </c>
      <c r="C2581" t="s">
        <v>78</v>
      </c>
      <c r="F2581">
        <v>143</v>
      </c>
      <c r="J2581">
        <v>1.2150000000000001</v>
      </c>
      <c r="K2581">
        <v>49.3</v>
      </c>
      <c r="L2581">
        <v>40.6</v>
      </c>
      <c r="M2581">
        <v>78</v>
      </c>
      <c r="N2581">
        <v>17</v>
      </c>
      <c r="O2581">
        <v>5</v>
      </c>
      <c r="P2581">
        <v>2</v>
      </c>
    </row>
    <row r="2582" spans="1:16" x14ac:dyDescent="0.25">
      <c r="A2582" s="4">
        <v>44355</v>
      </c>
      <c r="B2582" t="s">
        <v>10</v>
      </c>
      <c r="C2582">
        <v>1</v>
      </c>
      <c r="F2582">
        <v>312</v>
      </c>
      <c r="J2582">
        <v>1.478</v>
      </c>
      <c r="K2582">
        <v>52</v>
      </c>
      <c r="L2582">
        <v>35.200000000000003</v>
      </c>
      <c r="M2582">
        <v>187</v>
      </c>
      <c r="N2582">
        <v>38</v>
      </c>
      <c r="O2582">
        <v>10</v>
      </c>
      <c r="P2582">
        <v>2</v>
      </c>
    </row>
    <row r="2583" spans="1:16" x14ac:dyDescent="0.25">
      <c r="A2583" s="4">
        <v>44355</v>
      </c>
      <c r="B2583" t="s">
        <v>9</v>
      </c>
      <c r="C2583">
        <v>1</v>
      </c>
      <c r="F2583">
        <v>333</v>
      </c>
      <c r="J2583">
        <v>1.427</v>
      </c>
      <c r="K2583">
        <v>55.5</v>
      </c>
      <c r="L2583">
        <v>38.9</v>
      </c>
      <c r="M2583">
        <v>199</v>
      </c>
      <c r="N2583">
        <v>36</v>
      </c>
      <c r="O2583">
        <v>13</v>
      </c>
      <c r="P2583">
        <v>2</v>
      </c>
    </row>
    <row r="2584" spans="1:16" x14ac:dyDescent="0.25">
      <c r="A2584" s="4">
        <v>44355</v>
      </c>
      <c r="B2584" t="s">
        <v>10</v>
      </c>
      <c r="C2584" t="s">
        <v>78</v>
      </c>
      <c r="F2584">
        <v>312</v>
      </c>
      <c r="J2584">
        <v>1.478</v>
      </c>
      <c r="K2584">
        <v>52</v>
      </c>
      <c r="L2584">
        <v>35.200000000000003</v>
      </c>
      <c r="M2584">
        <v>187</v>
      </c>
      <c r="N2584">
        <v>38</v>
      </c>
      <c r="O2584">
        <v>10</v>
      </c>
      <c r="P2584">
        <v>2</v>
      </c>
    </row>
    <row r="2585" spans="1:16" x14ac:dyDescent="0.25">
      <c r="A2585" s="4">
        <v>44355</v>
      </c>
      <c r="B2585" t="s">
        <v>9</v>
      </c>
      <c r="C2585" t="s">
        <v>78</v>
      </c>
      <c r="F2585">
        <v>333</v>
      </c>
      <c r="J2585">
        <v>1.427</v>
      </c>
      <c r="K2585">
        <v>55.5</v>
      </c>
      <c r="L2585">
        <v>38.9</v>
      </c>
      <c r="M2585">
        <v>199</v>
      </c>
      <c r="N2585">
        <v>36</v>
      </c>
      <c r="O2585">
        <v>13</v>
      </c>
      <c r="P2585">
        <v>2</v>
      </c>
    </row>
    <row r="2586" spans="1:16" x14ac:dyDescent="0.25">
      <c r="A2586" s="4">
        <v>44356</v>
      </c>
      <c r="B2586" t="s">
        <v>10</v>
      </c>
      <c r="C2586">
        <v>1</v>
      </c>
      <c r="F2586">
        <v>331</v>
      </c>
      <c r="J2586">
        <v>1.2769999999999999</v>
      </c>
      <c r="K2586">
        <v>41.4</v>
      </c>
      <c r="L2586">
        <v>32.4</v>
      </c>
      <c r="M2586">
        <v>232</v>
      </c>
      <c r="N2586">
        <v>36</v>
      </c>
      <c r="O2586">
        <v>8</v>
      </c>
    </row>
    <row r="2587" spans="1:16" x14ac:dyDescent="0.25">
      <c r="A2587" s="4">
        <v>44356</v>
      </c>
      <c r="B2587" t="s">
        <v>9</v>
      </c>
      <c r="C2587">
        <v>1</v>
      </c>
      <c r="F2587">
        <v>325</v>
      </c>
      <c r="J2587">
        <v>1.109</v>
      </c>
      <c r="K2587">
        <v>40.6</v>
      </c>
      <c r="L2587">
        <v>36.6</v>
      </c>
      <c r="M2587">
        <v>219</v>
      </c>
      <c r="N2587">
        <v>28</v>
      </c>
      <c r="O2587">
        <v>10</v>
      </c>
      <c r="P2587">
        <v>1</v>
      </c>
    </row>
    <row r="2588" spans="1:16" x14ac:dyDescent="0.25">
      <c r="A2588" s="4">
        <v>44356</v>
      </c>
      <c r="B2588" t="s">
        <v>10</v>
      </c>
      <c r="C2588" t="s">
        <v>78</v>
      </c>
      <c r="F2588">
        <v>331</v>
      </c>
      <c r="J2588">
        <v>1.2769999999999999</v>
      </c>
      <c r="K2588">
        <v>41.4</v>
      </c>
      <c r="L2588">
        <v>32.4</v>
      </c>
      <c r="M2588">
        <v>232</v>
      </c>
      <c r="N2588">
        <v>36</v>
      </c>
      <c r="O2588">
        <v>8</v>
      </c>
    </row>
    <row r="2589" spans="1:16" x14ac:dyDescent="0.25">
      <c r="A2589" s="4">
        <v>44356</v>
      </c>
      <c r="B2589" t="s">
        <v>9</v>
      </c>
      <c r="C2589" t="s">
        <v>78</v>
      </c>
      <c r="F2589">
        <v>325</v>
      </c>
      <c r="J2589">
        <v>1.109</v>
      </c>
      <c r="K2589">
        <v>40.6</v>
      </c>
      <c r="L2589">
        <v>36.6</v>
      </c>
      <c r="M2589">
        <v>219</v>
      </c>
      <c r="N2589">
        <v>28</v>
      </c>
      <c r="O2589">
        <v>10</v>
      </c>
      <c r="P2589">
        <v>1</v>
      </c>
    </row>
    <row r="2590" spans="1:16" x14ac:dyDescent="0.25">
      <c r="A2590" s="4">
        <v>44357</v>
      </c>
      <c r="B2590" t="s">
        <v>10</v>
      </c>
      <c r="C2590">
        <v>1</v>
      </c>
      <c r="F2590">
        <v>265</v>
      </c>
      <c r="J2590">
        <v>1.0940000000000001</v>
      </c>
      <c r="K2590">
        <v>37.9</v>
      </c>
      <c r="L2590">
        <v>34.6</v>
      </c>
      <c r="M2590">
        <v>161</v>
      </c>
      <c r="N2590">
        <v>26</v>
      </c>
      <c r="O2590">
        <v>13</v>
      </c>
    </row>
    <row r="2591" spans="1:16" x14ac:dyDescent="0.25">
      <c r="A2591" s="4">
        <v>44357</v>
      </c>
      <c r="B2591" t="s">
        <v>9</v>
      </c>
      <c r="C2591">
        <v>1</v>
      </c>
      <c r="F2591">
        <v>349</v>
      </c>
      <c r="J2591">
        <v>1.163</v>
      </c>
      <c r="K2591">
        <v>43.6</v>
      </c>
      <c r="L2591">
        <v>37.5</v>
      </c>
      <c r="M2591">
        <v>239</v>
      </c>
      <c r="N2591">
        <v>27</v>
      </c>
      <c r="O2591">
        <v>11</v>
      </c>
    </row>
    <row r="2592" spans="1:16" x14ac:dyDescent="0.25">
      <c r="A2592" s="4">
        <v>44357</v>
      </c>
      <c r="B2592" t="s">
        <v>10</v>
      </c>
      <c r="C2592" t="s">
        <v>78</v>
      </c>
      <c r="F2592">
        <v>265</v>
      </c>
      <c r="J2592">
        <v>1.0940000000000001</v>
      </c>
      <c r="K2592">
        <v>37.9</v>
      </c>
      <c r="L2592">
        <v>34.6</v>
      </c>
      <c r="M2592">
        <v>161</v>
      </c>
      <c r="N2592">
        <v>26</v>
      </c>
      <c r="O2592">
        <v>13</v>
      </c>
    </row>
    <row r="2593" spans="1:16" x14ac:dyDescent="0.25">
      <c r="A2593" s="4">
        <v>44357</v>
      </c>
      <c r="B2593" t="s">
        <v>9</v>
      </c>
      <c r="C2593" t="s">
        <v>78</v>
      </c>
      <c r="F2593">
        <v>349</v>
      </c>
      <c r="J2593">
        <v>1.163</v>
      </c>
      <c r="K2593">
        <v>43.6</v>
      </c>
      <c r="L2593">
        <v>37.5</v>
      </c>
      <c r="M2593">
        <v>239</v>
      </c>
      <c r="N2593">
        <v>27</v>
      </c>
      <c r="O2593">
        <v>11</v>
      </c>
    </row>
    <row r="2594" spans="1:16" x14ac:dyDescent="0.25">
      <c r="A2594" s="4">
        <v>44358</v>
      </c>
      <c r="B2594" t="s">
        <v>10</v>
      </c>
      <c r="C2594">
        <v>1</v>
      </c>
      <c r="F2594">
        <v>328</v>
      </c>
      <c r="J2594">
        <v>1.01</v>
      </c>
      <c r="K2594">
        <v>38.1</v>
      </c>
      <c r="L2594">
        <v>37.700000000000003</v>
      </c>
      <c r="M2594">
        <v>151</v>
      </c>
      <c r="N2594">
        <v>41</v>
      </c>
      <c r="O2594">
        <v>23</v>
      </c>
      <c r="P2594">
        <v>3</v>
      </c>
    </row>
    <row r="2595" spans="1:16" x14ac:dyDescent="0.25">
      <c r="A2595" s="4">
        <v>44358</v>
      </c>
      <c r="B2595" t="s">
        <v>9</v>
      </c>
      <c r="C2595">
        <v>1</v>
      </c>
      <c r="F2595">
        <v>372</v>
      </c>
      <c r="J2595">
        <v>1.129</v>
      </c>
      <c r="K2595">
        <v>45.4</v>
      </c>
      <c r="L2595">
        <v>40.200000000000003</v>
      </c>
      <c r="M2595">
        <v>215</v>
      </c>
      <c r="N2595">
        <v>39</v>
      </c>
      <c r="O2595">
        <v>10</v>
      </c>
      <c r="P2595">
        <v>5</v>
      </c>
    </row>
    <row r="2596" spans="1:16" x14ac:dyDescent="0.25">
      <c r="A2596" s="4">
        <v>44358</v>
      </c>
      <c r="B2596" t="s">
        <v>10</v>
      </c>
      <c r="C2596" t="s">
        <v>78</v>
      </c>
      <c r="F2596">
        <v>328</v>
      </c>
      <c r="J2596">
        <v>1.01</v>
      </c>
      <c r="K2596">
        <v>38.1</v>
      </c>
      <c r="L2596">
        <v>37.700000000000003</v>
      </c>
      <c r="M2596">
        <v>151</v>
      </c>
      <c r="N2596">
        <v>41</v>
      </c>
      <c r="O2596">
        <v>23</v>
      </c>
      <c r="P2596">
        <v>3</v>
      </c>
    </row>
    <row r="2597" spans="1:16" x14ac:dyDescent="0.25">
      <c r="A2597" s="4">
        <v>44358</v>
      </c>
      <c r="B2597" t="s">
        <v>9</v>
      </c>
      <c r="C2597" t="s">
        <v>78</v>
      </c>
      <c r="F2597">
        <v>372</v>
      </c>
      <c r="J2597">
        <v>1.129</v>
      </c>
      <c r="K2597">
        <v>45.4</v>
      </c>
      <c r="L2597">
        <v>40.200000000000003</v>
      </c>
      <c r="M2597">
        <v>215</v>
      </c>
      <c r="N2597">
        <v>39</v>
      </c>
      <c r="O2597">
        <v>10</v>
      </c>
      <c r="P2597">
        <v>5</v>
      </c>
    </row>
    <row r="2598" spans="1:16" x14ac:dyDescent="0.25">
      <c r="A2598" s="4">
        <v>44359</v>
      </c>
      <c r="B2598" t="s">
        <v>10</v>
      </c>
      <c r="C2598">
        <v>1</v>
      </c>
      <c r="F2598">
        <v>230</v>
      </c>
      <c r="J2598">
        <v>1.002</v>
      </c>
      <c r="K2598">
        <v>33.299999999999997</v>
      </c>
      <c r="L2598">
        <v>33.299999999999997</v>
      </c>
      <c r="M2598">
        <v>157</v>
      </c>
      <c r="N2598">
        <v>28</v>
      </c>
      <c r="O2598">
        <v>5</v>
      </c>
    </row>
    <row r="2599" spans="1:16" x14ac:dyDescent="0.25">
      <c r="A2599" s="4">
        <v>44359</v>
      </c>
      <c r="B2599" t="s">
        <v>9</v>
      </c>
      <c r="C2599">
        <v>1</v>
      </c>
      <c r="F2599">
        <v>294</v>
      </c>
      <c r="J2599">
        <v>1.0760000000000001</v>
      </c>
      <c r="K2599">
        <v>42.6</v>
      </c>
      <c r="L2599">
        <v>39.6</v>
      </c>
      <c r="M2599">
        <v>163</v>
      </c>
      <c r="N2599">
        <v>52</v>
      </c>
      <c r="O2599">
        <v>8</v>
      </c>
    </row>
    <row r="2600" spans="1:16" x14ac:dyDescent="0.25">
      <c r="A2600" s="4">
        <v>44359</v>
      </c>
      <c r="B2600" t="s">
        <v>10</v>
      </c>
      <c r="C2600" t="s">
        <v>78</v>
      </c>
      <c r="F2600">
        <v>230</v>
      </c>
      <c r="J2600">
        <v>1.002</v>
      </c>
      <c r="K2600">
        <v>33.299999999999997</v>
      </c>
      <c r="L2600">
        <v>33.299999999999997</v>
      </c>
      <c r="M2600">
        <v>157</v>
      </c>
      <c r="N2600">
        <v>28</v>
      </c>
      <c r="O2600">
        <v>5</v>
      </c>
    </row>
    <row r="2601" spans="1:16" x14ac:dyDescent="0.25">
      <c r="A2601" s="4">
        <v>44359</v>
      </c>
      <c r="B2601" t="s">
        <v>9</v>
      </c>
      <c r="C2601" t="s">
        <v>78</v>
      </c>
      <c r="F2601">
        <v>294</v>
      </c>
      <c r="J2601">
        <v>1.0760000000000001</v>
      </c>
      <c r="K2601">
        <v>42.6</v>
      </c>
      <c r="L2601">
        <v>39.6</v>
      </c>
      <c r="M2601">
        <v>163</v>
      </c>
      <c r="N2601">
        <v>52</v>
      </c>
      <c r="O2601">
        <v>8</v>
      </c>
    </row>
    <row r="2602" spans="1:16" x14ac:dyDescent="0.25">
      <c r="A2602" s="4">
        <v>44361</v>
      </c>
      <c r="B2602" t="s">
        <v>10</v>
      </c>
      <c r="C2602">
        <v>1</v>
      </c>
      <c r="F2602">
        <v>433</v>
      </c>
      <c r="J2602">
        <v>1.2330000000000001</v>
      </c>
      <c r="K2602">
        <v>48.1</v>
      </c>
      <c r="L2602">
        <v>39</v>
      </c>
      <c r="M2602">
        <v>174</v>
      </c>
      <c r="N2602">
        <v>62</v>
      </c>
      <c r="O2602">
        <v>30</v>
      </c>
      <c r="P2602">
        <v>3</v>
      </c>
    </row>
    <row r="2603" spans="1:16" x14ac:dyDescent="0.25">
      <c r="A2603" s="4">
        <v>44361</v>
      </c>
      <c r="B2603" t="s">
        <v>9</v>
      </c>
      <c r="C2603">
        <v>1</v>
      </c>
      <c r="F2603">
        <v>411</v>
      </c>
      <c r="J2603">
        <v>1.179</v>
      </c>
      <c r="K2603">
        <v>45.7</v>
      </c>
      <c r="L2603">
        <v>38.700000000000003</v>
      </c>
      <c r="M2603">
        <v>230</v>
      </c>
      <c r="N2603">
        <v>59</v>
      </c>
      <c r="O2603">
        <v>14</v>
      </c>
      <c r="P2603">
        <v>2</v>
      </c>
    </row>
    <row r="2604" spans="1:16" x14ac:dyDescent="0.25">
      <c r="A2604" s="4">
        <v>44361</v>
      </c>
      <c r="B2604" t="s">
        <v>10</v>
      </c>
      <c r="C2604" t="s">
        <v>78</v>
      </c>
      <c r="F2604">
        <v>433</v>
      </c>
      <c r="J2604">
        <v>1.2330000000000001</v>
      </c>
      <c r="K2604">
        <v>48.1</v>
      </c>
      <c r="L2604">
        <v>39</v>
      </c>
      <c r="M2604">
        <v>174</v>
      </c>
      <c r="N2604">
        <v>62</v>
      </c>
      <c r="O2604">
        <v>30</v>
      </c>
      <c r="P2604">
        <v>3</v>
      </c>
    </row>
    <row r="2605" spans="1:16" x14ac:dyDescent="0.25">
      <c r="A2605" s="4">
        <v>44361</v>
      </c>
      <c r="B2605" t="s">
        <v>9</v>
      </c>
      <c r="C2605" t="s">
        <v>78</v>
      </c>
      <c r="F2605">
        <v>411</v>
      </c>
      <c r="J2605">
        <v>1.179</v>
      </c>
      <c r="K2605">
        <v>45.7</v>
      </c>
      <c r="L2605">
        <v>38.700000000000003</v>
      </c>
      <c r="M2605">
        <v>230</v>
      </c>
      <c r="N2605">
        <v>59</v>
      </c>
      <c r="O2605">
        <v>14</v>
      </c>
      <c r="P2605">
        <v>2</v>
      </c>
    </row>
    <row r="2606" spans="1:16" x14ac:dyDescent="0.25">
      <c r="A2606" s="4">
        <v>44361</v>
      </c>
      <c r="B2606" t="s">
        <v>10</v>
      </c>
      <c r="C2606">
        <v>1</v>
      </c>
      <c r="F2606">
        <v>433</v>
      </c>
      <c r="J2606">
        <v>1.2330000000000001</v>
      </c>
      <c r="K2606">
        <v>48.1</v>
      </c>
      <c r="L2606">
        <v>39</v>
      </c>
      <c r="M2606">
        <v>174</v>
      </c>
      <c r="N2606">
        <v>62</v>
      </c>
      <c r="O2606">
        <v>30</v>
      </c>
      <c r="P2606">
        <v>3</v>
      </c>
    </row>
    <row r="2607" spans="1:16" x14ac:dyDescent="0.25">
      <c r="A2607" s="4">
        <v>44361</v>
      </c>
      <c r="B2607" t="s">
        <v>9</v>
      </c>
      <c r="C2607">
        <v>1</v>
      </c>
      <c r="F2607">
        <v>411</v>
      </c>
      <c r="J2607">
        <v>1.179</v>
      </c>
      <c r="K2607">
        <v>45.7</v>
      </c>
      <c r="L2607">
        <v>38.700000000000003</v>
      </c>
      <c r="M2607">
        <v>230</v>
      </c>
      <c r="N2607">
        <v>59</v>
      </c>
      <c r="O2607">
        <v>14</v>
      </c>
      <c r="P2607">
        <v>2</v>
      </c>
    </row>
    <row r="2608" spans="1:16" x14ac:dyDescent="0.25">
      <c r="A2608" s="4">
        <v>44361</v>
      </c>
      <c r="B2608" t="s">
        <v>10</v>
      </c>
      <c r="C2608" t="s">
        <v>78</v>
      </c>
      <c r="F2608">
        <v>433</v>
      </c>
      <c r="J2608">
        <v>1.2330000000000001</v>
      </c>
      <c r="K2608">
        <v>48.1</v>
      </c>
      <c r="L2608">
        <v>39</v>
      </c>
      <c r="M2608">
        <v>174</v>
      </c>
      <c r="N2608">
        <v>62</v>
      </c>
      <c r="O2608">
        <v>30</v>
      </c>
      <c r="P2608">
        <v>3</v>
      </c>
    </row>
    <row r="2609" spans="1:16" x14ac:dyDescent="0.25">
      <c r="A2609" s="4">
        <v>44361</v>
      </c>
      <c r="B2609" t="s">
        <v>9</v>
      </c>
      <c r="C2609" t="s">
        <v>78</v>
      </c>
      <c r="F2609">
        <v>411</v>
      </c>
      <c r="J2609">
        <v>1.179</v>
      </c>
      <c r="K2609">
        <v>45.7</v>
      </c>
      <c r="L2609">
        <v>38.700000000000003</v>
      </c>
      <c r="M2609">
        <v>230</v>
      </c>
      <c r="N2609">
        <v>59</v>
      </c>
      <c r="O2609">
        <v>14</v>
      </c>
      <c r="P2609">
        <v>2</v>
      </c>
    </row>
    <row r="2610" spans="1:16" x14ac:dyDescent="0.25">
      <c r="A2610" s="4">
        <v>44362</v>
      </c>
      <c r="B2610" t="s">
        <v>10</v>
      </c>
      <c r="C2610">
        <v>1</v>
      </c>
      <c r="F2610">
        <v>363</v>
      </c>
      <c r="J2610">
        <v>1.175</v>
      </c>
      <c r="K2610">
        <v>40.299999999999997</v>
      </c>
      <c r="L2610">
        <v>34.299999999999997</v>
      </c>
      <c r="M2610">
        <v>240</v>
      </c>
      <c r="N2610">
        <v>34</v>
      </c>
      <c r="O2610">
        <v>12</v>
      </c>
      <c r="P2610">
        <v>1</v>
      </c>
    </row>
    <row r="2611" spans="1:16" x14ac:dyDescent="0.25">
      <c r="A2611" s="4">
        <v>44362</v>
      </c>
      <c r="B2611" t="s">
        <v>9</v>
      </c>
      <c r="C2611">
        <v>1</v>
      </c>
      <c r="F2611">
        <v>364</v>
      </c>
      <c r="J2611">
        <v>1.121</v>
      </c>
      <c r="K2611">
        <v>40.4</v>
      </c>
      <c r="L2611">
        <v>36.1</v>
      </c>
      <c r="M2611">
        <v>282</v>
      </c>
      <c r="N2611">
        <v>31</v>
      </c>
      <c r="O2611">
        <v>4</v>
      </c>
    </row>
    <row r="2612" spans="1:16" x14ac:dyDescent="0.25">
      <c r="A2612" s="4">
        <v>44362</v>
      </c>
      <c r="B2612" t="s">
        <v>10</v>
      </c>
      <c r="C2612" t="s">
        <v>78</v>
      </c>
      <c r="F2612">
        <v>363</v>
      </c>
      <c r="J2612">
        <v>1.175</v>
      </c>
      <c r="K2612">
        <v>40.299999999999997</v>
      </c>
      <c r="L2612">
        <v>34.299999999999997</v>
      </c>
      <c r="M2612">
        <v>240</v>
      </c>
      <c r="N2612">
        <v>34</v>
      </c>
      <c r="O2612">
        <v>12</v>
      </c>
      <c r="P2612">
        <v>1</v>
      </c>
    </row>
    <row r="2613" spans="1:16" x14ac:dyDescent="0.25">
      <c r="A2613" s="4">
        <v>44362</v>
      </c>
      <c r="B2613" t="s">
        <v>9</v>
      </c>
      <c r="C2613" t="s">
        <v>78</v>
      </c>
      <c r="F2613">
        <v>364</v>
      </c>
      <c r="J2613">
        <v>1.121</v>
      </c>
      <c r="K2613">
        <v>40.4</v>
      </c>
      <c r="L2613">
        <v>36.1</v>
      </c>
      <c r="M2613">
        <v>282</v>
      </c>
      <c r="N2613">
        <v>31</v>
      </c>
      <c r="O2613">
        <v>4</v>
      </c>
    </row>
    <row r="2614" spans="1:16" x14ac:dyDescent="0.25">
      <c r="A2614" s="4">
        <v>44362</v>
      </c>
      <c r="B2614" t="s">
        <v>10</v>
      </c>
      <c r="C2614">
        <v>1</v>
      </c>
      <c r="F2614">
        <v>363</v>
      </c>
      <c r="J2614">
        <v>1.175</v>
      </c>
      <c r="K2614">
        <v>40.299999999999997</v>
      </c>
      <c r="L2614">
        <v>34.299999999999997</v>
      </c>
      <c r="M2614">
        <v>240</v>
      </c>
      <c r="N2614">
        <v>34</v>
      </c>
      <c r="O2614">
        <v>12</v>
      </c>
      <c r="P2614">
        <v>1</v>
      </c>
    </row>
    <row r="2615" spans="1:16" x14ac:dyDescent="0.25">
      <c r="A2615" s="4">
        <v>44362</v>
      </c>
      <c r="B2615" t="s">
        <v>9</v>
      </c>
      <c r="C2615">
        <v>1</v>
      </c>
      <c r="F2615">
        <v>364</v>
      </c>
      <c r="J2615">
        <v>1.121</v>
      </c>
      <c r="K2615">
        <v>40.4</v>
      </c>
      <c r="L2615">
        <v>36.1</v>
      </c>
      <c r="M2615">
        <v>282</v>
      </c>
      <c r="N2615">
        <v>31</v>
      </c>
      <c r="O2615">
        <v>4</v>
      </c>
    </row>
    <row r="2616" spans="1:16" x14ac:dyDescent="0.25">
      <c r="A2616" s="4">
        <v>44362</v>
      </c>
      <c r="B2616" t="s">
        <v>10</v>
      </c>
      <c r="C2616" t="s">
        <v>78</v>
      </c>
      <c r="F2616">
        <v>363</v>
      </c>
      <c r="J2616">
        <v>1.175</v>
      </c>
      <c r="K2616">
        <v>40.299999999999997</v>
      </c>
      <c r="L2616">
        <v>34.299999999999997</v>
      </c>
      <c r="M2616">
        <v>240</v>
      </c>
      <c r="N2616">
        <v>34</v>
      </c>
      <c r="O2616">
        <v>12</v>
      </c>
      <c r="P2616">
        <v>1</v>
      </c>
    </row>
    <row r="2617" spans="1:16" x14ac:dyDescent="0.25">
      <c r="A2617" s="4">
        <v>44362</v>
      </c>
      <c r="B2617" t="s">
        <v>9</v>
      </c>
      <c r="C2617" t="s">
        <v>78</v>
      </c>
      <c r="F2617">
        <v>364</v>
      </c>
      <c r="J2617">
        <v>1.121</v>
      </c>
      <c r="K2617">
        <v>40.4</v>
      </c>
      <c r="L2617">
        <v>36.1</v>
      </c>
      <c r="M2617">
        <v>282</v>
      </c>
      <c r="N2617">
        <v>31</v>
      </c>
      <c r="O2617">
        <v>4</v>
      </c>
    </row>
    <row r="2618" spans="1:16" x14ac:dyDescent="0.25">
      <c r="A2618" s="4">
        <v>44363</v>
      </c>
      <c r="B2618" t="s">
        <v>10</v>
      </c>
      <c r="C2618">
        <v>1</v>
      </c>
      <c r="F2618">
        <v>411</v>
      </c>
      <c r="J2618">
        <v>1.2809999999999999</v>
      </c>
      <c r="K2618">
        <v>45.7</v>
      </c>
      <c r="L2618">
        <v>35.6</v>
      </c>
      <c r="M2618">
        <v>247</v>
      </c>
      <c r="N2618">
        <v>47</v>
      </c>
      <c r="O2618">
        <v>18</v>
      </c>
    </row>
    <row r="2619" spans="1:16" x14ac:dyDescent="0.25">
      <c r="A2619" s="4">
        <v>44363</v>
      </c>
      <c r="B2619" t="s">
        <v>9</v>
      </c>
      <c r="C2619">
        <v>1</v>
      </c>
      <c r="F2619">
        <v>372</v>
      </c>
      <c r="J2619">
        <v>1.1020000000000001</v>
      </c>
      <c r="K2619">
        <v>41.3</v>
      </c>
      <c r="L2619">
        <v>37.5</v>
      </c>
      <c r="M2619">
        <v>254</v>
      </c>
      <c r="N2619">
        <v>41</v>
      </c>
      <c r="O2619">
        <v>9</v>
      </c>
    </row>
    <row r="2620" spans="1:16" x14ac:dyDescent="0.25">
      <c r="A2620" s="4">
        <v>44363</v>
      </c>
      <c r="B2620" t="s">
        <v>10</v>
      </c>
      <c r="C2620" t="s">
        <v>78</v>
      </c>
      <c r="F2620">
        <v>411</v>
      </c>
      <c r="J2620">
        <v>1.2809999999999999</v>
      </c>
      <c r="K2620">
        <v>45.7</v>
      </c>
      <c r="L2620">
        <v>35.6</v>
      </c>
      <c r="M2620">
        <v>247</v>
      </c>
      <c r="N2620">
        <v>47</v>
      </c>
      <c r="O2620">
        <v>18</v>
      </c>
    </row>
    <row r="2621" spans="1:16" x14ac:dyDescent="0.25">
      <c r="A2621" s="4">
        <v>44363</v>
      </c>
      <c r="B2621" t="s">
        <v>9</v>
      </c>
      <c r="C2621" t="s">
        <v>78</v>
      </c>
      <c r="F2621">
        <v>372</v>
      </c>
      <c r="J2621">
        <v>1.1020000000000001</v>
      </c>
      <c r="K2621">
        <v>41.3</v>
      </c>
      <c r="L2621">
        <v>37.5</v>
      </c>
      <c r="M2621">
        <v>254</v>
      </c>
      <c r="N2621">
        <v>41</v>
      </c>
      <c r="O2621">
        <v>9</v>
      </c>
    </row>
    <row r="2622" spans="1:16" x14ac:dyDescent="0.25">
      <c r="A2622" s="4">
        <v>44364</v>
      </c>
      <c r="B2622" t="s">
        <v>10</v>
      </c>
      <c r="C2622">
        <v>1</v>
      </c>
      <c r="F2622">
        <v>341</v>
      </c>
      <c r="J2622">
        <v>1.208</v>
      </c>
      <c r="K2622">
        <v>42.6</v>
      </c>
      <c r="L2622">
        <v>35.299999999999997</v>
      </c>
      <c r="M2622">
        <v>209</v>
      </c>
      <c r="N2622">
        <v>25</v>
      </c>
      <c r="O2622">
        <v>15</v>
      </c>
      <c r="P2622">
        <v>2</v>
      </c>
    </row>
    <row r="2623" spans="1:16" x14ac:dyDescent="0.25">
      <c r="A2623" s="4">
        <v>44364</v>
      </c>
      <c r="B2623" t="s">
        <v>9</v>
      </c>
      <c r="C2623">
        <v>1</v>
      </c>
      <c r="F2623">
        <v>303</v>
      </c>
      <c r="J2623">
        <v>1.0760000000000001</v>
      </c>
      <c r="K2623">
        <v>40.4</v>
      </c>
      <c r="L2623">
        <v>37.5</v>
      </c>
      <c r="M2623">
        <v>207</v>
      </c>
      <c r="N2623">
        <v>23</v>
      </c>
      <c r="O2623">
        <v>9</v>
      </c>
      <c r="P2623">
        <v>2</v>
      </c>
    </row>
    <row r="2624" spans="1:16" x14ac:dyDescent="0.25">
      <c r="A2624" s="4">
        <v>44364</v>
      </c>
      <c r="B2624" t="s">
        <v>10</v>
      </c>
      <c r="C2624" t="s">
        <v>78</v>
      </c>
      <c r="F2624">
        <v>341</v>
      </c>
      <c r="J2624">
        <v>1.208</v>
      </c>
      <c r="K2624">
        <v>42.6</v>
      </c>
      <c r="L2624">
        <v>35.299999999999997</v>
      </c>
      <c r="M2624">
        <v>209</v>
      </c>
      <c r="N2624">
        <v>25</v>
      </c>
      <c r="O2624">
        <v>15</v>
      </c>
      <c r="P2624">
        <v>2</v>
      </c>
    </row>
    <row r="2625" spans="1:16" x14ac:dyDescent="0.25">
      <c r="A2625" s="4">
        <v>44364</v>
      </c>
      <c r="B2625" t="s">
        <v>9</v>
      </c>
      <c r="C2625" t="s">
        <v>78</v>
      </c>
      <c r="F2625">
        <v>303</v>
      </c>
      <c r="J2625">
        <v>1.0760000000000001</v>
      </c>
      <c r="K2625">
        <v>40.4</v>
      </c>
      <c r="L2625">
        <v>37.5</v>
      </c>
      <c r="M2625">
        <v>207</v>
      </c>
      <c r="N2625">
        <v>23</v>
      </c>
      <c r="O2625">
        <v>9</v>
      </c>
      <c r="P2625">
        <v>2</v>
      </c>
    </row>
    <row r="2626" spans="1:16" x14ac:dyDescent="0.25">
      <c r="A2626" s="4">
        <v>44365</v>
      </c>
      <c r="B2626" t="s">
        <v>10</v>
      </c>
      <c r="C2626">
        <v>1</v>
      </c>
      <c r="F2626">
        <v>370</v>
      </c>
      <c r="J2626">
        <v>1.2170000000000001</v>
      </c>
      <c r="K2626">
        <v>41.1</v>
      </c>
      <c r="L2626">
        <v>33.799999999999997</v>
      </c>
      <c r="M2626">
        <v>239</v>
      </c>
      <c r="N2626">
        <v>43</v>
      </c>
      <c r="O2626">
        <v>9</v>
      </c>
      <c r="P2626">
        <v>1</v>
      </c>
    </row>
    <row r="2627" spans="1:16" x14ac:dyDescent="0.25">
      <c r="A2627" s="4">
        <v>44365</v>
      </c>
      <c r="B2627" t="s">
        <v>9</v>
      </c>
      <c r="C2627">
        <v>1</v>
      </c>
      <c r="F2627">
        <v>312</v>
      </c>
      <c r="J2627">
        <v>1.218</v>
      </c>
      <c r="K2627">
        <v>44.6</v>
      </c>
      <c r="L2627">
        <v>36.6</v>
      </c>
      <c r="M2627">
        <v>223</v>
      </c>
      <c r="N2627">
        <v>30</v>
      </c>
      <c r="O2627">
        <v>5</v>
      </c>
      <c r="P2627">
        <v>1</v>
      </c>
    </row>
    <row r="2628" spans="1:16" x14ac:dyDescent="0.25">
      <c r="A2628" s="4">
        <v>44365</v>
      </c>
      <c r="B2628" t="s">
        <v>10</v>
      </c>
      <c r="C2628" t="s">
        <v>78</v>
      </c>
      <c r="F2628">
        <v>370</v>
      </c>
      <c r="J2628">
        <v>1.2170000000000001</v>
      </c>
      <c r="K2628">
        <v>41.1</v>
      </c>
      <c r="L2628">
        <v>33.799999999999997</v>
      </c>
      <c r="M2628">
        <v>239</v>
      </c>
      <c r="N2628">
        <v>43</v>
      </c>
      <c r="O2628">
        <v>9</v>
      </c>
      <c r="P2628">
        <v>1</v>
      </c>
    </row>
    <row r="2629" spans="1:16" x14ac:dyDescent="0.25">
      <c r="A2629" s="4">
        <v>44365</v>
      </c>
      <c r="B2629" t="s">
        <v>9</v>
      </c>
      <c r="C2629" t="s">
        <v>78</v>
      </c>
      <c r="F2629">
        <v>312</v>
      </c>
      <c r="J2629">
        <v>1.218</v>
      </c>
      <c r="K2629">
        <v>44.6</v>
      </c>
      <c r="L2629">
        <v>36.6</v>
      </c>
      <c r="M2629">
        <v>223</v>
      </c>
      <c r="N2629">
        <v>30</v>
      </c>
      <c r="O2629">
        <v>5</v>
      </c>
      <c r="P2629">
        <v>1</v>
      </c>
    </row>
    <row r="2630" spans="1:16" x14ac:dyDescent="0.25">
      <c r="A2630" s="4">
        <v>44368</v>
      </c>
      <c r="B2630" t="s">
        <v>10</v>
      </c>
      <c r="C2630">
        <v>1</v>
      </c>
      <c r="F2630">
        <v>371</v>
      </c>
      <c r="J2630">
        <v>1.2589999999999999</v>
      </c>
      <c r="K2630">
        <v>46.4</v>
      </c>
      <c r="L2630">
        <v>36.9</v>
      </c>
      <c r="M2630">
        <v>187</v>
      </c>
      <c r="N2630">
        <v>47</v>
      </c>
      <c r="O2630">
        <v>19</v>
      </c>
      <c r="P2630">
        <v>3</v>
      </c>
    </row>
    <row r="2631" spans="1:16" x14ac:dyDescent="0.25">
      <c r="A2631" s="4">
        <v>44368</v>
      </c>
      <c r="B2631" t="s">
        <v>9</v>
      </c>
      <c r="C2631">
        <v>1</v>
      </c>
      <c r="F2631">
        <v>325</v>
      </c>
      <c r="J2631">
        <v>1.1930000000000001</v>
      </c>
      <c r="K2631">
        <v>46.4</v>
      </c>
      <c r="L2631">
        <v>38.9</v>
      </c>
      <c r="M2631">
        <v>192</v>
      </c>
      <c r="N2631">
        <v>37</v>
      </c>
      <c r="O2631">
        <v>13</v>
      </c>
      <c r="P2631">
        <v>1</v>
      </c>
    </row>
    <row r="2632" spans="1:16" x14ac:dyDescent="0.25">
      <c r="A2632" s="4">
        <v>44368</v>
      </c>
      <c r="B2632" t="s">
        <v>10</v>
      </c>
      <c r="C2632" t="s">
        <v>78</v>
      </c>
      <c r="F2632">
        <v>371</v>
      </c>
      <c r="J2632">
        <v>1.2589999999999999</v>
      </c>
      <c r="K2632">
        <v>46.4</v>
      </c>
      <c r="L2632">
        <v>36.9</v>
      </c>
      <c r="M2632">
        <v>187</v>
      </c>
      <c r="N2632">
        <v>47</v>
      </c>
      <c r="O2632">
        <v>19</v>
      </c>
      <c r="P2632">
        <v>3</v>
      </c>
    </row>
    <row r="2633" spans="1:16" x14ac:dyDescent="0.25">
      <c r="A2633" s="4">
        <v>44368</v>
      </c>
      <c r="B2633" t="s">
        <v>9</v>
      </c>
      <c r="C2633" t="s">
        <v>78</v>
      </c>
      <c r="F2633">
        <v>325</v>
      </c>
      <c r="J2633">
        <v>1.1930000000000001</v>
      </c>
      <c r="K2633">
        <v>46.4</v>
      </c>
      <c r="L2633">
        <v>38.9</v>
      </c>
      <c r="M2633">
        <v>192</v>
      </c>
      <c r="N2633">
        <v>37</v>
      </c>
      <c r="O2633">
        <v>13</v>
      </c>
      <c r="P2633">
        <v>1</v>
      </c>
    </row>
    <row r="2634" spans="1:16" x14ac:dyDescent="0.25">
      <c r="A2634" s="4">
        <v>44369</v>
      </c>
      <c r="B2634" t="s">
        <v>10</v>
      </c>
      <c r="C2634">
        <v>1</v>
      </c>
      <c r="F2634">
        <v>382</v>
      </c>
      <c r="J2634">
        <v>1.2929999999999999</v>
      </c>
      <c r="K2634">
        <v>43.9</v>
      </c>
      <c r="L2634">
        <v>34</v>
      </c>
      <c r="M2634">
        <v>238</v>
      </c>
      <c r="N2634">
        <v>36</v>
      </c>
      <c r="O2634">
        <v>11</v>
      </c>
      <c r="P2634">
        <v>4</v>
      </c>
    </row>
    <row r="2635" spans="1:16" x14ac:dyDescent="0.25">
      <c r="A2635" s="4">
        <v>44369</v>
      </c>
      <c r="B2635" t="s">
        <v>9</v>
      </c>
      <c r="C2635">
        <v>1</v>
      </c>
      <c r="F2635">
        <v>339</v>
      </c>
      <c r="J2635">
        <v>1.0780000000000001</v>
      </c>
      <c r="K2635">
        <v>42.4</v>
      </c>
      <c r="L2635">
        <v>39.299999999999997</v>
      </c>
      <c r="M2635">
        <v>218</v>
      </c>
      <c r="N2635">
        <v>22</v>
      </c>
      <c r="O2635">
        <v>11</v>
      </c>
      <c r="P2635">
        <v>4</v>
      </c>
    </row>
    <row r="2636" spans="1:16" x14ac:dyDescent="0.25">
      <c r="A2636" s="4">
        <v>44369</v>
      </c>
      <c r="B2636" t="s">
        <v>10</v>
      </c>
      <c r="C2636" t="s">
        <v>78</v>
      </c>
      <c r="F2636">
        <v>382</v>
      </c>
      <c r="J2636">
        <v>1.2929999999999999</v>
      </c>
      <c r="K2636">
        <v>43.9</v>
      </c>
      <c r="L2636">
        <v>34</v>
      </c>
      <c r="M2636">
        <v>238</v>
      </c>
      <c r="N2636">
        <v>36</v>
      </c>
      <c r="O2636">
        <v>11</v>
      </c>
      <c r="P2636">
        <v>4</v>
      </c>
    </row>
    <row r="2637" spans="1:16" x14ac:dyDescent="0.25">
      <c r="A2637" s="4">
        <v>44369</v>
      </c>
      <c r="B2637" t="s">
        <v>9</v>
      </c>
      <c r="C2637" t="s">
        <v>78</v>
      </c>
      <c r="F2637">
        <v>339</v>
      </c>
      <c r="J2637">
        <v>1.0780000000000001</v>
      </c>
      <c r="K2637">
        <v>42.4</v>
      </c>
      <c r="L2637">
        <v>39.299999999999997</v>
      </c>
      <c r="M2637">
        <v>218</v>
      </c>
      <c r="N2637">
        <v>22</v>
      </c>
      <c r="O2637">
        <v>11</v>
      </c>
      <c r="P2637">
        <v>4</v>
      </c>
    </row>
    <row r="2638" spans="1:16" x14ac:dyDescent="0.25">
      <c r="A2638" s="4">
        <v>44370</v>
      </c>
      <c r="B2638" t="s">
        <v>10</v>
      </c>
      <c r="C2638">
        <v>1</v>
      </c>
      <c r="F2638">
        <v>393</v>
      </c>
      <c r="J2638">
        <v>1.1739999999999999</v>
      </c>
      <c r="K2638">
        <v>43.7</v>
      </c>
      <c r="L2638">
        <v>37.200000000000003</v>
      </c>
      <c r="M2638">
        <v>196</v>
      </c>
      <c r="N2638">
        <v>41</v>
      </c>
      <c r="O2638">
        <v>27</v>
      </c>
      <c r="P2638">
        <v>2</v>
      </c>
    </row>
    <row r="2639" spans="1:16" x14ac:dyDescent="0.25">
      <c r="A2639" s="4">
        <v>44370</v>
      </c>
      <c r="B2639" t="s">
        <v>9</v>
      </c>
      <c r="C2639">
        <v>1</v>
      </c>
      <c r="F2639">
        <v>399</v>
      </c>
      <c r="J2639">
        <v>1.1020000000000001</v>
      </c>
      <c r="K2639">
        <v>44.3</v>
      </c>
      <c r="L2639">
        <v>40.200000000000003</v>
      </c>
      <c r="M2639">
        <v>224</v>
      </c>
      <c r="N2639">
        <v>33</v>
      </c>
      <c r="O2639">
        <v>20</v>
      </c>
      <c r="P2639">
        <v>4</v>
      </c>
    </row>
    <row r="2640" spans="1:16" x14ac:dyDescent="0.25">
      <c r="A2640" s="4">
        <v>44370</v>
      </c>
      <c r="B2640" t="s">
        <v>10</v>
      </c>
      <c r="C2640" t="s">
        <v>78</v>
      </c>
      <c r="F2640">
        <v>393</v>
      </c>
      <c r="J2640">
        <v>1.1739999999999999</v>
      </c>
      <c r="K2640">
        <v>43.7</v>
      </c>
      <c r="L2640">
        <v>37.200000000000003</v>
      </c>
      <c r="M2640">
        <v>196</v>
      </c>
      <c r="N2640">
        <v>41</v>
      </c>
      <c r="O2640">
        <v>27</v>
      </c>
      <c r="P2640">
        <v>2</v>
      </c>
    </row>
    <row r="2641" spans="1:16" x14ac:dyDescent="0.25">
      <c r="A2641" s="4">
        <v>44370</v>
      </c>
      <c r="B2641" t="s">
        <v>9</v>
      </c>
      <c r="C2641" t="s">
        <v>78</v>
      </c>
      <c r="F2641">
        <v>399</v>
      </c>
      <c r="J2641">
        <v>1.1020000000000001</v>
      </c>
      <c r="K2641">
        <v>44.3</v>
      </c>
      <c r="L2641">
        <v>40.200000000000003</v>
      </c>
      <c r="M2641">
        <v>224</v>
      </c>
      <c r="N2641">
        <v>33</v>
      </c>
      <c r="O2641">
        <v>20</v>
      </c>
      <c r="P2641">
        <v>4</v>
      </c>
    </row>
    <row r="2642" spans="1:16" x14ac:dyDescent="0.25">
      <c r="A2642" s="4">
        <v>44371</v>
      </c>
      <c r="B2642" t="s">
        <v>10</v>
      </c>
      <c r="C2642">
        <v>1</v>
      </c>
      <c r="F2642">
        <v>351</v>
      </c>
      <c r="J2642">
        <v>1.2270000000000001</v>
      </c>
      <c r="K2642">
        <v>43.9</v>
      </c>
      <c r="L2642">
        <v>35.799999999999997</v>
      </c>
      <c r="M2642">
        <v>193</v>
      </c>
      <c r="N2642">
        <v>53</v>
      </c>
      <c r="O2642">
        <v>11</v>
      </c>
      <c r="P2642">
        <v>2</v>
      </c>
    </row>
    <row r="2643" spans="1:16" x14ac:dyDescent="0.25">
      <c r="A2643" s="4">
        <v>44371</v>
      </c>
      <c r="B2643" t="s">
        <v>9</v>
      </c>
      <c r="C2643">
        <v>1</v>
      </c>
      <c r="F2643">
        <v>370</v>
      </c>
      <c r="J2643">
        <v>1.2230000000000001</v>
      </c>
      <c r="K2643">
        <v>46.3</v>
      </c>
      <c r="L2643">
        <v>37.799999999999997</v>
      </c>
      <c r="M2643">
        <v>238</v>
      </c>
      <c r="N2643">
        <v>39</v>
      </c>
      <c r="O2643">
        <v>13</v>
      </c>
      <c r="P2643">
        <v>1</v>
      </c>
    </row>
    <row r="2644" spans="1:16" x14ac:dyDescent="0.25">
      <c r="A2644" s="4">
        <v>44371</v>
      </c>
      <c r="B2644" t="s">
        <v>10</v>
      </c>
      <c r="C2644" t="s">
        <v>78</v>
      </c>
      <c r="F2644">
        <v>351</v>
      </c>
      <c r="J2644">
        <v>1.2270000000000001</v>
      </c>
      <c r="K2644">
        <v>43.9</v>
      </c>
      <c r="L2644">
        <v>35.799999999999997</v>
      </c>
      <c r="M2644">
        <v>193</v>
      </c>
      <c r="N2644">
        <v>53</v>
      </c>
      <c r="O2644">
        <v>11</v>
      </c>
      <c r="P2644">
        <v>2</v>
      </c>
    </row>
    <row r="2645" spans="1:16" x14ac:dyDescent="0.25">
      <c r="A2645" s="4">
        <v>44371</v>
      </c>
      <c r="B2645" t="s">
        <v>9</v>
      </c>
      <c r="C2645" t="s">
        <v>78</v>
      </c>
      <c r="F2645">
        <v>370</v>
      </c>
      <c r="J2645">
        <v>1.2230000000000001</v>
      </c>
      <c r="K2645">
        <v>46.3</v>
      </c>
      <c r="L2645">
        <v>37.799999999999997</v>
      </c>
      <c r="M2645">
        <v>238</v>
      </c>
      <c r="N2645">
        <v>39</v>
      </c>
      <c r="O2645">
        <v>13</v>
      </c>
      <c r="P2645">
        <v>1</v>
      </c>
    </row>
    <row r="2646" spans="1:16" x14ac:dyDescent="0.25">
      <c r="A2646" s="4">
        <v>44372</v>
      </c>
      <c r="B2646" t="s">
        <v>10</v>
      </c>
      <c r="C2646">
        <v>1</v>
      </c>
      <c r="F2646">
        <v>382</v>
      </c>
      <c r="J2646">
        <v>1.2</v>
      </c>
      <c r="K2646">
        <v>42.4</v>
      </c>
      <c r="L2646">
        <v>35.4</v>
      </c>
      <c r="M2646">
        <v>207</v>
      </c>
      <c r="N2646">
        <v>53</v>
      </c>
      <c r="O2646">
        <v>17</v>
      </c>
      <c r="P2646">
        <v>1</v>
      </c>
    </row>
    <row r="2647" spans="1:16" x14ac:dyDescent="0.25">
      <c r="A2647" s="4">
        <v>44372</v>
      </c>
      <c r="B2647" t="s">
        <v>9</v>
      </c>
      <c r="C2647">
        <v>1</v>
      </c>
      <c r="F2647">
        <v>381</v>
      </c>
      <c r="J2647">
        <v>1.1200000000000001</v>
      </c>
      <c r="K2647">
        <v>42.3</v>
      </c>
      <c r="L2647">
        <v>37.799999999999997</v>
      </c>
      <c r="M2647">
        <v>260</v>
      </c>
      <c r="N2647">
        <v>39</v>
      </c>
      <c r="O2647">
        <v>9</v>
      </c>
      <c r="P2647">
        <v>1</v>
      </c>
    </row>
    <row r="2648" spans="1:16" x14ac:dyDescent="0.25">
      <c r="A2648" s="4">
        <v>44372</v>
      </c>
      <c r="B2648" t="s">
        <v>10</v>
      </c>
      <c r="C2648" t="s">
        <v>78</v>
      </c>
      <c r="F2648">
        <v>382</v>
      </c>
      <c r="J2648">
        <v>1.2</v>
      </c>
      <c r="K2648">
        <v>42.4</v>
      </c>
      <c r="L2648">
        <v>35.4</v>
      </c>
      <c r="M2648">
        <v>207</v>
      </c>
      <c r="N2648">
        <v>53</v>
      </c>
      <c r="O2648">
        <v>17</v>
      </c>
      <c r="P2648">
        <v>1</v>
      </c>
    </row>
    <row r="2649" spans="1:16" x14ac:dyDescent="0.25">
      <c r="A2649" s="4">
        <v>44372</v>
      </c>
      <c r="B2649" t="s">
        <v>9</v>
      </c>
      <c r="C2649" t="s">
        <v>78</v>
      </c>
      <c r="F2649">
        <v>381</v>
      </c>
      <c r="J2649">
        <v>1.1200000000000001</v>
      </c>
      <c r="K2649">
        <v>42.3</v>
      </c>
      <c r="L2649">
        <v>37.799999999999997</v>
      </c>
      <c r="M2649">
        <v>260</v>
      </c>
      <c r="N2649">
        <v>39</v>
      </c>
      <c r="O2649">
        <v>9</v>
      </c>
      <c r="P2649">
        <v>1</v>
      </c>
    </row>
    <row r="2650" spans="1:16" x14ac:dyDescent="0.25">
      <c r="A2650" s="4">
        <v>44373</v>
      </c>
      <c r="B2650" t="s">
        <v>10</v>
      </c>
      <c r="C2650">
        <v>1</v>
      </c>
      <c r="F2650">
        <v>250</v>
      </c>
      <c r="J2650">
        <v>1.224</v>
      </c>
      <c r="K2650">
        <v>45.5</v>
      </c>
      <c r="L2650">
        <v>37.1</v>
      </c>
      <c r="M2650">
        <v>157</v>
      </c>
      <c r="N2650">
        <v>22</v>
      </c>
      <c r="O2650">
        <v>13</v>
      </c>
      <c r="P2650">
        <v>1</v>
      </c>
    </row>
    <row r="2651" spans="1:16" x14ac:dyDescent="0.25">
      <c r="A2651" s="4">
        <v>44373</v>
      </c>
      <c r="B2651" t="s">
        <v>9</v>
      </c>
      <c r="C2651">
        <v>1</v>
      </c>
      <c r="F2651">
        <v>203</v>
      </c>
      <c r="J2651">
        <v>0.96</v>
      </c>
      <c r="K2651">
        <v>36.9</v>
      </c>
      <c r="L2651">
        <v>38.5</v>
      </c>
      <c r="M2651">
        <v>145</v>
      </c>
      <c r="N2651">
        <v>12</v>
      </c>
      <c r="O2651">
        <v>7</v>
      </c>
      <c r="P2651">
        <v>1</v>
      </c>
    </row>
    <row r="2652" spans="1:16" x14ac:dyDescent="0.25">
      <c r="A2652" s="4">
        <v>44373</v>
      </c>
      <c r="B2652" t="s">
        <v>10</v>
      </c>
      <c r="C2652" t="s">
        <v>78</v>
      </c>
      <c r="F2652">
        <v>250</v>
      </c>
      <c r="J2652">
        <v>1.224</v>
      </c>
      <c r="K2652">
        <v>45.5</v>
      </c>
      <c r="L2652">
        <v>37.1</v>
      </c>
      <c r="M2652">
        <v>157</v>
      </c>
      <c r="N2652">
        <v>22</v>
      </c>
      <c r="O2652">
        <v>13</v>
      </c>
      <c r="P2652">
        <v>1</v>
      </c>
    </row>
    <row r="2653" spans="1:16" x14ac:dyDescent="0.25">
      <c r="A2653" s="4">
        <v>44373</v>
      </c>
      <c r="B2653" t="s">
        <v>9</v>
      </c>
      <c r="C2653" t="s">
        <v>78</v>
      </c>
      <c r="F2653">
        <v>203</v>
      </c>
      <c r="J2653">
        <v>0.96</v>
      </c>
      <c r="K2653">
        <v>36.9</v>
      </c>
      <c r="L2653">
        <v>38.5</v>
      </c>
      <c r="M2653">
        <v>145</v>
      </c>
      <c r="N2653">
        <v>12</v>
      </c>
      <c r="O2653">
        <v>7</v>
      </c>
      <c r="P2653">
        <v>1</v>
      </c>
    </row>
    <row r="2654" spans="1:16" x14ac:dyDescent="0.25">
      <c r="A2654" s="4">
        <v>44375</v>
      </c>
      <c r="B2654" t="s">
        <v>10</v>
      </c>
      <c r="C2654">
        <v>1</v>
      </c>
      <c r="F2654">
        <v>449</v>
      </c>
      <c r="J2654">
        <v>1.246</v>
      </c>
      <c r="K2654">
        <v>49.9</v>
      </c>
      <c r="L2654">
        <v>40</v>
      </c>
      <c r="M2654">
        <v>144</v>
      </c>
      <c r="N2654">
        <v>71</v>
      </c>
      <c r="O2654">
        <v>31</v>
      </c>
      <c r="P2654">
        <v>7</v>
      </c>
    </row>
    <row r="2655" spans="1:16" x14ac:dyDescent="0.25">
      <c r="A2655" s="4">
        <v>44375</v>
      </c>
      <c r="B2655" t="s">
        <v>9</v>
      </c>
      <c r="C2655">
        <v>1</v>
      </c>
      <c r="F2655">
        <v>321</v>
      </c>
      <c r="J2655">
        <v>1.0189999999999999</v>
      </c>
      <c r="K2655">
        <v>42.8</v>
      </c>
      <c r="L2655">
        <v>42.01</v>
      </c>
      <c r="M2655">
        <v>158</v>
      </c>
      <c r="N2655">
        <v>44</v>
      </c>
      <c r="O2655">
        <v>17</v>
      </c>
      <c r="P2655">
        <v>1</v>
      </c>
    </row>
    <row r="2656" spans="1:16" x14ac:dyDescent="0.25">
      <c r="A2656" s="4">
        <v>44375</v>
      </c>
      <c r="B2656" t="s">
        <v>10</v>
      </c>
      <c r="C2656" t="s">
        <v>78</v>
      </c>
      <c r="F2656">
        <v>449</v>
      </c>
      <c r="J2656">
        <v>1.246</v>
      </c>
      <c r="K2656">
        <v>49.9</v>
      </c>
      <c r="L2656">
        <v>40</v>
      </c>
      <c r="M2656">
        <v>144</v>
      </c>
      <c r="N2656">
        <v>71</v>
      </c>
      <c r="O2656">
        <v>31</v>
      </c>
      <c r="P2656">
        <v>7</v>
      </c>
    </row>
    <row r="2657" spans="1:16" x14ac:dyDescent="0.25">
      <c r="A2657" s="4">
        <v>44375</v>
      </c>
      <c r="B2657" t="s">
        <v>9</v>
      </c>
      <c r="C2657" t="s">
        <v>78</v>
      </c>
      <c r="F2657">
        <v>321</v>
      </c>
      <c r="J2657">
        <v>1.0189999999999999</v>
      </c>
      <c r="K2657">
        <v>42.8</v>
      </c>
      <c r="L2657">
        <v>42.01</v>
      </c>
      <c r="M2657">
        <v>158</v>
      </c>
      <c r="N2657">
        <v>44</v>
      </c>
      <c r="O2657">
        <v>17</v>
      </c>
      <c r="P2657">
        <v>1</v>
      </c>
    </row>
    <row r="2658" spans="1:16" x14ac:dyDescent="0.25">
      <c r="A2658" s="4">
        <v>44376</v>
      </c>
      <c r="B2658" t="s">
        <v>10</v>
      </c>
      <c r="C2658">
        <v>1</v>
      </c>
      <c r="F2658">
        <v>344</v>
      </c>
      <c r="J2658">
        <v>1.208</v>
      </c>
      <c r="K2658">
        <v>40</v>
      </c>
      <c r="L2658">
        <v>33.1</v>
      </c>
      <c r="M2658">
        <v>234</v>
      </c>
      <c r="N2658">
        <v>28</v>
      </c>
      <c r="O2658">
        <v>10</v>
      </c>
      <c r="P2658">
        <v>2</v>
      </c>
    </row>
    <row r="2659" spans="1:16" x14ac:dyDescent="0.25">
      <c r="A2659" s="4">
        <v>44376</v>
      </c>
      <c r="B2659" t="s">
        <v>9</v>
      </c>
      <c r="C2659">
        <v>1</v>
      </c>
      <c r="F2659">
        <v>322</v>
      </c>
      <c r="J2659">
        <v>1.085</v>
      </c>
      <c r="K2659">
        <v>41.8</v>
      </c>
      <c r="L2659">
        <v>38.6</v>
      </c>
      <c r="M2659">
        <v>203</v>
      </c>
      <c r="N2659">
        <v>30</v>
      </c>
      <c r="O2659">
        <v>12</v>
      </c>
      <c r="P2659">
        <v>1</v>
      </c>
    </row>
    <row r="2660" spans="1:16" x14ac:dyDescent="0.25">
      <c r="A2660" s="4">
        <v>44376</v>
      </c>
      <c r="B2660" t="s">
        <v>10</v>
      </c>
      <c r="C2660" t="s">
        <v>78</v>
      </c>
      <c r="F2660">
        <v>344</v>
      </c>
      <c r="J2660">
        <v>1.208</v>
      </c>
      <c r="K2660">
        <v>40</v>
      </c>
      <c r="L2660">
        <v>33.1</v>
      </c>
      <c r="M2660">
        <v>234</v>
      </c>
      <c r="N2660">
        <v>28</v>
      </c>
      <c r="O2660">
        <v>10</v>
      </c>
      <c r="P2660">
        <v>2</v>
      </c>
    </row>
    <row r="2661" spans="1:16" x14ac:dyDescent="0.25">
      <c r="A2661" s="4">
        <v>44376</v>
      </c>
      <c r="B2661" t="s">
        <v>9</v>
      </c>
      <c r="C2661" t="s">
        <v>78</v>
      </c>
      <c r="F2661">
        <v>322</v>
      </c>
      <c r="J2661">
        <v>1.085</v>
      </c>
      <c r="K2661">
        <v>41.8</v>
      </c>
      <c r="L2661">
        <v>38.6</v>
      </c>
      <c r="M2661">
        <v>203</v>
      </c>
      <c r="N2661">
        <v>30</v>
      </c>
      <c r="O2661">
        <v>12</v>
      </c>
      <c r="P2661">
        <v>1</v>
      </c>
    </row>
    <row r="2662" spans="1:16" x14ac:dyDescent="0.25">
      <c r="A2662" s="4">
        <v>44377</v>
      </c>
      <c r="B2662" t="s">
        <v>10</v>
      </c>
      <c r="C2662">
        <v>1</v>
      </c>
      <c r="F2662">
        <v>330</v>
      </c>
      <c r="J2662">
        <v>1.1220000000000001</v>
      </c>
      <c r="K2662">
        <v>38.4</v>
      </c>
      <c r="L2662">
        <v>34.200000000000003</v>
      </c>
      <c r="M2662">
        <v>222</v>
      </c>
      <c r="N2662">
        <v>26</v>
      </c>
      <c r="O2662">
        <v>12</v>
      </c>
      <c r="P2662">
        <v>1</v>
      </c>
    </row>
    <row r="2663" spans="1:16" x14ac:dyDescent="0.25">
      <c r="A2663" s="4">
        <v>44377</v>
      </c>
      <c r="B2663" t="s">
        <v>9</v>
      </c>
      <c r="C2663">
        <v>1</v>
      </c>
      <c r="F2663">
        <v>352</v>
      </c>
      <c r="J2663">
        <v>1.0329999999999999</v>
      </c>
      <c r="K2663">
        <v>40.9</v>
      </c>
      <c r="L2663">
        <v>39.6</v>
      </c>
      <c r="M2663">
        <v>228</v>
      </c>
      <c r="N2663">
        <v>27</v>
      </c>
      <c r="O2663">
        <v>9</v>
      </c>
      <c r="P2663">
        <v>3</v>
      </c>
    </row>
    <row r="2664" spans="1:16" x14ac:dyDescent="0.25">
      <c r="A2664" s="4">
        <v>44377</v>
      </c>
      <c r="B2664" t="s">
        <v>10</v>
      </c>
      <c r="C2664" t="s">
        <v>78</v>
      </c>
      <c r="F2664">
        <v>330</v>
      </c>
      <c r="J2664">
        <v>1.1220000000000001</v>
      </c>
      <c r="K2664">
        <v>38.4</v>
      </c>
      <c r="L2664">
        <v>34.200000000000003</v>
      </c>
      <c r="M2664">
        <v>222</v>
      </c>
      <c r="N2664">
        <v>26</v>
      </c>
      <c r="O2664">
        <v>12</v>
      </c>
      <c r="P2664">
        <v>1</v>
      </c>
    </row>
    <row r="2665" spans="1:16" x14ac:dyDescent="0.25">
      <c r="A2665" s="4">
        <v>44377</v>
      </c>
      <c r="B2665" t="s">
        <v>9</v>
      </c>
      <c r="C2665" t="s">
        <v>78</v>
      </c>
      <c r="F2665">
        <v>352</v>
      </c>
      <c r="J2665">
        <v>1.0329999999999999</v>
      </c>
      <c r="K2665">
        <v>40.9</v>
      </c>
      <c r="L2665">
        <v>39.6</v>
      </c>
      <c r="M2665">
        <v>228</v>
      </c>
      <c r="N2665">
        <v>27</v>
      </c>
      <c r="O2665">
        <v>9</v>
      </c>
      <c r="P2665">
        <v>3</v>
      </c>
    </row>
    <row r="2666" spans="1:16" x14ac:dyDescent="0.25">
      <c r="A2666" s="4">
        <v>44378</v>
      </c>
      <c r="B2666" t="s">
        <v>10</v>
      </c>
      <c r="C2666">
        <v>1</v>
      </c>
      <c r="F2666">
        <v>379</v>
      </c>
      <c r="J2666">
        <v>1.216</v>
      </c>
      <c r="K2666">
        <v>42.1</v>
      </c>
      <c r="L2666">
        <v>34.6</v>
      </c>
      <c r="M2666">
        <v>237</v>
      </c>
      <c r="N2666">
        <v>39</v>
      </c>
      <c r="O2666">
        <v>11</v>
      </c>
      <c r="P2666">
        <v>1</v>
      </c>
    </row>
    <row r="2667" spans="1:16" x14ac:dyDescent="0.25">
      <c r="A2667" s="4">
        <v>44378</v>
      </c>
      <c r="B2667" t="s">
        <v>9</v>
      </c>
      <c r="C2667">
        <v>1</v>
      </c>
      <c r="F2667">
        <v>315</v>
      </c>
      <c r="J2667">
        <v>1.02</v>
      </c>
      <c r="K2667">
        <v>39.4</v>
      </c>
      <c r="L2667">
        <v>38.6</v>
      </c>
      <c r="M2667">
        <v>211</v>
      </c>
      <c r="N2667">
        <v>32</v>
      </c>
      <c r="O2667">
        <v>6</v>
      </c>
      <c r="P2667">
        <v>2</v>
      </c>
    </row>
    <row r="2668" spans="1:16" x14ac:dyDescent="0.25">
      <c r="A2668" s="4">
        <v>44378</v>
      </c>
      <c r="B2668" t="s">
        <v>10</v>
      </c>
      <c r="C2668" t="s">
        <v>78</v>
      </c>
      <c r="F2668">
        <v>379</v>
      </c>
      <c r="J2668">
        <v>1.216</v>
      </c>
      <c r="K2668">
        <v>42.1</v>
      </c>
      <c r="L2668">
        <v>34.6</v>
      </c>
      <c r="M2668">
        <v>237</v>
      </c>
      <c r="N2668">
        <v>39</v>
      </c>
      <c r="O2668">
        <v>11</v>
      </c>
      <c r="P2668">
        <v>1</v>
      </c>
    </row>
    <row r="2669" spans="1:16" x14ac:dyDescent="0.25">
      <c r="A2669" s="4">
        <v>44378</v>
      </c>
      <c r="B2669" t="s">
        <v>9</v>
      </c>
      <c r="C2669" t="s">
        <v>78</v>
      </c>
      <c r="F2669">
        <v>315</v>
      </c>
      <c r="J2669">
        <v>1.02</v>
      </c>
      <c r="K2669">
        <v>39.4</v>
      </c>
      <c r="L2669">
        <v>38.6</v>
      </c>
      <c r="M2669">
        <v>211</v>
      </c>
      <c r="N2669">
        <v>32</v>
      </c>
      <c r="O2669">
        <v>6</v>
      </c>
      <c r="P2669">
        <v>2</v>
      </c>
    </row>
    <row r="2670" spans="1:16" x14ac:dyDescent="0.25">
      <c r="A2670" s="4">
        <v>44379</v>
      </c>
      <c r="B2670" t="s">
        <v>10</v>
      </c>
      <c r="C2670">
        <v>1</v>
      </c>
      <c r="F2670">
        <v>416</v>
      </c>
      <c r="J2670">
        <v>1.286</v>
      </c>
      <c r="K2670">
        <v>46.2</v>
      </c>
      <c r="L2670">
        <v>36</v>
      </c>
      <c r="M2670">
        <v>234</v>
      </c>
      <c r="N2670">
        <v>44</v>
      </c>
      <c r="O2670">
        <v>18</v>
      </c>
      <c r="P2670">
        <v>5</v>
      </c>
    </row>
    <row r="2671" spans="1:16" x14ac:dyDescent="0.25">
      <c r="A2671" s="4">
        <v>44379</v>
      </c>
      <c r="B2671" t="s">
        <v>9</v>
      </c>
      <c r="C2671">
        <v>1</v>
      </c>
      <c r="F2671">
        <v>193</v>
      </c>
      <c r="J2671">
        <v>1.1930000000000001</v>
      </c>
      <c r="K2671">
        <v>44.9</v>
      </c>
      <c r="L2671">
        <v>37.6</v>
      </c>
      <c r="M2671">
        <v>129</v>
      </c>
      <c r="N2671">
        <v>15</v>
      </c>
      <c r="O2671">
        <v>8</v>
      </c>
    </row>
    <row r="2672" spans="1:16" x14ac:dyDescent="0.25">
      <c r="A2672" s="4">
        <v>44379</v>
      </c>
      <c r="B2672" t="s">
        <v>10</v>
      </c>
      <c r="C2672" t="s">
        <v>78</v>
      </c>
      <c r="F2672">
        <v>416</v>
      </c>
      <c r="J2672">
        <v>1.286</v>
      </c>
      <c r="K2672">
        <v>46.2</v>
      </c>
      <c r="L2672">
        <v>36</v>
      </c>
      <c r="M2672">
        <v>234</v>
      </c>
      <c r="N2672">
        <v>44</v>
      </c>
      <c r="O2672">
        <v>18</v>
      </c>
      <c r="P2672">
        <v>5</v>
      </c>
    </row>
    <row r="2673" spans="1:16" x14ac:dyDescent="0.25">
      <c r="A2673" s="4">
        <v>44379</v>
      </c>
      <c r="B2673" t="s">
        <v>9</v>
      </c>
      <c r="C2673" t="s">
        <v>78</v>
      </c>
      <c r="F2673">
        <v>193</v>
      </c>
      <c r="J2673">
        <v>1.1930000000000001</v>
      </c>
      <c r="K2673">
        <v>44.9</v>
      </c>
      <c r="L2673">
        <v>37.6</v>
      </c>
      <c r="M2673">
        <v>129</v>
      </c>
      <c r="N2673">
        <v>15</v>
      </c>
      <c r="O2673">
        <v>8</v>
      </c>
    </row>
    <row r="2674" spans="1:16" x14ac:dyDescent="0.25">
      <c r="A2674" s="4">
        <v>44383</v>
      </c>
      <c r="B2674" t="s">
        <v>10</v>
      </c>
      <c r="C2674">
        <v>1</v>
      </c>
      <c r="F2674">
        <v>336</v>
      </c>
      <c r="J2674">
        <v>1.1259999999999999</v>
      </c>
      <c r="K2674">
        <v>40</v>
      </c>
      <c r="L2674">
        <v>35.5</v>
      </c>
      <c r="M2674">
        <v>190</v>
      </c>
      <c r="N2674">
        <v>40</v>
      </c>
      <c r="O2674">
        <v>16</v>
      </c>
      <c r="P2674">
        <v>2</v>
      </c>
    </row>
    <row r="2675" spans="1:16" x14ac:dyDescent="0.25">
      <c r="A2675" s="4">
        <v>44383</v>
      </c>
      <c r="B2675" t="s">
        <v>9</v>
      </c>
      <c r="C2675">
        <v>1</v>
      </c>
      <c r="F2675">
        <v>337</v>
      </c>
      <c r="J2675">
        <v>1.0980000000000001</v>
      </c>
      <c r="K2675">
        <v>41.1</v>
      </c>
      <c r="L2675">
        <v>37.4</v>
      </c>
      <c r="M2675">
        <v>217</v>
      </c>
      <c r="N2675">
        <v>43</v>
      </c>
      <c r="O2675">
        <v>7</v>
      </c>
    </row>
    <row r="2676" spans="1:16" x14ac:dyDescent="0.25">
      <c r="A2676" s="4">
        <v>44383</v>
      </c>
      <c r="B2676" t="s">
        <v>10</v>
      </c>
      <c r="C2676" t="s">
        <v>78</v>
      </c>
      <c r="F2676">
        <v>336</v>
      </c>
      <c r="J2676">
        <v>1.1259999999999999</v>
      </c>
      <c r="K2676">
        <v>40</v>
      </c>
      <c r="L2676">
        <v>35.5</v>
      </c>
      <c r="M2676">
        <v>190</v>
      </c>
      <c r="N2676">
        <v>40</v>
      </c>
      <c r="O2676">
        <v>16</v>
      </c>
      <c r="P2676">
        <v>2</v>
      </c>
    </row>
    <row r="2677" spans="1:16" x14ac:dyDescent="0.25">
      <c r="A2677" s="4">
        <v>44383</v>
      </c>
      <c r="B2677" t="s">
        <v>9</v>
      </c>
      <c r="C2677" t="s">
        <v>78</v>
      </c>
      <c r="F2677">
        <v>337</v>
      </c>
      <c r="J2677">
        <v>1.0980000000000001</v>
      </c>
      <c r="K2677">
        <v>41.1</v>
      </c>
      <c r="L2677">
        <v>37.4</v>
      </c>
      <c r="M2677">
        <v>217</v>
      </c>
      <c r="N2677">
        <v>43</v>
      </c>
      <c r="O2677">
        <v>7</v>
      </c>
    </row>
    <row r="2678" spans="1:16" x14ac:dyDescent="0.25">
      <c r="A2678" s="4">
        <v>44384</v>
      </c>
      <c r="B2678" t="s">
        <v>10</v>
      </c>
      <c r="C2678">
        <v>1</v>
      </c>
      <c r="F2678">
        <v>367</v>
      </c>
      <c r="J2678">
        <v>1.1479999999999999</v>
      </c>
      <c r="K2678">
        <v>40.799999999999997</v>
      </c>
      <c r="L2678">
        <v>35.5</v>
      </c>
      <c r="M2678">
        <v>216</v>
      </c>
      <c r="N2678">
        <v>50</v>
      </c>
      <c r="O2678">
        <v>11</v>
      </c>
      <c r="P2678">
        <v>1</v>
      </c>
    </row>
    <row r="2679" spans="1:16" x14ac:dyDescent="0.25">
      <c r="A2679" s="4">
        <v>44384</v>
      </c>
      <c r="B2679" t="s">
        <v>9</v>
      </c>
      <c r="C2679">
        <v>1</v>
      </c>
      <c r="F2679">
        <v>401</v>
      </c>
      <c r="J2679">
        <v>1.155</v>
      </c>
      <c r="K2679">
        <v>44.6</v>
      </c>
      <c r="L2679">
        <v>38.6</v>
      </c>
      <c r="M2679">
        <v>246</v>
      </c>
      <c r="N2679">
        <v>46</v>
      </c>
      <c r="O2679">
        <v>11</v>
      </c>
      <c r="P2679">
        <v>2</v>
      </c>
    </row>
    <row r="2680" spans="1:16" x14ac:dyDescent="0.25">
      <c r="A2680" s="4">
        <v>44384</v>
      </c>
      <c r="B2680" t="s">
        <v>10</v>
      </c>
      <c r="C2680" t="s">
        <v>78</v>
      </c>
      <c r="F2680">
        <v>367</v>
      </c>
      <c r="J2680">
        <v>1.1479999999999999</v>
      </c>
      <c r="K2680">
        <v>40.799999999999997</v>
      </c>
      <c r="L2680">
        <v>35.5</v>
      </c>
      <c r="M2680">
        <v>216</v>
      </c>
      <c r="N2680">
        <v>50</v>
      </c>
      <c r="O2680">
        <v>11</v>
      </c>
      <c r="P2680">
        <v>1</v>
      </c>
    </row>
    <row r="2681" spans="1:16" x14ac:dyDescent="0.25">
      <c r="A2681" s="4">
        <v>44384</v>
      </c>
      <c r="B2681" t="s">
        <v>9</v>
      </c>
      <c r="C2681" t="s">
        <v>78</v>
      </c>
      <c r="F2681">
        <v>401</v>
      </c>
      <c r="J2681">
        <v>1.155</v>
      </c>
      <c r="K2681">
        <v>44.6</v>
      </c>
      <c r="L2681">
        <v>38.6</v>
      </c>
      <c r="M2681">
        <v>246</v>
      </c>
      <c r="N2681">
        <v>46</v>
      </c>
      <c r="O2681">
        <v>11</v>
      </c>
      <c r="P2681">
        <v>2</v>
      </c>
    </row>
    <row r="2682" spans="1:16" x14ac:dyDescent="0.25">
      <c r="A2682" s="4">
        <v>44385</v>
      </c>
      <c r="B2682" t="s">
        <v>10</v>
      </c>
      <c r="C2682">
        <v>1</v>
      </c>
      <c r="F2682">
        <v>377</v>
      </c>
      <c r="J2682">
        <v>1.284</v>
      </c>
      <c r="K2682">
        <v>43.8</v>
      </c>
      <c r="L2682">
        <v>34.200000000000003</v>
      </c>
      <c r="M2682">
        <v>248</v>
      </c>
      <c r="N2682">
        <v>38</v>
      </c>
      <c r="O2682">
        <v>9</v>
      </c>
      <c r="P2682">
        <v>2</v>
      </c>
    </row>
    <row r="2683" spans="1:16" x14ac:dyDescent="0.25">
      <c r="A2683" s="4">
        <v>44385</v>
      </c>
      <c r="B2683" t="s">
        <v>9</v>
      </c>
      <c r="C2683">
        <v>1</v>
      </c>
      <c r="F2683">
        <v>398</v>
      </c>
      <c r="J2683">
        <v>1.2110000000000001</v>
      </c>
      <c r="K2683">
        <v>46.8</v>
      </c>
      <c r="L2683">
        <v>38.700000000000003</v>
      </c>
      <c r="M2683">
        <v>243</v>
      </c>
      <c r="N2683">
        <v>45</v>
      </c>
      <c r="O2683">
        <v>10</v>
      </c>
      <c r="P2683">
        <v>3</v>
      </c>
    </row>
    <row r="2684" spans="1:16" x14ac:dyDescent="0.25">
      <c r="A2684" s="4">
        <v>44385</v>
      </c>
      <c r="B2684" t="s">
        <v>10</v>
      </c>
      <c r="C2684" t="s">
        <v>78</v>
      </c>
      <c r="F2684">
        <v>377</v>
      </c>
      <c r="J2684">
        <v>1.284</v>
      </c>
      <c r="K2684">
        <v>43.8</v>
      </c>
      <c r="L2684">
        <v>34.200000000000003</v>
      </c>
      <c r="M2684">
        <v>248</v>
      </c>
      <c r="N2684">
        <v>38</v>
      </c>
      <c r="O2684">
        <v>9</v>
      </c>
      <c r="P2684">
        <v>2</v>
      </c>
    </row>
    <row r="2685" spans="1:16" x14ac:dyDescent="0.25">
      <c r="A2685" s="4">
        <v>44385</v>
      </c>
      <c r="B2685" t="s">
        <v>9</v>
      </c>
      <c r="C2685" t="s">
        <v>78</v>
      </c>
      <c r="F2685">
        <v>398</v>
      </c>
      <c r="J2685">
        <v>1.2110000000000001</v>
      </c>
      <c r="K2685">
        <v>46.8</v>
      </c>
      <c r="L2685">
        <v>38.700000000000003</v>
      </c>
      <c r="M2685">
        <v>243</v>
      </c>
      <c r="N2685">
        <v>45</v>
      </c>
      <c r="O2685">
        <v>10</v>
      </c>
      <c r="P2685">
        <v>3</v>
      </c>
    </row>
    <row r="2686" spans="1:16" x14ac:dyDescent="0.25">
      <c r="A2686" s="4">
        <v>44386</v>
      </c>
      <c r="B2686" t="s">
        <v>10</v>
      </c>
      <c r="C2686">
        <v>1</v>
      </c>
      <c r="F2686">
        <v>376</v>
      </c>
      <c r="J2686">
        <v>1.268</v>
      </c>
      <c r="K2686">
        <v>44.2</v>
      </c>
      <c r="L2686">
        <v>34.9</v>
      </c>
      <c r="M2686">
        <v>238</v>
      </c>
      <c r="N2686">
        <v>37</v>
      </c>
      <c r="O2686">
        <v>13</v>
      </c>
      <c r="P2686">
        <v>2</v>
      </c>
    </row>
    <row r="2687" spans="1:16" x14ac:dyDescent="0.25">
      <c r="A2687" s="4">
        <v>44386</v>
      </c>
      <c r="B2687" t="s">
        <v>9</v>
      </c>
      <c r="C2687">
        <v>1</v>
      </c>
      <c r="F2687">
        <v>320</v>
      </c>
      <c r="J2687">
        <v>1.075</v>
      </c>
      <c r="K2687">
        <v>40</v>
      </c>
      <c r="L2687">
        <v>37.200000000000003</v>
      </c>
      <c r="M2687">
        <v>228</v>
      </c>
      <c r="N2687">
        <v>29</v>
      </c>
      <c r="O2687">
        <v>7</v>
      </c>
    </row>
    <row r="2688" spans="1:16" x14ac:dyDescent="0.25">
      <c r="A2688" s="4">
        <v>44386</v>
      </c>
      <c r="B2688" t="s">
        <v>10</v>
      </c>
      <c r="C2688" t="s">
        <v>78</v>
      </c>
      <c r="F2688">
        <v>376</v>
      </c>
      <c r="J2688">
        <v>1.268</v>
      </c>
      <c r="K2688">
        <v>44.2</v>
      </c>
      <c r="L2688">
        <v>34.9</v>
      </c>
      <c r="M2688">
        <v>238</v>
      </c>
      <c r="N2688">
        <v>37</v>
      </c>
      <c r="O2688">
        <v>13</v>
      </c>
      <c r="P2688">
        <v>2</v>
      </c>
    </row>
    <row r="2689" spans="1:16" x14ac:dyDescent="0.25">
      <c r="A2689" s="4">
        <v>44386</v>
      </c>
      <c r="B2689" t="s">
        <v>9</v>
      </c>
      <c r="C2689" t="s">
        <v>78</v>
      </c>
      <c r="F2689">
        <v>320</v>
      </c>
      <c r="J2689">
        <v>1.075</v>
      </c>
      <c r="K2689">
        <v>40</v>
      </c>
      <c r="L2689">
        <v>37.200000000000003</v>
      </c>
      <c r="M2689">
        <v>228</v>
      </c>
      <c r="N2689">
        <v>29</v>
      </c>
      <c r="O2689">
        <v>7</v>
      </c>
    </row>
    <row r="2690" spans="1:16" x14ac:dyDescent="0.25">
      <c r="A2690" s="4">
        <v>44387</v>
      </c>
      <c r="B2690" t="s">
        <v>10</v>
      </c>
      <c r="C2690">
        <v>1</v>
      </c>
      <c r="F2690">
        <v>227</v>
      </c>
      <c r="J2690">
        <v>1.1659999999999999</v>
      </c>
      <c r="K2690">
        <v>40.5</v>
      </c>
      <c r="L2690">
        <v>34.799999999999997</v>
      </c>
      <c r="M2690">
        <v>167</v>
      </c>
      <c r="N2690">
        <v>28</v>
      </c>
      <c r="O2690">
        <v>1</v>
      </c>
    </row>
    <row r="2691" spans="1:16" x14ac:dyDescent="0.25">
      <c r="A2691" s="4">
        <v>44387</v>
      </c>
      <c r="B2691" t="s">
        <v>9</v>
      </c>
      <c r="C2691">
        <v>1</v>
      </c>
      <c r="F2691">
        <v>222</v>
      </c>
      <c r="J2691">
        <v>1.008</v>
      </c>
      <c r="K2691">
        <v>39.6</v>
      </c>
      <c r="L2691">
        <v>39.299999999999997</v>
      </c>
      <c r="M2691">
        <v>150</v>
      </c>
      <c r="N2691">
        <v>28</v>
      </c>
      <c r="O2691">
        <v>2</v>
      </c>
      <c r="P2691">
        <v>1</v>
      </c>
    </row>
    <row r="2692" spans="1:16" x14ac:dyDescent="0.25">
      <c r="A2692" s="4">
        <v>44387</v>
      </c>
      <c r="B2692" t="s">
        <v>10</v>
      </c>
      <c r="C2692" t="s">
        <v>78</v>
      </c>
      <c r="F2692">
        <v>227</v>
      </c>
      <c r="J2692">
        <v>1.1659999999999999</v>
      </c>
      <c r="K2692">
        <v>40.5</v>
      </c>
      <c r="L2692">
        <v>34.799999999999997</v>
      </c>
      <c r="M2692">
        <v>167</v>
      </c>
      <c r="N2692">
        <v>28</v>
      </c>
      <c r="O2692">
        <v>1</v>
      </c>
    </row>
    <row r="2693" spans="1:16" x14ac:dyDescent="0.25">
      <c r="A2693" s="4">
        <v>44387</v>
      </c>
      <c r="B2693" t="s">
        <v>9</v>
      </c>
      <c r="C2693" t="s">
        <v>78</v>
      </c>
      <c r="F2693">
        <v>222</v>
      </c>
      <c r="J2693">
        <v>1.008</v>
      </c>
      <c r="K2693">
        <v>39.6</v>
      </c>
      <c r="L2693">
        <v>39.299999999999997</v>
      </c>
      <c r="M2693">
        <v>150</v>
      </c>
      <c r="N2693">
        <v>28</v>
      </c>
      <c r="O2693">
        <v>2</v>
      </c>
      <c r="P2693">
        <v>1</v>
      </c>
    </row>
    <row r="2694" spans="1:16" x14ac:dyDescent="0.25">
      <c r="A2694" s="4">
        <v>44389</v>
      </c>
      <c r="B2694" t="s">
        <v>10</v>
      </c>
      <c r="C2694">
        <v>1</v>
      </c>
      <c r="F2694">
        <v>413</v>
      </c>
      <c r="J2694">
        <v>1.32</v>
      </c>
      <c r="K2694">
        <v>45.9</v>
      </c>
      <c r="L2694">
        <v>34.799999999999997</v>
      </c>
      <c r="M2694">
        <v>209</v>
      </c>
      <c r="N2694">
        <v>66</v>
      </c>
      <c r="O2694">
        <v>18</v>
      </c>
      <c r="P2694">
        <v>1</v>
      </c>
    </row>
    <row r="2695" spans="1:16" x14ac:dyDescent="0.25">
      <c r="A2695" s="4">
        <v>44389</v>
      </c>
      <c r="B2695" t="s">
        <v>9</v>
      </c>
      <c r="C2695">
        <v>1</v>
      </c>
      <c r="F2695">
        <v>383</v>
      </c>
      <c r="J2695">
        <v>1.1519999999999999</v>
      </c>
      <c r="K2695">
        <v>44</v>
      </c>
      <c r="L2695">
        <v>38.200000000000003</v>
      </c>
      <c r="M2695">
        <v>252</v>
      </c>
      <c r="N2695">
        <v>38</v>
      </c>
      <c r="O2695">
        <v>12</v>
      </c>
      <c r="P2695">
        <v>1</v>
      </c>
    </row>
    <row r="2696" spans="1:16" x14ac:dyDescent="0.25">
      <c r="A2696" s="4">
        <v>44389</v>
      </c>
      <c r="B2696" t="s">
        <v>10</v>
      </c>
      <c r="C2696" t="s">
        <v>78</v>
      </c>
      <c r="F2696">
        <v>413</v>
      </c>
      <c r="J2696">
        <v>1.32</v>
      </c>
      <c r="K2696">
        <v>45.9</v>
      </c>
      <c r="L2696">
        <v>34.799999999999997</v>
      </c>
      <c r="M2696">
        <v>209</v>
      </c>
      <c r="N2696">
        <v>66</v>
      </c>
      <c r="O2696">
        <v>18</v>
      </c>
      <c r="P2696">
        <v>1</v>
      </c>
    </row>
    <row r="2697" spans="1:16" x14ac:dyDescent="0.25">
      <c r="A2697" s="4">
        <v>44389</v>
      </c>
      <c r="B2697" t="s">
        <v>9</v>
      </c>
      <c r="C2697" t="s">
        <v>78</v>
      </c>
      <c r="F2697">
        <v>383</v>
      </c>
      <c r="J2697">
        <v>1.1519999999999999</v>
      </c>
      <c r="K2697">
        <v>44</v>
      </c>
      <c r="L2697">
        <v>38.200000000000003</v>
      </c>
      <c r="M2697">
        <v>252</v>
      </c>
      <c r="N2697">
        <v>38</v>
      </c>
      <c r="O2697">
        <v>12</v>
      </c>
      <c r="P2697">
        <v>1</v>
      </c>
    </row>
    <row r="2698" spans="1:16" x14ac:dyDescent="0.25">
      <c r="A2698" s="4">
        <v>44390</v>
      </c>
      <c r="B2698" t="s">
        <v>10</v>
      </c>
      <c r="C2698">
        <v>1</v>
      </c>
      <c r="F2698">
        <v>392</v>
      </c>
      <c r="J2698">
        <v>1.236</v>
      </c>
      <c r="K2698">
        <v>43.6</v>
      </c>
      <c r="L2698">
        <v>35.200000000000003</v>
      </c>
      <c r="M2698">
        <v>200</v>
      </c>
      <c r="N2698">
        <v>61</v>
      </c>
      <c r="O2698">
        <v>17</v>
      </c>
      <c r="P2698">
        <v>1</v>
      </c>
    </row>
    <row r="2699" spans="1:16" x14ac:dyDescent="0.25">
      <c r="A2699" s="4">
        <v>44390</v>
      </c>
      <c r="B2699" t="s">
        <v>9</v>
      </c>
      <c r="C2699">
        <v>1</v>
      </c>
      <c r="F2699">
        <v>405</v>
      </c>
      <c r="J2699">
        <v>1.1459999999999999</v>
      </c>
      <c r="K2699">
        <v>45</v>
      </c>
      <c r="L2699">
        <v>39.299999999999997</v>
      </c>
      <c r="M2699">
        <v>236</v>
      </c>
      <c r="N2699">
        <v>54</v>
      </c>
      <c r="O2699">
        <v>12</v>
      </c>
    </row>
    <row r="2700" spans="1:16" x14ac:dyDescent="0.25">
      <c r="A2700" s="4">
        <v>44390</v>
      </c>
      <c r="B2700" t="s">
        <v>10</v>
      </c>
      <c r="C2700" t="s">
        <v>78</v>
      </c>
      <c r="F2700">
        <v>392</v>
      </c>
      <c r="J2700">
        <v>1.236</v>
      </c>
      <c r="K2700">
        <v>43.6</v>
      </c>
      <c r="L2700">
        <v>35.200000000000003</v>
      </c>
      <c r="M2700">
        <v>200</v>
      </c>
      <c r="N2700">
        <v>61</v>
      </c>
      <c r="O2700">
        <v>17</v>
      </c>
      <c r="P2700">
        <v>1</v>
      </c>
    </row>
    <row r="2701" spans="1:16" x14ac:dyDescent="0.25">
      <c r="A2701" s="4">
        <v>44390</v>
      </c>
      <c r="B2701" t="s">
        <v>9</v>
      </c>
      <c r="C2701" t="s">
        <v>78</v>
      </c>
      <c r="F2701">
        <v>405</v>
      </c>
      <c r="J2701">
        <v>1.1459999999999999</v>
      </c>
      <c r="K2701">
        <v>45</v>
      </c>
      <c r="L2701">
        <v>39.299999999999997</v>
      </c>
      <c r="M2701">
        <v>236</v>
      </c>
      <c r="N2701">
        <v>54</v>
      </c>
      <c r="O2701">
        <v>12</v>
      </c>
    </row>
    <row r="2702" spans="1:16" x14ac:dyDescent="0.25">
      <c r="A2702" s="4">
        <v>44391</v>
      </c>
      <c r="B2702" t="s">
        <v>10</v>
      </c>
      <c r="C2702">
        <v>1</v>
      </c>
      <c r="F2702">
        <v>338</v>
      </c>
      <c r="J2702">
        <v>1.204</v>
      </c>
      <c r="K2702">
        <v>39.799999999999997</v>
      </c>
      <c r="L2702">
        <v>33</v>
      </c>
      <c r="M2702">
        <v>225</v>
      </c>
      <c r="N2702">
        <v>40</v>
      </c>
      <c r="O2702">
        <v>8</v>
      </c>
      <c r="P2702">
        <v>1</v>
      </c>
    </row>
    <row r="2703" spans="1:16" x14ac:dyDescent="0.25">
      <c r="A2703" s="4">
        <v>44391</v>
      </c>
      <c r="B2703" t="s">
        <v>9</v>
      </c>
      <c r="C2703">
        <v>1</v>
      </c>
      <c r="F2703">
        <v>370</v>
      </c>
      <c r="J2703">
        <v>1.101</v>
      </c>
      <c r="K2703">
        <v>41.1</v>
      </c>
      <c r="L2703">
        <v>37.299999999999997</v>
      </c>
      <c r="M2703">
        <v>272</v>
      </c>
      <c r="N2703">
        <v>29</v>
      </c>
      <c r="O2703">
        <v>4</v>
      </c>
      <c r="P2703">
        <v>2</v>
      </c>
    </row>
    <row r="2704" spans="1:16" x14ac:dyDescent="0.25">
      <c r="A2704" s="4">
        <v>44391</v>
      </c>
      <c r="B2704" t="s">
        <v>10</v>
      </c>
      <c r="C2704" t="s">
        <v>78</v>
      </c>
      <c r="F2704">
        <v>338</v>
      </c>
      <c r="J2704">
        <v>1.204</v>
      </c>
      <c r="K2704">
        <v>39.799999999999997</v>
      </c>
      <c r="L2704">
        <v>33</v>
      </c>
      <c r="M2704">
        <v>225</v>
      </c>
      <c r="N2704">
        <v>40</v>
      </c>
      <c r="O2704">
        <v>8</v>
      </c>
      <c r="P2704">
        <v>1</v>
      </c>
    </row>
    <row r="2705" spans="1:16" x14ac:dyDescent="0.25">
      <c r="A2705" s="4">
        <v>44391</v>
      </c>
      <c r="B2705" t="s">
        <v>9</v>
      </c>
      <c r="C2705" t="s">
        <v>78</v>
      </c>
      <c r="F2705">
        <v>370</v>
      </c>
      <c r="J2705">
        <v>1.101</v>
      </c>
      <c r="K2705">
        <v>41.1</v>
      </c>
      <c r="L2705">
        <v>37.299999999999997</v>
      </c>
      <c r="M2705">
        <v>272</v>
      </c>
      <c r="N2705">
        <v>29</v>
      </c>
      <c r="O2705">
        <v>4</v>
      </c>
      <c r="P2705">
        <v>2</v>
      </c>
    </row>
    <row r="2706" spans="1:16" x14ac:dyDescent="0.25">
      <c r="A2706" s="4">
        <v>44392</v>
      </c>
      <c r="B2706" t="s">
        <v>10</v>
      </c>
      <c r="C2706">
        <v>1</v>
      </c>
      <c r="F2706">
        <v>325</v>
      </c>
      <c r="J2706">
        <v>1.214</v>
      </c>
      <c r="K2706">
        <v>40.6</v>
      </c>
      <c r="L2706">
        <v>33.5</v>
      </c>
      <c r="M2706">
        <v>211</v>
      </c>
      <c r="N2706">
        <v>47</v>
      </c>
      <c r="O2706">
        <v>4</v>
      </c>
      <c r="P2706">
        <v>1</v>
      </c>
    </row>
    <row r="2707" spans="1:16" x14ac:dyDescent="0.25">
      <c r="A2707" s="4">
        <v>44392</v>
      </c>
      <c r="B2707" t="s">
        <v>9</v>
      </c>
      <c r="C2707">
        <v>1</v>
      </c>
      <c r="F2707">
        <v>371</v>
      </c>
      <c r="J2707">
        <v>1.2450000000000001</v>
      </c>
      <c r="K2707">
        <v>46.4</v>
      </c>
      <c r="L2707">
        <v>37.200000000000003</v>
      </c>
      <c r="M2707">
        <v>255</v>
      </c>
      <c r="N2707">
        <v>34</v>
      </c>
      <c r="O2707">
        <v>7</v>
      </c>
      <c r="P2707">
        <v>2</v>
      </c>
    </row>
    <row r="2708" spans="1:16" x14ac:dyDescent="0.25">
      <c r="A2708" s="4">
        <v>44392</v>
      </c>
      <c r="B2708" t="s">
        <v>10</v>
      </c>
      <c r="C2708" t="s">
        <v>78</v>
      </c>
      <c r="F2708">
        <v>325</v>
      </c>
      <c r="J2708">
        <v>1.214</v>
      </c>
      <c r="K2708">
        <v>40.6</v>
      </c>
      <c r="L2708">
        <v>33.5</v>
      </c>
      <c r="M2708">
        <v>211</v>
      </c>
      <c r="N2708">
        <v>47</v>
      </c>
      <c r="O2708">
        <v>4</v>
      </c>
      <c r="P2708">
        <v>1</v>
      </c>
    </row>
    <row r="2709" spans="1:16" x14ac:dyDescent="0.25">
      <c r="A2709" s="4">
        <v>44392</v>
      </c>
      <c r="B2709" t="s">
        <v>9</v>
      </c>
      <c r="C2709" t="s">
        <v>78</v>
      </c>
      <c r="F2709">
        <v>371</v>
      </c>
      <c r="J2709">
        <v>1.2450000000000001</v>
      </c>
      <c r="K2709">
        <v>46.4</v>
      </c>
      <c r="L2709">
        <v>37.200000000000003</v>
      </c>
      <c r="M2709">
        <v>255</v>
      </c>
      <c r="N2709">
        <v>34</v>
      </c>
      <c r="O2709">
        <v>7</v>
      </c>
      <c r="P2709">
        <v>2</v>
      </c>
    </row>
    <row r="2710" spans="1:16" x14ac:dyDescent="0.25">
      <c r="A2710" s="4">
        <v>44393</v>
      </c>
      <c r="B2710" t="s">
        <v>10</v>
      </c>
      <c r="C2710">
        <v>1</v>
      </c>
      <c r="F2710">
        <v>299</v>
      </c>
      <c r="J2710">
        <v>1.1830000000000001</v>
      </c>
      <c r="K2710">
        <v>41.5</v>
      </c>
      <c r="L2710">
        <v>35.1</v>
      </c>
      <c r="M2710">
        <v>177</v>
      </c>
      <c r="N2710">
        <v>31</v>
      </c>
      <c r="O2710">
        <v>13</v>
      </c>
      <c r="P2710">
        <v>2</v>
      </c>
    </row>
    <row r="2711" spans="1:16" x14ac:dyDescent="0.25">
      <c r="A2711" s="4">
        <v>44393</v>
      </c>
      <c r="B2711" t="s">
        <v>9</v>
      </c>
      <c r="C2711">
        <v>1</v>
      </c>
      <c r="F2711">
        <v>301</v>
      </c>
      <c r="J2711">
        <v>1.0900000000000001</v>
      </c>
      <c r="K2711">
        <v>41.8</v>
      </c>
      <c r="L2711">
        <v>38.4</v>
      </c>
      <c r="M2711">
        <v>202</v>
      </c>
      <c r="N2711">
        <v>22</v>
      </c>
      <c r="O2711">
        <v>8</v>
      </c>
      <c r="P2711">
        <v>3</v>
      </c>
    </row>
    <row r="2712" spans="1:16" x14ac:dyDescent="0.25">
      <c r="A2712" s="4">
        <v>44393</v>
      </c>
      <c r="B2712" t="s">
        <v>10</v>
      </c>
      <c r="C2712" t="s">
        <v>78</v>
      </c>
      <c r="F2712">
        <v>299</v>
      </c>
      <c r="J2712">
        <v>1.1830000000000001</v>
      </c>
      <c r="K2712">
        <v>41.5</v>
      </c>
      <c r="L2712">
        <v>35.1</v>
      </c>
      <c r="M2712">
        <v>177</v>
      </c>
      <c r="N2712">
        <v>31</v>
      </c>
      <c r="O2712">
        <v>13</v>
      </c>
      <c r="P2712">
        <v>2</v>
      </c>
    </row>
    <row r="2713" spans="1:16" x14ac:dyDescent="0.25">
      <c r="A2713" s="4">
        <v>44393</v>
      </c>
      <c r="B2713" t="s">
        <v>9</v>
      </c>
      <c r="C2713" t="s">
        <v>78</v>
      </c>
      <c r="F2713">
        <v>301</v>
      </c>
      <c r="J2713">
        <v>1.0900000000000001</v>
      </c>
      <c r="K2713">
        <v>41.8</v>
      </c>
      <c r="L2713">
        <v>38.4</v>
      </c>
      <c r="M2713">
        <v>202</v>
      </c>
      <c r="N2713">
        <v>22</v>
      </c>
      <c r="O2713">
        <v>8</v>
      </c>
      <c r="P2713">
        <v>3</v>
      </c>
    </row>
    <row r="2714" spans="1:16" x14ac:dyDescent="0.25">
      <c r="A2714" s="4">
        <v>44396</v>
      </c>
      <c r="B2714" t="s">
        <v>10</v>
      </c>
      <c r="C2714">
        <v>1</v>
      </c>
      <c r="F2714">
        <v>279</v>
      </c>
      <c r="J2714">
        <v>1.18</v>
      </c>
      <c r="K2714">
        <v>42.9</v>
      </c>
      <c r="L2714">
        <v>36.4</v>
      </c>
      <c r="M2714">
        <v>141</v>
      </c>
      <c r="N2714">
        <v>38</v>
      </c>
      <c r="O2714">
        <v>11</v>
      </c>
      <c r="P2714">
        <v>3</v>
      </c>
    </row>
    <row r="2715" spans="1:16" x14ac:dyDescent="0.25">
      <c r="A2715" s="4">
        <v>44396</v>
      </c>
      <c r="B2715" t="s">
        <v>9</v>
      </c>
      <c r="C2715">
        <v>1</v>
      </c>
      <c r="F2715">
        <v>314</v>
      </c>
      <c r="J2715">
        <v>1.044</v>
      </c>
      <c r="K2715">
        <v>40.799999999999997</v>
      </c>
      <c r="L2715">
        <v>39.1</v>
      </c>
      <c r="M2715">
        <v>194</v>
      </c>
      <c r="N2715">
        <v>31</v>
      </c>
      <c r="O2715">
        <v>12</v>
      </c>
      <c r="P2715">
        <v>2</v>
      </c>
    </row>
    <row r="2716" spans="1:16" x14ac:dyDescent="0.25">
      <c r="A2716" s="4">
        <v>44396</v>
      </c>
      <c r="B2716" t="s">
        <v>10</v>
      </c>
      <c r="C2716" t="s">
        <v>78</v>
      </c>
      <c r="F2716">
        <v>279</v>
      </c>
      <c r="J2716">
        <v>1.18</v>
      </c>
      <c r="K2716">
        <v>42.9</v>
      </c>
      <c r="L2716">
        <v>36.4</v>
      </c>
      <c r="M2716">
        <v>141</v>
      </c>
      <c r="N2716">
        <v>38</v>
      </c>
      <c r="O2716">
        <v>11</v>
      </c>
      <c r="P2716">
        <v>3</v>
      </c>
    </row>
    <row r="2717" spans="1:16" x14ac:dyDescent="0.25">
      <c r="A2717" s="4">
        <v>44396</v>
      </c>
      <c r="B2717" t="s">
        <v>9</v>
      </c>
      <c r="C2717" t="s">
        <v>78</v>
      </c>
      <c r="F2717">
        <v>314</v>
      </c>
      <c r="J2717">
        <v>1.044</v>
      </c>
      <c r="K2717">
        <v>40.799999999999997</v>
      </c>
      <c r="L2717">
        <v>39.1</v>
      </c>
      <c r="M2717">
        <v>194</v>
      </c>
      <c r="N2717">
        <v>31</v>
      </c>
      <c r="O2717">
        <v>12</v>
      </c>
      <c r="P2717">
        <v>2</v>
      </c>
    </row>
    <row r="2718" spans="1:16" x14ac:dyDescent="0.25">
      <c r="A2718" s="4">
        <v>44397</v>
      </c>
      <c r="B2718" t="s">
        <v>10</v>
      </c>
      <c r="C2718">
        <v>1</v>
      </c>
      <c r="F2718">
        <v>332</v>
      </c>
      <c r="J2718">
        <v>1.0649999999999999</v>
      </c>
      <c r="K2718">
        <v>38.200000000000003</v>
      </c>
      <c r="L2718">
        <v>35.799999999999997</v>
      </c>
      <c r="M2718">
        <v>187</v>
      </c>
      <c r="N2718">
        <v>31</v>
      </c>
      <c r="O2718">
        <v>15</v>
      </c>
      <c r="P2718">
        <v>2</v>
      </c>
    </row>
    <row r="2719" spans="1:16" x14ac:dyDescent="0.25">
      <c r="A2719" s="4">
        <v>44397</v>
      </c>
      <c r="B2719" t="s">
        <v>9</v>
      </c>
      <c r="C2719">
        <v>1</v>
      </c>
      <c r="F2719">
        <v>340</v>
      </c>
      <c r="J2719">
        <v>1.0660000000000001</v>
      </c>
      <c r="K2719">
        <v>39.08</v>
      </c>
      <c r="L2719">
        <v>36.700000000000003</v>
      </c>
      <c r="M2719">
        <v>241</v>
      </c>
      <c r="N2719">
        <v>21</v>
      </c>
      <c r="O2719">
        <v>10</v>
      </c>
      <c r="P2719">
        <v>2</v>
      </c>
    </row>
    <row r="2720" spans="1:16" x14ac:dyDescent="0.25">
      <c r="A2720" s="4">
        <v>44397</v>
      </c>
      <c r="B2720" t="s">
        <v>10</v>
      </c>
      <c r="C2720" t="s">
        <v>78</v>
      </c>
      <c r="F2720">
        <v>332</v>
      </c>
      <c r="J2720">
        <v>1.0649999999999999</v>
      </c>
      <c r="K2720">
        <v>38.200000000000003</v>
      </c>
      <c r="L2720">
        <v>35.799999999999997</v>
      </c>
      <c r="M2720">
        <v>187</v>
      </c>
      <c r="N2720">
        <v>31</v>
      </c>
      <c r="O2720">
        <v>15</v>
      </c>
      <c r="P2720">
        <v>2</v>
      </c>
    </row>
    <row r="2721" spans="1:16" x14ac:dyDescent="0.25">
      <c r="A2721" s="4">
        <v>44397</v>
      </c>
      <c r="B2721" t="s">
        <v>9</v>
      </c>
      <c r="C2721" t="s">
        <v>78</v>
      </c>
      <c r="F2721">
        <v>340</v>
      </c>
      <c r="J2721">
        <v>1.0660000000000001</v>
      </c>
      <c r="K2721">
        <v>39.08</v>
      </c>
      <c r="L2721">
        <v>36.700000000000003</v>
      </c>
      <c r="M2721">
        <v>241</v>
      </c>
      <c r="N2721">
        <v>21</v>
      </c>
      <c r="O2721">
        <v>10</v>
      </c>
      <c r="P2721">
        <v>2</v>
      </c>
    </row>
    <row r="2722" spans="1:16" x14ac:dyDescent="0.25">
      <c r="A2722" s="4">
        <v>44398</v>
      </c>
      <c r="B2722" t="s">
        <v>10</v>
      </c>
      <c r="C2722">
        <v>1</v>
      </c>
      <c r="F2722">
        <v>397</v>
      </c>
      <c r="J2722">
        <v>1.27</v>
      </c>
      <c r="K2722">
        <v>45.6</v>
      </c>
      <c r="L2722">
        <v>35.9</v>
      </c>
      <c r="M2722">
        <v>232</v>
      </c>
      <c r="N2722">
        <v>46</v>
      </c>
      <c r="O2722">
        <v>18</v>
      </c>
      <c r="P2722">
        <v>1</v>
      </c>
    </row>
    <row r="2723" spans="1:16" x14ac:dyDescent="0.25">
      <c r="A2723" s="4">
        <v>44398</v>
      </c>
      <c r="B2723" t="s">
        <v>9</v>
      </c>
      <c r="C2723">
        <v>1</v>
      </c>
      <c r="F2723">
        <v>363</v>
      </c>
      <c r="J2723">
        <v>1.1859999999999999</v>
      </c>
      <c r="K2723">
        <v>45.4</v>
      </c>
      <c r="L2723">
        <v>38.299999999999997</v>
      </c>
      <c r="M2723">
        <v>239</v>
      </c>
      <c r="N2723">
        <v>33</v>
      </c>
      <c r="O2723">
        <v>12</v>
      </c>
      <c r="P2723">
        <v>2</v>
      </c>
    </row>
    <row r="2724" spans="1:16" x14ac:dyDescent="0.25">
      <c r="A2724" s="4">
        <v>44398</v>
      </c>
      <c r="B2724" t="s">
        <v>10</v>
      </c>
      <c r="C2724" t="s">
        <v>78</v>
      </c>
      <c r="F2724">
        <v>397</v>
      </c>
      <c r="J2724">
        <v>1.27</v>
      </c>
      <c r="K2724">
        <v>45.6</v>
      </c>
      <c r="L2724">
        <v>35.9</v>
      </c>
      <c r="M2724">
        <v>232</v>
      </c>
      <c r="N2724">
        <v>46</v>
      </c>
      <c r="O2724">
        <v>18</v>
      </c>
      <c r="P2724">
        <v>1</v>
      </c>
    </row>
    <row r="2725" spans="1:16" x14ac:dyDescent="0.25">
      <c r="A2725" s="4">
        <v>44398</v>
      </c>
      <c r="B2725" t="s">
        <v>9</v>
      </c>
      <c r="C2725" t="s">
        <v>78</v>
      </c>
      <c r="F2725">
        <v>363</v>
      </c>
      <c r="J2725">
        <v>1.1859999999999999</v>
      </c>
      <c r="K2725">
        <v>45.4</v>
      </c>
      <c r="L2725">
        <v>38.299999999999997</v>
      </c>
      <c r="M2725">
        <v>239</v>
      </c>
      <c r="N2725">
        <v>33</v>
      </c>
      <c r="O2725">
        <v>12</v>
      </c>
      <c r="P2725">
        <v>2</v>
      </c>
    </row>
    <row r="2726" spans="1:16" x14ac:dyDescent="0.25">
      <c r="A2726" s="4">
        <v>44399</v>
      </c>
      <c r="B2726" t="s">
        <v>10</v>
      </c>
      <c r="C2726">
        <v>1</v>
      </c>
      <c r="F2726">
        <v>334</v>
      </c>
      <c r="J2726">
        <v>1.242</v>
      </c>
      <c r="K2726">
        <v>41.8</v>
      </c>
      <c r="L2726">
        <v>33.6</v>
      </c>
      <c r="M2726">
        <v>233</v>
      </c>
      <c r="N2726">
        <v>28</v>
      </c>
      <c r="O2726">
        <v>12</v>
      </c>
    </row>
    <row r="2727" spans="1:16" x14ac:dyDescent="0.25">
      <c r="A2727" s="4">
        <v>44399</v>
      </c>
      <c r="B2727" t="s">
        <v>9</v>
      </c>
      <c r="C2727">
        <v>1</v>
      </c>
      <c r="F2727">
        <v>342</v>
      </c>
      <c r="J2727">
        <v>1.1619999999999999</v>
      </c>
      <c r="K2727">
        <v>42.8</v>
      </c>
      <c r="L2727">
        <v>36.799999999999997</v>
      </c>
      <c r="M2727">
        <v>229</v>
      </c>
      <c r="N2727">
        <v>38</v>
      </c>
      <c r="O2727">
        <v>8</v>
      </c>
    </row>
    <row r="2728" spans="1:16" x14ac:dyDescent="0.25">
      <c r="A2728" s="4">
        <v>44399</v>
      </c>
      <c r="B2728" t="s">
        <v>10</v>
      </c>
      <c r="C2728" t="s">
        <v>78</v>
      </c>
      <c r="F2728">
        <v>334</v>
      </c>
      <c r="J2728">
        <v>1.242</v>
      </c>
      <c r="K2728">
        <v>41.8</v>
      </c>
      <c r="L2728">
        <v>33.6</v>
      </c>
      <c r="M2728">
        <v>233</v>
      </c>
      <c r="N2728">
        <v>28</v>
      </c>
      <c r="O2728">
        <v>12</v>
      </c>
    </row>
    <row r="2729" spans="1:16" x14ac:dyDescent="0.25">
      <c r="A2729" s="4">
        <v>44399</v>
      </c>
      <c r="B2729" t="s">
        <v>9</v>
      </c>
      <c r="C2729" t="s">
        <v>78</v>
      </c>
      <c r="F2729">
        <v>342</v>
      </c>
      <c r="J2729">
        <v>1.1619999999999999</v>
      </c>
      <c r="K2729">
        <v>42.8</v>
      </c>
      <c r="L2729">
        <v>36.799999999999997</v>
      </c>
      <c r="M2729">
        <v>229</v>
      </c>
      <c r="N2729">
        <v>38</v>
      </c>
      <c r="O2729">
        <v>8</v>
      </c>
    </row>
    <row r="2730" spans="1:16" x14ac:dyDescent="0.25">
      <c r="A2730" s="4">
        <v>44400</v>
      </c>
      <c r="B2730" t="s">
        <v>10</v>
      </c>
      <c r="C2730">
        <v>1</v>
      </c>
      <c r="F2730">
        <v>400</v>
      </c>
      <c r="J2730">
        <v>1.2809999999999999</v>
      </c>
      <c r="K2730">
        <v>44.4</v>
      </c>
      <c r="L2730">
        <v>34.700000000000003</v>
      </c>
      <c r="M2730">
        <v>258</v>
      </c>
      <c r="N2730">
        <v>34</v>
      </c>
      <c r="O2730">
        <v>14</v>
      </c>
      <c r="P2730">
        <v>1</v>
      </c>
    </row>
    <row r="2731" spans="1:16" x14ac:dyDescent="0.25">
      <c r="A2731" s="4">
        <v>44400</v>
      </c>
      <c r="B2731" t="s">
        <v>9</v>
      </c>
      <c r="C2731">
        <v>1</v>
      </c>
      <c r="F2731">
        <v>392</v>
      </c>
      <c r="J2731">
        <v>1.17</v>
      </c>
      <c r="K2731">
        <v>43.6</v>
      </c>
      <c r="L2731">
        <v>37.200000000000003</v>
      </c>
      <c r="M2731">
        <v>275</v>
      </c>
      <c r="N2731">
        <v>41</v>
      </c>
      <c r="O2731">
        <v>8</v>
      </c>
    </row>
    <row r="2732" spans="1:16" x14ac:dyDescent="0.25">
      <c r="A2732" s="4">
        <v>44400</v>
      </c>
      <c r="B2732" t="s">
        <v>10</v>
      </c>
      <c r="C2732" t="s">
        <v>78</v>
      </c>
      <c r="F2732">
        <v>400</v>
      </c>
      <c r="J2732">
        <v>1.2809999999999999</v>
      </c>
      <c r="K2732">
        <v>44.4</v>
      </c>
      <c r="L2732">
        <v>34.700000000000003</v>
      </c>
      <c r="M2732">
        <v>258</v>
      </c>
      <c r="N2732">
        <v>34</v>
      </c>
      <c r="O2732">
        <v>14</v>
      </c>
      <c r="P2732">
        <v>1</v>
      </c>
    </row>
    <row r="2733" spans="1:16" x14ac:dyDescent="0.25">
      <c r="A2733" s="4">
        <v>44400</v>
      </c>
      <c r="B2733" t="s">
        <v>9</v>
      </c>
      <c r="C2733" t="s">
        <v>78</v>
      </c>
      <c r="F2733">
        <v>392</v>
      </c>
      <c r="J2733">
        <v>1.17</v>
      </c>
      <c r="K2733">
        <v>43.6</v>
      </c>
      <c r="L2733">
        <v>37.200000000000003</v>
      </c>
      <c r="M2733">
        <v>275</v>
      </c>
      <c r="N2733">
        <v>41</v>
      </c>
      <c r="O2733">
        <v>8</v>
      </c>
    </row>
    <row r="2734" spans="1:16" x14ac:dyDescent="0.25">
      <c r="A2734" s="4">
        <v>44403</v>
      </c>
      <c r="B2734" t="s">
        <v>10</v>
      </c>
      <c r="C2734">
        <v>1</v>
      </c>
      <c r="F2734">
        <v>362</v>
      </c>
      <c r="J2734">
        <v>1.141</v>
      </c>
      <c r="K2734">
        <v>40.200000000000003</v>
      </c>
      <c r="L2734">
        <v>35.299999999999997</v>
      </c>
      <c r="M2734">
        <v>222</v>
      </c>
      <c r="N2734">
        <v>40</v>
      </c>
      <c r="O2734">
        <v>14</v>
      </c>
    </row>
    <row r="2735" spans="1:16" x14ac:dyDescent="0.25">
      <c r="A2735" s="4">
        <v>44403</v>
      </c>
      <c r="B2735" t="s">
        <v>9</v>
      </c>
      <c r="C2735">
        <v>1</v>
      </c>
      <c r="F2735">
        <v>388</v>
      </c>
      <c r="J2735">
        <v>1.1200000000000001</v>
      </c>
      <c r="K2735">
        <v>43.1</v>
      </c>
      <c r="L2735">
        <v>38.5</v>
      </c>
      <c r="M2735">
        <v>260</v>
      </c>
      <c r="N2735">
        <v>37</v>
      </c>
      <c r="O2735">
        <v>14</v>
      </c>
      <c r="P2735">
        <v>1</v>
      </c>
    </row>
    <row r="2736" spans="1:16" x14ac:dyDescent="0.25">
      <c r="A2736" s="4">
        <v>44403</v>
      </c>
      <c r="B2736" t="s">
        <v>10</v>
      </c>
      <c r="C2736" t="s">
        <v>78</v>
      </c>
      <c r="F2736">
        <v>362</v>
      </c>
      <c r="J2736">
        <v>1.141</v>
      </c>
      <c r="K2736">
        <v>40.200000000000003</v>
      </c>
      <c r="L2736">
        <v>35.299999999999997</v>
      </c>
      <c r="M2736">
        <v>222</v>
      </c>
      <c r="N2736">
        <v>40</v>
      </c>
      <c r="O2736">
        <v>14</v>
      </c>
    </row>
    <row r="2737" spans="1:16" x14ac:dyDescent="0.25">
      <c r="A2737" s="4">
        <v>44403</v>
      </c>
      <c r="B2737" t="s">
        <v>9</v>
      </c>
      <c r="C2737" t="s">
        <v>78</v>
      </c>
      <c r="F2737">
        <v>388</v>
      </c>
      <c r="J2737">
        <v>1.1200000000000001</v>
      </c>
      <c r="K2737">
        <v>43.1</v>
      </c>
      <c r="L2737">
        <v>38.5</v>
      </c>
      <c r="M2737">
        <v>260</v>
      </c>
      <c r="N2737">
        <v>37</v>
      </c>
      <c r="O2737">
        <v>14</v>
      </c>
      <c r="P2737">
        <v>1</v>
      </c>
    </row>
    <row r="2738" spans="1:16" x14ac:dyDescent="0.25">
      <c r="A2738" s="4">
        <v>44404</v>
      </c>
      <c r="B2738" t="s">
        <v>10</v>
      </c>
      <c r="C2738">
        <v>1</v>
      </c>
      <c r="F2738">
        <v>351</v>
      </c>
      <c r="J2738">
        <v>1.3080000000000001</v>
      </c>
      <c r="K2738">
        <v>43.9</v>
      </c>
      <c r="L2738">
        <v>33.6</v>
      </c>
      <c r="M2738">
        <v>240</v>
      </c>
      <c r="N2738">
        <v>32</v>
      </c>
      <c r="O2738">
        <v>12</v>
      </c>
    </row>
    <row r="2739" spans="1:16" x14ac:dyDescent="0.25">
      <c r="A2739" s="4">
        <v>44404</v>
      </c>
      <c r="B2739" t="s">
        <v>9</v>
      </c>
      <c r="C2739">
        <v>1</v>
      </c>
      <c r="F2739">
        <v>324</v>
      </c>
      <c r="J2739">
        <v>1.0669999999999999</v>
      </c>
      <c r="K2739">
        <v>40.5</v>
      </c>
      <c r="L2739">
        <v>38</v>
      </c>
      <c r="M2739">
        <v>213</v>
      </c>
      <c r="N2739">
        <v>31</v>
      </c>
      <c r="O2739">
        <v>7</v>
      </c>
      <c r="P2739">
        <v>3</v>
      </c>
    </row>
    <row r="2740" spans="1:16" x14ac:dyDescent="0.25">
      <c r="A2740" s="4">
        <v>44404</v>
      </c>
      <c r="B2740" t="s">
        <v>10</v>
      </c>
      <c r="C2740" t="s">
        <v>78</v>
      </c>
      <c r="F2740">
        <v>351</v>
      </c>
      <c r="J2740">
        <v>1.3080000000000001</v>
      </c>
      <c r="K2740">
        <v>43.9</v>
      </c>
      <c r="L2740">
        <v>33.6</v>
      </c>
      <c r="M2740">
        <v>240</v>
      </c>
      <c r="N2740">
        <v>32</v>
      </c>
      <c r="O2740">
        <v>12</v>
      </c>
    </row>
    <row r="2741" spans="1:16" x14ac:dyDescent="0.25">
      <c r="A2741" s="4">
        <v>44404</v>
      </c>
      <c r="B2741" t="s">
        <v>9</v>
      </c>
      <c r="C2741" t="s">
        <v>78</v>
      </c>
      <c r="F2741">
        <v>324</v>
      </c>
      <c r="J2741">
        <v>1.0669999999999999</v>
      </c>
      <c r="K2741">
        <v>40.5</v>
      </c>
      <c r="L2741">
        <v>38</v>
      </c>
      <c r="M2741">
        <v>213</v>
      </c>
      <c r="N2741">
        <v>31</v>
      </c>
      <c r="O2741">
        <v>7</v>
      </c>
      <c r="P2741">
        <v>3</v>
      </c>
    </row>
    <row r="2742" spans="1:16" x14ac:dyDescent="0.25">
      <c r="A2742" s="4">
        <v>44405</v>
      </c>
      <c r="B2742" t="s">
        <v>10</v>
      </c>
      <c r="C2742">
        <v>1</v>
      </c>
      <c r="F2742">
        <v>341</v>
      </c>
      <c r="J2742">
        <v>1.08</v>
      </c>
      <c r="K2742">
        <v>40.1</v>
      </c>
      <c r="L2742">
        <v>37.200000000000003</v>
      </c>
      <c r="M2742">
        <v>183</v>
      </c>
      <c r="N2742">
        <v>47</v>
      </c>
      <c r="O2742">
        <v>18</v>
      </c>
    </row>
    <row r="2743" spans="1:16" x14ac:dyDescent="0.25">
      <c r="A2743" s="4">
        <v>44405</v>
      </c>
      <c r="B2743" t="s">
        <v>9</v>
      </c>
      <c r="C2743">
        <v>1</v>
      </c>
      <c r="F2743">
        <v>359</v>
      </c>
      <c r="J2743">
        <v>1.101</v>
      </c>
      <c r="K2743">
        <v>41.3</v>
      </c>
      <c r="L2743">
        <v>37.5</v>
      </c>
      <c r="M2743">
        <v>223</v>
      </c>
      <c r="N2743">
        <v>31</v>
      </c>
      <c r="O2743">
        <v>14</v>
      </c>
      <c r="P2743">
        <v>2</v>
      </c>
    </row>
    <row r="2744" spans="1:16" x14ac:dyDescent="0.25">
      <c r="A2744" s="4">
        <v>44405</v>
      </c>
      <c r="B2744" t="s">
        <v>10</v>
      </c>
      <c r="C2744" t="s">
        <v>78</v>
      </c>
      <c r="F2744">
        <v>341</v>
      </c>
      <c r="J2744">
        <v>1.08</v>
      </c>
      <c r="K2744">
        <v>40.1</v>
      </c>
      <c r="L2744">
        <v>37.200000000000003</v>
      </c>
      <c r="M2744">
        <v>183</v>
      </c>
      <c r="N2744">
        <v>47</v>
      </c>
      <c r="O2744">
        <v>18</v>
      </c>
    </row>
    <row r="2745" spans="1:16" x14ac:dyDescent="0.25">
      <c r="A2745" s="4">
        <v>44405</v>
      </c>
      <c r="B2745" t="s">
        <v>9</v>
      </c>
      <c r="C2745" t="s">
        <v>78</v>
      </c>
      <c r="F2745">
        <v>359</v>
      </c>
      <c r="J2745">
        <v>1.101</v>
      </c>
      <c r="K2745">
        <v>41.3</v>
      </c>
      <c r="L2745">
        <v>37.5</v>
      </c>
      <c r="M2745">
        <v>223</v>
      </c>
      <c r="N2745">
        <v>31</v>
      </c>
      <c r="O2745">
        <v>14</v>
      </c>
      <c r="P2745">
        <v>2</v>
      </c>
    </row>
    <row r="2746" spans="1:16" x14ac:dyDescent="0.25">
      <c r="A2746" s="4">
        <v>44406</v>
      </c>
      <c r="B2746" t="s">
        <v>10</v>
      </c>
      <c r="C2746">
        <v>1</v>
      </c>
      <c r="F2746">
        <v>345</v>
      </c>
      <c r="J2746">
        <v>1.089</v>
      </c>
      <c r="K2746">
        <v>38.299999999999997</v>
      </c>
      <c r="L2746">
        <v>35.200000000000003</v>
      </c>
      <c r="M2746">
        <v>229</v>
      </c>
      <c r="N2746">
        <v>45</v>
      </c>
      <c r="O2746">
        <v>5</v>
      </c>
      <c r="P2746">
        <v>1</v>
      </c>
    </row>
    <row r="2747" spans="1:16" x14ac:dyDescent="0.25">
      <c r="A2747" s="4">
        <v>44406</v>
      </c>
      <c r="B2747" t="s">
        <v>9</v>
      </c>
      <c r="C2747">
        <v>1</v>
      </c>
      <c r="F2747">
        <v>360</v>
      </c>
      <c r="J2747">
        <v>1.05</v>
      </c>
      <c r="K2747">
        <v>40</v>
      </c>
      <c r="L2747">
        <v>38.1</v>
      </c>
      <c r="M2747">
        <v>228</v>
      </c>
      <c r="N2747">
        <v>31</v>
      </c>
      <c r="O2747">
        <v>13</v>
      </c>
      <c r="P2747">
        <v>2</v>
      </c>
    </row>
    <row r="2748" spans="1:16" x14ac:dyDescent="0.25">
      <c r="A2748" s="4">
        <v>44406</v>
      </c>
      <c r="B2748" t="s">
        <v>10</v>
      </c>
      <c r="C2748" t="s">
        <v>78</v>
      </c>
      <c r="F2748">
        <v>345</v>
      </c>
      <c r="J2748">
        <v>1.089</v>
      </c>
      <c r="K2748">
        <v>38.299999999999997</v>
      </c>
      <c r="L2748">
        <v>35.200000000000003</v>
      </c>
      <c r="M2748">
        <v>229</v>
      </c>
      <c r="N2748">
        <v>45</v>
      </c>
      <c r="O2748">
        <v>5</v>
      </c>
      <c r="P2748">
        <v>1</v>
      </c>
    </row>
    <row r="2749" spans="1:16" x14ac:dyDescent="0.25">
      <c r="A2749" s="4">
        <v>44406</v>
      </c>
      <c r="B2749" t="s">
        <v>9</v>
      </c>
      <c r="C2749" t="s">
        <v>78</v>
      </c>
      <c r="F2749">
        <v>360</v>
      </c>
      <c r="J2749">
        <v>1.05</v>
      </c>
      <c r="K2749">
        <v>40</v>
      </c>
      <c r="L2749">
        <v>38.1</v>
      </c>
      <c r="M2749">
        <v>228</v>
      </c>
      <c r="N2749">
        <v>31</v>
      </c>
      <c r="O2749">
        <v>13</v>
      </c>
      <c r="P2749">
        <v>2</v>
      </c>
    </row>
    <row r="2750" spans="1:16" x14ac:dyDescent="0.25">
      <c r="A2750" s="4">
        <v>44407</v>
      </c>
      <c r="B2750" t="s">
        <v>10</v>
      </c>
      <c r="C2750">
        <v>1</v>
      </c>
      <c r="F2750">
        <v>370</v>
      </c>
      <c r="J2750">
        <v>1.153</v>
      </c>
      <c r="K2750">
        <v>41.1</v>
      </c>
      <c r="L2750">
        <v>35.6</v>
      </c>
      <c r="M2750">
        <v>240</v>
      </c>
      <c r="N2750">
        <v>35</v>
      </c>
      <c r="O2750">
        <v>15</v>
      </c>
      <c r="P2750">
        <v>1</v>
      </c>
    </row>
    <row r="2751" spans="1:16" x14ac:dyDescent="0.25">
      <c r="A2751" s="4">
        <v>44407</v>
      </c>
      <c r="B2751" t="s">
        <v>9</v>
      </c>
      <c r="C2751">
        <v>1</v>
      </c>
      <c r="F2751">
        <v>393</v>
      </c>
      <c r="J2751">
        <v>1.181</v>
      </c>
      <c r="K2751">
        <v>43.7</v>
      </c>
      <c r="L2751">
        <v>37</v>
      </c>
      <c r="M2751">
        <v>269</v>
      </c>
      <c r="N2751">
        <v>35</v>
      </c>
      <c r="O2751">
        <v>9</v>
      </c>
      <c r="P2751">
        <v>2</v>
      </c>
    </row>
    <row r="2752" spans="1:16" x14ac:dyDescent="0.25">
      <c r="A2752" s="4">
        <v>44407</v>
      </c>
      <c r="B2752" t="s">
        <v>10</v>
      </c>
      <c r="C2752" t="s">
        <v>78</v>
      </c>
      <c r="F2752">
        <v>370</v>
      </c>
      <c r="J2752">
        <v>1.153</v>
      </c>
      <c r="K2752">
        <v>41.1</v>
      </c>
      <c r="L2752">
        <v>35.6</v>
      </c>
      <c r="M2752">
        <v>240</v>
      </c>
      <c r="N2752">
        <v>35</v>
      </c>
      <c r="O2752">
        <v>15</v>
      </c>
      <c r="P2752">
        <v>1</v>
      </c>
    </row>
    <row r="2753" spans="1:16" x14ac:dyDescent="0.25">
      <c r="A2753" s="4">
        <v>44407</v>
      </c>
      <c r="B2753" t="s">
        <v>9</v>
      </c>
      <c r="C2753" t="s">
        <v>78</v>
      </c>
      <c r="F2753">
        <v>393</v>
      </c>
      <c r="J2753">
        <v>1.181</v>
      </c>
      <c r="K2753">
        <v>43.7</v>
      </c>
      <c r="L2753">
        <v>37</v>
      </c>
      <c r="M2753">
        <v>269</v>
      </c>
      <c r="N2753">
        <v>35</v>
      </c>
      <c r="O2753">
        <v>9</v>
      </c>
      <c r="P2753">
        <v>2</v>
      </c>
    </row>
    <row r="2754" spans="1:16" x14ac:dyDescent="0.25">
      <c r="A2754" s="4">
        <v>44410</v>
      </c>
      <c r="B2754" t="s">
        <v>10</v>
      </c>
      <c r="C2754">
        <v>1</v>
      </c>
      <c r="F2754">
        <v>260</v>
      </c>
      <c r="J2754">
        <v>1.0609999999999999</v>
      </c>
      <c r="K2754">
        <v>40.6</v>
      </c>
      <c r="L2754">
        <v>38.299999999999997</v>
      </c>
      <c r="M2754">
        <v>135</v>
      </c>
      <c r="N2754">
        <v>27</v>
      </c>
      <c r="O2754">
        <v>15</v>
      </c>
      <c r="P2754">
        <v>2</v>
      </c>
    </row>
    <row r="2755" spans="1:16" x14ac:dyDescent="0.25">
      <c r="A2755" s="4">
        <v>44410</v>
      </c>
      <c r="B2755" t="s">
        <v>9</v>
      </c>
      <c r="C2755">
        <v>1</v>
      </c>
      <c r="F2755">
        <v>293</v>
      </c>
      <c r="J2755">
        <v>1.155</v>
      </c>
      <c r="K2755">
        <v>42.5</v>
      </c>
      <c r="L2755">
        <v>36.799999999999997</v>
      </c>
      <c r="M2755">
        <v>210</v>
      </c>
      <c r="N2755">
        <v>30</v>
      </c>
      <c r="O2755">
        <v>2</v>
      </c>
      <c r="P2755">
        <v>1</v>
      </c>
    </row>
    <row r="2756" spans="1:16" x14ac:dyDescent="0.25">
      <c r="A2756" s="4">
        <v>44410</v>
      </c>
      <c r="B2756" t="s">
        <v>10</v>
      </c>
      <c r="C2756" t="s">
        <v>78</v>
      </c>
      <c r="F2756">
        <v>260</v>
      </c>
      <c r="J2756">
        <v>1.0609999999999999</v>
      </c>
      <c r="K2756">
        <v>40.6</v>
      </c>
      <c r="L2756">
        <v>38.299999999999997</v>
      </c>
      <c r="M2756">
        <v>135</v>
      </c>
      <c r="N2756">
        <v>27</v>
      </c>
      <c r="O2756">
        <v>15</v>
      </c>
      <c r="P2756">
        <v>2</v>
      </c>
    </row>
    <row r="2757" spans="1:16" x14ac:dyDescent="0.25">
      <c r="A2757" s="4">
        <v>44410</v>
      </c>
      <c r="B2757" t="s">
        <v>9</v>
      </c>
      <c r="C2757" t="s">
        <v>78</v>
      </c>
      <c r="F2757">
        <v>293</v>
      </c>
      <c r="J2757">
        <v>1.155</v>
      </c>
      <c r="K2757">
        <v>42.5</v>
      </c>
      <c r="L2757">
        <v>36.799999999999997</v>
      </c>
      <c r="M2757">
        <v>210</v>
      </c>
      <c r="N2757">
        <v>30</v>
      </c>
      <c r="O2757">
        <v>2</v>
      </c>
      <c r="P2757">
        <v>1</v>
      </c>
    </row>
    <row r="2758" spans="1:16" x14ac:dyDescent="0.25">
      <c r="A2758" s="4">
        <v>44411</v>
      </c>
      <c r="B2758" t="s">
        <v>10</v>
      </c>
      <c r="C2758">
        <v>1</v>
      </c>
      <c r="F2758">
        <v>361</v>
      </c>
      <c r="J2758">
        <v>1.0569999999999999</v>
      </c>
      <c r="K2758">
        <v>43.5</v>
      </c>
      <c r="L2758">
        <v>41.2</v>
      </c>
      <c r="M2758">
        <v>167</v>
      </c>
      <c r="N2758">
        <v>43</v>
      </c>
      <c r="O2758">
        <v>21</v>
      </c>
      <c r="P2758">
        <v>4</v>
      </c>
    </row>
    <row r="2759" spans="1:16" x14ac:dyDescent="0.25">
      <c r="A2759" s="4">
        <v>44411</v>
      </c>
      <c r="B2759" t="s">
        <v>9</v>
      </c>
      <c r="C2759">
        <v>1</v>
      </c>
      <c r="F2759">
        <v>371</v>
      </c>
      <c r="J2759">
        <v>1.139</v>
      </c>
      <c r="K2759">
        <v>43.1</v>
      </c>
      <c r="L2759">
        <v>37.9</v>
      </c>
      <c r="M2759">
        <v>246</v>
      </c>
      <c r="N2759">
        <v>41</v>
      </c>
      <c r="O2759">
        <v>7</v>
      </c>
      <c r="P2759">
        <v>2</v>
      </c>
    </row>
    <row r="2760" spans="1:16" x14ac:dyDescent="0.25">
      <c r="A2760" s="4">
        <v>44411</v>
      </c>
      <c r="B2760" t="s">
        <v>10</v>
      </c>
      <c r="C2760" t="s">
        <v>78</v>
      </c>
      <c r="F2760">
        <v>361</v>
      </c>
      <c r="J2760">
        <v>1.0569999999999999</v>
      </c>
      <c r="K2760">
        <v>43.5</v>
      </c>
      <c r="L2760">
        <v>41.2</v>
      </c>
      <c r="M2760">
        <v>167</v>
      </c>
      <c r="N2760">
        <v>43</v>
      </c>
      <c r="O2760">
        <v>21</v>
      </c>
      <c r="P2760">
        <v>4</v>
      </c>
    </row>
    <row r="2761" spans="1:16" x14ac:dyDescent="0.25">
      <c r="A2761" s="4">
        <v>44411</v>
      </c>
      <c r="B2761" t="s">
        <v>9</v>
      </c>
      <c r="C2761" t="s">
        <v>78</v>
      </c>
      <c r="F2761">
        <v>371</v>
      </c>
      <c r="J2761">
        <v>1.139</v>
      </c>
      <c r="K2761">
        <v>43.1</v>
      </c>
      <c r="L2761">
        <v>37.9</v>
      </c>
      <c r="M2761">
        <v>246</v>
      </c>
      <c r="N2761">
        <v>41</v>
      </c>
      <c r="O2761">
        <v>7</v>
      </c>
      <c r="P2761">
        <v>2</v>
      </c>
    </row>
    <row r="2762" spans="1:16" x14ac:dyDescent="0.25">
      <c r="A2762" s="4">
        <v>44412</v>
      </c>
      <c r="B2762" t="s">
        <v>10</v>
      </c>
      <c r="C2762">
        <v>1</v>
      </c>
      <c r="F2762">
        <v>408</v>
      </c>
      <c r="J2762">
        <v>1.163</v>
      </c>
      <c r="K2762">
        <v>45.3</v>
      </c>
      <c r="L2762">
        <v>39</v>
      </c>
      <c r="M2762">
        <v>212</v>
      </c>
      <c r="N2762">
        <v>52</v>
      </c>
      <c r="O2762">
        <v>23</v>
      </c>
    </row>
    <row r="2763" spans="1:16" x14ac:dyDescent="0.25">
      <c r="A2763" s="4">
        <v>44412</v>
      </c>
      <c r="B2763" t="s">
        <v>9</v>
      </c>
      <c r="C2763">
        <v>1</v>
      </c>
      <c r="F2763">
        <v>377</v>
      </c>
      <c r="J2763">
        <v>1.125</v>
      </c>
      <c r="K2763">
        <v>43.3</v>
      </c>
      <c r="L2763">
        <v>38.5</v>
      </c>
      <c r="M2763">
        <v>236</v>
      </c>
      <c r="N2763">
        <v>35</v>
      </c>
      <c r="O2763">
        <v>13</v>
      </c>
      <c r="P2763">
        <v>3</v>
      </c>
    </row>
    <row r="2764" spans="1:16" x14ac:dyDescent="0.25">
      <c r="A2764" s="4">
        <v>44412</v>
      </c>
      <c r="B2764" t="s">
        <v>10</v>
      </c>
      <c r="C2764" t="s">
        <v>78</v>
      </c>
      <c r="F2764">
        <v>408</v>
      </c>
      <c r="J2764">
        <v>1.163</v>
      </c>
      <c r="K2764">
        <v>45.3</v>
      </c>
      <c r="L2764">
        <v>39</v>
      </c>
      <c r="M2764">
        <v>212</v>
      </c>
      <c r="N2764">
        <v>52</v>
      </c>
      <c r="O2764">
        <v>23</v>
      </c>
    </row>
    <row r="2765" spans="1:16" x14ac:dyDescent="0.25">
      <c r="A2765" s="4">
        <v>44412</v>
      </c>
      <c r="B2765" t="s">
        <v>9</v>
      </c>
      <c r="C2765" t="s">
        <v>78</v>
      </c>
      <c r="F2765">
        <v>377</v>
      </c>
      <c r="J2765">
        <v>1.125</v>
      </c>
      <c r="K2765">
        <v>43.3</v>
      </c>
      <c r="L2765">
        <v>38.5</v>
      </c>
      <c r="M2765">
        <v>236</v>
      </c>
      <c r="N2765">
        <v>35</v>
      </c>
      <c r="O2765">
        <v>13</v>
      </c>
      <c r="P2765">
        <v>3</v>
      </c>
    </row>
    <row r="2766" spans="1:16" x14ac:dyDescent="0.25">
      <c r="A2766" s="4">
        <v>44413</v>
      </c>
      <c r="B2766" t="s">
        <v>10</v>
      </c>
      <c r="C2766">
        <v>1</v>
      </c>
      <c r="F2766">
        <v>342</v>
      </c>
      <c r="J2766">
        <v>1.1299999999999999</v>
      </c>
      <c r="K2766">
        <v>42.2</v>
      </c>
      <c r="L2766">
        <v>37.4</v>
      </c>
      <c r="M2766">
        <v>204</v>
      </c>
      <c r="N2766">
        <v>42</v>
      </c>
      <c r="O2766">
        <v>13</v>
      </c>
    </row>
    <row r="2767" spans="1:16" x14ac:dyDescent="0.25">
      <c r="A2767" s="4">
        <v>44413</v>
      </c>
      <c r="B2767" t="s">
        <v>9</v>
      </c>
      <c r="C2767">
        <v>1</v>
      </c>
      <c r="F2767">
        <v>378</v>
      </c>
      <c r="J2767">
        <v>1.181</v>
      </c>
      <c r="K2767">
        <v>43.5</v>
      </c>
      <c r="L2767">
        <v>36.799999999999997</v>
      </c>
      <c r="M2767">
        <v>254</v>
      </c>
      <c r="N2767">
        <v>39</v>
      </c>
      <c r="O2767">
        <v>10</v>
      </c>
      <c r="P2767">
        <v>1</v>
      </c>
    </row>
    <row r="2768" spans="1:16" x14ac:dyDescent="0.25">
      <c r="A2768" s="4">
        <v>44413</v>
      </c>
      <c r="B2768" t="s">
        <v>10</v>
      </c>
      <c r="C2768" t="s">
        <v>78</v>
      </c>
      <c r="F2768">
        <v>342</v>
      </c>
      <c r="J2768">
        <v>1.1299999999999999</v>
      </c>
      <c r="K2768">
        <v>42.2</v>
      </c>
      <c r="L2768">
        <v>37.4</v>
      </c>
      <c r="M2768">
        <v>204</v>
      </c>
      <c r="N2768">
        <v>42</v>
      </c>
      <c r="O2768">
        <v>13</v>
      </c>
    </row>
    <row r="2769" spans="1:16" x14ac:dyDescent="0.25">
      <c r="A2769" s="4">
        <v>44413</v>
      </c>
      <c r="B2769" t="s">
        <v>9</v>
      </c>
      <c r="C2769" t="s">
        <v>78</v>
      </c>
      <c r="F2769">
        <v>378</v>
      </c>
      <c r="J2769">
        <v>1.181</v>
      </c>
      <c r="K2769">
        <v>43.5</v>
      </c>
      <c r="L2769">
        <v>36.799999999999997</v>
      </c>
      <c r="M2769">
        <v>254</v>
      </c>
      <c r="N2769">
        <v>39</v>
      </c>
      <c r="O2769">
        <v>10</v>
      </c>
      <c r="P2769">
        <v>1</v>
      </c>
    </row>
    <row r="2770" spans="1:16" x14ac:dyDescent="0.25">
      <c r="A2770" s="4">
        <v>44414</v>
      </c>
      <c r="B2770" t="s">
        <v>10</v>
      </c>
      <c r="C2770">
        <v>1</v>
      </c>
      <c r="F2770">
        <v>349</v>
      </c>
      <c r="J2770">
        <v>1.226</v>
      </c>
      <c r="K2770">
        <v>48.5</v>
      </c>
      <c r="L2770">
        <v>40</v>
      </c>
      <c r="M2770">
        <v>183</v>
      </c>
      <c r="N2770">
        <v>59</v>
      </c>
      <c r="O2770">
        <v>9</v>
      </c>
      <c r="P2770">
        <v>2</v>
      </c>
    </row>
    <row r="2771" spans="1:16" x14ac:dyDescent="0.25">
      <c r="A2771" s="4">
        <v>44414</v>
      </c>
      <c r="B2771" t="s">
        <v>9</v>
      </c>
      <c r="C2771">
        <v>1</v>
      </c>
      <c r="F2771">
        <v>344</v>
      </c>
      <c r="J2771">
        <v>1.2609999999999999</v>
      </c>
      <c r="K2771">
        <v>47.8</v>
      </c>
      <c r="L2771">
        <v>37.9</v>
      </c>
      <c r="M2771">
        <v>235</v>
      </c>
      <c r="N2771">
        <v>31</v>
      </c>
      <c r="O2771">
        <v>11</v>
      </c>
    </row>
    <row r="2772" spans="1:16" x14ac:dyDescent="0.25">
      <c r="A2772" s="4">
        <v>44414</v>
      </c>
      <c r="B2772" t="s">
        <v>10</v>
      </c>
      <c r="C2772" t="s">
        <v>78</v>
      </c>
      <c r="F2772">
        <v>349</v>
      </c>
      <c r="J2772">
        <v>1.226</v>
      </c>
      <c r="K2772">
        <v>48.5</v>
      </c>
      <c r="L2772">
        <v>40</v>
      </c>
      <c r="M2772">
        <v>183</v>
      </c>
      <c r="N2772">
        <v>59</v>
      </c>
      <c r="O2772">
        <v>9</v>
      </c>
      <c r="P2772">
        <v>2</v>
      </c>
    </row>
    <row r="2773" spans="1:16" x14ac:dyDescent="0.25">
      <c r="A2773" s="4">
        <v>44414</v>
      </c>
      <c r="B2773" t="s">
        <v>9</v>
      </c>
      <c r="C2773" t="s">
        <v>78</v>
      </c>
      <c r="F2773">
        <v>344</v>
      </c>
      <c r="J2773">
        <v>1.2609999999999999</v>
      </c>
      <c r="K2773">
        <v>47.8</v>
      </c>
      <c r="L2773">
        <v>37.9</v>
      </c>
      <c r="M2773">
        <v>235</v>
      </c>
      <c r="N2773">
        <v>31</v>
      </c>
      <c r="O2773">
        <v>11</v>
      </c>
    </row>
    <row r="2774" spans="1:16" x14ac:dyDescent="0.25">
      <c r="A2774" s="4">
        <v>44417</v>
      </c>
      <c r="B2774" t="s">
        <v>10</v>
      </c>
      <c r="C2774">
        <v>1</v>
      </c>
      <c r="F2774">
        <v>371</v>
      </c>
      <c r="J2774">
        <v>1.042</v>
      </c>
      <c r="K2774">
        <v>41.2</v>
      </c>
      <c r="L2774">
        <v>39.6</v>
      </c>
      <c r="M2774">
        <v>185</v>
      </c>
      <c r="N2774">
        <v>48</v>
      </c>
      <c r="O2774">
        <v>21</v>
      </c>
      <c r="P2774">
        <v>2</v>
      </c>
    </row>
    <row r="2775" spans="1:16" x14ac:dyDescent="0.25">
      <c r="A2775" s="4">
        <v>44417</v>
      </c>
      <c r="B2775" t="s">
        <v>9</v>
      </c>
      <c r="C2775">
        <v>1</v>
      </c>
      <c r="F2775">
        <v>360</v>
      </c>
      <c r="J2775">
        <v>1.004</v>
      </c>
      <c r="K2775">
        <v>40.9</v>
      </c>
      <c r="L2775">
        <v>40.700000000000003</v>
      </c>
      <c r="M2775">
        <v>200</v>
      </c>
      <c r="N2775">
        <v>46</v>
      </c>
      <c r="O2775">
        <v>14</v>
      </c>
      <c r="P2775">
        <v>2</v>
      </c>
    </row>
    <row r="2776" spans="1:16" x14ac:dyDescent="0.25">
      <c r="A2776" s="4">
        <v>44417</v>
      </c>
      <c r="B2776" t="s">
        <v>10</v>
      </c>
      <c r="C2776" t="s">
        <v>78</v>
      </c>
      <c r="F2776">
        <v>371</v>
      </c>
      <c r="J2776">
        <v>1.042</v>
      </c>
      <c r="K2776">
        <v>41.2</v>
      </c>
      <c r="L2776">
        <v>39.6</v>
      </c>
      <c r="M2776">
        <v>185</v>
      </c>
      <c r="N2776">
        <v>48</v>
      </c>
      <c r="O2776">
        <v>21</v>
      </c>
      <c r="P2776">
        <v>2</v>
      </c>
    </row>
    <row r="2777" spans="1:16" x14ac:dyDescent="0.25">
      <c r="A2777" s="4">
        <v>44417</v>
      </c>
      <c r="B2777" t="s">
        <v>9</v>
      </c>
      <c r="C2777" t="s">
        <v>78</v>
      </c>
      <c r="F2777">
        <v>360</v>
      </c>
      <c r="J2777">
        <v>1.004</v>
      </c>
      <c r="K2777">
        <v>40.9</v>
      </c>
      <c r="L2777">
        <v>40.700000000000003</v>
      </c>
      <c r="M2777">
        <v>200</v>
      </c>
      <c r="N2777">
        <v>46</v>
      </c>
      <c r="O2777">
        <v>14</v>
      </c>
      <c r="P2777">
        <v>2</v>
      </c>
    </row>
    <row r="2778" spans="1:16" x14ac:dyDescent="0.25">
      <c r="A2778" s="4">
        <v>44418</v>
      </c>
      <c r="B2778" t="s">
        <v>10</v>
      </c>
      <c r="C2778">
        <v>1</v>
      </c>
      <c r="F2778">
        <v>389</v>
      </c>
      <c r="J2778">
        <v>1.0980000000000001</v>
      </c>
      <c r="K2778">
        <v>43.2</v>
      </c>
      <c r="L2778">
        <v>39.4</v>
      </c>
      <c r="M2778">
        <v>209</v>
      </c>
      <c r="N2778">
        <v>45</v>
      </c>
      <c r="O2778">
        <v>16</v>
      </c>
      <c r="P2778">
        <v>4</v>
      </c>
    </row>
    <row r="2779" spans="1:16" x14ac:dyDescent="0.25">
      <c r="A2779" s="4">
        <v>44418</v>
      </c>
      <c r="B2779" t="s">
        <v>9</v>
      </c>
      <c r="C2779">
        <v>1</v>
      </c>
      <c r="F2779">
        <v>367</v>
      </c>
      <c r="J2779">
        <v>1.0229999999999999</v>
      </c>
      <c r="K2779">
        <v>40.799999999999997</v>
      </c>
      <c r="L2779">
        <v>39.9</v>
      </c>
      <c r="M2779">
        <v>224</v>
      </c>
      <c r="N2779">
        <v>30</v>
      </c>
      <c r="O2779">
        <v>15</v>
      </c>
      <c r="P2779">
        <v>3</v>
      </c>
    </row>
    <row r="2780" spans="1:16" x14ac:dyDescent="0.25">
      <c r="A2780" s="4">
        <v>44418</v>
      </c>
      <c r="B2780" t="s">
        <v>10</v>
      </c>
      <c r="C2780" t="s">
        <v>78</v>
      </c>
      <c r="F2780">
        <v>389</v>
      </c>
      <c r="J2780">
        <v>1.0980000000000001</v>
      </c>
      <c r="K2780">
        <v>43.2</v>
      </c>
      <c r="L2780">
        <v>39.4</v>
      </c>
      <c r="M2780">
        <v>209</v>
      </c>
      <c r="N2780">
        <v>45</v>
      </c>
      <c r="O2780">
        <v>16</v>
      </c>
      <c r="P2780">
        <v>4</v>
      </c>
    </row>
    <row r="2781" spans="1:16" x14ac:dyDescent="0.25">
      <c r="A2781" s="4">
        <v>44418</v>
      </c>
      <c r="B2781" t="s">
        <v>9</v>
      </c>
      <c r="C2781" t="s">
        <v>78</v>
      </c>
      <c r="F2781">
        <v>367</v>
      </c>
      <c r="J2781">
        <v>1.0229999999999999</v>
      </c>
      <c r="K2781">
        <v>40.799999999999997</v>
      </c>
      <c r="L2781">
        <v>39.9</v>
      </c>
      <c r="M2781">
        <v>224</v>
      </c>
      <c r="N2781">
        <v>30</v>
      </c>
      <c r="O2781">
        <v>15</v>
      </c>
      <c r="P2781">
        <v>3</v>
      </c>
    </row>
    <row r="2782" spans="1:16" x14ac:dyDescent="0.25">
      <c r="A2782" s="4">
        <v>44419</v>
      </c>
      <c r="B2782" t="s">
        <v>10</v>
      </c>
      <c r="C2782">
        <v>1</v>
      </c>
      <c r="F2782">
        <v>335</v>
      </c>
      <c r="J2782">
        <v>0.93799999999999994</v>
      </c>
      <c r="K2782">
        <v>37.200000000000003</v>
      </c>
      <c r="L2782">
        <v>39.700000000000003</v>
      </c>
      <c r="M2782">
        <v>159</v>
      </c>
      <c r="N2782">
        <v>45</v>
      </c>
      <c r="O2782">
        <v>20</v>
      </c>
      <c r="P2782">
        <v>2</v>
      </c>
    </row>
    <row r="2783" spans="1:16" x14ac:dyDescent="0.25">
      <c r="A2783" s="4">
        <v>44419</v>
      </c>
      <c r="B2783" t="s">
        <v>9</v>
      </c>
      <c r="C2783">
        <v>1</v>
      </c>
      <c r="F2783">
        <v>345</v>
      </c>
      <c r="J2783">
        <v>0.99399999999999999</v>
      </c>
      <c r="K2783">
        <v>38.299999999999997</v>
      </c>
      <c r="L2783">
        <v>35.6</v>
      </c>
      <c r="M2783">
        <v>232</v>
      </c>
      <c r="N2783">
        <v>24</v>
      </c>
      <c r="O2783">
        <v>16</v>
      </c>
    </row>
    <row r="2784" spans="1:16" x14ac:dyDescent="0.25">
      <c r="A2784" s="4">
        <v>44419</v>
      </c>
      <c r="B2784" t="s">
        <v>10</v>
      </c>
      <c r="C2784" t="s">
        <v>78</v>
      </c>
      <c r="F2784">
        <v>335</v>
      </c>
      <c r="J2784">
        <v>0.93799999999999994</v>
      </c>
      <c r="K2784">
        <v>37.200000000000003</v>
      </c>
      <c r="L2784">
        <v>39.700000000000003</v>
      </c>
      <c r="M2784">
        <v>159</v>
      </c>
      <c r="N2784">
        <v>45</v>
      </c>
      <c r="O2784">
        <v>20</v>
      </c>
      <c r="P2784">
        <v>2</v>
      </c>
    </row>
    <row r="2785" spans="1:16" x14ac:dyDescent="0.25">
      <c r="A2785" s="4">
        <v>44419</v>
      </c>
      <c r="B2785" t="s">
        <v>9</v>
      </c>
      <c r="C2785" t="s">
        <v>78</v>
      </c>
      <c r="F2785">
        <v>345</v>
      </c>
      <c r="J2785">
        <v>0.99399999999999999</v>
      </c>
      <c r="K2785">
        <v>38.299999999999997</v>
      </c>
      <c r="L2785">
        <v>35.6</v>
      </c>
      <c r="M2785">
        <v>232</v>
      </c>
      <c r="N2785">
        <v>24</v>
      </c>
      <c r="O2785">
        <v>16</v>
      </c>
    </row>
    <row r="2786" spans="1:16" x14ac:dyDescent="0.25">
      <c r="A2786" s="4">
        <v>44420</v>
      </c>
      <c r="B2786" t="s">
        <v>10</v>
      </c>
      <c r="C2786">
        <v>1</v>
      </c>
      <c r="F2786">
        <v>335</v>
      </c>
      <c r="J2786">
        <v>0.99299999999999999</v>
      </c>
      <c r="K2786">
        <v>39.4</v>
      </c>
      <c r="L2786">
        <v>39.700000000000003</v>
      </c>
      <c r="M2786">
        <v>159</v>
      </c>
      <c r="N2786">
        <v>45</v>
      </c>
      <c r="O2786">
        <v>20</v>
      </c>
      <c r="P2786">
        <v>2</v>
      </c>
    </row>
    <row r="2787" spans="1:16" x14ac:dyDescent="0.25">
      <c r="A2787" s="4">
        <v>44420</v>
      </c>
      <c r="B2787" t="s">
        <v>9</v>
      </c>
      <c r="C2787">
        <v>1</v>
      </c>
      <c r="F2787">
        <v>346</v>
      </c>
      <c r="J2787">
        <v>1.119</v>
      </c>
      <c r="K2787">
        <v>43.3</v>
      </c>
      <c r="L2787">
        <v>38.6</v>
      </c>
      <c r="M2787">
        <v>232</v>
      </c>
      <c r="N2787">
        <v>24</v>
      </c>
      <c r="O2787">
        <v>16</v>
      </c>
    </row>
    <row r="2788" spans="1:16" x14ac:dyDescent="0.25">
      <c r="A2788" s="4">
        <v>44420</v>
      </c>
      <c r="B2788" t="s">
        <v>10</v>
      </c>
      <c r="C2788" t="s">
        <v>78</v>
      </c>
      <c r="F2788">
        <v>335</v>
      </c>
      <c r="J2788">
        <v>0.99299999999999999</v>
      </c>
      <c r="K2788">
        <v>39.4</v>
      </c>
      <c r="L2788">
        <v>39.700000000000003</v>
      </c>
      <c r="M2788">
        <v>159</v>
      </c>
      <c r="N2788">
        <v>45</v>
      </c>
      <c r="O2788">
        <v>20</v>
      </c>
      <c r="P2788">
        <v>2</v>
      </c>
    </row>
    <row r="2789" spans="1:16" x14ac:dyDescent="0.25">
      <c r="A2789" s="4">
        <v>44420</v>
      </c>
      <c r="B2789" t="s">
        <v>9</v>
      </c>
      <c r="C2789" t="s">
        <v>78</v>
      </c>
      <c r="F2789">
        <v>346</v>
      </c>
      <c r="J2789">
        <v>1.119</v>
      </c>
      <c r="K2789">
        <v>43.3</v>
      </c>
      <c r="L2789">
        <v>38.6</v>
      </c>
      <c r="M2789">
        <v>232</v>
      </c>
      <c r="N2789">
        <v>24</v>
      </c>
      <c r="O2789">
        <v>16</v>
      </c>
    </row>
    <row r="2790" spans="1:16" x14ac:dyDescent="0.25">
      <c r="A2790" s="4">
        <v>44421</v>
      </c>
      <c r="B2790" t="s">
        <v>10</v>
      </c>
      <c r="C2790">
        <v>1</v>
      </c>
      <c r="F2790">
        <v>214</v>
      </c>
      <c r="J2790">
        <v>1.0169999999999999</v>
      </c>
      <c r="K2790">
        <v>35.700000000000003</v>
      </c>
      <c r="L2790">
        <v>35.1</v>
      </c>
      <c r="M2790">
        <v>155</v>
      </c>
      <c r="N2790">
        <v>17</v>
      </c>
      <c r="O2790">
        <v>8</v>
      </c>
    </row>
    <row r="2791" spans="1:16" x14ac:dyDescent="0.25">
      <c r="A2791" s="4">
        <v>44421</v>
      </c>
      <c r="B2791" t="s">
        <v>9</v>
      </c>
      <c r="C2791">
        <v>1</v>
      </c>
      <c r="F2791">
        <v>378</v>
      </c>
      <c r="J2791">
        <v>1.212</v>
      </c>
      <c r="K2791">
        <v>47.3</v>
      </c>
      <c r="L2791">
        <v>39</v>
      </c>
      <c r="M2791">
        <v>246</v>
      </c>
      <c r="N2791">
        <v>35</v>
      </c>
      <c r="O2791">
        <v>12</v>
      </c>
      <c r="P2791">
        <v>1</v>
      </c>
    </row>
    <row r="2792" spans="1:16" x14ac:dyDescent="0.25">
      <c r="A2792" s="4">
        <v>44421</v>
      </c>
      <c r="B2792" t="s">
        <v>10</v>
      </c>
      <c r="C2792" t="s">
        <v>78</v>
      </c>
      <c r="F2792">
        <v>214</v>
      </c>
      <c r="J2792">
        <v>1.0169999999999999</v>
      </c>
      <c r="K2792">
        <v>35.700000000000003</v>
      </c>
      <c r="L2792">
        <v>35.1</v>
      </c>
      <c r="M2792">
        <v>155</v>
      </c>
      <c r="N2792">
        <v>17</v>
      </c>
      <c r="O2792">
        <v>8</v>
      </c>
    </row>
    <row r="2793" spans="1:16" x14ac:dyDescent="0.25">
      <c r="A2793" s="4">
        <v>44421</v>
      </c>
      <c r="B2793" t="s">
        <v>9</v>
      </c>
      <c r="C2793" t="s">
        <v>78</v>
      </c>
      <c r="F2793">
        <v>378</v>
      </c>
      <c r="J2793">
        <v>1.212</v>
      </c>
      <c r="K2793">
        <v>47.3</v>
      </c>
      <c r="L2793">
        <v>39</v>
      </c>
      <c r="M2793">
        <v>246</v>
      </c>
      <c r="N2793">
        <v>35</v>
      </c>
      <c r="O2793">
        <v>12</v>
      </c>
      <c r="P2793">
        <v>1</v>
      </c>
    </row>
    <row r="2794" spans="1:16" x14ac:dyDescent="0.25">
      <c r="A2794" s="4">
        <v>44424</v>
      </c>
      <c r="B2794" t="s">
        <v>10</v>
      </c>
      <c r="C2794">
        <v>1</v>
      </c>
      <c r="F2794">
        <v>366</v>
      </c>
      <c r="J2794">
        <v>1.046</v>
      </c>
      <c r="K2794">
        <v>40.700000000000003</v>
      </c>
      <c r="L2794">
        <v>38.9</v>
      </c>
      <c r="M2794">
        <v>186</v>
      </c>
      <c r="N2794">
        <v>50</v>
      </c>
      <c r="O2794">
        <v>16</v>
      </c>
      <c r="P2794">
        <v>3</v>
      </c>
    </row>
    <row r="2795" spans="1:16" x14ac:dyDescent="0.25">
      <c r="A2795" s="4">
        <v>44424</v>
      </c>
      <c r="B2795" t="s">
        <v>9</v>
      </c>
      <c r="C2795">
        <v>1</v>
      </c>
      <c r="F2795">
        <v>380</v>
      </c>
      <c r="J2795">
        <v>1.109</v>
      </c>
      <c r="K2795">
        <v>42.2</v>
      </c>
      <c r="L2795">
        <v>38.1</v>
      </c>
      <c r="M2795">
        <v>236</v>
      </c>
      <c r="N2795">
        <v>47</v>
      </c>
      <c r="O2795">
        <v>10</v>
      </c>
      <c r="P2795">
        <v>1</v>
      </c>
    </row>
    <row r="2796" spans="1:16" x14ac:dyDescent="0.25">
      <c r="A2796" s="4">
        <v>44424</v>
      </c>
      <c r="B2796" t="s">
        <v>10</v>
      </c>
      <c r="C2796" t="s">
        <v>78</v>
      </c>
      <c r="F2796">
        <v>366</v>
      </c>
      <c r="J2796">
        <v>1.046</v>
      </c>
      <c r="K2796">
        <v>40.700000000000003</v>
      </c>
      <c r="L2796">
        <v>38.9</v>
      </c>
      <c r="M2796">
        <v>186</v>
      </c>
      <c r="N2796">
        <v>50</v>
      </c>
      <c r="O2796">
        <v>16</v>
      </c>
      <c r="P2796">
        <v>3</v>
      </c>
    </row>
    <row r="2797" spans="1:16" x14ac:dyDescent="0.25">
      <c r="A2797" s="4">
        <v>44424</v>
      </c>
      <c r="B2797" t="s">
        <v>9</v>
      </c>
      <c r="C2797" t="s">
        <v>78</v>
      </c>
      <c r="F2797">
        <v>380</v>
      </c>
      <c r="J2797">
        <v>1.109</v>
      </c>
      <c r="K2797">
        <v>42.2</v>
      </c>
      <c r="L2797">
        <v>38.1</v>
      </c>
      <c r="M2797">
        <v>236</v>
      </c>
      <c r="N2797">
        <v>47</v>
      </c>
      <c r="O2797">
        <v>10</v>
      </c>
      <c r="P2797">
        <v>1</v>
      </c>
    </row>
    <row r="2798" spans="1:16" x14ac:dyDescent="0.25">
      <c r="A2798" s="4">
        <v>44425</v>
      </c>
      <c r="B2798" t="s">
        <v>10</v>
      </c>
      <c r="C2798">
        <v>1</v>
      </c>
      <c r="F2798">
        <v>401</v>
      </c>
      <c r="J2798">
        <v>1.153</v>
      </c>
      <c r="K2798">
        <v>44.6</v>
      </c>
      <c r="L2798">
        <v>38.700000000000003</v>
      </c>
      <c r="M2798">
        <v>220</v>
      </c>
      <c r="N2798">
        <v>40</v>
      </c>
      <c r="O2798">
        <v>26</v>
      </c>
      <c r="P2798">
        <v>2</v>
      </c>
    </row>
    <row r="2799" spans="1:16" x14ac:dyDescent="0.25">
      <c r="A2799" s="4">
        <v>44425</v>
      </c>
      <c r="B2799" t="s">
        <v>9</v>
      </c>
      <c r="C2799">
        <v>1</v>
      </c>
      <c r="F2799">
        <v>382</v>
      </c>
      <c r="J2799">
        <v>1.127</v>
      </c>
      <c r="K2799">
        <v>43.9</v>
      </c>
      <c r="L2799">
        <v>39</v>
      </c>
      <c r="M2799">
        <v>245</v>
      </c>
      <c r="N2799">
        <v>33</v>
      </c>
      <c r="O2799">
        <v>12</v>
      </c>
      <c r="P2799">
        <v>3</v>
      </c>
    </row>
    <row r="2800" spans="1:16" x14ac:dyDescent="0.25">
      <c r="A2800" s="4">
        <v>44425</v>
      </c>
      <c r="B2800" t="s">
        <v>10</v>
      </c>
      <c r="C2800" t="s">
        <v>78</v>
      </c>
      <c r="F2800">
        <v>401</v>
      </c>
      <c r="J2800">
        <v>1.153</v>
      </c>
      <c r="K2800">
        <v>44.6</v>
      </c>
      <c r="L2800">
        <v>38.700000000000003</v>
      </c>
      <c r="M2800">
        <v>220</v>
      </c>
      <c r="N2800">
        <v>40</v>
      </c>
      <c r="O2800">
        <v>26</v>
      </c>
      <c r="P2800">
        <v>2</v>
      </c>
    </row>
    <row r="2801" spans="1:16" x14ac:dyDescent="0.25">
      <c r="A2801" s="4">
        <v>44425</v>
      </c>
      <c r="B2801" t="s">
        <v>9</v>
      </c>
      <c r="C2801" t="s">
        <v>78</v>
      </c>
      <c r="F2801">
        <v>382</v>
      </c>
      <c r="J2801">
        <v>1.127</v>
      </c>
      <c r="K2801">
        <v>43.9</v>
      </c>
      <c r="L2801">
        <v>39</v>
      </c>
      <c r="M2801">
        <v>245</v>
      </c>
      <c r="N2801">
        <v>33</v>
      </c>
      <c r="O2801">
        <v>12</v>
      </c>
      <c r="P2801">
        <v>3</v>
      </c>
    </row>
    <row r="2802" spans="1:16" x14ac:dyDescent="0.25">
      <c r="A2802" s="4">
        <v>44426</v>
      </c>
      <c r="B2802" t="s">
        <v>10</v>
      </c>
      <c r="C2802">
        <v>1</v>
      </c>
      <c r="F2802">
        <v>378</v>
      </c>
      <c r="J2802">
        <v>1.17</v>
      </c>
      <c r="K2802">
        <v>42</v>
      </c>
      <c r="L2802">
        <v>35.9</v>
      </c>
      <c r="M2802">
        <v>252</v>
      </c>
      <c r="N2802">
        <v>39</v>
      </c>
      <c r="O2802">
        <v>13</v>
      </c>
      <c r="P2802">
        <v>1</v>
      </c>
    </row>
    <row r="2803" spans="1:16" x14ac:dyDescent="0.25">
      <c r="A2803" s="4">
        <v>44426</v>
      </c>
      <c r="B2803" t="s">
        <v>9</v>
      </c>
      <c r="C2803">
        <v>1</v>
      </c>
      <c r="F2803">
        <v>392</v>
      </c>
      <c r="J2803">
        <v>1.1339999999999999</v>
      </c>
      <c r="K2803">
        <v>43.6</v>
      </c>
      <c r="L2803">
        <v>38.4</v>
      </c>
      <c r="M2803">
        <v>258</v>
      </c>
      <c r="N2803">
        <v>32</v>
      </c>
      <c r="O2803">
        <v>10</v>
      </c>
      <c r="P2803">
        <v>4</v>
      </c>
    </row>
    <row r="2804" spans="1:16" x14ac:dyDescent="0.25">
      <c r="A2804" s="4">
        <v>44426</v>
      </c>
      <c r="B2804" t="s">
        <v>10</v>
      </c>
      <c r="C2804" t="s">
        <v>78</v>
      </c>
      <c r="F2804">
        <v>378</v>
      </c>
      <c r="J2804">
        <v>1.17</v>
      </c>
      <c r="K2804">
        <v>42</v>
      </c>
      <c r="L2804">
        <v>35.9</v>
      </c>
      <c r="M2804">
        <v>252</v>
      </c>
      <c r="N2804">
        <v>39</v>
      </c>
      <c r="O2804">
        <v>13</v>
      </c>
      <c r="P2804">
        <v>1</v>
      </c>
    </row>
    <row r="2805" spans="1:16" x14ac:dyDescent="0.25">
      <c r="A2805" s="4">
        <v>44426</v>
      </c>
      <c r="B2805" t="s">
        <v>9</v>
      </c>
      <c r="C2805" t="s">
        <v>78</v>
      </c>
      <c r="F2805">
        <v>392</v>
      </c>
      <c r="J2805">
        <v>1.1339999999999999</v>
      </c>
      <c r="K2805">
        <v>43.6</v>
      </c>
      <c r="L2805">
        <v>38.4</v>
      </c>
      <c r="M2805">
        <v>258</v>
      </c>
      <c r="N2805">
        <v>32</v>
      </c>
      <c r="O2805">
        <v>10</v>
      </c>
      <c r="P2805">
        <v>4</v>
      </c>
    </row>
    <row r="2806" spans="1:16" x14ac:dyDescent="0.25">
      <c r="A2806" s="4">
        <v>44427</v>
      </c>
      <c r="B2806" t="s">
        <v>10</v>
      </c>
      <c r="C2806">
        <v>1</v>
      </c>
      <c r="F2806">
        <v>382</v>
      </c>
      <c r="J2806">
        <v>1.21</v>
      </c>
      <c r="K2806">
        <v>42.4</v>
      </c>
      <c r="L2806">
        <v>35.1</v>
      </c>
      <c r="M2806">
        <v>271</v>
      </c>
      <c r="N2806">
        <v>34</v>
      </c>
      <c r="O2806">
        <v>12</v>
      </c>
    </row>
    <row r="2807" spans="1:16" x14ac:dyDescent="0.25">
      <c r="A2807" s="4">
        <v>44427</v>
      </c>
      <c r="B2807" t="s">
        <v>9</v>
      </c>
      <c r="C2807">
        <v>1</v>
      </c>
      <c r="F2807">
        <v>306</v>
      </c>
      <c r="J2807">
        <v>1.206</v>
      </c>
      <c r="K2807">
        <v>47.1</v>
      </c>
      <c r="L2807">
        <v>39</v>
      </c>
      <c r="M2807">
        <v>187</v>
      </c>
      <c r="N2807">
        <v>31</v>
      </c>
      <c r="O2807">
        <v>9</v>
      </c>
      <c r="P2807">
        <v>3</v>
      </c>
    </row>
    <row r="2808" spans="1:16" x14ac:dyDescent="0.25">
      <c r="A2808" s="4">
        <v>44427</v>
      </c>
      <c r="B2808" t="s">
        <v>10</v>
      </c>
      <c r="C2808" t="s">
        <v>78</v>
      </c>
      <c r="F2808">
        <v>382</v>
      </c>
      <c r="J2808">
        <v>1.21</v>
      </c>
      <c r="K2808">
        <v>42.4</v>
      </c>
      <c r="L2808">
        <v>35.1</v>
      </c>
      <c r="M2808">
        <v>271</v>
      </c>
      <c r="N2808">
        <v>34</v>
      </c>
      <c r="O2808">
        <v>12</v>
      </c>
    </row>
    <row r="2809" spans="1:16" x14ac:dyDescent="0.25">
      <c r="A2809" s="4">
        <v>44427</v>
      </c>
      <c r="B2809" t="s">
        <v>9</v>
      </c>
      <c r="C2809" t="s">
        <v>78</v>
      </c>
      <c r="F2809">
        <v>306</v>
      </c>
      <c r="J2809">
        <v>1.206</v>
      </c>
      <c r="K2809">
        <v>47.1</v>
      </c>
      <c r="L2809">
        <v>39</v>
      </c>
      <c r="M2809">
        <v>187</v>
      </c>
      <c r="N2809">
        <v>31</v>
      </c>
      <c r="O2809">
        <v>9</v>
      </c>
      <c r="P2809">
        <v>3</v>
      </c>
    </row>
    <row r="2810" spans="1:16" x14ac:dyDescent="0.25">
      <c r="A2810" s="4">
        <v>44428</v>
      </c>
      <c r="B2810" t="s">
        <v>10</v>
      </c>
      <c r="C2810">
        <v>1</v>
      </c>
      <c r="F2810">
        <v>328</v>
      </c>
      <c r="J2810">
        <v>1.248</v>
      </c>
      <c r="K2810">
        <v>45.6</v>
      </c>
      <c r="L2810">
        <v>36.5</v>
      </c>
      <c r="M2810">
        <v>208</v>
      </c>
      <c r="N2810">
        <v>31</v>
      </c>
      <c r="O2810">
        <v>16</v>
      </c>
    </row>
    <row r="2811" spans="1:16" x14ac:dyDescent="0.25">
      <c r="A2811" s="4">
        <v>44428</v>
      </c>
      <c r="B2811" t="s">
        <v>9</v>
      </c>
      <c r="C2811">
        <v>1</v>
      </c>
      <c r="F2811">
        <v>345</v>
      </c>
      <c r="J2811">
        <v>1.2070000000000001</v>
      </c>
      <c r="K2811">
        <v>47.9</v>
      </c>
      <c r="L2811">
        <v>39.700000000000003</v>
      </c>
      <c r="M2811">
        <v>219</v>
      </c>
      <c r="N2811">
        <v>33</v>
      </c>
      <c r="O2811">
        <v>5</v>
      </c>
      <c r="P2811">
        <v>3</v>
      </c>
    </row>
    <row r="2812" spans="1:16" x14ac:dyDescent="0.25">
      <c r="A2812" s="4">
        <v>44428</v>
      </c>
      <c r="B2812" t="s">
        <v>10</v>
      </c>
      <c r="C2812" t="s">
        <v>78</v>
      </c>
      <c r="F2812">
        <v>328</v>
      </c>
      <c r="J2812">
        <v>1.248</v>
      </c>
      <c r="K2812">
        <v>45.6</v>
      </c>
      <c r="L2812">
        <v>36.5</v>
      </c>
      <c r="M2812">
        <v>208</v>
      </c>
      <c r="N2812">
        <v>31</v>
      </c>
      <c r="O2812">
        <v>16</v>
      </c>
    </row>
    <row r="2813" spans="1:16" x14ac:dyDescent="0.25">
      <c r="A2813" s="4">
        <v>44428</v>
      </c>
      <c r="B2813" t="s">
        <v>9</v>
      </c>
      <c r="C2813" t="s">
        <v>78</v>
      </c>
      <c r="F2813">
        <v>345</v>
      </c>
      <c r="J2813">
        <v>1.2070000000000001</v>
      </c>
      <c r="K2813">
        <v>47.9</v>
      </c>
      <c r="L2813">
        <v>39.700000000000003</v>
      </c>
      <c r="M2813">
        <v>219</v>
      </c>
      <c r="N2813">
        <v>33</v>
      </c>
      <c r="O2813">
        <v>5</v>
      </c>
      <c r="P2813">
        <v>3</v>
      </c>
    </row>
    <row r="2814" spans="1:16" x14ac:dyDescent="0.25">
      <c r="A2814" s="4">
        <v>44431</v>
      </c>
      <c r="B2814" t="s">
        <v>10</v>
      </c>
      <c r="C2814">
        <v>1</v>
      </c>
      <c r="F2814">
        <v>332</v>
      </c>
      <c r="J2814">
        <v>0.99299999999999999</v>
      </c>
      <c r="K2814">
        <v>36.9</v>
      </c>
      <c r="L2814">
        <v>37.1</v>
      </c>
      <c r="M2814">
        <v>206</v>
      </c>
      <c r="N2814">
        <v>37</v>
      </c>
      <c r="O2814">
        <v>16</v>
      </c>
    </row>
    <row r="2815" spans="1:16" x14ac:dyDescent="0.25">
      <c r="A2815" s="4">
        <v>44431</v>
      </c>
      <c r="B2815" t="s">
        <v>9</v>
      </c>
      <c r="C2815">
        <v>1</v>
      </c>
      <c r="F2815">
        <v>330</v>
      </c>
      <c r="J2815">
        <v>0.97199999999999998</v>
      </c>
      <c r="K2815">
        <v>36.700000000000003</v>
      </c>
      <c r="L2815">
        <v>37.700000000000003</v>
      </c>
      <c r="M2815">
        <v>225</v>
      </c>
      <c r="N2815">
        <v>31</v>
      </c>
      <c r="O2815">
        <v>10</v>
      </c>
    </row>
    <row r="2816" spans="1:16" x14ac:dyDescent="0.25">
      <c r="A2816" s="4">
        <v>44431</v>
      </c>
      <c r="B2816" t="s">
        <v>10</v>
      </c>
      <c r="C2816" t="s">
        <v>78</v>
      </c>
      <c r="F2816">
        <v>332</v>
      </c>
      <c r="J2816">
        <v>0.99299999999999999</v>
      </c>
      <c r="K2816">
        <v>36.9</v>
      </c>
      <c r="L2816">
        <v>37.1</v>
      </c>
      <c r="M2816">
        <v>206</v>
      </c>
      <c r="N2816">
        <v>37</v>
      </c>
      <c r="O2816">
        <v>16</v>
      </c>
    </row>
    <row r="2817" spans="1:16" x14ac:dyDescent="0.25">
      <c r="A2817" s="4">
        <v>44431</v>
      </c>
      <c r="B2817" t="s">
        <v>9</v>
      </c>
      <c r="C2817" t="s">
        <v>78</v>
      </c>
      <c r="F2817">
        <v>330</v>
      </c>
      <c r="J2817">
        <v>0.97199999999999998</v>
      </c>
      <c r="K2817">
        <v>36.700000000000003</v>
      </c>
      <c r="L2817">
        <v>37.700000000000003</v>
      </c>
      <c r="M2817">
        <v>225</v>
      </c>
      <c r="N2817">
        <v>31</v>
      </c>
      <c r="O2817">
        <v>10</v>
      </c>
    </row>
    <row r="2818" spans="1:16" x14ac:dyDescent="0.25">
      <c r="A2818" s="4">
        <v>44432</v>
      </c>
      <c r="B2818" t="s">
        <v>10</v>
      </c>
      <c r="C2818">
        <v>1</v>
      </c>
      <c r="F2818">
        <v>309</v>
      </c>
      <c r="J2818">
        <v>1.1220000000000001</v>
      </c>
      <c r="K2818">
        <v>40.1</v>
      </c>
      <c r="L2818">
        <v>35.799999999999997</v>
      </c>
      <c r="M2818">
        <v>196</v>
      </c>
      <c r="N2818">
        <v>41</v>
      </c>
      <c r="O2818">
        <v>7</v>
      </c>
      <c r="P2818">
        <v>1</v>
      </c>
    </row>
    <row r="2819" spans="1:16" x14ac:dyDescent="0.25">
      <c r="A2819" s="4">
        <v>44432</v>
      </c>
      <c r="B2819" t="s">
        <v>9</v>
      </c>
      <c r="C2819">
        <v>1</v>
      </c>
      <c r="F2819">
        <v>379</v>
      </c>
      <c r="J2819">
        <v>1.1499999999999999</v>
      </c>
      <c r="K2819">
        <v>42.1</v>
      </c>
      <c r="L2819">
        <v>36.6</v>
      </c>
      <c r="M2819">
        <v>276</v>
      </c>
      <c r="N2819">
        <v>40</v>
      </c>
      <c r="O2819">
        <v>5</v>
      </c>
    </row>
    <row r="2820" spans="1:16" x14ac:dyDescent="0.25">
      <c r="A2820" s="4">
        <v>44432</v>
      </c>
      <c r="B2820" t="s">
        <v>10</v>
      </c>
      <c r="C2820" t="s">
        <v>78</v>
      </c>
      <c r="F2820">
        <v>309</v>
      </c>
      <c r="J2820">
        <v>1.1220000000000001</v>
      </c>
      <c r="K2820">
        <v>40.1</v>
      </c>
      <c r="L2820">
        <v>35.799999999999997</v>
      </c>
      <c r="M2820">
        <v>196</v>
      </c>
      <c r="N2820">
        <v>41</v>
      </c>
      <c r="O2820">
        <v>7</v>
      </c>
      <c r="P2820">
        <v>1</v>
      </c>
    </row>
    <row r="2821" spans="1:16" x14ac:dyDescent="0.25">
      <c r="A2821" s="4">
        <v>44432</v>
      </c>
      <c r="B2821" t="s">
        <v>9</v>
      </c>
      <c r="C2821" t="s">
        <v>78</v>
      </c>
      <c r="F2821">
        <v>379</v>
      </c>
      <c r="J2821">
        <v>1.1499999999999999</v>
      </c>
      <c r="K2821">
        <v>42.1</v>
      </c>
      <c r="L2821">
        <v>36.6</v>
      </c>
      <c r="M2821">
        <v>276</v>
      </c>
      <c r="N2821">
        <v>40</v>
      </c>
      <c r="O2821">
        <v>5</v>
      </c>
    </row>
    <row r="2822" spans="1:16" x14ac:dyDescent="0.25">
      <c r="A2822" s="4">
        <v>44433</v>
      </c>
      <c r="B2822" t="s">
        <v>10</v>
      </c>
      <c r="C2822">
        <v>1</v>
      </c>
      <c r="F2822">
        <v>343</v>
      </c>
      <c r="J2822">
        <v>1.1479999999999999</v>
      </c>
      <c r="K2822">
        <v>42.9</v>
      </c>
      <c r="L2822">
        <v>37.4</v>
      </c>
      <c r="M2822">
        <v>217</v>
      </c>
      <c r="N2822">
        <v>17</v>
      </c>
      <c r="O2822">
        <v>16</v>
      </c>
      <c r="P2822">
        <v>5</v>
      </c>
    </row>
    <row r="2823" spans="1:16" x14ac:dyDescent="0.25">
      <c r="A2823" s="4">
        <v>44433</v>
      </c>
      <c r="B2823" t="s">
        <v>9</v>
      </c>
      <c r="C2823">
        <v>1</v>
      </c>
      <c r="F2823">
        <v>368</v>
      </c>
      <c r="J2823">
        <v>1.0289999999999999</v>
      </c>
      <c r="K2823">
        <v>42.3</v>
      </c>
      <c r="L2823">
        <v>41.1</v>
      </c>
      <c r="M2823">
        <v>196</v>
      </c>
      <c r="N2823">
        <v>37</v>
      </c>
      <c r="O2823">
        <v>15</v>
      </c>
      <c r="P2823">
        <v>5</v>
      </c>
    </row>
    <row r="2824" spans="1:16" x14ac:dyDescent="0.25">
      <c r="A2824" s="4">
        <v>44433</v>
      </c>
      <c r="B2824" t="s">
        <v>10</v>
      </c>
      <c r="C2824" t="s">
        <v>78</v>
      </c>
      <c r="F2824">
        <v>343</v>
      </c>
      <c r="J2824">
        <v>1.1479999999999999</v>
      </c>
      <c r="K2824">
        <v>42.9</v>
      </c>
      <c r="L2824">
        <v>37.4</v>
      </c>
      <c r="M2824">
        <v>217</v>
      </c>
      <c r="N2824">
        <v>17</v>
      </c>
      <c r="O2824">
        <v>16</v>
      </c>
      <c r="P2824">
        <v>5</v>
      </c>
    </row>
    <row r="2825" spans="1:16" x14ac:dyDescent="0.25">
      <c r="A2825" s="4">
        <v>44433</v>
      </c>
      <c r="B2825" t="s">
        <v>9</v>
      </c>
      <c r="C2825" t="s">
        <v>78</v>
      </c>
      <c r="F2825">
        <v>368</v>
      </c>
      <c r="J2825">
        <v>1.0289999999999999</v>
      </c>
      <c r="K2825">
        <v>42.3</v>
      </c>
      <c r="L2825">
        <v>41.1</v>
      </c>
      <c r="M2825">
        <v>196</v>
      </c>
      <c r="N2825">
        <v>37</v>
      </c>
      <c r="O2825">
        <v>15</v>
      </c>
      <c r="P2825">
        <v>5</v>
      </c>
    </row>
    <row r="2826" spans="1:16" x14ac:dyDescent="0.25">
      <c r="A2826" s="4">
        <v>44434</v>
      </c>
      <c r="B2826" t="s">
        <v>10</v>
      </c>
      <c r="C2826">
        <v>1</v>
      </c>
      <c r="F2826">
        <v>309</v>
      </c>
      <c r="J2826">
        <v>1.083</v>
      </c>
      <c r="K2826">
        <v>40.1</v>
      </c>
      <c r="L2826">
        <v>37.1</v>
      </c>
      <c r="M2826">
        <v>186</v>
      </c>
      <c r="N2826">
        <v>38</v>
      </c>
      <c r="O2826">
        <v>14</v>
      </c>
    </row>
    <row r="2827" spans="1:16" x14ac:dyDescent="0.25">
      <c r="A2827" s="4">
        <v>44434</v>
      </c>
      <c r="B2827" t="s">
        <v>9</v>
      </c>
      <c r="C2827">
        <v>1</v>
      </c>
      <c r="F2827">
        <v>305</v>
      </c>
      <c r="J2827">
        <v>1</v>
      </c>
      <c r="K2827">
        <v>42.4</v>
      </c>
      <c r="L2827">
        <v>42.4</v>
      </c>
      <c r="M2827">
        <v>162</v>
      </c>
      <c r="N2827">
        <v>38</v>
      </c>
      <c r="O2827">
        <v>13</v>
      </c>
      <c r="P2827">
        <v>2</v>
      </c>
    </row>
    <row r="2828" spans="1:16" x14ac:dyDescent="0.25">
      <c r="A2828" s="4">
        <v>44434</v>
      </c>
      <c r="B2828" t="s">
        <v>10</v>
      </c>
      <c r="C2828" t="s">
        <v>78</v>
      </c>
      <c r="F2828">
        <v>309</v>
      </c>
      <c r="J2828">
        <v>1.083</v>
      </c>
      <c r="K2828">
        <v>40.1</v>
      </c>
      <c r="L2828">
        <v>37.1</v>
      </c>
      <c r="M2828">
        <v>186</v>
      </c>
      <c r="N2828">
        <v>38</v>
      </c>
      <c r="O2828">
        <v>14</v>
      </c>
    </row>
    <row r="2829" spans="1:16" x14ac:dyDescent="0.25">
      <c r="A2829" s="4">
        <v>44434</v>
      </c>
      <c r="B2829" t="s">
        <v>9</v>
      </c>
      <c r="C2829" t="s">
        <v>78</v>
      </c>
      <c r="F2829">
        <v>305</v>
      </c>
      <c r="J2829">
        <v>1</v>
      </c>
      <c r="K2829">
        <v>42.4</v>
      </c>
      <c r="L2829">
        <v>42.4</v>
      </c>
      <c r="M2829">
        <v>162</v>
      </c>
      <c r="N2829">
        <v>38</v>
      </c>
      <c r="O2829">
        <v>13</v>
      </c>
      <c r="P2829">
        <v>2</v>
      </c>
    </row>
    <row r="2830" spans="1:16" x14ac:dyDescent="0.25">
      <c r="A2830" s="4">
        <v>44435</v>
      </c>
      <c r="B2830" t="s">
        <v>10</v>
      </c>
      <c r="C2830">
        <v>1</v>
      </c>
      <c r="F2830">
        <v>365</v>
      </c>
      <c r="J2830">
        <v>1.0920000000000001</v>
      </c>
      <c r="K2830">
        <v>40.6</v>
      </c>
      <c r="L2830">
        <v>37.1</v>
      </c>
      <c r="M2830">
        <v>226</v>
      </c>
      <c r="N2830">
        <v>33</v>
      </c>
      <c r="O2830">
        <v>13</v>
      </c>
      <c r="P2830">
        <v>3</v>
      </c>
    </row>
    <row r="2831" spans="1:16" x14ac:dyDescent="0.25">
      <c r="A2831" s="4">
        <v>44435</v>
      </c>
      <c r="B2831" t="s">
        <v>9</v>
      </c>
      <c r="C2831">
        <v>1</v>
      </c>
      <c r="F2831">
        <v>358</v>
      </c>
      <c r="J2831">
        <v>1.0409999999999999</v>
      </c>
      <c r="K2831">
        <v>41.2</v>
      </c>
      <c r="L2831">
        <v>39.5</v>
      </c>
      <c r="M2831">
        <v>208</v>
      </c>
      <c r="N2831">
        <v>36</v>
      </c>
      <c r="O2831">
        <v>21</v>
      </c>
    </row>
    <row r="2832" spans="1:16" x14ac:dyDescent="0.25">
      <c r="A2832" s="4">
        <v>44435</v>
      </c>
      <c r="B2832" t="s">
        <v>10</v>
      </c>
      <c r="C2832" t="s">
        <v>78</v>
      </c>
      <c r="F2832">
        <v>365</v>
      </c>
      <c r="J2832">
        <v>1.0920000000000001</v>
      </c>
      <c r="K2832">
        <v>40.6</v>
      </c>
      <c r="L2832">
        <v>37.1</v>
      </c>
      <c r="M2832">
        <v>226</v>
      </c>
      <c r="N2832">
        <v>33</v>
      </c>
      <c r="O2832">
        <v>13</v>
      </c>
      <c r="P2832">
        <v>3</v>
      </c>
    </row>
    <row r="2833" spans="1:16" x14ac:dyDescent="0.25">
      <c r="A2833" s="4">
        <v>44435</v>
      </c>
      <c r="B2833" t="s">
        <v>9</v>
      </c>
      <c r="C2833" t="s">
        <v>78</v>
      </c>
      <c r="F2833">
        <v>358</v>
      </c>
      <c r="J2833">
        <v>1.0409999999999999</v>
      </c>
      <c r="K2833">
        <v>41.2</v>
      </c>
      <c r="L2833">
        <v>39.5</v>
      </c>
      <c r="M2833">
        <v>208</v>
      </c>
      <c r="N2833">
        <v>36</v>
      </c>
      <c r="O2833">
        <v>21</v>
      </c>
    </row>
    <row r="2834" spans="1:16" x14ac:dyDescent="0.25">
      <c r="A2834" s="4">
        <v>44436</v>
      </c>
      <c r="B2834" t="s">
        <v>10</v>
      </c>
      <c r="C2834">
        <v>1</v>
      </c>
      <c r="F2834">
        <v>177</v>
      </c>
      <c r="J2834">
        <v>0.88</v>
      </c>
      <c r="K2834">
        <v>33.4</v>
      </c>
      <c r="L2834">
        <v>38</v>
      </c>
      <c r="M2834">
        <v>111</v>
      </c>
      <c r="N2834">
        <v>18</v>
      </c>
      <c r="O2834">
        <v>5</v>
      </c>
      <c r="P2834">
        <v>2</v>
      </c>
    </row>
    <row r="2835" spans="1:16" x14ac:dyDescent="0.25">
      <c r="A2835" s="4">
        <v>44436</v>
      </c>
      <c r="B2835" t="s">
        <v>9</v>
      </c>
      <c r="C2835">
        <v>1</v>
      </c>
      <c r="F2835">
        <v>224</v>
      </c>
      <c r="J2835">
        <v>1.1399999999999999</v>
      </c>
      <c r="K2835">
        <v>42.3</v>
      </c>
      <c r="L2835">
        <v>37.1</v>
      </c>
      <c r="M2835">
        <v>153</v>
      </c>
      <c r="N2835">
        <v>26</v>
      </c>
      <c r="O2835">
        <v>4</v>
      </c>
    </row>
    <row r="2836" spans="1:16" x14ac:dyDescent="0.25">
      <c r="A2836" s="4">
        <v>44436</v>
      </c>
      <c r="B2836" t="s">
        <v>10</v>
      </c>
      <c r="C2836" t="s">
        <v>78</v>
      </c>
      <c r="F2836">
        <v>177</v>
      </c>
      <c r="J2836">
        <v>0.88</v>
      </c>
      <c r="K2836">
        <v>33.4</v>
      </c>
      <c r="L2836">
        <v>38</v>
      </c>
      <c r="M2836">
        <v>111</v>
      </c>
      <c r="N2836">
        <v>18</v>
      </c>
      <c r="O2836">
        <v>5</v>
      </c>
      <c r="P2836">
        <v>2</v>
      </c>
    </row>
    <row r="2837" spans="1:16" x14ac:dyDescent="0.25">
      <c r="A2837" s="4">
        <v>44436</v>
      </c>
      <c r="B2837" t="s">
        <v>9</v>
      </c>
      <c r="C2837" t="s">
        <v>78</v>
      </c>
      <c r="F2837">
        <v>224</v>
      </c>
      <c r="J2837">
        <v>1.1399999999999999</v>
      </c>
      <c r="K2837">
        <v>42.3</v>
      </c>
      <c r="L2837">
        <v>37.1</v>
      </c>
      <c r="M2837">
        <v>153</v>
      </c>
      <c r="N2837">
        <v>26</v>
      </c>
      <c r="O2837">
        <v>4</v>
      </c>
    </row>
    <row r="2838" spans="1:16" x14ac:dyDescent="0.25">
      <c r="A2838" s="4">
        <v>44438</v>
      </c>
      <c r="B2838" t="s">
        <v>10</v>
      </c>
      <c r="C2838">
        <v>1</v>
      </c>
      <c r="F2838">
        <v>253</v>
      </c>
      <c r="J2838">
        <v>0.97499999999999998</v>
      </c>
      <c r="K2838">
        <v>35.1</v>
      </c>
      <c r="L2838">
        <v>36.1</v>
      </c>
      <c r="M2838">
        <v>151</v>
      </c>
      <c r="N2838">
        <v>37</v>
      </c>
      <c r="O2838">
        <v>9</v>
      </c>
    </row>
    <row r="2839" spans="1:16" x14ac:dyDescent="0.25">
      <c r="A2839" s="4">
        <v>44438</v>
      </c>
      <c r="B2839" t="s">
        <v>9</v>
      </c>
      <c r="C2839">
        <v>1</v>
      </c>
      <c r="F2839">
        <v>270</v>
      </c>
      <c r="J2839">
        <v>0.97399999999999998</v>
      </c>
      <c r="K2839">
        <v>37.5</v>
      </c>
      <c r="L2839">
        <v>38.5</v>
      </c>
      <c r="M2839">
        <v>178</v>
      </c>
      <c r="N2839">
        <v>33</v>
      </c>
      <c r="O2839">
        <v>4</v>
      </c>
      <c r="P2839">
        <v>1</v>
      </c>
    </row>
    <row r="2840" spans="1:16" x14ac:dyDescent="0.25">
      <c r="A2840" s="4">
        <v>44438</v>
      </c>
      <c r="B2840" t="s">
        <v>10</v>
      </c>
      <c r="C2840" t="s">
        <v>78</v>
      </c>
      <c r="F2840">
        <v>253</v>
      </c>
      <c r="J2840">
        <v>0.97499999999999998</v>
      </c>
      <c r="K2840">
        <v>35.1</v>
      </c>
      <c r="L2840">
        <v>36.1</v>
      </c>
      <c r="M2840">
        <v>151</v>
      </c>
      <c r="N2840">
        <v>37</v>
      </c>
      <c r="O2840">
        <v>9</v>
      </c>
    </row>
    <row r="2841" spans="1:16" x14ac:dyDescent="0.25">
      <c r="A2841" s="4">
        <v>44438</v>
      </c>
      <c r="B2841" t="s">
        <v>9</v>
      </c>
      <c r="C2841" t="s">
        <v>78</v>
      </c>
      <c r="F2841">
        <v>270</v>
      </c>
      <c r="J2841">
        <v>0.97399999999999998</v>
      </c>
      <c r="K2841">
        <v>37.5</v>
      </c>
      <c r="L2841">
        <v>38.5</v>
      </c>
      <c r="M2841">
        <v>178</v>
      </c>
      <c r="N2841">
        <v>33</v>
      </c>
      <c r="O2841">
        <v>4</v>
      </c>
      <c r="P2841">
        <v>1</v>
      </c>
    </row>
    <row r="2842" spans="1:16" x14ac:dyDescent="0.25">
      <c r="A2842" s="4">
        <v>44439</v>
      </c>
      <c r="B2842" t="s">
        <v>10</v>
      </c>
      <c r="C2842">
        <v>1</v>
      </c>
      <c r="F2842">
        <v>289</v>
      </c>
      <c r="J2842">
        <v>1.0429999999999999</v>
      </c>
      <c r="K2842">
        <v>37.5</v>
      </c>
      <c r="L2842">
        <v>36</v>
      </c>
      <c r="M2842">
        <v>186</v>
      </c>
      <c r="N2842">
        <v>36</v>
      </c>
      <c r="O2842">
        <v>9</v>
      </c>
    </row>
    <row r="2843" spans="1:16" x14ac:dyDescent="0.25">
      <c r="A2843" s="4">
        <v>44439</v>
      </c>
      <c r="B2843" t="s">
        <v>9</v>
      </c>
      <c r="C2843">
        <v>1</v>
      </c>
      <c r="F2843">
        <v>335</v>
      </c>
      <c r="J2843">
        <v>1.032</v>
      </c>
      <c r="K2843">
        <v>39.4</v>
      </c>
      <c r="L2843">
        <v>38.200000000000003</v>
      </c>
      <c r="M2843">
        <v>229</v>
      </c>
      <c r="N2843">
        <v>32</v>
      </c>
      <c r="O2843">
        <v>8</v>
      </c>
      <c r="P2843">
        <v>2</v>
      </c>
    </row>
    <row r="2844" spans="1:16" x14ac:dyDescent="0.25">
      <c r="A2844" s="4">
        <v>44439</v>
      </c>
      <c r="B2844" t="s">
        <v>10</v>
      </c>
      <c r="C2844" t="s">
        <v>78</v>
      </c>
      <c r="F2844">
        <v>289</v>
      </c>
      <c r="J2844">
        <v>1.0429999999999999</v>
      </c>
      <c r="K2844">
        <v>37.5</v>
      </c>
      <c r="L2844">
        <v>36</v>
      </c>
      <c r="M2844">
        <v>186</v>
      </c>
      <c r="N2844">
        <v>36</v>
      </c>
      <c r="O2844">
        <v>9</v>
      </c>
    </row>
    <row r="2845" spans="1:16" x14ac:dyDescent="0.25">
      <c r="A2845" s="4">
        <v>44439</v>
      </c>
      <c r="B2845" t="s">
        <v>9</v>
      </c>
      <c r="C2845" t="s">
        <v>78</v>
      </c>
      <c r="F2845">
        <v>335</v>
      </c>
      <c r="J2845">
        <v>1.032</v>
      </c>
      <c r="K2845">
        <v>39.4</v>
      </c>
      <c r="L2845">
        <v>38.200000000000003</v>
      </c>
      <c r="M2845">
        <v>229</v>
      </c>
      <c r="N2845">
        <v>32</v>
      </c>
      <c r="O2845">
        <v>8</v>
      </c>
      <c r="P2845">
        <v>2</v>
      </c>
    </row>
    <row r="2846" spans="1:16" x14ac:dyDescent="0.25">
      <c r="A2846" s="4">
        <v>44440</v>
      </c>
      <c r="B2846" t="s">
        <v>10</v>
      </c>
      <c r="C2846">
        <v>1</v>
      </c>
      <c r="F2846">
        <v>397</v>
      </c>
      <c r="J2846">
        <v>1.2050000000000001</v>
      </c>
      <c r="K2846">
        <v>46.7</v>
      </c>
      <c r="L2846">
        <v>38.799999999999997</v>
      </c>
      <c r="M2846">
        <v>223</v>
      </c>
      <c r="N2846">
        <v>42</v>
      </c>
      <c r="O2846">
        <v>15</v>
      </c>
      <c r="P2846">
        <v>5</v>
      </c>
    </row>
    <row r="2847" spans="1:16" x14ac:dyDescent="0.25">
      <c r="A2847" s="4">
        <v>44440</v>
      </c>
      <c r="B2847" t="s">
        <v>9</v>
      </c>
      <c r="C2847">
        <v>1</v>
      </c>
      <c r="F2847">
        <v>301</v>
      </c>
      <c r="J2847">
        <v>1.246</v>
      </c>
      <c r="K2847">
        <v>50.2</v>
      </c>
      <c r="L2847">
        <v>40.299999999999997</v>
      </c>
      <c r="M2847">
        <v>176</v>
      </c>
      <c r="N2847">
        <v>31</v>
      </c>
      <c r="O2847">
        <v>9</v>
      </c>
      <c r="P2847">
        <v>2</v>
      </c>
    </row>
    <row r="2848" spans="1:16" x14ac:dyDescent="0.25">
      <c r="A2848" s="4">
        <v>44440</v>
      </c>
      <c r="B2848" t="s">
        <v>10</v>
      </c>
      <c r="C2848" t="s">
        <v>78</v>
      </c>
      <c r="F2848">
        <v>397</v>
      </c>
      <c r="J2848">
        <v>1.2050000000000001</v>
      </c>
      <c r="K2848">
        <v>46.7</v>
      </c>
      <c r="L2848">
        <v>38.799999999999997</v>
      </c>
      <c r="M2848">
        <v>223</v>
      </c>
      <c r="N2848">
        <v>42</v>
      </c>
      <c r="O2848">
        <v>15</v>
      </c>
      <c r="P2848">
        <v>5</v>
      </c>
    </row>
    <row r="2849" spans="1:16" x14ac:dyDescent="0.25">
      <c r="A2849" s="4">
        <v>44440</v>
      </c>
      <c r="B2849" t="s">
        <v>9</v>
      </c>
      <c r="C2849" t="s">
        <v>78</v>
      </c>
      <c r="F2849">
        <v>301</v>
      </c>
      <c r="J2849">
        <v>1.246</v>
      </c>
      <c r="K2849">
        <v>50.2</v>
      </c>
      <c r="L2849">
        <v>40.299999999999997</v>
      </c>
      <c r="M2849">
        <v>176</v>
      </c>
      <c r="N2849">
        <v>31</v>
      </c>
      <c r="O2849">
        <v>9</v>
      </c>
      <c r="P2849">
        <v>2</v>
      </c>
    </row>
    <row r="2850" spans="1:16" x14ac:dyDescent="0.25">
      <c r="A2850" s="4">
        <v>44441</v>
      </c>
      <c r="B2850" t="s">
        <v>10</v>
      </c>
      <c r="C2850">
        <v>1</v>
      </c>
      <c r="F2850">
        <v>351</v>
      </c>
      <c r="J2850">
        <v>1.2410000000000001</v>
      </c>
      <c r="K2850">
        <v>46.8</v>
      </c>
      <c r="L2850">
        <v>37.700000000000003</v>
      </c>
      <c r="M2850">
        <v>230</v>
      </c>
      <c r="N2850">
        <v>32</v>
      </c>
      <c r="O2850">
        <v>11</v>
      </c>
      <c r="P2850">
        <v>4</v>
      </c>
    </row>
    <row r="2851" spans="1:16" x14ac:dyDescent="0.25">
      <c r="A2851" s="4">
        <v>44441</v>
      </c>
      <c r="B2851" t="s">
        <v>9</v>
      </c>
      <c r="C2851">
        <v>1</v>
      </c>
      <c r="F2851">
        <v>415</v>
      </c>
      <c r="J2851">
        <v>1.2370000000000001</v>
      </c>
      <c r="K2851">
        <v>46.1</v>
      </c>
      <c r="L2851">
        <v>37.299999999999997</v>
      </c>
      <c r="M2851">
        <v>303</v>
      </c>
      <c r="N2851">
        <v>33</v>
      </c>
      <c r="O2851">
        <v>10</v>
      </c>
    </row>
    <row r="2852" spans="1:16" x14ac:dyDescent="0.25">
      <c r="A2852" s="4">
        <v>44441</v>
      </c>
      <c r="B2852" t="s">
        <v>10</v>
      </c>
      <c r="C2852" t="s">
        <v>78</v>
      </c>
      <c r="F2852">
        <v>351</v>
      </c>
      <c r="J2852">
        <v>1.2410000000000001</v>
      </c>
      <c r="K2852">
        <v>46.8</v>
      </c>
      <c r="L2852">
        <v>37.700000000000003</v>
      </c>
      <c r="M2852">
        <v>230</v>
      </c>
      <c r="N2852">
        <v>32</v>
      </c>
      <c r="O2852">
        <v>11</v>
      </c>
      <c r="P2852">
        <v>4</v>
      </c>
    </row>
    <row r="2853" spans="1:16" x14ac:dyDescent="0.25">
      <c r="A2853" s="4">
        <v>44441</v>
      </c>
      <c r="B2853" t="s">
        <v>9</v>
      </c>
      <c r="C2853" t="s">
        <v>78</v>
      </c>
      <c r="F2853">
        <v>415</v>
      </c>
      <c r="J2853">
        <v>1.2370000000000001</v>
      </c>
      <c r="K2853">
        <v>46.1</v>
      </c>
      <c r="L2853">
        <v>37.299999999999997</v>
      </c>
      <c r="M2853">
        <v>303</v>
      </c>
      <c r="N2853">
        <v>33</v>
      </c>
      <c r="O2853">
        <v>10</v>
      </c>
    </row>
    <row r="2854" spans="1:16" x14ac:dyDescent="0.25">
      <c r="A2854" s="4">
        <v>44442</v>
      </c>
      <c r="B2854" t="s">
        <v>10</v>
      </c>
      <c r="C2854">
        <v>1</v>
      </c>
      <c r="F2854">
        <v>295</v>
      </c>
      <c r="J2854">
        <v>1.119</v>
      </c>
      <c r="K2854">
        <v>41</v>
      </c>
      <c r="L2854">
        <v>36.6</v>
      </c>
      <c r="M2854">
        <v>184</v>
      </c>
      <c r="N2854">
        <v>29</v>
      </c>
      <c r="O2854">
        <v>11</v>
      </c>
      <c r="P2854">
        <v>2</v>
      </c>
    </row>
    <row r="2855" spans="1:16" x14ac:dyDescent="0.25">
      <c r="A2855" s="4">
        <v>44442</v>
      </c>
      <c r="B2855" t="s">
        <v>9</v>
      </c>
      <c r="C2855">
        <v>1</v>
      </c>
      <c r="F2855">
        <v>303</v>
      </c>
      <c r="J2855">
        <v>1.121</v>
      </c>
      <c r="K2855">
        <v>42.1</v>
      </c>
      <c r="L2855">
        <v>37.6</v>
      </c>
      <c r="M2855">
        <v>206</v>
      </c>
      <c r="N2855">
        <v>26</v>
      </c>
      <c r="O2855">
        <v>10</v>
      </c>
      <c r="P2855">
        <v>1</v>
      </c>
    </row>
    <row r="2856" spans="1:16" x14ac:dyDescent="0.25">
      <c r="A2856" s="4">
        <v>44442</v>
      </c>
      <c r="B2856" t="s">
        <v>10</v>
      </c>
      <c r="C2856" t="s">
        <v>78</v>
      </c>
      <c r="F2856">
        <v>295</v>
      </c>
      <c r="J2856">
        <v>1.119</v>
      </c>
      <c r="K2856">
        <v>41</v>
      </c>
      <c r="L2856">
        <v>36.6</v>
      </c>
      <c r="M2856">
        <v>184</v>
      </c>
      <c r="N2856">
        <v>29</v>
      </c>
      <c r="O2856">
        <v>11</v>
      </c>
      <c r="P2856">
        <v>2</v>
      </c>
    </row>
    <row r="2857" spans="1:16" x14ac:dyDescent="0.25">
      <c r="A2857" s="4">
        <v>44442</v>
      </c>
      <c r="B2857" t="s">
        <v>9</v>
      </c>
      <c r="C2857" t="s">
        <v>78</v>
      </c>
      <c r="F2857">
        <v>303</v>
      </c>
      <c r="J2857">
        <v>1.121</v>
      </c>
      <c r="K2857">
        <v>42.1</v>
      </c>
      <c r="L2857">
        <v>37.6</v>
      </c>
      <c r="M2857">
        <v>206</v>
      </c>
      <c r="N2857">
        <v>26</v>
      </c>
      <c r="O2857">
        <v>10</v>
      </c>
      <c r="P2857">
        <v>1</v>
      </c>
    </row>
    <row r="2858" spans="1:16" x14ac:dyDescent="0.25">
      <c r="A2858" s="4">
        <v>44446</v>
      </c>
      <c r="B2858" t="s">
        <v>10</v>
      </c>
      <c r="C2858">
        <v>1</v>
      </c>
      <c r="F2858">
        <v>340</v>
      </c>
      <c r="J2858">
        <v>1.085</v>
      </c>
      <c r="K2858">
        <v>41</v>
      </c>
      <c r="L2858">
        <v>38</v>
      </c>
      <c r="M2858">
        <v>193</v>
      </c>
      <c r="N2858">
        <v>46</v>
      </c>
      <c r="O2858">
        <v>12</v>
      </c>
      <c r="P2858">
        <v>2</v>
      </c>
    </row>
    <row r="2859" spans="1:16" x14ac:dyDescent="0.25">
      <c r="A2859" s="4">
        <v>44446</v>
      </c>
      <c r="B2859" t="s">
        <v>9</v>
      </c>
      <c r="C2859">
        <v>1</v>
      </c>
      <c r="F2859">
        <v>385</v>
      </c>
      <c r="J2859">
        <v>1.097</v>
      </c>
      <c r="K2859">
        <v>43.8</v>
      </c>
      <c r="L2859">
        <v>39.9</v>
      </c>
      <c r="M2859">
        <v>234</v>
      </c>
      <c r="N2859">
        <v>41</v>
      </c>
      <c r="O2859">
        <v>12</v>
      </c>
      <c r="P2859">
        <v>3</v>
      </c>
    </row>
    <row r="2860" spans="1:16" x14ac:dyDescent="0.25">
      <c r="A2860" s="4">
        <v>44446</v>
      </c>
      <c r="B2860" t="s">
        <v>10</v>
      </c>
      <c r="C2860" t="s">
        <v>78</v>
      </c>
      <c r="F2860">
        <v>340</v>
      </c>
      <c r="J2860">
        <v>1.085</v>
      </c>
      <c r="K2860">
        <v>41</v>
      </c>
      <c r="L2860">
        <v>38</v>
      </c>
      <c r="M2860">
        <v>193</v>
      </c>
      <c r="N2860">
        <v>46</v>
      </c>
      <c r="O2860">
        <v>12</v>
      </c>
      <c r="P2860">
        <v>2</v>
      </c>
    </row>
    <row r="2861" spans="1:16" x14ac:dyDescent="0.25">
      <c r="A2861" s="4">
        <v>44446</v>
      </c>
      <c r="B2861" t="s">
        <v>9</v>
      </c>
      <c r="C2861" t="s">
        <v>78</v>
      </c>
      <c r="F2861">
        <v>385</v>
      </c>
      <c r="J2861">
        <v>1.097</v>
      </c>
      <c r="K2861">
        <v>43.8</v>
      </c>
      <c r="L2861">
        <v>39.9</v>
      </c>
      <c r="M2861">
        <v>234</v>
      </c>
      <c r="N2861">
        <v>41</v>
      </c>
      <c r="O2861">
        <v>12</v>
      </c>
      <c r="P2861">
        <v>3</v>
      </c>
    </row>
    <row r="2862" spans="1:16" x14ac:dyDescent="0.25">
      <c r="A2862" s="4">
        <v>44447</v>
      </c>
      <c r="B2862" t="s">
        <v>10</v>
      </c>
      <c r="C2862">
        <v>1</v>
      </c>
      <c r="F2862">
        <v>332</v>
      </c>
      <c r="J2862">
        <v>1.083</v>
      </c>
      <c r="K2862">
        <v>40.5</v>
      </c>
      <c r="L2862">
        <v>37.4</v>
      </c>
      <c r="M2862">
        <v>191</v>
      </c>
      <c r="N2862">
        <v>43</v>
      </c>
      <c r="O2862">
        <v>15</v>
      </c>
    </row>
    <row r="2863" spans="1:16" x14ac:dyDescent="0.25">
      <c r="A2863" s="4">
        <v>44447</v>
      </c>
      <c r="B2863" t="s">
        <v>9</v>
      </c>
      <c r="C2863">
        <v>1</v>
      </c>
      <c r="F2863">
        <v>377</v>
      </c>
      <c r="J2863">
        <v>1.1040000000000001</v>
      </c>
      <c r="K2863">
        <v>47.1</v>
      </c>
      <c r="L2863">
        <v>42.7</v>
      </c>
      <c r="M2863">
        <v>195</v>
      </c>
      <c r="N2863">
        <v>35</v>
      </c>
      <c r="O2863">
        <v>23</v>
      </c>
      <c r="P2863">
        <v>2</v>
      </c>
    </row>
    <row r="2864" spans="1:16" x14ac:dyDescent="0.25">
      <c r="A2864" s="4">
        <v>44447</v>
      </c>
      <c r="B2864" t="s">
        <v>10</v>
      </c>
      <c r="C2864" t="s">
        <v>78</v>
      </c>
      <c r="F2864">
        <v>332</v>
      </c>
      <c r="J2864">
        <v>1.083</v>
      </c>
      <c r="K2864">
        <v>40.5</v>
      </c>
      <c r="L2864">
        <v>37.4</v>
      </c>
      <c r="M2864">
        <v>191</v>
      </c>
      <c r="N2864">
        <v>43</v>
      </c>
      <c r="O2864">
        <v>15</v>
      </c>
    </row>
    <row r="2865" spans="1:16" x14ac:dyDescent="0.25">
      <c r="A2865" s="4">
        <v>44447</v>
      </c>
      <c r="B2865" t="s">
        <v>9</v>
      </c>
      <c r="C2865" t="s">
        <v>78</v>
      </c>
      <c r="F2865">
        <v>377</v>
      </c>
      <c r="J2865">
        <v>1.1040000000000001</v>
      </c>
      <c r="K2865">
        <v>47.1</v>
      </c>
      <c r="L2865">
        <v>42.7</v>
      </c>
      <c r="M2865">
        <v>195</v>
      </c>
      <c r="N2865">
        <v>35</v>
      </c>
      <c r="O2865">
        <v>23</v>
      </c>
      <c r="P2865">
        <v>2</v>
      </c>
    </row>
    <row r="2866" spans="1:16" x14ac:dyDescent="0.25">
      <c r="A2866" s="4">
        <v>44448</v>
      </c>
      <c r="B2866" t="s">
        <v>10</v>
      </c>
      <c r="C2866">
        <v>1</v>
      </c>
      <c r="F2866">
        <v>308</v>
      </c>
      <c r="J2866">
        <v>0.97799999999999998</v>
      </c>
      <c r="K2866">
        <v>37.1</v>
      </c>
      <c r="L2866">
        <v>38.4</v>
      </c>
      <c r="M2866">
        <v>183</v>
      </c>
      <c r="N2866">
        <v>24</v>
      </c>
      <c r="O2866">
        <v>22</v>
      </c>
    </row>
    <row r="2867" spans="1:16" x14ac:dyDescent="0.25">
      <c r="A2867" s="4">
        <v>44448</v>
      </c>
      <c r="B2867" t="s">
        <v>9</v>
      </c>
      <c r="C2867">
        <v>1</v>
      </c>
      <c r="F2867">
        <v>349</v>
      </c>
      <c r="J2867">
        <v>1.0820000000000001</v>
      </c>
      <c r="K2867">
        <v>42.6</v>
      </c>
      <c r="L2867">
        <v>39.4</v>
      </c>
      <c r="M2867">
        <v>211</v>
      </c>
      <c r="N2867">
        <v>30</v>
      </c>
      <c r="O2867">
        <v>18</v>
      </c>
      <c r="P2867">
        <v>2</v>
      </c>
    </row>
    <row r="2868" spans="1:16" x14ac:dyDescent="0.25">
      <c r="A2868" s="4">
        <v>44448</v>
      </c>
      <c r="B2868" t="s">
        <v>10</v>
      </c>
      <c r="C2868" t="s">
        <v>78</v>
      </c>
      <c r="F2868">
        <v>308</v>
      </c>
      <c r="J2868">
        <v>0.97799999999999998</v>
      </c>
      <c r="K2868">
        <v>37.1</v>
      </c>
      <c r="L2868">
        <v>38.4</v>
      </c>
      <c r="M2868">
        <v>183</v>
      </c>
      <c r="N2868">
        <v>24</v>
      </c>
      <c r="O2868">
        <v>22</v>
      </c>
    </row>
    <row r="2869" spans="1:16" x14ac:dyDescent="0.25">
      <c r="A2869" s="4">
        <v>44448</v>
      </c>
      <c r="B2869" t="s">
        <v>9</v>
      </c>
      <c r="C2869" t="s">
        <v>78</v>
      </c>
      <c r="F2869">
        <v>349</v>
      </c>
      <c r="J2869">
        <v>1.0820000000000001</v>
      </c>
      <c r="K2869">
        <v>42.6</v>
      </c>
      <c r="L2869">
        <v>39.4</v>
      </c>
      <c r="M2869">
        <v>211</v>
      </c>
      <c r="N2869">
        <v>30</v>
      </c>
      <c r="O2869">
        <v>18</v>
      </c>
      <c r="P2869">
        <v>2</v>
      </c>
    </row>
    <row r="2870" spans="1:16" x14ac:dyDescent="0.25">
      <c r="A2870" s="4">
        <v>44449</v>
      </c>
      <c r="B2870" t="s">
        <v>10</v>
      </c>
      <c r="C2870">
        <v>1</v>
      </c>
      <c r="F2870">
        <v>330</v>
      </c>
      <c r="J2870">
        <v>1.2809999999999999</v>
      </c>
      <c r="K2870">
        <v>45.8</v>
      </c>
      <c r="L2870">
        <v>35.799999999999997</v>
      </c>
      <c r="M2870">
        <v>209</v>
      </c>
      <c r="N2870">
        <v>40</v>
      </c>
      <c r="O2870">
        <v>12</v>
      </c>
    </row>
    <row r="2871" spans="1:16" x14ac:dyDescent="0.25">
      <c r="A2871" s="4">
        <v>44449</v>
      </c>
      <c r="B2871" t="s">
        <v>9</v>
      </c>
      <c r="C2871">
        <v>1</v>
      </c>
      <c r="F2871">
        <v>413</v>
      </c>
      <c r="J2871">
        <v>1.1459999999999999</v>
      </c>
      <c r="K2871">
        <v>45.9</v>
      </c>
      <c r="L2871">
        <v>40</v>
      </c>
      <c r="M2871">
        <v>262</v>
      </c>
      <c r="N2871">
        <v>22</v>
      </c>
      <c r="O2871">
        <v>17</v>
      </c>
      <c r="P2871">
        <v>5</v>
      </c>
    </row>
    <row r="2872" spans="1:16" x14ac:dyDescent="0.25">
      <c r="A2872" s="4">
        <v>44449</v>
      </c>
      <c r="B2872" t="s">
        <v>10</v>
      </c>
      <c r="C2872" t="s">
        <v>78</v>
      </c>
      <c r="F2872">
        <v>330</v>
      </c>
      <c r="J2872">
        <v>1.2809999999999999</v>
      </c>
      <c r="K2872">
        <v>45.8</v>
      </c>
      <c r="L2872">
        <v>35.799999999999997</v>
      </c>
      <c r="M2872">
        <v>209</v>
      </c>
      <c r="N2872">
        <v>40</v>
      </c>
      <c r="O2872">
        <v>12</v>
      </c>
    </row>
    <row r="2873" spans="1:16" x14ac:dyDescent="0.25">
      <c r="A2873" s="4">
        <v>44449</v>
      </c>
      <c r="B2873" t="s">
        <v>9</v>
      </c>
      <c r="C2873" t="s">
        <v>78</v>
      </c>
      <c r="F2873">
        <v>413</v>
      </c>
      <c r="J2873">
        <v>1.1459999999999999</v>
      </c>
      <c r="K2873">
        <v>45.9</v>
      </c>
      <c r="L2873">
        <v>40</v>
      </c>
      <c r="M2873">
        <v>262</v>
      </c>
      <c r="N2873">
        <v>22</v>
      </c>
      <c r="O2873">
        <v>17</v>
      </c>
      <c r="P2873">
        <v>5</v>
      </c>
    </row>
    <row r="2874" spans="1:16" x14ac:dyDescent="0.25">
      <c r="A2874" s="4">
        <v>44452</v>
      </c>
      <c r="B2874" t="s">
        <v>9</v>
      </c>
      <c r="C2874">
        <v>1</v>
      </c>
      <c r="F2874">
        <v>512</v>
      </c>
      <c r="J2874">
        <v>1.107</v>
      </c>
      <c r="K2874">
        <v>47.4</v>
      </c>
      <c r="L2874">
        <v>42.8</v>
      </c>
      <c r="M2874">
        <v>224</v>
      </c>
      <c r="N2874">
        <v>54</v>
      </c>
      <c r="O2874">
        <v>31</v>
      </c>
      <c r="P2874">
        <v>8</v>
      </c>
    </row>
    <row r="2875" spans="1:16" x14ac:dyDescent="0.25">
      <c r="A2875" s="4">
        <v>44452</v>
      </c>
      <c r="B2875" t="s">
        <v>9</v>
      </c>
      <c r="C2875" t="s">
        <v>78</v>
      </c>
      <c r="F2875">
        <v>512</v>
      </c>
      <c r="J2875">
        <v>1.107</v>
      </c>
      <c r="K2875">
        <v>47.4</v>
      </c>
      <c r="L2875">
        <v>42.8</v>
      </c>
      <c r="M2875">
        <v>224</v>
      </c>
      <c r="N2875">
        <v>54</v>
      </c>
      <c r="O2875">
        <v>31</v>
      </c>
      <c r="P2875">
        <v>8</v>
      </c>
    </row>
    <row r="2876" spans="1:16" x14ac:dyDescent="0.25">
      <c r="A2876" s="4">
        <v>44453</v>
      </c>
      <c r="B2876" t="s">
        <v>10</v>
      </c>
      <c r="C2876">
        <v>1</v>
      </c>
      <c r="F2876">
        <v>351</v>
      </c>
      <c r="J2876">
        <v>1.0760000000000001</v>
      </c>
      <c r="K2876">
        <v>39</v>
      </c>
      <c r="L2876">
        <v>36.200000000000003</v>
      </c>
      <c r="M2876">
        <v>235</v>
      </c>
      <c r="N2876">
        <v>41</v>
      </c>
      <c r="O2876">
        <v>11</v>
      </c>
    </row>
    <row r="2877" spans="1:16" x14ac:dyDescent="0.25">
      <c r="A2877" s="4">
        <v>44453</v>
      </c>
      <c r="B2877" t="s">
        <v>9</v>
      </c>
      <c r="C2877">
        <v>1</v>
      </c>
      <c r="F2877">
        <v>419</v>
      </c>
      <c r="J2877">
        <v>1.169</v>
      </c>
      <c r="K2877">
        <v>46.6</v>
      </c>
      <c r="L2877">
        <v>39.799999999999997</v>
      </c>
      <c r="M2877">
        <v>226</v>
      </c>
      <c r="N2877">
        <v>59</v>
      </c>
      <c r="O2877">
        <v>16</v>
      </c>
      <c r="P2877">
        <v>1</v>
      </c>
    </row>
    <row r="2878" spans="1:16" x14ac:dyDescent="0.25">
      <c r="A2878" s="4">
        <v>44453</v>
      </c>
      <c r="B2878" t="s">
        <v>10</v>
      </c>
      <c r="C2878" t="s">
        <v>78</v>
      </c>
      <c r="F2878">
        <v>351</v>
      </c>
      <c r="J2878">
        <v>1.0760000000000001</v>
      </c>
      <c r="K2878">
        <v>39</v>
      </c>
      <c r="L2878">
        <v>36.200000000000003</v>
      </c>
      <c r="M2878">
        <v>235</v>
      </c>
      <c r="N2878">
        <v>41</v>
      </c>
      <c r="O2878">
        <v>11</v>
      </c>
    </row>
    <row r="2879" spans="1:16" x14ac:dyDescent="0.25">
      <c r="A2879" s="4">
        <v>44453</v>
      </c>
      <c r="B2879" t="s">
        <v>9</v>
      </c>
      <c r="C2879" t="s">
        <v>78</v>
      </c>
      <c r="F2879">
        <v>419</v>
      </c>
      <c r="J2879">
        <v>1.169</v>
      </c>
      <c r="K2879">
        <v>46.6</v>
      </c>
      <c r="L2879">
        <v>39.799999999999997</v>
      </c>
      <c r="M2879">
        <v>226</v>
      </c>
      <c r="N2879">
        <v>59</v>
      </c>
      <c r="O2879">
        <v>16</v>
      </c>
      <c r="P2879">
        <v>1</v>
      </c>
    </row>
    <row r="2880" spans="1:16" x14ac:dyDescent="0.25">
      <c r="A2880" s="4">
        <v>44454</v>
      </c>
      <c r="B2880" t="s">
        <v>10</v>
      </c>
      <c r="C2880">
        <v>1</v>
      </c>
      <c r="F2880">
        <v>351</v>
      </c>
      <c r="J2880">
        <v>1.101</v>
      </c>
      <c r="K2880">
        <v>39.9</v>
      </c>
      <c r="L2880">
        <v>36.200000000000003</v>
      </c>
      <c r="M2880">
        <v>235</v>
      </c>
      <c r="N2880">
        <v>41</v>
      </c>
      <c r="O2880">
        <v>11</v>
      </c>
    </row>
    <row r="2881" spans="1:16" x14ac:dyDescent="0.25">
      <c r="A2881" s="4">
        <v>44454</v>
      </c>
      <c r="B2881" t="s">
        <v>9</v>
      </c>
      <c r="C2881">
        <v>1</v>
      </c>
      <c r="F2881">
        <v>419</v>
      </c>
      <c r="J2881">
        <v>1.169</v>
      </c>
      <c r="K2881">
        <v>46.6</v>
      </c>
      <c r="L2881">
        <v>39.799999999999997</v>
      </c>
      <c r="M2881">
        <v>226</v>
      </c>
      <c r="N2881">
        <v>59</v>
      </c>
      <c r="O2881">
        <v>16</v>
      </c>
      <c r="P2881">
        <v>1</v>
      </c>
    </row>
    <row r="2882" spans="1:16" x14ac:dyDescent="0.25">
      <c r="A2882" s="4">
        <v>44454</v>
      </c>
      <c r="B2882" t="s">
        <v>10</v>
      </c>
      <c r="C2882" t="s">
        <v>78</v>
      </c>
      <c r="F2882">
        <v>351</v>
      </c>
      <c r="J2882">
        <v>1.101</v>
      </c>
      <c r="K2882">
        <v>39.9</v>
      </c>
      <c r="L2882">
        <v>36.200000000000003</v>
      </c>
      <c r="M2882">
        <v>235</v>
      </c>
      <c r="N2882">
        <v>41</v>
      </c>
      <c r="O2882">
        <v>11</v>
      </c>
    </row>
    <row r="2883" spans="1:16" x14ac:dyDescent="0.25">
      <c r="A2883" s="4">
        <v>44454</v>
      </c>
      <c r="B2883" t="s">
        <v>9</v>
      </c>
      <c r="C2883" t="s">
        <v>78</v>
      </c>
      <c r="F2883">
        <v>419</v>
      </c>
      <c r="J2883">
        <v>1.169</v>
      </c>
      <c r="K2883">
        <v>46.6</v>
      </c>
      <c r="L2883">
        <v>39.799999999999997</v>
      </c>
      <c r="M2883">
        <v>226</v>
      </c>
      <c r="N2883">
        <v>59</v>
      </c>
      <c r="O2883">
        <v>16</v>
      </c>
      <c r="P2883">
        <v>1</v>
      </c>
    </row>
    <row r="2884" spans="1:16" x14ac:dyDescent="0.25">
      <c r="A2884" s="4">
        <v>44455</v>
      </c>
      <c r="B2884" t="s">
        <v>10</v>
      </c>
      <c r="C2884">
        <v>1</v>
      </c>
      <c r="F2884">
        <v>400</v>
      </c>
      <c r="J2884">
        <v>1.175</v>
      </c>
      <c r="K2884">
        <v>44.4</v>
      </c>
      <c r="L2884">
        <v>37.799999999999997</v>
      </c>
      <c r="M2884">
        <v>207</v>
      </c>
      <c r="N2884">
        <v>60</v>
      </c>
      <c r="O2884">
        <v>19</v>
      </c>
      <c r="P2884">
        <v>1</v>
      </c>
    </row>
    <row r="2885" spans="1:16" x14ac:dyDescent="0.25">
      <c r="A2885" s="4">
        <v>44455</v>
      </c>
      <c r="B2885" t="s">
        <v>9</v>
      </c>
      <c r="C2885">
        <v>1</v>
      </c>
      <c r="F2885">
        <v>408</v>
      </c>
      <c r="J2885">
        <v>1.161</v>
      </c>
      <c r="K2885">
        <v>45.3</v>
      </c>
      <c r="L2885">
        <v>39.1</v>
      </c>
      <c r="M2885">
        <v>278</v>
      </c>
      <c r="N2885">
        <v>31</v>
      </c>
      <c r="O2885">
        <v>10</v>
      </c>
      <c r="P2885">
        <v>3</v>
      </c>
    </row>
    <row r="2886" spans="1:16" x14ac:dyDescent="0.25">
      <c r="A2886" s="4">
        <v>44455</v>
      </c>
      <c r="B2886" t="s">
        <v>10</v>
      </c>
      <c r="C2886" t="s">
        <v>78</v>
      </c>
      <c r="F2886">
        <v>400</v>
      </c>
      <c r="J2886">
        <v>1.175</v>
      </c>
      <c r="K2886">
        <v>44.4</v>
      </c>
      <c r="L2886">
        <v>37.799999999999997</v>
      </c>
      <c r="M2886">
        <v>207</v>
      </c>
      <c r="N2886">
        <v>60</v>
      </c>
      <c r="O2886">
        <v>19</v>
      </c>
      <c r="P2886">
        <v>1</v>
      </c>
    </row>
    <row r="2887" spans="1:16" x14ac:dyDescent="0.25">
      <c r="A2887" s="4">
        <v>44455</v>
      </c>
      <c r="B2887" t="s">
        <v>9</v>
      </c>
      <c r="C2887" t="s">
        <v>78</v>
      </c>
      <c r="F2887">
        <v>408</v>
      </c>
      <c r="J2887">
        <v>1.161</v>
      </c>
      <c r="K2887">
        <v>45.3</v>
      </c>
      <c r="L2887">
        <v>39.1</v>
      </c>
      <c r="M2887">
        <v>278</v>
      </c>
      <c r="N2887">
        <v>31</v>
      </c>
      <c r="O2887">
        <v>10</v>
      </c>
      <c r="P2887">
        <v>3</v>
      </c>
    </row>
    <row r="2888" spans="1:16" x14ac:dyDescent="0.25">
      <c r="A2888" s="4">
        <v>44456</v>
      </c>
      <c r="B2888" t="s">
        <v>10</v>
      </c>
      <c r="C2888">
        <v>1</v>
      </c>
      <c r="F2888">
        <v>347</v>
      </c>
      <c r="J2888">
        <v>1.1279999999999999</v>
      </c>
      <c r="K2888">
        <v>41.8</v>
      </c>
      <c r="L2888">
        <v>37.1</v>
      </c>
      <c r="M2888">
        <v>227</v>
      </c>
      <c r="N2888">
        <v>34</v>
      </c>
      <c r="O2888">
        <v>12</v>
      </c>
      <c r="P2888">
        <v>1</v>
      </c>
    </row>
    <row r="2889" spans="1:16" x14ac:dyDescent="0.25">
      <c r="A2889" s="4">
        <v>44456</v>
      </c>
      <c r="B2889" t="s">
        <v>9</v>
      </c>
      <c r="C2889">
        <v>1</v>
      </c>
      <c r="F2889">
        <v>396</v>
      </c>
      <c r="J2889">
        <v>1.1879999999999999</v>
      </c>
      <c r="K2889">
        <v>44</v>
      </c>
      <c r="L2889">
        <v>37</v>
      </c>
      <c r="M2889">
        <v>280</v>
      </c>
      <c r="N2889">
        <v>31</v>
      </c>
      <c r="O2889">
        <v>13</v>
      </c>
    </row>
    <row r="2890" spans="1:16" x14ac:dyDescent="0.25">
      <c r="A2890" s="4">
        <v>44456</v>
      </c>
      <c r="B2890" t="s">
        <v>10</v>
      </c>
      <c r="C2890" t="s">
        <v>78</v>
      </c>
      <c r="F2890">
        <v>347</v>
      </c>
      <c r="J2890">
        <v>1.1279999999999999</v>
      </c>
      <c r="K2890">
        <v>41.8</v>
      </c>
      <c r="L2890">
        <v>37.1</v>
      </c>
      <c r="M2890">
        <v>227</v>
      </c>
      <c r="N2890">
        <v>34</v>
      </c>
      <c r="O2890">
        <v>12</v>
      </c>
      <c r="P2890">
        <v>1</v>
      </c>
    </row>
    <row r="2891" spans="1:16" x14ac:dyDescent="0.25">
      <c r="A2891" s="4">
        <v>44456</v>
      </c>
      <c r="B2891" t="s">
        <v>9</v>
      </c>
      <c r="C2891" t="s">
        <v>78</v>
      </c>
      <c r="F2891">
        <v>396</v>
      </c>
      <c r="J2891">
        <v>1.1879999999999999</v>
      </c>
      <c r="K2891">
        <v>44</v>
      </c>
      <c r="L2891">
        <v>37</v>
      </c>
      <c r="M2891">
        <v>280</v>
      </c>
      <c r="N2891">
        <v>31</v>
      </c>
      <c r="O2891">
        <v>13</v>
      </c>
    </row>
    <row r="2892" spans="1:16" x14ac:dyDescent="0.25">
      <c r="A2892" s="4">
        <v>44457</v>
      </c>
      <c r="B2892" t="s">
        <v>10</v>
      </c>
      <c r="C2892">
        <v>1</v>
      </c>
      <c r="F2892">
        <v>173</v>
      </c>
      <c r="J2892">
        <v>0.92400000000000004</v>
      </c>
      <c r="K2892">
        <v>45.5</v>
      </c>
      <c r="L2892">
        <v>49.3</v>
      </c>
      <c r="M2892">
        <v>59</v>
      </c>
      <c r="N2892">
        <v>37</v>
      </c>
      <c r="O2892">
        <v>12</v>
      </c>
    </row>
    <row r="2893" spans="1:16" x14ac:dyDescent="0.25">
      <c r="A2893" s="4">
        <v>44457</v>
      </c>
      <c r="B2893" t="s">
        <v>9</v>
      </c>
      <c r="C2893">
        <v>1</v>
      </c>
      <c r="F2893">
        <v>264</v>
      </c>
      <c r="J2893">
        <v>1.3460000000000001</v>
      </c>
      <c r="K2893">
        <v>69.5</v>
      </c>
      <c r="L2893">
        <v>51.6</v>
      </c>
      <c r="M2893">
        <v>95</v>
      </c>
      <c r="N2893">
        <v>41</v>
      </c>
      <c r="O2893">
        <v>23</v>
      </c>
    </row>
    <row r="2894" spans="1:16" x14ac:dyDescent="0.25">
      <c r="A2894" s="4">
        <v>44457</v>
      </c>
      <c r="B2894" t="s">
        <v>10</v>
      </c>
      <c r="C2894" t="s">
        <v>78</v>
      </c>
      <c r="F2894">
        <v>173</v>
      </c>
      <c r="J2894">
        <v>0.92400000000000004</v>
      </c>
      <c r="K2894">
        <v>45.5</v>
      </c>
      <c r="L2894">
        <v>49.3</v>
      </c>
      <c r="M2894">
        <v>59</v>
      </c>
      <c r="N2894">
        <v>37</v>
      </c>
      <c r="O2894">
        <v>12</v>
      </c>
    </row>
    <row r="2895" spans="1:16" x14ac:dyDescent="0.25">
      <c r="A2895" s="4">
        <v>44457</v>
      </c>
      <c r="B2895" t="s">
        <v>9</v>
      </c>
      <c r="C2895" t="s">
        <v>78</v>
      </c>
      <c r="F2895">
        <v>264</v>
      </c>
      <c r="J2895">
        <v>1.3460000000000001</v>
      </c>
      <c r="K2895">
        <v>69.5</v>
      </c>
      <c r="L2895">
        <v>51.6</v>
      </c>
      <c r="M2895">
        <v>95</v>
      </c>
      <c r="N2895">
        <v>41</v>
      </c>
      <c r="O2895">
        <v>23</v>
      </c>
    </row>
    <row r="2896" spans="1:16" x14ac:dyDescent="0.25">
      <c r="A2896" s="4">
        <v>44459</v>
      </c>
      <c r="B2896" t="s">
        <v>10</v>
      </c>
      <c r="C2896">
        <v>1</v>
      </c>
      <c r="F2896">
        <v>359</v>
      </c>
      <c r="J2896">
        <v>1.0129999999999999</v>
      </c>
      <c r="K2896">
        <v>41.7</v>
      </c>
      <c r="L2896">
        <v>41.2</v>
      </c>
      <c r="M2896">
        <v>141</v>
      </c>
      <c r="N2896">
        <v>61</v>
      </c>
      <c r="O2896">
        <v>20</v>
      </c>
      <c r="P2896">
        <v>4</v>
      </c>
    </row>
    <row r="2897" spans="1:16" x14ac:dyDescent="0.25">
      <c r="A2897" s="4">
        <v>44459</v>
      </c>
      <c r="B2897" t="s">
        <v>9</v>
      </c>
      <c r="C2897">
        <v>1</v>
      </c>
      <c r="F2897">
        <v>403</v>
      </c>
      <c r="J2897">
        <v>1.139</v>
      </c>
      <c r="K2897">
        <v>44.8</v>
      </c>
      <c r="L2897">
        <v>39.299999999999997</v>
      </c>
      <c r="M2897">
        <v>239</v>
      </c>
      <c r="N2897">
        <v>41</v>
      </c>
      <c r="O2897">
        <v>10</v>
      </c>
      <c r="P2897">
        <v>4</v>
      </c>
    </row>
    <row r="2898" spans="1:16" x14ac:dyDescent="0.25">
      <c r="A2898" s="4">
        <v>44459</v>
      </c>
      <c r="B2898" t="s">
        <v>10</v>
      </c>
      <c r="C2898" t="s">
        <v>78</v>
      </c>
      <c r="F2898">
        <v>359</v>
      </c>
      <c r="J2898">
        <v>1.0129999999999999</v>
      </c>
      <c r="K2898">
        <v>41.7</v>
      </c>
      <c r="L2898">
        <v>41.2</v>
      </c>
      <c r="M2898">
        <v>141</v>
      </c>
      <c r="N2898">
        <v>61</v>
      </c>
      <c r="O2898">
        <v>20</v>
      </c>
      <c r="P2898">
        <v>4</v>
      </c>
    </row>
    <row r="2899" spans="1:16" x14ac:dyDescent="0.25">
      <c r="A2899" s="4">
        <v>44459</v>
      </c>
      <c r="B2899" t="s">
        <v>9</v>
      </c>
      <c r="C2899" t="s">
        <v>78</v>
      </c>
      <c r="F2899">
        <v>403</v>
      </c>
      <c r="J2899">
        <v>1.139</v>
      </c>
      <c r="K2899">
        <v>44.8</v>
      </c>
      <c r="L2899">
        <v>39.299999999999997</v>
      </c>
      <c r="M2899">
        <v>239</v>
      </c>
      <c r="N2899">
        <v>41</v>
      </c>
      <c r="O2899">
        <v>10</v>
      </c>
      <c r="P2899">
        <v>4</v>
      </c>
    </row>
    <row r="2900" spans="1:16" x14ac:dyDescent="0.25">
      <c r="A2900" s="4">
        <v>44460</v>
      </c>
      <c r="B2900" t="s">
        <v>10</v>
      </c>
      <c r="C2900">
        <v>1</v>
      </c>
      <c r="F2900">
        <v>381</v>
      </c>
      <c r="J2900">
        <v>1.169</v>
      </c>
      <c r="K2900">
        <v>45.4</v>
      </c>
      <c r="L2900">
        <v>38.799999999999997</v>
      </c>
      <c r="M2900">
        <v>183</v>
      </c>
      <c r="N2900">
        <v>55</v>
      </c>
      <c r="O2900">
        <v>23</v>
      </c>
      <c r="P2900">
        <v>1</v>
      </c>
    </row>
    <row r="2901" spans="1:16" x14ac:dyDescent="0.25">
      <c r="A2901" s="4">
        <v>44460</v>
      </c>
      <c r="B2901" t="s">
        <v>9</v>
      </c>
      <c r="C2901">
        <v>1</v>
      </c>
      <c r="F2901">
        <v>418</v>
      </c>
      <c r="J2901">
        <v>1.1619999999999999</v>
      </c>
      <c r="K2901">
        <v>48.1</v>
      </c>
      <c r="L2901">
        <v>41.4</v>
      </c>
      <c r="M2901">
        <v>194</v>
      </c>
      <c r="N2901">
        <v>67</v>
      </c>
      <c r="O2901">
        <v>19</v>
      </c>
      <c r="P2901">
        <v>3</v>
      </c>
    </row>
    <row r="2902" spans="1:16" x14ac:dyDescent="0.25">
      <c r="A2902" s="4">
        <v>44460</v>
      </c>
      <c r="B2902" t="s">
        <v>10</v>
      </c>
      <c r="C2902" t="s">
        <v>78</v>
      </c>
      <c r="F2902">
        <v>381</v>
      </c>
      <c r="J2902">
        <v>1.169</v>
      </c>
      <c r="K2902">
        <v>45.4</v>
      </c>
      <c r="L2902">
        <v>38.799999999999997</v>
      </c>
      <c r="M2902">
        <v>183</v>
      </c>
      <c r="N2902">
        <v>55</v>
      </c>
      <c r="O2902">
        <v>23</v>
      </c>
      <c r="P2902">
        <v>1</v>
      </c>
    </row>
    <row r="2903" spans="1:16" x14ac:dyDescent="0.25">
      <c r="A2903" s="4">
        <v>44460</v>
      </c>
      <c r="B2903" t="s">
        <v>9</v>
      </c>
      <c r="C2903" t="s">
        <v>78</v>
      </c>
      <c r="F2903">
        <v>418</v>
      </c>
      <c r="J2903">
        <v>1.1619999999999999</v>
      </c>
      <c r="K2903">
        <v>48.1</v>
      </c>
      <c r="L2903">
        <v>41.4</v>
      </c>
      <c r="M2903">
        <v>194</v>
      </c>
      <c r="N2903">
        <v>67</v>
      </c>
      <c r="O2903">
        <v>19</v>
      </c>
      <c r="P2903">
        <v>3</v>
      </c>
    </row>
    <row r="2904" spans="1:16" x14ac:dyDescent="0.25">
      <c r="A2904" s="4">
        <v>44461</v>
      </c>
      <c r="B2904" t="s">
        <v>10</v>
      </c>
      <c r="C2904">
        <v>1</v>
      </c>
      <c r="F2904">
        <v>371</v>
      </c>
      <c r="J2904">
        <v>1.1579999999999999</v>
      </c>
      <c r="K2904">
        <v>43.1</v>
      </c>
      <c r="L2904">
        <v>37.299999999999997</v>
      </c>
      <c r="M2904">
        <v>231</v>
      </c>
      <c r="N2904">
        <v>35</v>
      </c>
      <c r="O2904">
        <v>15</v>
      </c>
      <c r="P2904">
        <v>3</v>
      </c>
    </row>
    <row r="2905" spans="1:16" x14ac:dyDescent="0.25">
      <c r="A2905" s="4">
        <v>44461</v>
      </c>
      <c r="B2905" t="s">
        <v>9</v>
      </c>
      <c r="C2905">
        <v>1</v>
      </c>
      <c r="F2905">
        <v>419</v>
      </c>
      <c r="J2905">
        <v>1.163</v>
      </c>
      <c r="K2905">
        <v>46.6</v>
      </c>
      <c r="L2905">
        <v>40</v>
      </c>
      <c r="M2905">
        <v>235</v>
      </c>
      <c r="N2905">
        <v>47</v>
      </c>
      <c r="O2905">
        <v>18</v>
      </c>
      <c r="P2905">
        <v>3</v>
      </c>
    </row>
    <row r="2906" spans="1:16" x14ac:dyDescent="0.25">
      <c r="A2906" s="4">
        <v>44461</v>
      </c>
      <c r="B2906" t="s">
        <v>10</v>
      </c>
      <c r="C2906" t="s">
        <v>78</v>
      </c>
      <c r="F2906">
        <v>371</v>
      </c>
      <c r="J2906">
        <v>1.1579999999999999</v>
      </c>
      <c r="K2906">
        <v>43.1</v>
      </c>
      <c r="L2906">
        <v>37.299999999999997</v>
      </c>
      <c r="M2906">
        <v>231</v>
      </c>
      <c r="N2906">
        <v>35</v>
      </c>
      <c r="O2906">
        <v>15</v>
      </c>
      <c r="P2906">
        <v>3</v>
      </c>
    </row>
    <row r="2907" spans="1:16" x14ac:dyDescent="0.25">
      <c r="A2907" s="4">
        <v>44461</v>
      </c>
      <c r="B2907" t="s">
        <v>9</v>
      </c>
      <c r="C2907" t="s">
        <v>78</v>
      </c>
      <c r="F2907">
        <v>419</v>
      </c>
      <c r="J2907">
        <v>1.163</v>
      </c>
      <c r="K2907">
        <v>46.6</v>
      </c>
      <c r="L2907">
        <v>40</v>
      </c>
      <c r="M2907">
        <v>235</v>
      </c>
      <c r="N2907">
        <v>47</v>
      </c>
      <c r="O2907">
        <v>18</v>
      </c>
      <c r="P2907">
        <v>3</v>
      </c>
    </row>
    <row r="2908" spans="1:16" x14ac:dyDescent="0.25">
      <c r="A2908" s="4">
        <v>44462</v>
      </c>
      <c r="B2908" t="s">
        <v>10</v>
      </c>
      <c r="C2908">
        <v>1</v>
      </c>
      <c r="F2908">
        <v>340</v>
      </c>
      <c r="J2908">
        <v>1.0029999999999999</v>
      </c>
      <c r="K2908">
        <v>37.799999999999997</v>
      </c>
      <c r="L2908">
        <v>37.700000000000003</v>
      </c>
      <c r="M2908">
        <v>222</v>
      </c>
      <c r="N2908">
        <v>37</v>
      </c>
      <c r="O2908">
        <v>9</v>
      </c>
      <c r="P2908">
        <v>2</v>
      </c>
    </row>
    <row r="2909" spans="1:16" x14ac:dyDescent="0.25">
      <c r="A2909" s="4">
        <v>44462</v>
      </c>
      <c r="B2909" t="s">
        <v>9</v>
      </c>
      <c r="C2909">
        <v>1</v>
      </c>
      <c r="F2909">
        <v>402</v>
      </c>
      <c r="J2909">
        <v>1.1930000000000001</v>
      </c>
      <c r="K2909">
        <v>44.7</v>
      </c>
      <c r="L2909">
        <v>37.5</v>
      </c>
      <c r="M2909">
        <v>285</v>
      </c>
      <c r="N2909">
        <v>44</v>
      </c>
      <c r="O2909">
        <v>7</v>
      </c>
    </row>
    <row r="2910" spans="1:16" x14ac:dyDescent="0.25">
      <c r="A2910" s="4">
        <v>44462</v>
      </c>
      <c r="B2910" t="s">
        <v>10</v>
      </c>
      <c r="C2910" t="s">
        <v>78</v>
      </c>
      <c r="F2910">
        <v>340</v>
      </c>
      <c r="J2910">
        <v>1.0029999999999999</v>
      </c>
      <c r="K2910">
        <v>37.799999999999997</v>
      </c>
      <c r="L2910">
        <v>37.700000000000003</v>
      </c>
      <c r="M2910">
        <v>222</v>
      </c>
      <c r="N2910">
        <v>37</v>
      </c>
      <c r="O2910">
        <v>9</v>
      </c>
      <c r="P2910">
        <v>2</v>
      </c>
    </row>
    <row r="2911" spans="1:16" x14ac:dyDescent="0.25">
      <c r="A2911" s="4">
        <v>44462</v>
      </c>
      <c r="B2911" t="s">
        <v>9</v>
      </c>
      <c r="C2911" t="s">
        <v>78</v>
      </c>
      <c r="F2911">
        <v>402</v>
      </c>
      <c r="J2911">
        <v>1.1930000000000001</v>
      </c>
      <c r="K2911">
        <v>44.7</v>
      </c>
      <c r="L2911">
        <v>37.5</v>
      </c>
      <c r="M2911">
        <v>285</v>
      </c>
      <c r="N2911">
        <v>44</v>
      </c>
      <c r="O2911">
        <v>7</v>
      </c>
    </row>
    <row r="2912" spans="1:16" x14ac:dyDescent="0.25">
      <c r="A2912" s="4">
        <v>44463</v>
      </c>
      <c r="B2912" t="s">
        <v>10</v>
      </c>
      <c r="C2912">
        <v>1</v>
      </c>
      <c r="F2912">
        <v>365</v>
      </c>
      <c r="J2912">
        <v>1.159</v>
      </c>
      <c r="K2912">
        <v>42</v>
      </c>
      <c r="L2912">
        <v>36.200000000000003</v>
      </c>
      <c r="M2912">
        <v>266</v>
      </c>
      <c r="N2912">
        <v>31</v>
      </c>
      <c r="O2912">
        <v>8</v>
      </c>
      <c r="P2912">
        <v>1</v>
      </c>
    </row>
    <row r="2913" spans="1:16" x14ac:dyDescent="0.25">
      <c r="A2913" s="4">
        <v>44463</v>
      </c>
      <c r="B2913" t="s">
        <v>9</v>
      </c>
      <c r="C2913">
        <v>1</v>
      </c>
      <c r="F2913">
        <v>404</v>
      </c>
      <c r="J2913">
        <v>1.2070000000000001</v>
      </c>
      <c r="K2913">
        <v>44.9</v>
      </c>
      <c r="L2913">
        <v>37.200000000000003</v>
      </c>
      <c r="M2913">
        <v>297</v>
      </c>
      <c r="N2913">
        <v>37</v>
      </c>
      <c r="O2913">
        <v>3</v>
      </c>
      <c r="P2913">
        <v>2</v>
      </c>
    </row>
    <row r="2914" spans="1:16" x14ac:dyDescent="0.25">
      <c r="A2914" s="4">
        <v>44463</v>
      </c>
      <c r="B2914" t="s">
        <v>10</v>
      </c>
      <c r="C2914" t="s">
        <v>78</v>
      </c>
      <c r="F2914">
        <v>365</v>
      </c>
      <c r="J2914">
        <v>1.159</v>
      </c>
      <c r="K2914">
        <v>42</v>
      </c>
      <c r="L2914">
        <v>36.200000000000003</v>
      </c>
      <c r="M2914">
        <v>266</v>
      </c>
      <c r="N2914">
        <v>31</v>
      </c>
      <c r="O2914">
        <v>8</v>
      </c>
      <c r="P2914">
        <v>1</v>
      </c>
    </row>
    <row r="2915" spans="1:16" x14ac:dyDescent="0.25">
      <c r="A2915" s="4">
        <v>44463</v>
      </c>
      <c r="B2915" t="s">
        <v>9</v>
      </c>
      <c r="C2915" t="s">
        <v>78</v>
      </c>
      <c r="F2915">
        <v>404</v>
      </c>
      <c r="J2915">
        <v>1.2070000000000001</v>
      </c>
      <c r="K2915">
        <v>44.9</v>
      </c>
      <c r="L2915">
        <v>37.200000000000003</v>
      </c>
      <c r="M2915">
        <v>297</v>
      </c>
      <c r="N2915">
        <v>37</v>
      </c>
      <c r="O2915">
        <v>3</v>
      </c>
      <c r="P2915">
        <v>2</v>
      </c>
    </row>
    <row r="2916" spans="1:16" x14ac:dyDescent="0.25">
      <c r="A2916" s="4">
        <v>44466</v>
      </c>
      <c r="B2916" t="s">
        <v>10</v>
      </c>
      <c r="C2916">
        <v>1</v>
      </c>
      <c r="F2916">
        <v>356</v>
      </c>
      <c r="J2916">
        <v>0.98299999999999998</v>
      </c>
      <c r="K2916">
        <v>40</v>
      </c>
      <c r="L2916">
        <v>40.700000000000003</v>
      </c>
      <c r="M2916">
        <v>191</v>
      </c>
      <c r="N2916">
        <v>32</v>
      </c>
      <c r="O2916">
        <v>21</v>
      </c>
      <c r="P2916">
        <v>3</v>
      </c>
    </row>
    <row r="2917" spans="1:16" x14ac:dyDescent="0.25">
      <c r="A2917" s="4">
        <v>44466</v>
      </c>
      <c r="B2917" t="s">
        <v>9</v>
      </c>
      <c r="C2917">
        <v>1</v>
      </c>
      <c r="F2917">
        <v>382</v>
      </c>
      <c r="J2917">
        <v>1.08</v>
      </c>
      <c r="K2917">
        <v>43.2</v>
      </c>
      <c r="L2917">
        <v>40</v>
      </c>
      <c r="M2917">
        <v>228</v>
      </c>
      <c r="N2917">
        <v>34</v>
      </c>
      <c r="O2917">
        <v>20</v>
      </c>
      <c r="P2917">
        <v>1</v>
      </c>
    </row>
    <row r="2918" spans="1:16" x14ac:dyDescent="0.25">
      <c r="A2918" s="4">
        <v>44466</v>
      </c>
      <c r="B2918" t="s">
        <v>10</v>
      </c>
      <c r="C2918" t="s">
        <v>78</v>
      </c>
      <c r="F2918">
        <v>356</v>
      </c>
      <c r="J2918">
        <v>0.98299999999999998</v>
      </c>
      <c r="K2918">
        <v>40</v>
      </c>
      <c r="L2918">
        <v>40.700000000000003</v>
      </c>
      <c r="M2918">
        <v>191</v>
      </c>
      <c r="N2918">
        <v>32</v>
      </c>
      <c r="O2918">
        <v>21</v>
      </c>
      <c r="P2918">
        <v>3</v>
      </c>
    </row>
    <row r="2919" spans="1:16" x14ac:dyDescent="0.25">
      <c r="A2919" s="4">
        <v>44466</v>
      </c>
      <c r="B2919" t="s">
        <v>9</v>
      </c>
      <c r="C2919" t="s">
        <v>78</v>
      </c>
      <c r="F2919">
        <v>382</v>
      </c>
      <c r="J2919">
        <v>1.08</v>
      </c>
      <c r="K2919">
        <v>43.2</v>
      </c>
      <c r="L2919">
        <v>40</v>
      </c>
      <c r="M2919">
        <v>228</v>
      </c>
      <c r="N2919">
        <v>34</v>
      </c>
      <c r="O2919">
        <v>20</v>
      </c>
      <c r="P2919">
        <v>1</v>
      </c>
    </row>
    <row r="2920" spans="1:16" x14ac:dyDescent="0.25">
      <c r="A2920" s="4">
        <v>44467</v>
      </c>
      <c r="B2920" t="s">
        <v>10</v>
      </c>
      <c r="C2920">
        <v>1</v>
      </c>
      <c r="F2920">
        <v>375</v>
      </c>
      <c r="J2920">
        <v>1.2210000000000001</v>
      </c>
      <c r="K2920">
        <v>52.1</v>
      </c>
      <c r="L2920">
        <v>42.7</v>
      </c>
      <c r="M2920">
        <v>160</v>
      </c>
      <c r="N2920">
        <v>43</v>
      </c>
      <c r="O2920">
        <v>30</v>
      </c>
      <c r="P2920">
        <v>3</v>
      </c>
    </row>
    <row r="2921" spans="1:16" x14ac:dyDescent="0.25">
      <c r="A2921" s="4">
        <v>44467</v>
      </c>
      <c r="B2921" t="s">
        <v>9</v>
      </c>
      <c r="C2921">
        <v>1</v>
      </c>
      <c r="F2921">
        <v>378</v>
      </c>
      <c r="J2921">
        <v>1.298</v>
      </c>
      <c r="K2921">
        <v>53.2</v>
      </c>
      <c r="L2921">
        <v>41</v>
      </c>
      <c r="M2921">
        <v>212</v>
      </c>
      <c r="N2921">
        <v>40</v>
      </c>
      <c r="O2921">
        <v>18</v>
      </c>
      <c r="P2921">
        <v>3</v>
      </c>
    </row>
    <row r="2922" spans="1:16" x14ac:dyDescent="0.25">
      <c r="A2922" s="4">
        <v>44467</v>
      </c>
      <c r="B2922" t="s">
        <v>10</v>
      </c>
      <c r="C2922" t="s">
        <v>78</v>
      </c>
      <c r="F2922">
        <v>375</v>
      </c>
      <c r="J2922">
        <v>1.2210000000000001</v>
      </c>
      <c r="K2922">
        <v>52.1</v>
      </c>
      <c r="L2922">
        <v>42.7</v>
      </c>
      <c r="M2922">
        <v>160</v>
      </c>
      <c r="N2922">
        <v>43</v>
      </c>
      <c r="O2922">
        <v>30</v>
      </c>
      <c r="P2922">
        <v>3</v>
      </c>
    </row>
    <row r="2923" spans="1:16" x14ac:dyDescent="0.25">
      <c r="A2923" s="4">
        <v>44467</v>
      </c>
      <c r="B2923" t="s">
        <v>9</v>
      </c>
      <c r="C2923" t="s">
        <v>78</v>
      </c>
      <c r="F2923">
        <v>378</v>
      </c>
      <c r="J2923">
        <v>1.298</v>
      </c>
      <c r="K2923">
        <v>53.2</v>
      </c>
      <c r="L2923">
        <v>41</v>
      </c>
      <c r="M2923">
        <v>212</v>
      </c>
      <c r="N2923">
        <v>40</v>
      </c>
      <c r="O2923">
        <v>18</v>
      </c>
      <c r="P2923">
        <v>3</v>
      </c>
    </row>
    <row r="2924" spans="1:16" x14ac:dyDescent="0.25">
      <c r="A2924" s="4">
        <v>44468</v>
      </c>
      <c r="B2924" t="s">
        <v>10</v>
      </c>
      <c r="C2924">
        <v>1</v>
      </c>
      <c r="F2924">
        <v>320</v>
      </c>
      <c r="J2924">
        <v>1.236</v>
      </c>
      <c r="K2924">
        <v>45.7</v>
      </c>
      <c r="L2924">
        <v>37</v>
      </c>
      <c r="M2924">
        <v>198</v>
      </c>
      <c r="N2924">
        <v>44</v>
      </c>
      <c r="O2924">
        <v>5</v>
      </c>
      <c r="P2924">
        <v>2</v>
      </c>
    </row>
    <row r="2925" spans="1:16" x14ac:dyDescent="0.25">
      <c r="A2925" s="4">
        <v>44468</v>
      </c>
      <c r="B2925" t="s">
        <v>9</v>
      </c>
      <c r="C2925">
        <v>1</v>
      </c>
      <c r="F2925">
        <v>364</v>
      </c>
      <c r="J2925">
        <v>1.3440000000000001</v>
      </c>
      <c r="K2925">
        <v>52.1</v>
      </c>
      <c r="L2925">
        <v>38.799999999999997</v>
      </c>
      <c r="M2925">
        <v>256</v>
      </c>
      <c r="N2925">
        <v>26</v>
      </c>
      <c r="O2925">
        <v>7</v>
      </c>
      <c r="P2925">
        <v>5</v>
      </c>
    </row>
    <row r="2926" spans="1:16" x14ac:dyDescent="0.25">
      <c r="A2926" s="4">
        <v>44468</v>
      </c>
      <c r="B2926" t="s">
        <v>10</v>
      </c>
      <c r="C2926" t="s">
        <v>78</v>
      </c>
      <c r="F2926">
        <v>320</v>
      </c>
      <c r="J2926">
        <v>1.236</v>
      </c>
      <c r="K2926">
        <v>45.7</v>
      </c>
      <c r="L2926">
        <v>37</v>
      </c>
      <c r="M2926">
        <v>198</v>
      </c>
      <c r="N2926">
        <v>44</v>
      </c>
      <c r="O2926">
        <v>5</v>
      </c>
      <c r="P2926">
        <v>2</v>
      </c>
    </row>
    <row r="2927" spans="1:16" x14ac:dyDescent="0.25">
      <c r="A2927" s="4">
        <v>44468</v>
      </c>
      <c r="B2927" t="s">
        <v>9</v>
      </c>
      <c r="C2927" t="s">
        <v>78</v>
      </c>
      <c r="F2927">
        <v>364</v>
      </c>
      <c r="J2927">
        <v>1.3440000000000001</v>
      </c>
      <c r="K2927">
        <v>52.1</v>
      </c>
      <c r="L2927">
        <v>38.799999999999997</v>
      </c>
      <c r="M2927">
        <v>256</v>
      </c>
      <c r="N2927">
        <v>26</v>
      </c>
      <c r="O2927">
        <v>7</v>
      </c>
      <c r="P2927">
        <v>5</v>
      </c>
    </row>
    <row r="2928" spans="1:16" x14ac:dyDescent="0.25">
      <c r="A2928" s="4">
        <v>44469</v>
      </c>
      <c r="B2928" t="s">
        <v>10</v>
      </c>
      <c r="C2928">
        <v>1</v>
      </c>
      <c r="F2928">
        <v>286</v>
      </c>
      <c r="J2928">
        <v>1.1160000000000001</v>
      </c>
      <c r="K2928">
        <v>40.9</v>
      </c>
      <c r="L2928">
        <v>36.6</v>
      </c>
      <c r="M2928">
        <v>188</v>
      </c>
      <c r="N2928">
        <v>35</v>
      </c>
      <c r="O2928">
        <v>8</v>
      </c>
    </row>
    <row r="2929" spans="1:16" x14ac:dyDescent="0.25">
      <c r="A2929" s="4">
        <v>44469</v>
      </c>
      <c r="B2929" t="s">
        <v>9</v>
      </c>
      <c r="C2929">
        <v>1</v>
      </c>
      <c r="F2929">
        <v>337</v>
      </c>
      <c r="J2929">
        <v>1.232</v>
      </c>
      <c r="K2929">
        <v>47.5</v>
      </c>
      <c r="L2929">
        <v>38.6</v>
      </c>
      <c r="M2929">
        <v>208</v>
      </c>
      <c r="N2929">
        <v>29</v>
      </c>
      <c r="O2929">
        <v>18</v>
      </c>
      <c r="P2929">
        <v>1</v>
      </c>
    </row>
    <row r="2930" spans="1:16" x14ac:dyDescent="0.25">
      <c r="A2930" s="4">
        <v>44469</v>
      </c>
      <c r="B2930" t="s">
        <v>10</v>
      </c>
      <c r="C2930" t="s">
        <v>78</v>
      </c>
      <c r="F2930">
        <v>286</v>
      </c>
      <c r="J2930">
        <v>1.1160000000000001</v>
      </c>
      <c r="K2930">
        <v>40.9</v>
      </c>
      <c r="L2930">
        <v>36.6</v>
      </c>
      <c r="M2930">
        <v>188</v>
      </c>
      <c r="N2930">
        <v>35</v>
      </c>
      <c r="O2930">
        <v>8</v>
      </c>
    </row>
    <row r="2931" spans="1:16" x14ac:dyDescent="0.25">
      <c r="A2931" s="4">
        <v>44469</v>
      </c>
      <c r="B2931" t="s">
        <v>9</v>
      </c>
      <c r="C2931" t="s">
        <v>78</v>
      </c>
      <c r="F2931">
        <v>337</v>
      </c>
      <c r="J2931">
        <v>1.232</v>
      </c>
      <c r="K2931">
        <v>47.5</v>
      </c>
      <c r="L2931">
        <v>38.6</v>
      </c>
      <c r="M2931">
        <v>208</v>
      </c>
      <c r="N2931">
        <v>29</v>
      </c>
      <c r="O2931">
        <v>18</v>
      </c>
      <c r="P2931">
        <v>1</v>
      </c>
    </row>
    <row r="2932" spans="1:16" x14ac:dyDescent="0.25">
      <c r="A2932" s="4">
        <v>44470</v>
      </c>
      <c r="B2932" t="s">
        <v>10</v>
      </c>
      <c r="C2932">
        <v>1</v>
      </c>
      <c r="F2932">
        <v>311</v>
      </c>
      <c r="J2932">
        <v>1.2150000000000001</v>
      </c>
      <c r="K2932">
        <v>45.1</v>
      </c>
      <c r="L2932">
        <v>37.1</v>
      </c>
      <c r="M2932">
        <v>191</v>
      </c>
      <c r="N2932">
        <v>37</v>
      </c>
      <c r="O2932">
        <v>7</v>
      </c>
      <c r="P2932">
        <v>3</v>
      </c>
    </row>
    <row r="2933" spans="1:16" x14ac:dyDescent="0.25">
      <c r="A2933" s="4">
        <v>44470</v>
      </c>
      <c r="B2933" t="s">
        <v>9</v>
      </c>
      <c r="C2933">
        <v>1</v>
      </c>
      <c r="F2933">
        <v>364</v>
      </c>
      <c r="J2933">
        <v>1.284</v>
      </c>
      <c r="K2933">
        <v>51</v>
      </c>
      <c r="L2933">
        <v>39.700000000000003</v>
      </c>
      <c r="M2933">
        <v>214</v>
      </c>
      <c r="N2933">
        <v>35</v>
      </c>
      <c r="O2933">
        <v>15</v>
      </c>
      <c r="P2933">
        <v>4</v>
      </c>
    </row>
    <row r="2934" spans="1:16" x14ac:dyDescent="0.25">
      <c r="A2934" s="4">
        <v>44470</v>
      </c>
      <c r="B2934" t="s">
        <v>10</v>
      </c>
      <c r="C2934" t="s">
        <v>78</v>
      </c>
      <c r="F2934">
        <v>311</v>
      </c>
      <c r="J2934">
        <v>1.2150000000000001</v>
      </c>
      <c r="K2934">
        <v>45.1</v>
      </c>
      <c r="L2934">
        <v>37.1</v>
      </c>
      <c r="M2934">
        <v>191</v>
      </c>
      <c r="N2934">
        <v>37</v>
      </c>
      <c r="O2934">
        <v>7</v>
      </c>
      <c r="P2934">
        <v>3</v>
      </c>
    </row>
    <row r="2935" spans="1:16" x14ac:dyDescent="0.25">
      <c r="A2935" s="4">
        <v>44470</v>
      </c>
      <c r="B2935" t="s">
        <v>9</v>
      </c>
      <c r="C2935" t="s">
        <v>78</v>
      </c>
      <c r="F2935">
        <v>364</v>
      </c>
      <c r="J2935">
        <v>1.284</v>
      </c>
      <c r="K2935">
        <v>51</v>
      </c>
      <c r="L2935">
        <v>39.700000000000003</v>
      </c>
      <c r="M2935">
        <v>214</v>
      </c>
      <c r="N2935">
        <v>35</v>
      </c>
      <c r="O2935">
        <v>15</v>
      </c>
      <c r="P2935">
        <v>4</v>
      </c>
    </row>
    <row r="2936" spans="1:16" x14ac:dyDescent="0.25">
      <c r="A2936" s="4">
        <v>44473</v>
      </c>
      <c r="B2936" t="s">
        <v>10</v>
      </c>
      <c r="C2936">
        <v>1</v>
      </c>
      <c r="F2936">
        <v>345</v>
      </c>
      <c r="J2936">
        <v>1.077</v>
      </c>
      <c r="K2936">
        <v>40.1</v>
      </c>
      <c r="L2936">
        <v>37.299999999999997</v>
      </c>
      <c r="M2936">
        <v>211</v>
      </c>
      <c r="N2936">
        <v>31</v>
      </c>
      <c r="O2936">
        <v>16</v>
      </c>
      <c r="P2936">
        <v>3</v>
      </c>
    </row>
    <row r="2937" spans="1:16" x14ac:dyDescent="0.25">
      <c r="A2937" s="4">
        <v>44473</v>
      </c>
      <c r="B2937" t="s">
        <v>9</v>
      </c>
      <c r="C2937">
        <v>1</v>
      </c>
      <c r="F2937">
        <v>398</v>
      </c>
      <c r="J2937">
        <v>1.206</v>
      </c>
      <c r="K2937">
        <v>46.6</v>
      </c>
      <c r="L2937">
        <v>38.6</v>
      </c>
      <c r="M2937">
        <v>262</v>
      </c>
      <c r="N2937">
        <v>32</v>
      </c>
      <c r="O2937">
        <v>16</v>
      </c>
      <c r="P2937">
        <v>2</v>
      </c>
    </row>
    <row r="2938" spans="1:16" x14ac:dyDescent="0.25">
      <c r="A2938" s="4">
        <v>44473</v>
      </c>
      <c r="B2938" t="s">
        <v>10</v>
      </c>
      <c r="C2938" t="s">
        <v>78</v>
      </c>
      <c r="F2938">
        <v>345</v>
      </c>
      <c r="J2938">
        <v>1.077</v>
      </c>
      <c r="K2938">
        <v>40.1</v>
      </c>
      <c r="L2938">
        <v>37.299999999999997</v>
      </c>
      <c r="M2938">
        <v>211</v>
      </c>
      <c r="N2938">
        <v>31</v>
      </c>
      <c r="O2938">
        <v>16</v>
      </c>
      <c r="P2938">
        <v>3</v>
      </c>
    </row>
    <row r="2939" spans="1:16" x14ac:dyDescent="0.25">
      <c r="A2939" s="4">
        <v>44473</v>
      </c>
      <c r="B2939" t="s">
        <v>9</v>
      </c>
      <c r="C2939" t="s">
        <v>78</v>
      </c>
      <c r="F2939">
        <v>398</v>
      </c>
      <c r="J2939">
        <v>1.206</v>
      </c>
      <c r="K2939">
        <v>46.6</v>
      </c>
      <c r="L2939">
        <v>38.6</v>
      </c>
      <c r="M2939">
        <v>262</v>
      </c>
      <c r="N2939">
        <v>32</v>
      </c>
      <c r="O2939">
        <v>16</v>
      </c>
      <c r="P2939">
        <v>2</v>
      </c>
    </row>
    <row r="2940" spans="1:16" x14ac:dyDescent="0.25">
      <c r="A2940" s="4">
        <v>44474</v>
      </c>
      <c r="B2940" t="s">
        <v>10</v>
      </c>
      <c r="C2940">
        <v>1</v>
      </c>
      <c r="F2940">
        <v>370</v>
      </c>
      <c r="J2940">
        <v>1.0840000000000001</v>
      </c>
      <c r="K2940">
        <v>43</v>
      </c>
      <c r="L2940">
        <v>39.700000000000003</v>
      </c>
      <c r="M2940">
        <v>183</v>
      </c>
      <c r="N2940">
        <v>41</v>
      </c>
      <c r="O2940">
        <v>24</v>
      </c>
      <c r="P2940">
        <v>3</v>
      </c>
    </row>
    <row r="2941" spans="1:16" x14ac:dyDescent="0.25">
      <c r="A2941" s="4">
        <v>44474</v>
      </c>
      <c r="B2941" t="s">
        <v>9</v>
      </c>
      <c r="C2941">
        <v>1</v>
      </c>
      <c r="F2941">
        <v>411</v>
      </c>
      <c r="J2941">
        <v>1.23</v>
      </c>
      <c r="K2941">
        <v>49</v>
      </c>
      <c r="L2941">
        <v>39.799999999999997</v>
      </c>
      <c r="M2941">
        <v>247</v>
      </c>
      <c r="N2941">
        <v>47</v>
      </c>
      <c r="O2941">
        <v>15</v>
      </c>
      <c r="P2941">
        <v>2</v>
      </c>
    </row>
    <row r="2942" spans="1:16" x14ac:dyDescent="0.25">
      <c r="A2942" s="4">
        <v>44474</v>
      </c>
      <c r="B2942" t="s">
        <v>10</v>
      </c>
      <c r="C2942" t="s">
        <v>78</v>
      </c>
      <c r="F2942">
        <v>370</v>
      </c>
      <c r="J2942">
        <v>1.0840000000000001</v>
      </c>
      <c r="K2942">
        <v>43</v>
      </c>
      <c r="L2942">
        <v>39.700000000000003</v>
      </c>
      <c r="M2942">
        <v>183</v>
      </c>
      <c r="N2942">
        <v>41</v>
      </c>
      <c r="O2942">
        <v>24</v>
      </c>
      <c r="P2942">
        <v>3</v>
      </c>
    </row>
    <row r="2943" spans="1:16" x14ac:dyDescent="0.25">
      <c r="A2943" s="4">
        <v>44474</v>
      </c>
      <c r="B2943" t="s">
        <v>9</v>
      </c>
      <c r="C2943" t="s">
        <v>78</v>
      </c>
      <c r="F2943">
        <v>411</v>
      </c>
      <c r="J2943">
        <v>1.23</v>
      </c>
      <c r="K2943">
        <v>49</v>
      </c>
      <c r="L2943">
        <v>39.799999999999997</v>
      </c>
      <c r="M2943">
        <v>247</v>
      </c>
      <c r="N2943">
        <v>47</v>
      </c>
      <c r="O2943">
        <v>15</v>
      </c>
      <c r="P2943">
        <v>2</v>
      </c>
    </row>
    <row r="2944" spans="1:16" x14ac:dyDescent="0.25">
      <c r="A2944" s="4">
        <v>44475</v>
      </c>
      <c r="B2944" t="s">
        <v>10</v>
      </c>
      <c r="C2944">
        <v>1</v>
      </c>
      <c r="F2944">
        <v>361</v>
      </c>
      <c r="J2944">
        <v>1.139</v>
      </c>
      <c r="K2944">
        <v>41</v>
      </c>
      <c r="L2944">
        <v>36</v>
      </c>
      <c r="M2944">
        <v>233</v>
      </c>
      <c r="N2944">
        <v>31</v>
      </c>
      <c r="O2944">
        <v>18</v>
      </c>
      <c r="P2944">
        <v>1</v>
      </c>
    </row>
    <row r="2945" spans="1:16" x14ac:dyDescent="0.25">
      <c r="A2945" s="4">
        <v>44475</v>
      </c>
      <c r="B2945" t="s">
        <v>9</v>
      </c>
      <c r="C2945">
        <v>1</v>
      </c>
      <c r="F2945">
        <v>403</v>
      </c>
      <c r="J2945">
        <v>1.1879999999999999</v>
      </c>
      <c r="K2945">
        <v>46.4</v>
      </c>
      <c r="L2945">
        <v>39.1</v>
      </c>
      <c r="M2945">
        <v>264</v>
      </c>
      <c r="N2945">
        <v>42</v>
      </c>
      <c r="O2945">
        <v>13</v>
      </c>
      <c r="P2945">
        <v>1</v>
      </c>
    </row>
    <row r="2946" spans="1:16" x14ac:dyDescent="0.25">
      <c r="A2946" s="4">
        <v>44475</v>
      </c>
      <c r="B2946" t="s">
        <v>10</v>
      </c>
      <c r="C2946" t="s">
        <v>78</v>
      </c>
      <c r="F2946">
        <v>361</v>
      </c>
      <c r="J2946">
        <v>1.139</v>
      </c>
      <c r="K2946">
        <v>41</v>
      </c>
      <c r="L2946">
        <v>36</v>
      </c>
      <c r="M2946">
        <v>233</v>
      </c>
      <c r="N2946">
        <v>31</v>
      </c>
      <c r="O2946">
        <v>18</v>
      </c>
      <c r="P2946">
        <v>1</v>
      </c>
    </row>
    <row r="2947" spans="1:16" x14ac:dyDescent="0.25">
      <c r="A2947" s="4">
        <v>44475</v>
      </c>
      <c r="B2947" t="s">
        <v>9</v>
      </c>
      <c r="C2947" t="s">
        <v>78</v>
      </c>
      <c r="F2947">
        <v>403</v>
      </c>
      <c r="J2947">
        <v>1.1879999999999999</v>
      </c>
      <c r="K2947">
        <v>46.4</v>
      </c>
      <c r="L2947">
        <v>39.1</v>
      </c>
      <c r="M2947">
        <v>264</v>
      </c>
      <c r="N2947">
        <v>42</v>
      </c>
      <c r="O2947">
        <v>13</v>
      </c>
      <c r="P2947">
        <v>1</v>
      </c>
    </row>
    <row r="2948" spans="1:16" x14ac:dyDescent="0.25">
      <c r="A2948" s="4">
        <v>44476</v>
      </c>
      <c r="B2948" t="s">
        <v>10</v>
      </c>
      <c r="C2948">
        <v>1</v>
      </c>
      <c r="F2948">
        <v>345</v>
      </c>
      <c r="J2948">
        <v>1.0580000000000001</v>
      </c>
      <c r="K2948">
        <v>39.299999999999997</v>
      </c>
      <c r="L2948">
        <v>37.200000000000003</v>
      </c>
      <c r="M2948">
        <v>217</v>
      </c>
      <c r="N2948">
        <v>40</v>
      </c>
      <c r="O2948">
        <v>15</v>
      </c>
    </row>
    <row r="2949" spans="1:16" x14ac:dyDescent="0.25">
      <c r="A2949" s="4">
        <v>44476</v>
      </c>
      <c r="B2949" t="s">
        <v>9</v>
      </c>
      <c r="C2949">
        <v>1</v>
      </c>
      <c r="F2949">
        <v>410</v>
      </c>
      <c r="J2949">
        <v>1.2350000000000001</v>
      </c>
      <c r="K2949">
        <v>46.6</v>
      </c>
      <c r="L2949">
        <v>37.700000000000003</v>
      </c>
      <c r="M2949">
        <v>288</v>
      </c>
      <c r="N2949">
        <v>33</v>
      </c>
      <c r="O2949">
        <v>14</v>
      </c>
      <c r="P2949">
        <v>1</v>
      </c>
    </row>
    <row r="2950" spans="1:16" x14ac:dyDescent="0.25">
      <c r="A2950" s="4">
        <v>44476</v>
      </c>
      <c r="B2950" t="s">
        <v>10</v>
      </c>
      <c r="C2950" t="s">
        <v>78</v>
      </c>
      <c r="F2950">
        <v>345</v>
      </c>
      <c r="J2950">
        <v>1.0580000000000001</v>
      </c>
      <c r="K2950">
        <v>39.299999999999997</v>
      </c>
      <c r="L2950">
        <v>37.200000000000003</v>
      </c>
      <c r="M2950">
        <v>217</v>
      </c>
      <c r="N2950">
        <v>40</v>
      </c>
      <c r="O2950">
        <v>15</v>
      </c>
    </row>
    <row r="2951" spans="1:16" x14ac:dyDescent="0.25">
      <c r="A2951" s="4">
        <v>44476</v>
      </c>
      <c r="B2951" t="s">
        <v>9</v>
      </c>
      <c r="C2951" t="s">
        <v>78</v>
      </c>
      <c r="F2951">
        <v>410</v>
      </c>
      <c r="J2951">
        <v>1.2350000000000001</v>
      </c>
      <c r="K2951">
        <v>46.6</v>
      </c>
      <c r="L2951">
        <v>37.700000000000003</v>
      </c>
      <c r="M2951">
        <v>288</v>
      </c>
      <c r="N2951">
        <v>33</v>
      </c>
      <c r="O2951">
        <v>14</v>
      </c>
      <c r="P2951">
        <v>1</v>
      </c>
    </row>
    <row r="2952" spans="1:16" x14ac:dyDescent="0.25">
      <c r="A2952" s="4">
        <v>44477</v>
      </c>
      <c r="B2952" t="s">
        <v>10</v>
      </c>
      <c r="C2952">
        <v>1</v>
      </c>
      <c r="F2952">
        <v>319</v>
      </c>
      <c r="J2952">
        <v>1.0960000000000001</v>
      </c>
      <c r="K2952">
        <v>40.700000000000003</v>
      </c>
      <c r="L2952">
        <v>37.200000000000003</v>
      </c>
      <c r="M2952">
        <v>217</v>
      </c>
      <c r="N2952">
        <v>40</v>
      </c>
      <c r="O2952">
        <v>15</v>
      </c>
    </row>
    <row r="2953" spans="1:16" x14ac:dyDescent="0.25">
      <c r="A2953" s="4">
        <v>44477</v>
      </c>
      <c r="B2953" t="s">
        <v>9</v>
      </c>
      <c r="C2953">
        <v>1</v>
      </c>
      <c r="F2953">
        <v>383</v>
      </c>
      <c r="J2953">
        <v>1.2350000000000001</v>
      </c>
      <c r="K2953">
        <v>46.6</v>
      </c>
      <c r="L2953">
        <v>37.700000000000003</v>
      </c>
      <c r="M2953">
        <v>288</v>
      </c>
      <c r="N2953">
        <v>33</v>
      </c>
      <c r="O2953">
        <v>14</v>
      </c>
      <c r="P2953">
        <v>1</v>
      </c>
    </row>
    <row r="2954" spans="1:16" x14ac:dyDescent="0.25">
      <c r="A2954" s="4">
        <v>44477</v>
      </c>
      <c r="B2954" t="s">
        <v>10</v>
      </c>
      <c r="C2954" t="s">
        <v>78</v>
      </c>
      <c r="F2954">
        <v>319</v>
      </c>
      <c r="J2954">
        <v>1.0960000000000001</v>
      </c>
      <c r="K2954">
        <v>40.700000000000003</v>
      </c>
      <c r="L2954">
        <v>37.200000000000003</v>
      </c>
      <c r="M2954">
        <v>217</v>
      </c>
      <c r="N2954">
        <v>40</v>
      </c>
      <c r="O2954">
        <v>15</v>
      </c>
    </row>
    <row r="2955" spans="1:16" x14ac:dyDescent="0.25">
      <c r="A2955" s="4">
        <v>44477</v>
      </c>
      <c r="B2955" t="s">
        <v>9</v>
      </c>
      <c r="C2955" t="s">
        <v>78</v>
      </c>
      <c r="F2955">
        <v>383</v>
      </c>
      <c r="J2955">
        <v>1.2350000000000001</v>
      </c>
      <c r="K2955">
        <v>46.6</v>
      </c>
      <c r="L2955">
        <v>37.700000000000003</v>
      </c>
      <c r="M2955">
        <v>288</v>
      </c>
      <c r="N2955">
        <v>33</v>
      </c>
      <c r="O2955">
        <v>14</v>
      </c>
      <c r="P2955">
        <v>1</v>
      </c>
    </row>
    <row r="2956" spans="1:16" x14ac:dyDescent="0.25">
      <c r="A2956" s="4">
        <v>44480</v>
      </c>
      <c r="B2956" t="s">
        <v>10</v>
      </c>
      <c r="C2956">
        <v>1</v>
      </c>
      <c r="F2956">
        <v>348</v>
      </c>
      <c r="J2956">
        <v>1.0569999999999999</v>
      </c>
      <c r="K2956">
        <v>39.6</v>
      </c>
      <c r="L2956">
        <v>37.4</v>
      </c>
      <c r="M2956">
        <v>225</v>
      </c>
      <c r="N2956">
        <v>40</v>
      </c>
      <c r="O2956">
        <v>11</v>
      </c>
      <c r="P2956">
        <v>1</v>
      </c>
    </row>
    <row r="2957" spans="1:16" x14ac:dyDescent="0.25">
      <c r="A2957" s="4">
        <v>44480</v>
      </c>
      <c r="B2957" t="s">
        <v>9</v>
      </c>
      <c r="C2957">
        <v>1</v>
      </c>
      <c r="F2957">
        <v>374</v>
      </c>
      <c r="J2957">
        <v>1.0900000000000001</v>
      </c>
      <c r="K2957">
        <v>42.1</v>
      </c>
      <c r="L2957">
        <v>38.299999999999997</v>
      </c>
      <c r="M2957">
        <v>257</v>
      </c>
      <c r="N2957">
        <v>37</v>
      </c>
      <c r="O2957">
        <v>111</v>
      </c>
      <c r="P2957">
        <v>1</v>
      </c>
    </row>
    <row r="2958" spans="1:16" x14ac:dyDescent="0.25">
      <c r="A2958" s="4">
        <v>44480</v>
      </c>
      <c r="B2958" t="s">
        <v>10</v>
      </c>
      <c r="C2958" t="s">
        <v>78</v>
      </c>
      <c r="F2958">
        <v>348</v>
      </c>
      <c r="J2958">
        <v>1.0569999999999999</v>
      </c>
      <c r="K2958">
        <v>39.6</v>
      </c>
      <c r="L2958">
        <v>37.4</v>
      </c>
      <c r="M2958">
        <v>225</v>
      </c>
      <c r="N2958">
        <v>40</v>
      </c>
      <c r="O2958">
        <v>11</v>
      </c>
      <c r="P2958">
        <v>1</v>
      </c>
    </row>
    <row r="2959" spans="1:16" x14ac:dyDescent="0.25">
      <c r="A2959" s="4">
        <v>44480</v>
      </c>
      <c r="B2959" t="s">
        <v>9</v>
      </c>
      <c r="C2959" t="s">
        <v>78</v>
      </c>
      <c r="F2959">
        <v>374</v>
      </c>
      <c r="J2959">
        <v>1.0900000000000001</v>
      </c>
      <c r="K2959">
        <v>42.1</v>
      </c>
      <c r="L2959">
        <v>38.299999999999997</v>
      </c>
      <c r="M2959">
        <v>257</v>
      </c>
      <c r="N2959">
        <v>37</v>
      </c>
      <c r="O2959">
        <v>111</v>
      </c>
      <c r="P2959">
        <v>1</v>
      </c>
    </row>
    <row r="2960" spans="1:16" x14ac:dyDescent="0.25">
      <c r="A2960" s="4">
        <v>44481</v>
      </c>
      <c r="B2960" t="s">
        <v>10</v>
      </c>
      <c r="C2960">
        <v>1</v>
      </c>
      <c r="F2960">
        <v>344</v>
      </c>
      <c r="J2960">
        <v>1.0629999999999999</v>
      </c>
      <c r="K2960">
        <v>37.700000000000003</v>
      </c>
      <c r="L2960">
        <v>35.4</v>
      </c>
      <c r="M2960">
        <v>229</v>
      </c>
      <c r="N2960">
        <v>26</v>
      </c>
      <c r="O2960">
        <v>10</v>
      </c>
      <c r="P2960">
        <v>1</v>
      </c>
    </row>
    <row r="2961" spans="1:16" x14ac:dyDescent="0.25">
      <c r="A2961" s="4">
        <v>44481</v>
      </c>
      <c r="B2961" t="s">
        <v>9</v>
      </c>
      <c r="C2961">
        <v>1</v>
      </c>
      <c r="F2961">
        <v>368</v>
      </c>
      <c r="J2961">
        <v>1.131</v>
      </c>
      <c r="K2961">
        <v>43.1</v>
      </c>
      <c r="L2961">
        <v>38.1</v>
      </c>
      <c r="M2961">
        <v>247</v>
      </c>
      <c r="N2961">
        <v>37</v>
      </c>
      <c r="O2961">
        <v>11</v>
      </c>
      <c r="P2961">
        <v>4</v>
      </c>
    </row>
    <row r="2962" spans="1:16" x14ac:dyDescent="0.25">
      <c r="A2962" s="4">
        <v>44481</v>
      </c>
      <c r="B2962" t="s">
        <v>10</v>
      </c>
      <c r="C2962" t="s">
        <v>78</v>
      </c>
      <c r="F2962">
        <v>344</v>
      </c>
      <c r="J2962">
        <v>1.0629999999999999</v>
      </c>
      <c r="K2962">
        <v>37.700000000000003</v>
      </c>
      <c r="L2962">
        <v>35.4</v>
      </c>
      <c r="M2962">
        <v>229</v>
      </c>
      <c r="N2962">
        <v>26</v>
      </c>
      <c r="O2962">
        <v>10</v>
      </c>
      <c r="P2962">
        <v>1</v>
      </c>
    </row>
    <row r="2963" spans="1:16" x14ac:dyDescent="0.25">
      <c r="A2963" s="4">
        <v>44481</v>
      </c>
      <c r="B2963" t="s">
        <v>9</v>
      </c>
      <c r="C2963" t="s">
        <v>78</v>
      </c>
      <c r="F2963">
        <v>368</v>
      </c>
      <c r="J2963">
        <v>1.131</v>
      </c>
      <c r="K2963">
        <v>43.1</v>
      </c>
      <c r="L2963">
        <v>38.1</v>
      </c>
      <c r="M2963">
        <v>247</v>
      </c>
      <c r="N2963">
        <v>37</v>
      </c>
      <c r="O2963">
        <v>11</v>
      </c>
      <c r="P2963">
        <v>4</v>
      </c>
    </row>
    <row r="2964" spans="1:16" x14ac:dyDescent="0.25">
      <c r="A2964" s="4">
        <v>44482</v>
      </c>
      <c r="B2964" t="s">
        <v>10</v>
      </c>
      <c r="C2964">
        <v>1</v>
      </c>
      <c r="F2964">
        <v>320</v>
      </c>
      <c r="J2964">
        <v>1.034</v>
      </c>
      <c r="K2964">
        <v>40.5</v>
      </c>
      <c r="L2964">
        <v>39.1</v>
      </c>
      <c r="M2964">
        <v>186</v>
      </c>
      <c r="N2964">
        <v>42</v>
      </c>
      <c r="O2964">
        <v>18</v>
      </c>
      <c r="P2964">
        <v>1</v>
      </c>
    </row>
    <row r="2965" spans="1:16" x14ac:dyDescent="0.25">
      <c r="A2965" s="4">
        <v>44482</v>
      </c>
      <c r="B2965" t="s">
        <v>9</v>
      </c>
      <c r="C2965">
        <v>1</v>
      </c>
      <c r="F2965">
        <v>384</v>
      </c>
      <c r="J2965">
        <v>1.1180000000000001</v>
      </c>
      <c r="K2965">
        <v>41.6</v>
      </c>
      <c r="L2965">
        <v>37.200000000000003</v>
      </c>
      <c r="M2965">
        <v>349</v>
      </c>
      <c r="N2965">
        <v>35</v>
      </c>
      <c r="O2965">
        <v>15</v>
      </c>
    </row>
    <row r="2966" spans="1:16" x14ac:dyDescent="0.25">
      <c r="A2966" s="4">
        <v>44482</v>
      </c>
      <c r="B2966" t="s">
        <v>10</v>
      </c>
      <c r="C2966" t="s">
        <v>78</v>
      </c>
      <c r="F2966">
        <v>320</v>
      </c>
      <c r="J2966">
        <v>1.034</v>
      </c>
      <c r="K2966">
        <v>40.5</v>
      </c>
      <c r="L2966">
        <v>39.1</v>
      </c>
      <c r="M2966">
        <v>186</v>
      </c>
      <c r="N2966">
        <v>42</v>
      </c>
      <c r="O2966">
        <v>18</v>
      </c>
      <c r="P2966">
        <v>1</v>
      </c>
    </row>
    <row r="2967" spans="1:16" x14ac:dyDescent="0.25">
      <c r="A2967" s="4">
        <v>44482</v>
      </c>
      <c r="B2967" t="s">
        <v>9</v>
      </c>
      <c r="C2967" t="s">
        <v>78</v>
      </c>
      <c r="F2967">
        <v>384</v>
      </c>
      <c r="J2967">
        <v>1.1180000000000001</v>
      </c>
      <c r="K2967">
        <v>41.6</v>
      </c>
      <c r="L2967">
        <v>37.200000000000003</v>
      </c>
      <c r="M2967">
        <v>349</v>
      </c>
      <c r="N2967">
        <v>35</v>
      </c>
      <c r="O2967">
        <v>15</v>
      </c>
    </row>
    <row r="2968" spans="1:16" x14ac:dyDescent="0.25">
      <c r="A2968" s="4">
        <v>44483</v>
      </c>
      <c r="B2968" t="s">
        <v>10</v>
      </c>
      <c r="C2968">
        <v>1</v>
      </c>
      <c r="F2968">
        <v>256</v>
      </c>
      <c r="J2968">
        <v>1.115</v>
      </c>
      <c r="K2968">
        <v>40</v>
      </c>
      <c r="L2968">
        <v>35.9</v>
      </c>
      <c r="M2968">
        <v>175</v>
      </c>
      <c r="N2968">
        <v>31</v>
      </c>
      <c r="O2968">
        <v>6</v>
      </c>
    </row>
    <row r="2969" spans="1:16" x14ac:dyDescent="0.25">
      <c r="A2969" s="4">
        <v>44483</v>
      </c>
      <c r="B2969" t="s">
        <v>9</v>
      </c>
      <c r="C2969">
        <v>1</v>
      </c>
      <c r="F2969">
        <v>349</v>
      </c>
      <c r="J2969">
        <v>1.18</v>
      </c>
      <c r="K2969">
        <v>47.3</v>
      </c>
      <c r="L2969">
        <v>40.1</v>
      </c>
      <c r="M2969">
        <v>225</v>
      </c>
      <c r="N2969">
        <v>48</v>
      </c>
      <c r="O2969">
        <v>3</v>
      </c>
      <c r="P2969">
        <v>2</v>
      </c>
    </row>
    <row r="2970" spans="1:16" x14ac:dyDescent="0.25">
      <c r="A2970" s="4">
        <v>44483</v>
      </c>
      <c r="B2970" t="s">
        <v>10</v>
      </c>
      <c r="C2970" t="s">
        <v>78</v>
      </c>
      <c r="F2970">
        <v>256</v>
      </c>
      <c r="J2970">
        <v>1.115</v>
      </c>
      <c r="K2970">
        <v>40</v>
      </c>
      <c r="L2970">
        <v>35.9</v>
      </c>
      <c r="M2970">
        <v>175</v>
      </c>
      <c r="N2970">
        <v>31</v>
      </c>
      <c r="O2970">
        <v>6</v>
      </c>
    </row>
    <row r="2971" spans="1:16" x14ac:dyDescent="0.25">
      <c r="A2971" s="4">
        <v>44483</v>
      </c>
      <c r="B2971" t="s">
        <v>9</v>
      </c>
      <c r="C2971" t="s">
        <v>78</v>
      </c>
      <c r="F2971">
        <v>349</v>
      </c>
      <c r="J2971">
        <v>1.18</v>
      </c>
      <c r="K2971">
        <v>47.3</v>
      </c>
      <c r="L2971">
        <v>40.1</v>
      </c>
      <c r="M2971">
        <v>225</v>
      </c>
      <c r="N2971">
        <v>48</v>
      </c>
      <c r="O2971">
        <v>3</v>
      </c>
      <c r="P2971">
        <v>2</v>
      </c>
    </row>
    <row r="2972" spans="1:16" x14ac:dyDescent="0.25">
      <c r="A2972" s="4">
        <v>44484</v>
      </c>
      <c r="B2972" t="s">
        <v>10</v>
      </c>
      <c r="C2972">
        <v>1</v>
      </c>
      <c r="F2972">
        <v>139</v>
      </c>
      <c r="J2972">
        <v>1.1060000000000001</v>
      </c>
      <c r="K2972">
        <v>38.6</v>
      </c>
      <c r="L2972">
        <v>34.9</v>
      </c>
      <c r="M2972">
        <v>88</v>
      </c>
      <c r="N2972">
        <v>22</v>
      </c>
      <c r="O2972">
        <v>2</v>
      </c>
    </row>
    <row r="2973" spans="1:16" x14ac:dyDescent="0.25">
      <c r="A2973" s="4">
        <v>44484</v>
      </c>
      <c r="B2973" t="s">
        <v>9</v>
      </c>
      <c r="C2973">
        <v>1</v>
      </c>
      <c r="F2973">
        <v>467</v>
      </c>
      <c r="J2973">
        <v>1.0640000000000001</v>
      </c>
      <c r="K2973">
        <v>44.9</v>
      </c>
      <c r="L2973">
        <v>42.2</v>
      </c>
      <c r="M2973">
        <v>215</v>
      </c>
      <c r="N2973">
        <v>59</v>
      </c>
      <c r="O2973">
        <v>32</v>
      </c>
      <c r="P2973">
        <v>2</v>
      </c>
    </row>
    <row r="2974" spans="1:16" x14ac:dyDescent="0.25">
      <c r="A2974" s="4">
        <v>44484</v>
      </c>
      <c r="B2974" t="s">
        <v>10</v>
      </c>
      <c r="C2974" t="s">
        <v>78</v>
      </c>
      <c r="F2974">
        <v>139</v>
      </c>
      <c r="J2974">
        <v>1.1060000000000001</v>
      </c>
      <c r="K2974">
        <v>38.6</v>
      </c>
      <c r="L2974">
        <v>34.9</v>
      </c>
      <c r="M2974">
        <v>88</v>
      </c>
      <c r="N2974">
        <v>22</v>
      </c>
      <c r="O2974">
        <v>2</v>
      </c>
    </row>
    <row r="2975" spans="1:16" x14ac:dyDescent="0.25">
      <c r="A2975" s="4">
        <v>44484</v>
      </c>
      <c r="B2975" t="s">
        <v>9</v>
      </c>
      <c r="C2975" t="s">
        <v>78</v>
      </c>
      <c r="F2975">
        <v>467</v>
      </c>
      <c r="J2975">
        <v>1.0640000000000001</v>
      </c>
      <c r="K2975">
        <v>44.9</v>
      </c>
      <c r="L2975">
        <v>42.2</v>
      </c>
      <c r="M2975">
        <v>215</v>
      </c>
      <c r="N2975">
        <v>59</v>
      </c>
      <c r="O2975">
        <v>32</v>
      </c>
      <c r="P2975">
        <v>2</v>
      </c>
    </row>
    <row r="2976" spans="1:16" x14ac:dyDescent="0.25">
      <c r="A2976" s="4">
        <v>44487</v>
      </c>
      <c r="B2976" t="s">
        <v>10</v>
      </c>
      <c r="C2976">
        <v>1</v>
      </c>
      <c r="F2976">
        <v>223</v>
      </c>
      <c r="J2976">
        <v>0.93600000000000005</v>
      </c>
      <c r="K2976">
        <v>37.799999999999997</v>
      </c>
      <c r="L2976">
        <v>40.4</v>
      </c>
      <c r="M2976">
        <v>113</v>
      </c>
      <c r="N2976">
        <v>28</v>
      </c>
      <c r="O2976">
        <v>15</v>
      </c>
    </row>
    <row r="2977" spans="1:16" x14ac:dyDescent="0.25">
      <c r="A2977" s="4">
        <v>44487</v>
      </c>
      <c r="B2977" t="s">
        <v>9</v>
      </c>
      <c r="C2977">
        <v>1</v>
      </c>
      <c r="F2977">
        <v>374</v>
      </c>
      <c r="J2977">
        <v>1.0900000000000001</v>
      </c>
      <c r="K2977">
        <v>42.3</v>
      </c>
      <c r="L2977">
        <v>38.799999999999997</v>
      </c>
      <c r="M2977">
        <v>225</v>
      </c>
      <c r="N2977">
        <v>41</v>
      </c>
      <c r="O2977">
        <v>16</v>
      </c>
      <c r="P2977">
        <v>1</v>
      </c>
    </row>
    <row r="2978" spans="1:16" x14ac:dyDescent="0.25">
      <c r="A2978" s="4">
        <v>44487</v>
      </c>
      <c r="B2978" t="s">
        <v>10</v>
      </c>
      <c r="C2978" t="s">
        <v>78</v>
      </c>
      <c r="F2978">
        <v>223</v>
      </c>
      <c r="J2978">
        <v>0.93600000000000005</v>
      </c>
      <c r="K2978">
        <v>37.799999999999997</v>
      </c>
      <c r="L2978">
        <v>40.4</v>
      </c>
      <c r="M2978">
        <v>113</v>
      </c>
      <c r="N2978">
        <v>28</v>
      </c>
      <c r="O2978">
        <v>15</v>
      </c>
    </row>
    <row r="2979" spans="1:16" x14ac:dyDescent="0.25">
      <c r="A2979" s="4">
        <v>44487</v>
      </c>
      <c r="B2979" t="s">
        <v>9</v>
      </c>
      <c r="C2979" t="s">
        <v>78</v>
      </c>
      <c r="F2979">
        <v>374</v>
      </c>
      <c r="J2979">
        <v>1.0900000000000001</v>
      </c>
      <c r="K2979">
        <v>42.3</v>
      </c>
      <c r="L2979">
        <v>38.799999999999997</v>
      </c>
      <c r="M2979">
        <v>225</v>
      </c>
      <c r="N2979">
        <v>41</v>
      </c>
      <c r="O2979">
        <v>16</v>
      </c>
      <c r="P2979">
        <v>1</v>
      </c>
    </row>
    <row r="2980" spans="1:16" x14ac:dyDescent="0.25">
      <c r="A2980" s="4">
        <v>44488</v>
      </c>
      <c r="B2980" t="s">
        <v>10</v>
      </c>
      <c r="C2980">
        <v>1</v>
      </c>
      <c r="F2980">
        <v>361</v>
      </c>
      <c r="J2980">
        <v>1.105</v>
      </c>
      <c r="K2980">
        <v>42</v>
      </c>
      <c r="L2980">
        <v>38</v>
      </c>
      <c r="M2980">
        <v>201</v>
      </c>
      <c r="N2980">
        <v>44</v>
      </c>
      <c r="O2980">
        <v>14</v>
      </c>
      <c r="P2980">
        <v>3</v>
      </c>
    </row>
    <row r="2981" spans="1:16" x14ac:dyDescent="0.25">
      <c r="A2981" s="4">
        <v>44488</v>
      </c>
      <c r="B2981" t="s">
        <v>9</v>
      </c>
      <c r="C2981">
        <v>1</v>
      </c>
      <c r="F2981">
        <v>373</v>
      </c>
      <c r="J2981">
        <v>1.0780000000000001</v>
      </c>
      <c r="K2981">
        <v>44.5</v>
      </c>
      <c r="L2981">
        <v>41.3</v>
      </c>
      <c r="M2981">
        <v>210</v>
      </c>
      <c r="N2981">
        <v>38</v>
      </c>
      <c r="O2981">
        <v>15</v>
      </c>
      <c r="P2981">
        <v>4</v>
      </c>
    </row>
    <row r="2982" spans="1:16" x14ac:dyDescent="0.25">
      <c r="A2982" s="4">
        <v>44488</v>
      </c>
      <c r="B2982" t="s">
        <v>10</v>
      </c>
      <c r="C2982" t="s">
        <v>78</v>
      </c>
      <c r="F2982">
        <v>361</v>
      </c>
      <c r="J2982">
        <v>1.105</v>
      </c>
      <c r="K2982">
        <v>42</v>
      </c>
      <c r="L2982">
        <v>38</v>
      </c>
      <c r="M2982">
        <v>201</v>
      </c>
      <c r="N2982">
        <v>44</v>
      </c>
      <c r="O2982">
        <v>14</v>
      </c>
      <c r="P2982">
        <v>3</v>
      </c>
    </row>
    <row r="2983" spans="1:16" x14ac:dyDescent="0.25">
      <c r="A2983" s="4">
        <v>44488</v>
      </c>
      <c r="B2983" t="s">
        <v>9</v>
      </c>
      <c r="C2983" t="s">
        <v>78</v>
      </c>
      <c r="F2983">
        <v>373</v>
      </c>
      <c r="J2983">
        <v>1.0780000000000001</v>
      </c>
      <c r="K2983">
        <v>44.5</v>
      </c>
      <c r="L2983">
        <v>41.3</v>
      </c>
      <c r="M2983">
        <v>210</v>
      </c>
      <c r="N2983">
        <v>38</v>
      </c>
      <c r="O2983">
        <v>15</v>
      </c>
      <c r="P2983">
        <v>4</v>
      </c>
    </row>
    <row r="2984" spans="1:16" x14ac:dyDescent="0.25">
      <c r="A2984" s="4">
        <v>44489</v>
      </c>
      <c r="B2984" t="s">
        <v>10</v>
      </c>
      <c r="C2984">
        <v>1</v>
      </c>
      <c r="F2984">
        <v>395</v>
      </c>
      <c r="J2984">
        <v>1.1579999999999999</v>
      </c>
      <c r="K2984">
        <v>43.9</v>
      </c>
      <c r="L2984">
        <v>37.9</v>
      </c>
      <c r="M2984">
        <v>222</v>
      </c>
      <c r="N2984">
        <v>38</v>
      </c>
      <c r="O2984">
        <v>21</v>
      </c>
      <c r="P2984">
        <v>3</v>
      </c>
    </row>
    <row r="2985" spans="1:16" x14ac:dyDescent="0.25">
      <c r="A2985" s="4">
        <v>44489</v>
      </c>
      <c r="B2985" t="s">
        <v>9</v>
      </c>
      <c r="C2985">
        <v>1</v>
      </c>
      <c r="F2985">
        <v>394</v>
      </c>
      <c r="J2985">
        <v>1.0740000000000001</v>
      </c>
      <c r="K2985">
        <v>45</v>
      </c>
      <c r="L2985">
        <v>41.9</v>
      </c>
      <c r="M2985">
        <v>203</v>
      </c>
      <c r="N2985">
        <v>32</v>
      </c>
      <c r="O2985">
        <v>22</v>
      </c>
      <c r="P2985">
        <v>6</v>
      </c>
    </row>
    <row r="2986" spans="1:16" x14ac:dyDescent="0.25">
      <c r="A2986" s="4">
        <v>44489</v>
      </c>
      <c r="B2986" t="s">
        <v>10</v>
      </c>
      <c r="C2986" t="s">
        <v>78</v>
      </c>
      <c r="F2986">
        <v>395</v>
      </c>
      <c r="J2986">
        <v>1.1579999999999999</v>
      </c>
      <c r="K2986">
        <v>43.9</v>
      </c>
      <c r="L2986">
        <v>37.9</v>
      </c>
      <c r="M2986">
        <v>222</v>
      </c>
      <c r="N2986">
        <v>38</v>
      </c>
      <c r="O2986">
        <v>21</v>
      </c>
      <c r="P2986">
        <v>3</v>
      </c>
    </row>
    <row r="2987" spans="1:16" x14ac:dyDescent="0.25">
      <c r="A2987" s="4">
        <v>44489</v>
      </c>
      <c r="B2987" t="s">
        <v>9</v>
      </c>
      <c r="C2987" t="s">
        <v>78</v>
      </c>
      <c r="F2987">
        <v>394</v>
      </c>
      <c r="J2987">
        <v>1.0740000000000001</v>
      </c>
      <c r="K2987">
        <v>45</v>
      </c>
      <c r="L2987">
        <v>41.9</v>
      </c>
      <c r="M2987">
        <v>203</v>
      </c>
      <c r="N2987">
        <v>32</v>
      </c>
      <c r="O2987">
        <v>22</v>
      </c>
      <c r="P2987">
        <v>6</v>
      </c>
    </row>
    <row r="2988" spans="1:16" x14ac:dyDescent="0.25">
      <c r="A2988" s="4">
        <v>44490</v>
      </c>
      <c r="B2988" t="s">
        <v>10</v>
      </c>
      <c r="C2988">
        <v>1</v>
      </c>
      <c r="F2988">
        <v>349</v>
      </c>
      <c r="J2988">
        <v>1.17</v>
      </c>
      <c r="K2988">
        <v>42.1</v>
      </c>
      <c r="L2988">
        <v>35.9</v>
      </c>
      <c r="M2988">
        <v>223</v>
      </c>
      <c r="N2988">
        <v>43</v>
      </c>
      <c r="O2988">
        <v>12</v>
      </c>
    </row>
    <row r="2989" spans="1:16" x14ac:dyDescent="0.25">
      <c r="A2989" s="4">
        <v>44490</v>
      </c>
      <c r="B2989" t="s">
        <v>9</v>
      </c>
      <c r="C2989">
        <v>1</v>
      </c>
      <c r="F2989">
        <v>414</v>
      </c>
      <c r="J2989">
        <v>1.292</v>
      </c>
      <c r="K2989">
        <v>49.2</v>
      </c>
      <c r="L2989">
        <v>38.1</v>
      </c>
      <c r="M2989">
        <v>277</v>
      </c>
      <c r="N2989">
        <v>48</v>
      </c>
      <c r="O2989">
        <v>9</v>
      </c>
      <c r="P2989">
        <v>1</v>
      </c>
    </row>
    <row r="2990" spans="1:16" x14ac:dyDescent="0.25">
      <c r="A2990" s="4">
        <v>44490</v>
      </c>
      <c r="B2990" t="s">
        <v>10</v>
      </c>
      <c r="C2990" t="s">
        <v>78</v>
      </c>
      <c r="F2990">
        <v>349</v>
      </c>
      <c r="J2990">
        <v>1.17</v>
      </c>
      <c r="K2990">
        <v>42.1</v>
      </c>
      <c r="L2990">
        <v>35.9</v>
      </c>
      <c r="M2990">
        <v>223</v>
      </c>
      <c r="N2990">
        <v>43</v>
      </c>
      <c r="O2990">
        <v>12</v>
      </c>
    </row>
    <row r="2991" spans="1:16" x14ac:dyDescent="0.25">
      <c r="A2991" s="4">
        <v>44490</v>
      </c>
      <c r="B2991" t="s">
        <v>9</v>
      </c>
      <c r="C2991" t="s">
        <v>78</v>
      </c>
      <c r="F2991">
        <v>414</v>
      </c>
      <c r="J2991">
        <v>1.292</v>
      </c>
      <c r="K2991">
        <v>49.2</v>
      </c>
      <c r="L2991">
        <v>38.1</v>
      </c>
      <c r="M2991">
        <v>277</v>
      </c>
      <c r="N2991">
        <v>48</v>
      </c>
      <c r="O2991">
        <v>9</v>
      </c>
      <c r="P2991">
        <v>1</v>
      </c>
    </row>
    <row r="2992" spans="1:16" x14ac:dyDescent="0.25">
      <c r="A2992" s="4">
        <v>44491</v>
      </c>
      <c r="B2992" t="s">
        <v>10</v>
      </c>
      <c r="C2992">
        <v>1</v>
      </c>
      <c r="F2992">
        <v>370</v>
      </c>
      <c r="J2992">
        <v>1.1240000000000001</v>
      </c>
      <c r="K2992">
        <v>41</v>
      </c>
      <c r="L2992">
        <v>36.6</v>
      </c>
      <c r="M2992">
        <v>205</v>
      </c>
      <c r="N2992">
        <v>53</v>
      </c>
      <c r="O2992">
        <v>13</v>
      </c>
      <c r="P2992">
        <v>3</v>
      </c>
    </row>
    <row r="2993" spans="1:16" x14ac:dyDescent="0.25">
      <c r="A2993" s="4">
        <v>44491</v>
      </c>
      <c r="B2993" t="s">
        <v>9</v>
      </c>
      <c r="C2993">
        <v>1</v>
      </c>
      <c r="F2993">
        <v>405</v>
      </c>
      <c r="J2993">
        <v>1.214</v>
      </c>
      <c r="K2993">
        <v>45.6</v>
      </c>
      <c r="L2993">
        <v>37.5</v>
      </c>
      <c r="M2993">
        <v>271</v>
      </c>
      <c r="N2993">
        <v>48</v>
      </c>
      <c r="O2993">
        <v>7</v>
      </c>
      <c r="P2993">
        <v>2</v>
      </c>
    </row>
    <row r="2994" spans="1:16" x14ac:dyDescent="0.25">
      <c r="A2994" s="4">
        <v>44491</v>
      </c>
      <c r="B2994" t="s">
        <v>10</v>
      </c>
      <c r="C2994" t="s">
        <v>78</v>
      </c>
      <c r="F2994">
        <v>370</v>
      </c>
      <c r="J2994">
        <v>1.1240000000000001</v>
      </c>
      <c r="K2994">
        <v>41</v>
      </c>
      <c r="L2994">
        <v>36.6</v>
      </c>
      <c r="M2994">
        <v>205</v>
      </c>
      <c r="N2994">
        <v>53</v>
      </c>
      <c r="O2994">
        <v>13</v>
      </c>
      <c r="P2994">
        <v>3</v>
      </c>
    </row>
    <row r="2995" spans="1:16" x14ac:dyDescent="0.25">
      <c r="A2995" s="4">
        <v>44491</v>
      </c>
      <c r="B2995" t="s">
        <v>9</v>
      </c>
      <c r="C2995" t="s">
        <v>78</v>
      </c>
      <c r="F2995">
        <v>405</v>
      </c>
      <c r="J2995">
        <v>1.214</v>
      </c>
      <c r="K2995">
        <v>45.6</v>
      </c>
      <c r="L2995">
        <v>37.5</v>
      </c>
      <c r="M2995">
        <v>271</v>
      </c>
      <c r="N2995">
        <v>48</v>
      </c>
      <c r="O2995">
        <v>7</v>
      </c>
      <c r="P2995">
        <v>2</v>
      </c>
    </row>
    <row r="2996" spans="1:16" x14ac:dyDescent="0.25">
      <c r="A2996" s="4">
        <v>44494</v>
      </c>
      <c r="B2996" t="s">
        <v>10</v>
      </c>
      <c r="C2996">
        <v>1</v>
      </c>
      <c r="F2996">
        <v>324</v>
      </c>
      <c r="J2996">
        <v>1.048</v>
      </c>
      <c r="K2996">
        <v>37.700000000000003</v>
      </c>
      <c r="L2996">
        <v>35.9</v>
      </c>
      <c r="M2996">
        <v>220</v>
      </c>
      <c r="N2996">
        <v>33</v>
      </c>
      <c r="O2996">
        <v>12</v>
      </c>
    </row>
    <row r="2997" spans="1:16" x14ac:dyDescent="0.25">
      <c r="A2997" s="4">
        <v>44494</v>
      </c>
      <c r="B2997" t="s">
        <v>9</v>
      </c>
      <c r="C2997">
        <v>1</v>
      </c>
      <c r="F2997">
        <v>418</v>
      </c>
      <c r="J2997">
        <v>1.234</v>
      </c>
      <c r="K2997">
        <v>47.7</v>
      </c>
      <c r="L2997">
        <v>38.6</v>
      </c>
      <c r="M2997">
        <v>286</v>
      </c>
      <c r="N2997">
        <v>40</v>
      </c>
      <c r="O2997">
        <v>13</v>
      </c>
      <c r="P2997">
        <v>1</v>
      </c>
    </row>
    <row r="2998" spans="1:16" x14ac:dyDescent="0.25">
      <c r="A2998" s="4">
        <v>44494</v>
      </c>
      <c r="B2998" t="s">
        <v>10</v>
      </c>
      <c r="C2998" t="s">
        <v>78</v>
      </c>
      <c r="F2998">
        <v>324</v>
      </c>
      <c r="J2998">
        <v>1.048</v>
      </c>
      <c r="K2998">
        <v>37.700000000000003</v>
      </c>
      <c r="L2998">
        <v>35.9</v>
      </c>
      <c r="M2998">
        <v>220</v>
      </c>
      <c r="N2998">
        <v>33</v>
      </c>
      <c r="O2998">
        <v>12</v>
      </c>
    </row>
    <row r="2999" spans="1:16" x14ac:dyDescent="0.25">
      <c r="A2999" s="4">
        <v>44494</v>
      </c>
      <c r="B2999" t="s">
        <v>9</v>
      </c>
      <c r="C2999" t="s">
        <v>78</v>
      </c>
      <c r="F2999">
        <v>418</v>
      </c>
      <c r="J2999">
        <v>1.234</v>
      </c>
      <c r="K2999">
        <v>47.7</v>
      </c>
      <c r="L2999">
        <v>38.6</v>
      </c>
      <c r="M2999">
        <v>286</v>
      </c>
      <c r="N2999">
        <v>40</v>
      </c>
      <c r="O2999">
        <v>13</v>
      </c>
      <c r="P2999">
        <v>1</v>
      </c>
    </row>
    <row r="3000" spans="1:16" x14ac:dyDescent="0.25">
      <c r="A3000" s="4">
        <v>44495</v>
      </c>
      <c r="B3000" t="s">
        <v>10</v>
      </c>
      <c r="C3000">
        <v>1</v>
      </c>
      <c r="F3000">
        <v>387</v>
      </c>
      <c r="J3000">
        <v>1.2370000000000001</v>
      </c>
      <c r="K3000">
        <v>44</v>
      </c>
      <c r="L3000">
        <v>35.6</v>
      </c>
      <c r="M3000">
        <v>266</v>
      </c>
      <c r="N3000">
        <v>41</v>
      </c>
      <c r="O3000">
        <v>11</v>
      </c>
    </row>
    <row r="3001" spans="1:16" x14ac:dyDescent="0.25">
      <c r="A3001" s="4">
        <v>44495</v>
      </c>
      <c r="B3001" t="s">
        <v>9</v>
      </c>
      <c r="C3001">
        <v>1</v>
      </c>
      <c r="F3001">
        <v>433</v>
      </c>
      <c r="J3001">
        <v>1.264</v>
      </c>
      <c r="K3001">
        <v>48.6</v>
      </c>
      <c r="L3001">
        <v>38.4</v>
      </c>
      <c r="M3001">
        <v>279</v>
      </c>
      <c r="N3001">
        <v>57</v>
      </c>
      <c r="O3001">
        <v>7</v>
      </c>
      <c r="P3001">
        <v>2</v>
      </c>
    </row>
    <row r="3002" spans="1:16" x14ac:dyDescent="0.25">
      <c r="A3002" s="4">
        <v>44495</v>
      </c>
      <c r="B3002" t="s">
        <v>10</v>
      </c>
      <c r="C3002" t="s">
        <v>78</v>
      </c>
      <c r="F3002">
        <v>387</v>
      </c>
      <c r="J3002">
        <v>1.2370000000000001</v>
      </c>
      <c r="K3002">
        <v>44</v>
      </c>
      <c r="L3002">
        <v>35.6</v>
      </c>
      <c r="M3002">
        <v>266</v>
      </c>
      <c r="N3002">
        <v>41</v>
      </c>
      <c r="O3002">
        <v>11</v>
      </c>
    </row>
    <row r="3003" spans="1:16" x14ac:dyDescent="0.25">
      <c r="A3003" s="4">
        <v>44495</v>
      </c>
      <c r="B3003" t="s">
        <v>9</v>
      </c>
      <c r="C3003" t="s">
        <v>78</v>
      </c>
      <c r="F3003">
        <v>433</v>
      </c>
      <c r="J3003">
        <v>1.264</v>
      </c>
      <c r="K3003">
        <v>48.6</v>
      </c>
      <c r="L3003">
        <v>38.4</v>
      </c>
      <c r="M3003">
        <v>279</v>
      </c>
      <c r="N3003">
        <v>57</v>
      </c>
      <c r="O3003">
        <v>7</v>
      </c>
      <c r="P3003">
        <v>2</v>
      </c>
    </row>
    <row r="3004" spans="1:16" x14ac:dyDescent="0.25">
      <c r="A3004" s="4">
        <v>44496</v>
      </c>
      <c r="B3004" t="s">
        <v>10</v>
      </c>
      <c r="C3004">
        <v>1</v>
      </c>
      <c r="F3004">
        <v>351</v>
      </c>
      <c r="J3004">
        <v>1.0369999999999999</v>
      </c>
      <c r="K3004">
        <v>40.299999999999997</v>
      </c>
      <c r="L3004">
        <v>38.9</v>
      </c>
      <c r="M3004">
        <v>199</v>
      </c>
      <c r="N3004">
        <v>47</v>
      </c>
      <c r="O3004">
        <v>8</v>
      </c>
      <c r="P3004">
        <v>4</v>
      </c>
    </row>
    <row r="3005" spans="1:16" x14ac:dyDescent="0.25">
      <c r="A3005" s="4">
        <v>44496</v>
      </c>
      <c r="B3005" t="s">
        <v>9</v>
      </c>
      <c r="C3005">
        <v>1</v>
      </c>
      <c r="F3005">
        <v>376</v>
      </c>
      <c r="J3005">
        <v>1.0720000000000001</v>
      </c>
      <c r="K3005">
        <v>42.8</v>
      </c>
      <c r="L3005">
        <v>39.9</v>
      </c>
      <c r="M3005">
        <v>233</v>
      </c>
      <c r="N3005">
        <v>36</v>
      </c>
      <c r="O3005">
        <v>14</v>
      </c>
      <c r="P3005">
        <v>3</v>
      </c>
    </row>
    <row r="3006" spans="1:16" x14ac:dyDescent="0.25">
      <c r="A3006" s="4">
        <v>44496</v>
      </c>
      <c r="B3006" t="s">
        <v>10</v>
      </c>
      <c r="C3006" t="s">
        <v>78</v>
      </c>
      <c r="F3006">
        <v>351</v>
      </c>
      <c r="J3006">
        <v>1.0369999999999999</v>
      </c>
      <c r="K3006">
        <v>40.299999999999997</v>
      </c>
      <c r="L3006">
        <v>38.9</v>
      </c>
      <c r="M3006">
        <v>199</v>
      </c>
      <c r="N3006">
        <v>47</v>
      </c>
      <c r="O3006">
        <v>8</v>
      </c>
      <c r="P3006">
        <v>4</v>
      </c>
    </row>
    <row r="3007" spans="1:16" x14ac:dyDescent="0.25">
      <c r="A3007" s="4">
        <v>44496</v>
      </c>
      <c r="B3007" t="s">
        <v>9</v>
      </c>
      <c r="C3007" t="s">
        <v>78</v>
      </c>
      <c r="F3007">
        <v>376</v>
      </c>
      <c r="J3007">
        <v>1.0720000000000001</v>
      </c>
      <c r="K3007">
        <v>42.8</v>
      </c>
      <c r="L3007">
        <v>39.9</v>
      </c>
      <c r="M3007">
        <v>233</v>
      </c>
      <c r="N3007">
        <v>36</v>
      </c>
      <c r="O3007">
        <v>14</v>
      </c>
      <c r="P3007">
        <v>3</v>
      </c>
    </row>
    <row r="3008" spans="1:16" x14ac:dyDescent="0.25">
      <c r="A3008" s="4">
        <v>44497</v>
      </c>
      <c r="B3008" t="s">
        <v>10</v>
      </c>
      <c r="C3008">
        <v>1</v>
      </c>
      <c r="F3008">
        <v>368</v>
      </c>
      <c r="J3008">
        <v>1.171</v>
      </c>
      <c r="K3008">
        <v>42.8</v>
      </c>
      <c r="L3008">
        <v>36.6</v>
      </c>
      <c r="M3008">
        <v>238</v>
      </c>
      <c r="N3008">
        <v>43</v>
      </c>
      <c r="O3008">
        <v>9</v>
      </c>
      <c r="P3008">
        <v>2</v>
      </c>
    </row>
    <row r="3009" spans="1:16" x14ac:dyDescent="0.25">
      <c r="A3009" s="4">
        <v>44497</v>
      </c>
      <c r="B3009" t="s">
        <v>9</v>
      </c>
      <c r="C3009">
        <v>1</v>
      </c>
      <c r="F3009">
        <v>402</v>
      </c>
      <c r="J3009">
        <v>1.194</v>
      </c>
      <c r="K3009">
        <v>45.3</v>
      </c>
      <c r="L3009">
        <v>38</v>
      </c>
      <c r="M3009">
        <v>283</v>
      </c>
      <c r="N3009">
        <v>44</v>
      </c>
      <c r="O3009">
        <v>7</v>
      </c>
      <c r="P3009">
        <v>1</v>
      </c>
    </row>
    <row r="3010" spans="1:16" x14ac:dyDescent="0.25">
      <c r="A3010" s="4">
        <v>44497</v>
      </c>
      <c r="B3010" t="s">
        <v>10</v>
      </c>
      <c r="C3010" t="s">
        <v>78</v>
      </c>
      <c r="F3010">
        <v>368</v>
      </c>
      <c r="J3010">
        <v>1.171</v>
      </c>
      <c r="K3010">
        <v>42.8</v>
      </c>
      <c r="L3010">
        <v>36.6</v>
      </c>
      <c r="M3010">
        <v>238</v>
      </c>
      <c r="N3010">
        <v>43</v>
      </c>
      <c r="O3010">
        <v>9</v>
      </c>
      <c r="P3010">
        <v>2</v>
      </c>
    </row>
    <row r="3011" spans="1:16" x14ac:dyDescent="0.25">
      <c r="A3011" s="4">
        <v>44497</v>
      </c>
      <c r="B3011" t="s">
        <v>9</v>
      </c>
      <c r="C3011" t="s">
        <v>78</v>
      </c>
      <c r="F3011">
        <v>402</v>
      </c>
      <c r="J3011">
        <v>1.194</v>
      </c>
      <c r="K3011">
        <v>45.3</v>
      </c>
      <c r="L3011">
        <v>38</v>
      </c>
      <c r="M3011">
        <v>283</v>
      </c>
      <c r="N3011">
        <v>44</v>
      </c>
      <c r="O3011">
        <v>7</v>
      </c>
      <c r="P3011">
        <v>1</v>
      </c>
    </row>
    <row r="3012" spans="1:16" x14ac:dyDescent="0.25">
      <c r="A3012" s="4">
        <v>44498</v>
      </c>
      <c r="B3012" t="s">
        <v>10</v>
      </c>
      <c r="C3012">
        <v>1</v>
      </c>
      <c r="F3012">
        <v>350</v>
      </c>
      <c r="J3012">
        <v>1.0720000000000001</v>
      </c>
      <c r="K3012">
        <v>38.9</v>
      </c>
      <c r="L3012">
        <v>36.299999999999997</v>
      </c>
      <c r="M3012">
        <v>236</v>
      </c>
      <c r="N3012">
        <v>35</v>
      </c>
      <c r="O3012">
        <v>10</v>
      </c>
      <c r="P3012">
        <v>1</v>
      </c>
    </row>
    <row r="3013" spans="1:16" x14ac:dyDescent="0.25">
      <c r="A3013" s="4">
        <v>44498</v>
      </c>
      <c r="B3013" t="s">
        <v>9</v>
      </c>
      <c r="C3013">
        <v>1</v>
      </c>
      <c r="F3013">
        <v>394</v>
      </c>
      <c r="J3013">
        <v>1.1539999999999999</v>
      </c>
      <c r="K3013">
        <v>44.1</v>
      </c>
      <c r="L3013">
        <v>38.200000000000003</v>
      </c>
      <c r="M3013">
        <v>283</v>
      </c>
      <c r="N3013">
        <v>34</v>
      </c>
      <c r="O3013">
        <v>8</v>
      </c>
      <c r="P3013">
        <v>1</v>
      </c>
    </row>
    <row r="3014" spans="1:16" x14ac:dyDescent="0.25">
      <c r="A3014" s="4">
        <v>44498</v>
      </c>
      <c r="B3014" t="s">
        <v>10</v>
      </c>
      <c r="C3014" t="s">
        <v>78</v>
      </c>
      <c r="F3014">
        <v>350</v>
      </c>
      <c r="J3014">
        <v>1.0720000000000001</v>
      </c>
      <c r="K3014">
        <v>38.9</v>
      </c>
      <c r="L3014">
        <v>36.299999999999997</v>
      </c>
      <c r="M3014">
        <v>236</v>
      </c>
      <c r="N3014">
        <v>35</v>
      </c>
      <c r="O3014">
        <v>10</v>
      </c>
      <c r="P3014">
        <v>1</v>
      </c>
    </row>
    <row r="3015" spans="1:16" x14ac:dyDescent="0.25">
      <c r="A3015" s="4">
        <v>44498</v>
      </c>
      <c r="B3015" t="s">
        <v>9</v>
      </c>
      <c r="C3015" t="s">
        <v>78</v>
      </c>
      <c r="F3015">
        <v>394</v>
      </c>
      <c r="J3015">
        <v>1.1539999999999999</v>
      </c>
      <c r="K3015">
        <v>44.1</v>
      </c>
      <c r="L3015">
        <v>38.200000000000003</v>
      </c>
      <c r="M3015">
        <v>283</v>
      </c>
      <c r="N3015">
        <v>34</v>
      </c>
      <c r="O3015">
        <v>8</v>
      </c>
      <c r="P3015">
        <v>1</v>
      </c>
    </row>
    <row r="3016" spans="1:16" x14ac:dyDescent="0.25">
      <c r="A3016" s="4">
        <v>44501</v>
      </c>
      <c r="B3016" t="s">
        <v>10</v>
      </c>
      <c r="C3016">
        <v>1</v>
      </c>
      <c r="F3016">
        <v>302</v>
      </c>
      <c r="J3016">
        <v>1.1220000000000001</v>
      </c>
      <c r="K3016">
        <v>43.1</v>
      </c>
      <c r="L3016">
        <v>38.5</v>
      </c>
      <c r="M3016">
        <v>169</v>
      </c>
      <c r="N3016">
        <v>43</v>
      </c>
      <c r="O3016">
        <v>10</v>
      </c>
      <c r="P3016">
        <v>2</v>
      </c>
    </row>
    <row r="3017" spans="1:16" x14ac:dyDescent="0.25">
      <c r="A3017" s="4">
        <v>44501</v>
      </c>
      <c r="B3017" t="s">
        <v>9</v>
      </c>
      <c r="C3017">
        <v>1</v>
      </c>
      <c r="F3017">
        <v>325</v>
      </c>
      <c r="J3017">
        <v>1.1299999999999999</v>
      </c>
      <c r="K3017">
        <v>46.4</v>
      </c>
      <c r="L3017">
        <v>41.1</v>
      </c>
      <c r="M3017">
        <v>172</v>
      </c>
      <c r="N3017">
        <v>45</v>
      </c>
      <c r="O3017">
        <v>13</v>
      </c>
      <c r="P3017">
        <v>3</v>
      </c>
    </row>
    <row r="3018" spans="1:16" x14ac:dyDescent="0.25">
      <c r="A3018" s="4">
        <v>44501</v>
      </c>
      <c r="B3018" t="s">
        <v>10</v>
      </c>
      <c r="C3018" t="s">
        <v>78</v>
      </c>
      <c r="F3018">
        <v>302</v>
      </c>
      <c r="J3018">
        <v>1.1220000000000001</v>
      </c>
      <c r="K3018">
        <v>43.1</v>
      </c>
      <c r="L3018">
        <v>38.5</v>
      </c>
      <c r="M3018">
        <v>169</v>
      </c>
      <c r="N3018">
        <v>43</v>
      </c>
      <c r="O3018">
        <v>10</v>
      </c>
      <c r="P3018">
        <v>2</v>
      </c>
    </row>
    <row r="3019" spans="1:16" x14ac:dyDescent="0.25">
      <c r="A3019" s="4">
        <v>44501</v>
      </c>
      <c r="B3019" t="s">
        <v>9</v>
      </c>
      <c r="C3019" t="s">
        <v>78</v>
      </c>
      <c r="F3019">
        <v>325</v>
      </c>
      <c r="J3019">
        <v>1.1299999999999999</v>
      </c>
      <c r="K3019">
        <v>46.4</v>
      </c>
      <c r="L3019">
        <v>41.1</v>
      </c>
      <c r="M3019">
        <v>172</v>
      </c>
      <c r="N3019">
        <v>45</v>
      </c>
      <c r="O3019">
        <v>13</v>
      </c>
      <c r="P3019">
        <v>3</v>
      </c>
    </row>
    <row r="3020" spans="1:16" x14ac:dyDescent="0.25">
      <c r="A3020" s="4">
        <v>44502</v>
      </c>
      <c r="B3020" t="s">
        <v>10</v>
      </c>
      <c r="C3020">
        <v>1</v>
      </c>
      <c r="F3020">
        <v>397</v>
      </c>
      <c r="J3020">
        <v>1.18</v>
      </c>
      <c r="K3020">
        <v>44.1</v>
      </c>
      <c r="L3020">
        <v>37.4</v>
      </c>
      <c r="M3020">
        <v>238</v>
      </c>
      <c r="N3020">
        <v>50</v>
      </c>
      <c r="O3020">
        <v>19</v>
      </c>
    </row>
    <row r="3021" spans="1:16" x14ac:dyDescent="0.25">
      <c r="A3021" s="4">
        <v>44502</v>
      </c>
      <c r="B3021" t="s">
        <v>9</v>
      </c>
      <c r="C3021">
        <v>1</v>
      </c>
      <c r="F3021">
        <v>411</v>
      </c>
      <c r="J3021">
        <v>1.1819999999999999</v>
      </c>
      <c r="K3021">
        <v>45.7</v>
      </c>
      <c r="L3021">
        <v>38.6</v>
      </c>
      <c r="M3021">
        <v>285</v>
      </c>
      <c r="N3021">
        <v>23</v>
      </c>
      <c r="O3021">
        <v>22</v>
      </c>
      <c r="P3021">
        <v>1</v>
      </c>
    </row>
    <row r="3022" spans="1:16" x14ac:dyDescent="0.25">
      <c r="A3022" s="4">
        <v>44502</v>
      </c>
      <c r="B3022" t="s">
        <v>10</v>
      </c>
      <c r="C3022" t="s">
        <v>78</v>
      </c>
      <c r="F3022">
        <v>397</v>
      </c>
      <c r="J3022">
        <v>1.18</v>
      </c>
      <c r="K3022">
        <v>44.1</v>
      </c>
      <c r="L3022">
        <v>37.4</v>
      </c>
      <c r="M3022">
        <v>238</v>
      </c>
      <c r="N3022">
        <v>50</v>
      </c>
      <c r="O3022">
        <v>19</v>
      </c>
    </row>
    <row r="3023" spans="1:16" x14ac:dyDescent="0.25">
      <c r="A3023" s="4">
        <v>44502</v>
      </c>
      <c r="B3023" t="s">
        <v>9</v>
      </c>
      <c r="C3023" t="s">
        <v>78</v>
      </c>
      <c r="F3023">
        <v>411</v>
      </c>
      <c r="J3023">
        <v>1.1819999999999999</v>
      </c>
      <c r="K3023">
        <v>45.7</v>
      </c>
      <c r="L3023">
        <v>38.6</v>
      </c>
      <c r="M3023">
        <v>285</v>
      </c>
      <c r="N3023">
        <v>23</v>
      </c>
      <c r="O3023">
        <v>22</v>
      </c>
      <c r="P3023">
        <v>1</v>
      </c>
    </row>
    <row r="3024" spans="1:16" x14ac:dyDescent="0.25">
      <c r="A3024" s="4">
        <v>44503</v>
      </c>
      <c r="B3024" t="s">
        <v>10</v>
      </c>
      <c r="C3024">
        <v>1</v>
      </c>
      <c r="F3024">
        <v>324</v>
      </c>
      <c r="J3024">
        <v>1.157</v>
      </c>
      <c r="K3024">
        <v>45</v>
      </c>
      <c r="L3024">
        <v>38.9</v>
      </c>
      <c r="M3024">
        <v>176</v>
      </c>
      <c r="N3024">
        <v>47</v>
      </c>
      <c r="O3024">
        <v>15</v>
      </c>
    </row>
    <row r="3025" spans="1:16" x14ac:dyDescent="0.25">
      <c r="A3025" s="4">
        <v>44503</v>
      </c>
      <c r="B3025" t="s">
        <v>9</v>
      </c>
      <c r="C3025">
        <v>1</v>
      </c>
      <c r="F3025">
        <v>365</v>
      </c>
      <c r="J3025">
        <v>1.262</v>
      </c>
      <c r="K3025">
        <v>50.7</v>
      </c>
      <c r="L3025">
        <v>40.200000000000003</v>
      </c>
      <c r="M3025">
        <v>210</v>
      </c>
      <c r="N3025">
        <v>57</v>
      </c>
      <c r="O3025">
        <v>6</v>
      </c>
      <c r="P3025">
        <v>2</v>
      </c>
    </row>
    <row r="3026" spans="1:16" x14ac:dyDescent="0.25">
      <c r="A3026" s="4">
        <v>44503</v>
      </c>
      <c r="B3026" t="s">
        <v>10</v>
      </c>
      <c r="C3026" t="s">
        <v>78</v>
      </c>
      <c r="F3026">
        <v>324</v>
      </c>
      <c r="J3026">
        <v>1.157</v>
      </c>
      <c r="K3026">
        <v>45</v>
      </c>
      <c r="L3026">
        <v>38.9</v>
      </c>
      <c r="M3026">
        <v>176</v>
      </c>
      <c r="N3026">
        <v>47</v>
      </c>
      <c r="O3026">
        <v>15</v>
      </c>
    </row>
    <row r="3027" spans="1:16" x14ac:dyDescent="0.25">
      <c r="A3027" s="4">
        <v>44503</v>
      </c>
      <c r="B3027" t="s">
        <v>9</v>
      </c>
      <c r="C3027" t="s">
        <v>78</v>
      </c>
      <c r="F3027">
        <v>365</v>
      </c>
      <c r="J3027">
        <v>1.262</v>
      </c>
      <c r="K3027">
        <v>50.7</v>
      </c>
      <c r="L3027">
        <v>40.200000000000003</v>
      </c>
      <c r="M3027">
        <v>210</v>
      </c>
      <c r="N3027">
        <v>57</v>
      </c>
      <c r="O3027">
        <v>6</v>
      </c>
      <c r="P3027">
        <v>2</v>
      </c>
    </row>
    <row r="3028" spans="1:16" x14ac:dyDescent="0.25">
      <c r="A3028" s="4">
        <v>44504</v>
      </c>
      <c r="B3028" t="s">
        <v>10</v>
      </c>
      <c r="C3028">
        <v>1</v>
      </c>
      <c r="F3028">
        <v>347</v>
      </c>
      <c r="J3028">
        <v>1.089</v>
      </c>
      <c r="K3028">
        <v>43.4</v>
      </c>
      <c r="L3028">
        <v>39.799999999999997</v>
      </c>
      <c r="M3028">
        <v>179</v>
      </c>
      <c r="N3028">
        <v>29</v>
      </c>
      <c r="O3028">
        <v>31</v>
      </c>
      <c r="P3028">
        <v>2</v>
      </c>
    </row>
    <row r="3029" spans="1:16" x14ac:dyDescent="0.25">
      <c r="A3029" s="4">
        <v>44504</v>
      </c>
      <c r="B3029" t="s">
        <v>9</v>
      </c>
      <c r="C3029">
        <v>1</v>
      </c>
      <c r="F3029">
        <v>407</v>
      </c>
      <c r="J3029">
        <v>1.238</v>
      </c>
      <c r="K3029">
        <v>50.9</v>
      </c>
      <c r="L3029">
        <v>41.1</v>
      </c>
      <c r="M3029">
        <v>232</v>
      </c>
      <c r="N3029">
        <v>24</v>
      </c>
      <c r="O3029">
        <v>39</v>
      </c>
      <c r="P3029">
        <v>1</v>
      </c>
    </row>
    <row r="3030" spans="1:16" x14ac:dyDescent="0.25">
      <c r="A3030" s="4">
        <v>44504</v>
      </c>
      <c r="B3030" t="s">
        <v>10</v>
      </c>
      <c r="C3030" t="s">
        <v>78</v>
      </c>
      <c r="F3030">
        <v>347</v>
      </c>
      <c r="J3030">
        <v>1.089</v>
      </c>
      <c r="K3030">
        <v>43.4</v>
      </c>
      <c r="L3030">
        <v>39.799999999999997</v>
      </c>
      <c r="M3030">
        <v>179</v>
      </c>
      <c r="N3030">
        <v>29</v>
      </c>
      <c r="O3030">
        <v>31</v>
      </c>
      <c r="P3030">
        <v>2</v>
      </c>
    </row>
    <row r="3031" spans="1:16" x14ac:dyDescent="0.25">
      <c r="A3031" s="4">
        <v>44504</v>
      </c>
      <c r="B3031" t="s">
        <v>9</v>
      </c>
      <c r="C3031" t="s">
        <v>78</v>
      </c>
      <c r="F3031">
        <v>407</v>
      </c>
      <c r="J3031">
        <v>1.238</v>
      </c>
      <c r="K3031">
        <v>50.9</v>
      </c>
      <c r="L3031">
        <v>41.1</v>
      </c>
      <c r="M3031">
        <v>232</v>
      </c>
      <c r="N3031">
        <v>24</v>
      </c>
      <c r="O3031">
        <v>39</v>
      </c>
      <c r="P3031">
        <v>1</v>
      </c>
    </row>
    <row r="3032" spans="1:16" x14ac:dyDescent="0.25">
      <c r="A3032" s="4">
        <v>44505</v>
      </c>
      <c r="B3032" t="s">
        <v>10</v>
      </c>
      <c r="C3032">
        <v>1</v>
      </c>
      <c r="F3032">
        <v>290</v>
      </c>
      <c r="J3032">
        <v>1.101</v>
      </c>
      <c r="K3032">
        <v>43.9</v>
      </c>
      <c r="L3032">
        <v>39.9</v>
      </c>
      <c r="M3032">
        <v>151</v>
      </c>
      <c r="N3032">
        <v>35</v>
      </c>
      <c r="O3032">
        <v>19</v>
      </c>
      <c r="P3032">
        <v>1</v>
      </c>
    </row>
    <row r="3033" spans="1:16" x14ac:dyDescent="0.25">
      <c r="A3033" s="4">
        <v>44505</v>
      </c>
      <c r="B3033" t="s">
        <v>9</v>
      </c>
      <c r="C3033">
        <v>1</v>
      </c>
      <c r="F3033">
        <v>326</v>
      </c>
      <c r="J3033">
        <v>1.331</v>
      </c>
      <c r="K3033">
        <v>49.4</v>
      </c>
      <c r="L3033">
        <v>37.1</v>
      </c>
      <c r="M3033">
        <v>243</v>
      </c>
      <c r="N3033">
        <v>25</v>
      </c>
      <c r="O3033">
        <v>7</v>
      </c>
    </row>
    <row r="3034" spans="1:16" x14ac:dyDescent="0.25">
      <c r="A3034" s="4">
        <v>44505</v>
      </c>
      <c r="B3034" t="s">
        <v>10</v>
      </c>
      <c r="C3034" t="s">
        <v>78</v>
      </c>
      <c r="F3034">
        <v>290</v>
      </c>
      <c r="J3034">
        <v>1.101</v>
      </c>
      <c r="K3034">
        <v>43.9</v>
      </c>
      <c r="L3034">
        <v>39.9</v>
      </c>
      <c r="M3034">
        <v>151</v>
      </c>
      <c r="N3034">
        <v>35</v>
      </c>
      <c r="O3034">
        <v>19</v>
      </c>
      <c r="P3034">
        <v>1</v>
      </c>
    </row>
    <row r="3035" spans="1:16" x14ac:dyDescent="0.25">
      <c r="A3035" s="4">
        <v>44505</v>
      </c>
      <c r="B3035" t="s">
        <v>9</v>
      </c>
      <c r="C3035" t="s">
        <v>78</v>
      </c>
      <c r="F3035">
        <v>326</v>
      </c>
      <c r="J3035">
        <v>1.331</v>
      </c>
      <c r="K3035">
        <v>49.4</v>
      </c>
      <c r="L3035">
        <v>37.1</v>
      </c>
      <c r="M3035">
        <v>243</v>
      </c>
      <c r="N3035">
        <v>25</v>
      </c>
      <c r="O3035">
        <v>7</v>
      </c>
    </row>
    <row r="3036" spans="1:16" x14ac:dyDescent="0.25">
      <c r="A3036" s="4">
        <v>44508</v>
      </c>
      <c r="B3036" t="s">
        <v>10</v>
      </c>
      <c r="C3036">
        <v>1</v>
      </c>
      <c r="F3036">
        <v>216</v>
      </c>
      <c r="J3036">
        <v>0.98299999999999998</v>
      </c>
      <c r="K3036">
        <v>37.9</v>
      </c>
      <c r="L3036">
        <v>38.5</v>
      </c>
      <c r="M3036">
        <v>116</v>
      </c>
      <c r="N3036">
        <v>35</v>
      </c>
      <c r="O3036">
        <v>7</v>
      </c>
      <c r="P3036">
        <v>1</v>
      </c>
    </row>
    <row r="3037" spans="1:16" x14ac:dyDescent="0.25">
      <c r="A3037" s="4">
        <v>44508</v>
      </c>
      <c r="B3037" t="s">
        <v>9</v>
      </c>
      <c r="C3037">
        <v>1</v>
      </c>
      <c r="F3037">
        <v>402</v>
      </c>
      <c r="J3037">
        <v>1.095</v>
      </c>
      <c r="K3037">
        <v>44.7</v>
      </c>
      <c r="L3037">
        <v>40.799999999999997</v>
      </c>
      <c r="M3037">
        <v>220</v>
      </c>
      <c r="N3037">
        <v>59</v>
      </c>
      <c r="O3037">
        <v>12</v>
      </c>
      <c r="P3037">
        <v>2</v>
      </c>
    </row>
    <row r="3038" spans="1:16" x14ac:dyDescent="0.25">
      <c r="A3038" s="4">
        <v>44508</v>
      </c>
      <c r="B3038" t="s">
        <v>10</v>
      </c>
      <c r="C3038" t="s">
        <v>78</v>
      </c>
      <c r="F3038">
        <v>216</v>
      </c>
      <c r="J3038">
        <v>0.98299999999999998</v>
      </c>
      <c r="K3038">
        <v>37.9</v>
      </c>
      <c r="L3038">
        <v>38.5</v>
      </c>
      <c r="M3038">
        <v>116</v>
      </c>
      <c r="N3038">
        <v>35</v>
      </c>
      <c r="O3038">
        <v>7</v>
      </c>
      <c r="P3038">
        <v>1</v>
      </c>
    </row>
    <row r="3039" spans="1:16" x14ac:dyDescent="0.25">
      <c r="A3039" s="4">
        <v>44508</v>
      </c>
      <c r="B3039" t="s">
        <v>9</v>
      </c>
      <c r="C3039" t="s">
        <v>78</v>
      </c>
      <c r="F3039">
        <v>402</v>
      </c>
      <c r="J3039">
        <v>1.095</v>
      </c>
      <c r="K3039">
        <v>44.7</v>
      </c>
      <c r="L3039">
        <v>40.799999999999997</v>
      </c>
      <c r="M3039">
        <v>220</v>
      </c>
      <c r="N3039">
        <v>59</v>
      </c>
      <c r="O3039">
        <v>12</v>
      </c>
      <c r="P3039">
        <v>2</v>
      </c>
    </row>
    <row r="3040" spans="1:16" x14ac:dyDescent="0.25">
      <c r="A3040" s="4">
        <v>44509</v>
      </c>
      <c r="B3040" t="s">
        <v>10</v>
      </c>
      <c r="C3040">
        <v>1</v>
      </c>
      <c r="F3040">
        <v>323</v>
      </c>
      <c r="J3040">
        <v>1.0089999999999999</v>
      </c>
      <c r="K3040">
        <v>42</v>
      </c>
      <c r="L3040">
        <v>41.6</v>
      </c>
      <c r="M3040">
        <v>139</v>
      </c>
      <c r="N3040">
        <v>52</v>
      </c>
      <c r="O3040">
        <v>23</v>
      </c>
    </row>
    <row r="3041" spans="1:16" x14ac:dyDescent="0.25">
      <c r="A3041" s="4">
        <v>44509</v>
      </c>
      <c r="B3041" t="s">
        <v>9</v>
      </c>
      <c r="C3041">
        <v>1</v>
      </c>
      <c r="F3041">
        <v>401</v>
      </c>
      <c r="J3041">
        <v>1.105</v>
      </c>
      <c r="K3041">
        <v>44.6</v>
      </c>
      <c r="L3041">
        <v>40.299999999999997</v>
      </c>
      <c r="M3041">
        <v>230</v>
      </c>
      <c r="N3041">
        <v>42</v>
      </c>
      <c r="O3041">
        <v>10</v>
      </c>
      <c r="P3041">
        <v>7</v>
      </c>
    </row>
    <row r="3042" spans="1:16" x14ac:dyDescent="0.25">
      <c r="A3042" s="4">
        <v>44509</v>
      </c>
      <c r="B3042" t="s">
        <v>10</v>
      </c>
      <c r="C3042" t="s">
        <v>78</v>
      </c>
      <c r="F3042">
        <v>323</v>
      </c>
      <c r="J3042">
        <v>1.0089999999999999</v>
      </c>
      <c r="K3042">
        <v>42</v>
      </c>
      <c r="L3042">
        <v>41.6</v>
      </c>
      <c r="M3042">
        <v>139</v>
      </c>
      <c r="N3042">
        <v>52</v>
      </c>
      <c r="O3042">
        <v>23</v>
      </c>
    </row>
    <row r="3043" spans="1:16" x14ac:dyDescent="0.25">
      <c r="A3043" s="4">
        <v>44509</v>
      </c>
      <c r="B3043" t="s">
        <v>9</v>
      </c>
      <c r="C3043" t="s">
        <v>78</v>
      </c>
      <c r="F3043">
        <v>401</v>
      </c>
      <c r="J3043">
        <v>1.105</v>
      </c>
      <c r="K3043">
        <v>44.6</v>
      </c>
      <c r="L3043">
        <v>40.299999999999997</v>
      </c>
      <c r="M3043">
        <v>230</v>
      </c>
      <c r="N3043">
        <v>42</v>
      </c>
      <c r="O3043">
        <v>10</v>
      </c>
      <c r="P3043">
        <v>7</v>
      </c>
    </row>
    <row r="3044" spans="1:16" x14ac:dyDescent="0.25">
      <c r="A3044" s="4">
        <v>44510</v>
      </c>
      <c r="B3044" t="s">
        <v>10</v>
      </c>
      <c r="C3044">
        <v>1</v>
      </c>
      <c r="F3044">
        <v>401</v>
      </c>
      <c r="J3044">
        <v>1.2969999999999999</v>
      </c>
      <c r="K3044">
        <v>47.2</v>
      </c>
      <c r="L3044">
        <v>36.4</v>
      </c>
      <c r="M3044">
        <v>248</v>
      </c>
      <c r="N3044">
        <v>48</v>
      </c>
      <c r="O3044">
        <v>17</v>
      </c>
    </row>
    <row r="3045" spans="1:16" x14ac:dyDescent="0.25">
      <c r="A3045" s="4">
        <v>44510</v>
      </c>
      <c r="B3045" t="s">
        <v>9</v>
      </c>
      <c r="C3045">
        <v>1</v>
      </c>
      <c r="F3045">
        <v>403</v>
      </c>
      <c r="J3045">
        <v>1.2050000000000001</v>
      </c>
      <c r="K3045">
        <v>47.4</v>
      </c>
      <c r="L3045">
        <v>39.299999999999997</v>
      </c>
      <c r="M3045">
        <v>249</v>
      </c>
      <c r="N3045">
        <v>49</v>
      </c>
      <c r="O3045">
        <v>10</v>
      </c>
      <c r="P3045">
        <v>3</v>
      </c>
    </row>
    <row r="3046" spans="1:16" x14ac:dyDescent="0.25">
      <c r="A3046" s="4">
        <v>44510</v>
      </c>
      <c r="B3046" t="s">
        <v>10</v>
      </c>
      <c r="C3046" t="s">
        <v>78</v>
      </c>
      <c r="F3046">
        <v>401</v>
      </c>
      <c r="J3046">
        <v>1.2969999999999999</v>
      </c>
      <c r="K3046">
        <v>47.2</v>
      </c>
      <c r="L3046">
        <v>36.4</v>
      </c>
      <c r="M3046">
        <v>248</v>
      </c>
      <c r="N3046">
        <v>48</v>
      </c>
      <c r="O3046">
        <v>17</v>
      </c>
    </row>
    <row r="3047" spans="1:16" x14ac:dyDescent="0.25">
      <c r="A3047" s="4">
        <v>44510</v>
      </c>
      <c r="B3047" t="s">
        <v>9</v>
      </c>
      <c r="C3047" t="s">
        <v>78</v>
      </c>
      <c r="F3047">
        <v>403</v>
      </c>
      <c r="J3047">
        <v>1.2050000000000001</v>
      </c>
      <c r="K3047">
        <v>47.4</v>
      </c>
      <c r="L3047">
        <v>39.299999999999997</v>
      </c>
      <c r="M3047">
        <v>249</v>
      </c>
      <c r="N3047">
        <v>49</v>
      </c>
      <c r="O3047">
        <v>10</v>
      </c>
      <c r="P3047">
        <v>3</v>
      </c>
    </row>
    <row r="3048" spans="1:16" x14ac:dyDescent="0.25">
      <c r="A3048" s="4">
        <v>44511</v>
      </c>
      <c r="B3048" t="s">
        <v>10</v>
      </c>
      <c r="C3048">
        <v>1</v>
      </c>
      <c r="F3048">
        <v>345</v>
      </c>
      <c r="J3048">
        <v>1.0720000000000001</v>
      </c>
      <c r="K3048">
        <v>40.1</v>
      </c>
      <c r="L3048">
        <v>37.4</v>
      </c>
      <c r="M3048">
        <v>192</v>
      </c>
      <c r="N3048">
        <v>54</v>
      </c>
      <c r="O3048">
        <v>12</v>
      </c>
      <c r="P3048">
        <v>1</v>
      </c>
    </row>
    <row r="3049" spans="1:16" x14ac:dyDescent="0.25">
      <c r="A3049" s="4">
        <v>44511</v>
      </c>
      <c r="B3049" t="s">
        <v>9</v>
      </c>
      <c r="C3049">
        <v>1</v>
      </c>
      <c r="F3049">
        <v>388</v>
      </c>
      <c r="J3049">
        <v>1.167</v>
      </c>
      <c r="K3049">
        <v>43.6</v>
      </c>
      <c r="L3049">
        <v>37.4</v>
      </c>
      <c r="M3049">
        <v>266</v>
      </c>
      <c r="N3049">
        <v>45</v>
      </c>
      <c r="O3049">
        <v>7</v>
      </c>
    </row>
    <row r="3050" spans="1:16" x14ac:dyDescent="0.25">
      <c r="A3050" s="4">
        <v>44511</v>
      </c>
      <c r="B3050" t="s">
        <v>10</v>
      </c>
      <c r="C3050" t="s">
        <v>78</v>
      </c>
      <c r="F3050">
        <v>345</v>
      </c>
      <c r="J3050">
        <v>1.0720000000000001</v>
      </c>
      <c r="K3050">
        <v>40.1</v>
      </c>
      <c r="L3050">
        <v>37.4</v>
      </c>
      <c r="M3050">
        <v>192</v>
      </c>
      <c r="N3050">
        <v>54</v>
      </c>
      <c r="O3050">
        <v>12</v>
      </c>
      <c r="P3050">
        <v>1</v>
      </c>
    </row>
    <row r="3051" spans="1:16" x14ac:dyDescent="0.25">
      <c r="A3051" s="4">
        <v>44511</v>
      </c>
      <c r="B3051" t="s">
        <v>9</v>
      </c>
      <c r="C3051" t="s">
        <v>78</v>
      </c>
      <c r="F3051">
        <v>388</v>
      </c>
      <c r="J3051">
        <v>1.167</v>
      </c>
      <c r="K3051">
        <v>43.6</v>
      </c>
      <c r="L3051">
        <v>37.4</v>
      </c>
      <c r="M3051">
        <v>266</v>
      </c>
      <c r="N3051">
        <v>45</v>
      </c>
      <c r="O3051">
        <v>7</v>
      </c>
    </row>
    <row r="3052" spans="1:16" x14ac:dyDescent="0.25">
      <c r="A3052" s="4">
        <v>44512</v>
      </c>
      <c r="B3052" t="s">
        <v>10</v>
      </c>
      <c r="C3052">
        <v>1</v>
      </c>
      <c r="F3052">
        <v>343</v>
      </c>
      <c r="J3052">
        <v>1.3180000000000001</v>
      </c>
      <c r="K3052">
        <v>49</v>
      </c>
      <c r="L3052">
        <v>37.200000000000003</v>
      </c>
      <c r="M3052">
        <v>210</v>
      </c>
      <c r="N3052">
        <v>37</v>
      </c>
      <c r="O3052">
        <v>18</v>
      </c>
    </row>
    <row r="3053" spans="1:16" x14ac:dyDescent="0.25">
      <c r="A3053" s="4">
        <v>44512</v>
      </c>
      <c r="B3053" t="s">
        <v>9</v>
      </c>
      <c r="C3053">
        <v>1</v>
      </c>
      <c r="F3053">
        <v>288</v>
      </c>
      <c r="J3053">
        <v>1.1930000000000001</v>
      </c>
      <c r="K3053">
        <v>44.3</v>
      </c>
      <c r="L3053">
        <v>37.1</v>
      </c>
      <c r="M3053">
        <v>193</v>
      </c>
      <c r="N3053">
        <v>32</v>
      </c>
      <c r="O3053">
        <v>8</v>
      </c>
    </row>
    <row r="3054" spans="1:16" x14ac:dyDescent="0.25">
      <c r="A3054" s="4">
        <v>44512</v>
      </c>
      <c r="B3054" t="s">
        <v>10</v>
      </c>
      <c r="C3054" t="s">
        <v>78</v>
      </c>
      <c r="F3054">
        <v>343</v>
      </c>
      <c r="J3054">
        <v>1.3180000000000001</v>
      </c>
      <c r="K3054">
        <v>49</v>
      </c>
      <c r="L3054">
        <v>37.200000000000003</v>
      </c>
      <c r="M3054">
        <v>210</v>
      </c>
      <c r="N3054">
        <v>37</v>
      </c>
      <c r="O3054">
        <v>18</v>
      </c>
    </row>
    <row r="3055" spans="1:16" x14ac:dyDescent="0.25">
      <c r="A3055" s="4">
        <v>44512</v>
      </c>
      <c r="B3055" t="s">
        <v>9</v>
      </c>
      <c r="C3055" t="s">
        <v>78</v>
      </c>
      <c r="F3055">
        <v>288</v>
      </c>
      <c r="J3055">
        <v>1.1930000000000001</v>
      </c>
      <c r="K3055">
        <v>44.3</v>
      </c>
      <c r="L3055">
        <v>37.1</v>
      </c>
      <c r="M3055">
        <v>193</v>
      </c>
      <c r="N3055">
        <v>32</v>
      </c>
      <c r="O3055">
        <v>8</v>
      </c>
    </row>
    <row r="3056" spans="1:16" x14ac:dyDescent="0.25">
      <c r="A3056" s="4">
        <v>44515</v>
      </c>
      <c r="B3056" t="s">
        <v>10</v>
      </c>
      <c r="C3056">
        <v>1</v>
      </c>
      <c r="F3056">
        <v>404</v>
      </c>
      <c r="J3056">
        <v>1.1970000000000001</v>
      </c>
      <c r="K3056">
        <v>44.9</v>
      </c>
      <c r="L3056">
        <v>37.5</v>
      </c>
      <c r="M3056">
        <v>238</v>
      </c>
      <c r="N3056">
        <v>54</v>
      </c>
      <c r="O3056">
        <v>18</v>
      </c>
    </row>
    <row r="3057" spans="1:16" x14ac:dyDescent="0.25">
      <c r="A3057" s="4">
        <v>44515</v>
      </c>
      <c r="B3057" t="s">
        <v>9</v>
      </c>
      <c r="C3057">
        <v>1</v>
      </c>
      <c r="F3057">
        <v>423</v>
      </c>
      <c r="J3057">
        <v>1.111</v>
      </c>
      <c r="K3057">
        <v>47</v>
      </c>
      <c r="L3057">
        <v>42.3</v>
      </c>
      <c r="M3057">
        <v>215</v>
      </c>
      <c r="N3057">
        <v>51</v>
      </c>
      <c r="O3057">
        <v>34</v>
      </c>
    </row>
    <row r="3058" spans="1:16" x14ac:dyDescent="0.25">
      <c r="A3058" s="4">
        <v>44515</v>
      </c>
      <c r="B3058" t="s">
        <v>10</v>
      </c>
      <c r="C3058" t="s">
        <v>78</v>
      </c>
      <c r="F3058">
        <v>404</v>
      </c>
      <c r="J3058">
        <v>1.1970000000000001</v>
      </c>
      <c r="K3058">
        <v>44.9</v>
      </c>
      <c r="L3058">
        <v>37.5</v>
      </c>
      <c r="M3058">
        <v>238</v>
      </c>
      <c r="N3058">
        <v>54</v>
      </c>
      <c r="O3058">
        <v>18</v>
      </c>
    </row>
    <row r="3059" spans="1:16" x14ac:dyDescent="0.25">
      <c r="A3059" s="4">
        <v>44515</v>
      </c>
      <c r="B3059" t="s">
        <v>9</v>
      </c>
      <c r="C3059" t="s">
        <v>78</v>
      </c>
      <c r="F3059">
        <v>423</v>
      </c>
      <c r="J3059">
        <v>1.111</v>
      </c>
      <c r="K3059">
        <v>47</v>
      </c>
      <c r="L3059">
        <v>42.3</v>
      </c>
      <c r="M3059">
        <v>215</v>
      </c>
      <c r="N3059">
        <v>51</v>
      </c>
      <c r="O3059">
        <v>34</v>
      </c>
    </row>
    <row r="3060" spans="1:16" x14ac:dyDescent="0.25">
      <c r="A3060" s="4">
        <v>44516</v>
      </c>
      <c r="B3060" t="s">
        <v>10</v>
      </c>
      <c r="C3060">
        <v>1</v>
      </c>
      <c r="F3060">
        <v>348</v>
      </c>
      <c r="J3060">
        <v>1.093</v>
      </c>
      <c r="K3060">
        <v>43.5</v>
      </c>
      <c r="L3060">
        <v>39.799999999999997</v>
      </c>
      <c r="M3060">
        <v>193</v>
      </c>
      <c r="N3060">
        <v>42</v>
      </c>
      <c r="O3060">
        <v>15</v>
      </c>
      <c r="P3060">
        <v>3</v>
      </c>
    </row>
    <row r="3061" spans="1:16" x14ac:dyDescent="0.25">
      <c r="A3061" s="4">
        <v>44516</v>
      </c>
      <c r="B3061" t="s">
        <v>9</v>
      </c>
      <c r="C3061">
        <v>1</v>
      </c>
      <c r="F3061">
        <v>404</v>
      </c>
      <c r="J3061">
        <v>1.147</v>
      </c>
      <c r="K3061">
        <v>44.9</v>
      </c>
      <c r="L3061">
        <v>39.1</v>
      </c>
      <c r="M3061">
        <v>258</v>
      </c>
      <c r="N3061">
        <v>50</v>
      </c>
      <c r="O3061">
        <v>10</v>
      </c>
      <c r="P3061">
        <v>1</v>
      </c>
    </row>
    <row r="3062" spans="1:16" x14ac:dyDescent="0.25">
      <c r="A3062" s="4">
        <v>44516</v>
      </c>
      <c r="B3062" t="s">
        <v>10</v>
      </c>
      <c r="C3062" t="s">
        <v>78</v>
      </c>
      <c r="F3062">
        <v>348</v>
      </c>
      <c r="J3062">
        <v>1.093</v>
      </c>
      <c r="K3062">
        <v>43.5</v>
      </c>
      <c r="L3062">
        <v>39.799999999999997</v>
      </c>
      <c r="M3062">
        <v>193</v>
      </c>
      <c r="N3062">
        <v>42</v>
      </c>
      <c r="O3062">
        <v>15</v>
      </c>
      <c r="P3062">
        <v>3</v>
      </c>
    </row>
    <row r="3063" spans="1:16" x14ac:dyDescent="0.25">
      <c r="A3063" s="4">
        <v>44516</v>
      </c>
      <c r="B3063" t="s">
        <v>9</v>
      </c>
      <c r="C3063" t="s">
        <v>78</v>
      </c>
      <c r="F3063">
        <v>404</v>
      </c>
      <c r="J3063">
        <v>1.147</v>
      </c>
      <c r="K3063">
        <v>44.9</v>
      </c>
      <c r="L3063">
        <v>39.1</v>
      </c>
      <c r="M3063">
        <v>258</v>
      </c>
      <c r="N3063">
        <v>50</v>
      </c>
      <c r="O3063">
        <v>10</v>
      </c>
      <c r="P3063">
        <v>1</v>
      </c>
    </row>
    <row r="3064" spans="1:16" x14ac:dyDescent="0.25">
      <c r="A3064" s="4">
        <v>44517</v>
      </c>
      <c r="B3064" t="s">
        <v>10</v>
      </c>
      <c r="C3064">
        <v>1</v>
      </c>
      <c r="F3064">
        <v>354</v>
      </c>
      <c r="J3064">
        <v>1.1279999999999999</v>
      </c>
      <c r="K3064">
        <v>42.7</v>
      </c>
      <c r="L3064">
        <v>37.799999999999997</v>
      </c>
      <c r="M3064">
        <v>215</v>
      </c>
      <c r="N3064">
        <v>47</v>
      </c>
      <c r="O3064">
        <v>13</v>
      </c>
    </row>
    <row r="3065" spans="1:16" x14ac:dyDescent="0.25">
      <c r="A3065" s="4">
        <v>44517</v>
      </c>
      <c r="B3065" t="s">
        <v>9</v>
      </c>
      <c r="C3065">
        <v>1</v>
      </c>
      <c r="F3065">
        <v>420</v>
      </c>
      <c r="J3065">
        <v>1.1930000000000001</v>
      </c>
      <c r="K3065">
        <v>46.7</v>
      </c>
      <c r="L3065">
        <v>39.1</v>
      </c>
      <c r="M3065">
        <v>247</v>
      </c>
      <c r="N3065">
        <v>65</v>
      </c>
      <c r="O3065">
        <v>9</v>
      </c>
      <c r="P3065">
        <v>1</v>
      </c>
    </row>
    <row r="3066" spans="1:16" x14ac:dyDescent="0.25">
      <c r="A3066" s="4">
        <v>44517</v>
      </c>
      <c r="B3066" t="s">
        <v>10</v>
      </c>
      <c r="C3066" t="s">
        <v>78</v>
      </c>
      <c r="F3066">
        <v>354</v>
      </c>
      <c r="J3066">
        <v>1.1279999999999999</v>
      </c>
      <c r="K3066">
        <v>42.7</v>
      </c>
      <c r="L3066">
        <v>37.799999999999997</v>
      </c>
      <c r="M3066">
        <v>215</v>
      </c>
      <c r="N3066">
        <v>47</v>
      </c>
      <c r="O3066">
        <v>13</v>
      </c>
    </row>
    <row r="3067" spans="1:16" x14ac:dyDescent="0.25">
      <c r="A3067" s="4">
        <v>44517</v>
      </c>
      <c r="B3067" t="s">
        <v>9</v>
      </c>
      <c r="C3067" t="s">
        <v>78</v>
      </c>
      <c r="F3067">
        <v>420</v>
      </c>
      <c r="J3067">
        <v>1.1930000000000001</v>
      </c>
      <c r="K3067">
        <v>46.7</v>
      </c>
      <c r="L3067">
        <v>39.1</v>
      </c>
      <c r="M3067">
        <v>247</v>
      </c>
      <c r="N3067">
        <v>65</v>
      </c>
      <c r="O3067">
        <v>9</v>
      </c>
      <c r="P3067">
        <v>1</v>
      </c>
    </row>
    <row r="3068" spans="1:16" x14ac:dyDescent="0.25">
      <c r="A3068" s="4">
        <v>44518</v>
      </c>
      <c r="B3068" t="s">
        <v>10</v>
      </c>
      <c r="C3068">
        <v>1</v>
      </c>
      <c r="F3068">
        <v>374</v>
      </c>
      <c r="J3068">
        <v>1.1819999999999999</v>
      </c>
      <c r="K3068">
        <v>44.5</v>
      </c>
      <c r="L3068">
        <v>37.700000000000003</v>
      </c>
      <c r="M3068">
        <v>249</v>
      </c>
      <c r="N3068">
        <v>34</v>
      </c>
      <c r="O3068">
        <v>15</v>
      </c>
      <c r="P3068">
        <v>1</v>
      </c>
    </row>
    <row r="3069" spans="1:16" x14ac:dyDescent="0.25">
      <c r="A3069" s="4">
        <v>44518</v>
      </c>
      <c r="B3069" t="s">
        <v>9</v>
      </c>
      <c r="C3069">
        <v>1</v>
      </c>
      <c r="F3069">
        <v>331</v>
      </c>
      <c r="J3069">
        <v>1.167</v>
      </c>
      <c r="K3069">
        <v>44.7</v>
      </c>
      <c r="L3069">
        <v>38.299999999999997</v>
      </c>
      <c r="M3069">
        <v>232</v>
      </c>
      <c r="N3069">
        <v>31</v>
      </c>
      <c r="O3069">
        <v>8</v>
      </c>
      <c r="P3069">
        <v>1</v>
      </c>
    </row>
    <row r="3070" spans="1:16" x14ac:dyDescent="0.25">
      <c r="A3070" s="4">
        <v>44518</v>
      </c>
      <c r="B3070" t="s">
        <v>10</v>
      </c>
      <c r="C3070" t="s">
        <v>78</v>
      </c>
      <c r="F3070">
        <v>374</v>
      </c>
      <c r="J3070">
        <v>1.1819999999999999</v>
      </c>
      <c r="K3070">
        <v>44.5</v>
      </c>
      <c r="L3070">
        <v>37.700000000000003</v>
      </c>
      <c r="M3070">
        <v>249</v>
      </c>
      <c r="N3070">
        <v>34</v>
      </c>
      <c r="O3070">
        <v>15</v>
      </c>
      <c r="P3070">
        <v>1</v>
      </c>
    </row>
    <row r="3071" spans="1:16" x14ac:dyDescent="0.25">
      <c r="A3071" s="4">
        <v>44518</v>
      </c>
      <c r="B3071" t="s">
        <v>9</v>
      </c>
      <c r="C3071" t="s">
        <v>78</v>
      </c>
      <c r="F3071">
        <v>331</v>
      </c>
      <c r="J3071">
        <v>1.167</v>
      </c>
      <c r="K3071">
        <v>44.7</v>
      </c>
      <c r="L3071">
        <v>38.299999999999997</v>
      </c>
      <c r="M3071">
        <v>232</v>
      </c>
      <c r="N3071">
        <v>31</v>
      </c>
      <c r="O3071">
        <v>8</v>
      </c>
      <c r="P3071">
        <v>1</v>
      </c>
    </row>
    <row r="3072" spans="1:16" x14ac:dyDescent="0.25">
      <c r="A3072" s="4">
        <v>44519</v>
      </c>
      <c r="B3072" t="s">
        <v>10</v>
      </c>
      <c r="C3072">
        <v>1</v>
      </c>
      <c r="F3072">
        <v>400</v>
      </c>
      <c r="J3072">
        <v>1.1739999999999999</v>
      </c>
      <c r="K3072">
        <v>44.4</v>
      </c>
      <c r="L3072">
        <v>37.799999999999997</v>
      </c>
      <c r="M3072">
        <v>294</v>
      </c>
      <c r="N3072">
        <v>34</v>
      </c>
      <c r="O3072">
        <v>10</v>
      </c>
      <c r="P3072">
        <v>1</v>
      </c>
    </row>
    <row r="3073" spans="1:16" x14ac:dyDescent="0.25">
      <c r="A3073" s="4">
        <v>44519</v>
      </c>
      <c r="B3073" t="s">
        <v>9</v>
      </c>
      <c r="C3073">
        <v>1</v>
      </c>
      <c r="F3073">
        <v>454</v>
      </c>
      <c r="J3073">
        <v>1.3</v>
      </c>
      <c r="K3073">
        <v>50.4</v>
      </c>
      <c r="L3073">
        <v>38.799999999999997</v>
      </c>
      <c r="M3073">
        <v>329</v>
      </c>
      <c r="N3073">
        <v>41</v>
      </c>
      <c r="O3073">
        <v>11</v>
      </c>
    </row>
    <row r="3074" spans="1:16" x14ac:dyDescent="0.25">
      <c r="A3074" s="4">
        <v>44519</v>
      </c>
      <c r="B3074" t="s">
        <v>10</v>
      </c>
      <c r="C3074" t="s">
        <v>78</v>
      </c>
      <c r="F3074">
        <v>400</v>
      </c>
      <c r="J3074">
        <v>1.1739999999999999</v>
      </c>
      <c r="K3074">
        <v>44.4</v>
      </c>
      <c r="L3074">
        <v>37.799999999999997</v>
      </c>
      <c r="M3074">
        <v>294</v>
      </c>
      <c r="N3074">
        <v>34</v>
      </c>
      <c r="O3074">
        <v>10</v>
      </c>
      <c r="P3074">
        <v>1</v>
      </c>
    </row>
    <row r="3075" spans="1:16" x14ac:dyDescent="0.25">
      <c r="A3075" s="4">
        <v>44519</v>
      </c>
      <c r="B3075" t="s">
        <v>9</v>
      </c>
      <c r="C3075" t="s">
        <v>78</v>
      </c>
      <c r="F3075">
        <v>454</v>
      </c>
      <c r="J3075">
        <v>1.3</v>
      </c>
      <c r="K3075">
        <v>50.4</v>
      </c>
      <c r="L3075">
        <v>38.799999999999997</v>
      </c>
      <c r="M3075">
        <v>329</v>
      </c>
      <c r="N3075">
        <v>41</v>
      </c>
      <c r="O3075">
        <v>11</v>
      </c>
    </row>
    <row r="3076" spans="1:16" x14ac:dyDescent="0.25">
      <c r="A3076" s="4">
        <v>44522</v>
      </c>
      <c r="B3076" t="s">
        <v>10</v>
      </c>
      <c r="C3076">
        <v>1</v>
      </c>
      <c r="F3076">
        <v>377</v>
      </c>
      <c r="J3076">
        <v>1.1140000000000001</v>
      </c>
      <c r="K3076">
        <v>41.9</v>
      </c>
      <c r="L3076">
        <v>37.6</v>
      </c>
      <c r="M3076">
        <v>238</v>
      </c>
      <c r="N3076">
        <v>47</v>
      </c>
      <c r="O3076">
        <v>15</v>
      </c>
    </row>
    <row r="3077" spans="1:16" x14ac:dyDescent="0.25">
      <c r="A3077" s="4">
        <v>44522</v>
      </c>
      <c r="B3077" t="s">
        <v>9</v>
      </c>
      <c r="C3077">
        <v>1</v>
      </c>
      <c r="F3077">
        <v>393</v>
      </c>
      <c r="J3077">
        <v>1.1659999999999999</v>
      </c>
      <c r="K3077">
        <v>43.7</v>
      </c>
      <c r="L3077">
        <v>37.4</v>
      </c>
      <c r="M3077">
        <v>269</v>
      </c>
      <c r="N3077">
        <v>47</v>
      </c>
      <c r="O3077">
        <v>7</v>
      </c>
      <c r="P3077">
        <v>1</v>
      </c>
    </row>
    <row r="3078" spans="1:16" x14ac:dyDescent="0.25">
      <c r="A3078" s="4">
        <v>44522</v>
      </c>
      <c r="B3078" t="s">
        <v>10</v>
      </c>
      <c r="C3078" t="s">
        <v>78</v>
      </c>
      <c r="F3078">
        <v>377</v>
      </c>
      <c r="J3078">
        <v>1.1140000000000001</v>
      </c>
      <c r="K3078">
        <v>41.9</v>
      </c>
      <c r="L3078">
        <v>37.6</v>
      </c>
      <c r="M3078">
        <v>238</v>
      </c>
      <c r="N3078">
        <v>47</v>
      </c>
      <c r="O3078">
        <v>15</v>
      </c>
    </row>
    <row r="3079" spans="1:16" x14ac:dyDescent="0.25">
      <c r="A3079" s="4">
        <v>44522</v>
      </c>
      <c r="B3079" t="s">
        <v>9</v>
      </c>
      <c r="C3079" t="s">
        <v>78</v>
      </c>
      <c r="F3079">
        <v>393</v>
      </c>
      <c r="J3079">
        <v>1.1659999999999999</v>
      </c>
      <c r="K3079">
        <v>43.7</v>
      </c>
      <c r="L3079">
        <v>37.4</v>
      </c>
      <c r="M3079">
        <v>269</v>
      </c>
      <c r="N3079">
        <v>47</v>
      </c>
      <c r="O3079">
        <v>7</v>
      </c>
      <c r="P3079">
        <v>1</v>
      </c>
    </row>
    <row r="3080" spans="1:16" x14ac:dyDescent="0.25">
      <c r="A3080" s="4">
        <v>44523</v>
      </c>
      <c r="B3080" t="s">
        <v>10</v>
      </c>
      <c r="C3080">
        <v>1</v>
      </c>
      <c r="F3080">
        <v>351</v>
      </c>
      <c r="J3080">
        <v>1.115</v>
      </c>
      <c r="K3080">
        <v>41.3</v>
      </c>
      <c r="L3080">
        <v>37</v>
      </c>
      <c r="M3080">
        <v>231</v>
      </c>
      <c r="N3080">
        <v>44</v>
      </c>
      <c r="O3080">
        <v>10</v>
      </c>
    </row>
    <row r="3081" spans="1:16" x14ac:dyDescent="0.25">
      <c r="A3081" s="4">
        <v>44523</v>
      </c>
      <c r="B3081" t="s">
        <v>9</v>
      </c>
      <c r="C3081">
        <v>1</v>
      </c>
      <c r="F3081">
        <v>329</v>
      </c>
      <c r="J3081">
        <v>1.2230000000000001</v>
      </c>
      <c r="K3081">
        <v>47</v>
      </c>
      <c r="L3081">
        <v>38.4</v>
      </c>
      <c r="M3081">
        <v>217</v>
      </c>
      <c r="N3081">
        <v>29</v>
      </c>
      <c r="O3081">
        <v>14</v>
      </c>
      <c r="P3081">
        <v>1</v>
      </c>
    </row>
    <row r="3082" spans="1:16" x14ac:dyDescent="0.25">
      <c r="A3082" s="4">
        <v>44523</v>
      </c>
      <c r="B3082" t="s">
        <v>10</v>
      </c>
      <c r="C3082" t="s">
        <v>78</v>
      </c>
      <c r="F3082">
        <v>351</v>
      </c>
      <c r="J3082">
        <v>1.115</v>
      </c>
      <c r="K3082">
        <v>41.3</v>
      </c>
      <c r="L3082">
        <v>37</v>
      </c>
      <c r="M3082">
        <v>231</v>
      </c>
      <c r="N3082">
        <v>44</v>
      </c>
      <c r="O3082">
        <v>10</v>
      </c>
    </row>
    <row r="3083" spans="1:16" x14ac:dyDescent="0.25">
      <c r="A3083" s="4">
        <v>44523</v>
      </c>
      <c r="B3083" t="s">
        <v>9</v>
      </c>
      <c r="C3083" t="s">
        <v>78</v>
      </c>
      <c r="F3083">
        <v>329</v>
      </c>
      <c r="J3083">
        <v>1.2230000000000001</v>
      </c>
      <c r="K3083">
        <v>47</v>
      </c>
      <c r="L3083">
        <v>38.4</v>
      </c>
      <c r="M3083">
        <v>217</v>
      </c>
      <c r="N3083">
        <v>29</v>
      </c>
      <c r="O3083">
        <v>14</v>
      </c>
      <c r="P3083">
        <v>1</v>
      </c>
    </row>
    <row r="3084" spans="1:16" x14ac:dyDescent="0.25">
      <c r="A3084" s="4">
        <v>44524</v>
      </c>
      <c r="B3084" t="s">
        <v>10</v>
      </c>
      <c r="C3084">
        <v>1</v>
      </c>
      <c r="F3084">
        <v>371</v>
      </c>
      <c r="J3084">
        <v>1.296</v>
      </c>
      <c r="K3084">
        <v>45.8</v>
      </c>
      <c r="L3084">
        <v>35.299999999999997</v>
      </c>
      <c r="M3084">
        <v>265</v>
      </c>
      <c r="N3084">
        <v>41</v>
      </c>
      <c r="O3084">
        <v>7</v>
      </c>
    </row>
    <row r="3085" spans="1:16" x14ac:dyDescent="0.25">
      <c r="A3085" s="4">
        <v>44524</v>
      </c>
      <c r="B3085" t="s">
        <v>9</v>
      </c>
      <c r="C3085">
        <v>1</v>
      </c>
      <c r="F3085">
        <v>410</v>
      </c>
      <c r="J3085">
        <v>1.319</v>
      </c>
      <c r="K3085">
        <v>50</v>
      </c>
      <c r="L3085">
        <v>37.9</v>
      </c>
      <c r="M3085">
        <v>271</v>
      </c>
      <c r="N3085">
        <v>45</v>
      </c>
      <c r="O3085">
        <v>9</v>
      </c>
      <c r="P3085">
        <v>2</v>
      </c>
    </row>
    <row r="3086" spans="1:16" x14ac:dyDescent="0.25">
      <c r="A3086" s="4">
        <v>44524</v>
      </c>
      <c r="B3086" t="s">
        <v>10</v>
      </c>
      <c r="C3086" t="s">
        <v>78</v>
      </c>
      <c r="F3086">
        <v>371</v>
      </c>
      <c r="J3086">
        <v>1.296</v>
      </c>
      <c r="K3086">
        <v>45.8</v>
      </c>
      <c r="L3086">
        <v>35.299999999999997</v>
      </c>
      <c r="M3086">
        <v>265</v>
      </c>
      <c r="N3086">
        <v>41</v>
      </c>
      <c r="O3086">
        <v>7</v>
      </c>
    </row>
    <row r="3087" spans="1:16" x14ac:dyDescent="0.25">
      <c r="A3087" s="4">
        <v>44524</v>
      </c>
      <c r="B3087" t="s">
        <v>9</v>
      </c>
      <c r="C3087" t="s">
        <v>78</v>
      </c>
      <c r="F3087">
        <v>410</v>
      </c>
      <c r="J3087">
        <v>1.319</v>
      </c>
      <c r="K3087">
        <v>50</v>
      </c>
      <c r="L3087">
        <v>37.9</v>
      </c>
      <c r="M3087">
        <v>271</v>
      </c>
      <c r="N3087">
        <v>45</v>
      </c>
      <c r="O3087">
        <v>9</v>
      </c>
      <c r="P3087">
        <v>2</v>
      </c>
    </row>
    <row r="3088" spans="1:16" x14ac:dyDescent="0.25">
      <c r="A3088" s="4">
        <v>44529</v>
      </c>
      <c r="B3088" t="s">
        <v>10</v>
      </c>
      <c r="C3088">
        <v>1</v>
      </c>
      <c r="F3088">
        <v>278</v>
      </c>
      <c r="J3088">
        <v>1.121</v>
      </c>
      <c r="K3088">
        <v>41.5</v>
      </c>
      <c r="L3088">
        <v>37</v>
      </c>
      <c r="M3088">
        <v>169</v>
      </c>
      <c r="N3088">
        <v>35</v>
      </c>
      <c r="O3088">
        <v>12</v>
      </c>
    </row>
    <row r="3089" spans="1:16" x14ac:dyDescent="0.25">
      <c r="A3089" s="4">
        <v>44529</v>
      </c>
      <c r="B3089" t="s">
        <v>9</v>
      </c>
      <c r="C3089">
        <v>1</v>
      </c>
      <c r="F3089">
        <v>304</v>
      </c>
      <c r="J3089">
        <v>1.113</v>
      </c>
      <c r="K3089">
        <v>42.2</v>
      </c>
      <c r="L3089">
        <v>37.9</v>
      </c>
      <c r="M3089">
        <v>203</v>
      </c>
      <c r="N3089">
        <v>38</v>
      </c>
      <c r="O3089">
        <v>7</v>
      </c>
    </row>
    <row r="3090" spans="1:16" x14ac:dyDescent="0.25">
      <c r="A3090" s="4">
        <v>44529</v>
      </c>
      <c r="B3090" t="s">
        <v>10</v>
      </c>
      <c r="C3090" t="s">
        <v>78</v>
      </c>
      <c r="F3090">
        <v>278</v>
      </c>
      <c r="J3090">
        <v>1.121</v>
      </c>
      <c r="K3090">
        <v>41.5</v>
      </c>
      <c r="L3090">
        <v>37</v>
      </c>
      <c r="M3090">
        <v>169</v>
      </c>
      <c r="N3090">
        <v>35</v>
      </c>
      <c r="O3090">
        <v>12</v>
      </c>
    </row>
    <row r="3091" spans="1:16" x14ac:dyDescent="0.25">
      <c r="A3091" s="4">
        <v>44529</v>
      </c>
      <c r="B3091" t="s">
        <v>9</v>
      </c>
      <c r="C3091" t="s">
        <v>78</v>
      </c>
      <c r="F3091">
        <v>304</v>
      </c>
      <c r="J3091">
        <v>1.113</v>
      </c>
      <c r="K3091">
        <v>42.2</v>
      </c>
      <c r="L3091">
        <v>37.9</v>
      </c>
      <c r="M3091">
        <v>203</v>
      </c>
      <c r="N3091">
        <v>38</v>
      </c>
      <c r="O3091">
        <v>7</v>
      </c>
    </row>
    <row r="3092" spans="1:16" x14ac:dyDescent="0.25">
      <c r="A3092" s="4">
        <v>44530</v>
      </c>
      <c r="B3092" t="s">
        <v>10</v>
      </c>
      <c r="C3092">
        <v>1</v>
      </c>
      <c r="F3092">
        <v>302</v>
      </c>
      <c r="J3092">
        <v>1.1140000000000001</v>
      </c>
      <c r="K3092">
        <v>42.5</v>
      </c>
      <c r="L3092">
        <v>38.200000000000003</v>
      </c>
      <c r="M3092">
        <v>199</v>
      </c>
      <c r="N3092">
        <v>31</v>
      </c>
      <c r="O3092">
        <v>11</v>
      </c>
      <c r="P3092">
        <v>1</v>
      </c>
    </row>
    <row r="3093" spans="1:16" x14ac:dyDescent="0.25">
      <c r="A3093" s="4">
        <v>44530</v>
      </c>
      <c r="B3093" t="s">
        <v>9</v>
      </c>
      <c r="C3093">
        <v>1</v>
      </c>
      <c r="F3093">
        <v>309</v>
      </c>
      <c r="J3093">
        <v>1.1679999999999999</v>
      </c>
      <c r="K3093">
        <v>42.9</v>
      </c>
      <c r="L3093">
        <v>36.799999999999997</v>
      </c>
      <c r="M3093">
        <v>247</v>
      </c>
      <c r="N3093">
        <v>20</v>
      </c>
      <c r="O3093">
        <v>4</v>
      </c>
      <c r="P3093">
        <v>1</v>
      </c>
    </row>
    <row r="3094" spans="1:16" x14ac:dyDescent="0.25">
      <c r="A3094" s="4">
        <v>44530</v>
      </c>
      <c r="B3094" t="s">
        <v>10</v>
      </c>
      <c r="C3094" t="s">
        <v>78</v>
      </c>
      <c r="F3094">
        <v>302</v>
      </c>
      <c r="J3094">
        <v>1.1140000000000001</v>
      </c>
      <c r="K3094">
        <v>42.5</v>
      </c>
      <c r="L3094">
        <v>38.200000000000003</v>
      </c>
      <c r="M3094">
        <v>199</v>
      </c>
      <c r="N3094">
        <v>31</v>
      </c>
      <c r="O3094">
        <v>11</v>
      </c>
      <c r="P3094">
        <v>1</v>
      </c>
    </row>
    <row r="3095" spans="1:16" x14ac:dyDescent="0.25">
      <c r="A3095" s="4">
        <v>44530</v>
      </c>
      <c r="B3095" t="s">
        <v>9</v>
      </c>
      <c r="C3095" t="s">
        <v>78</v>
      </c>
      <c r="F3095">
        <v>309</v>
      </c>
      <c r="J3095">
        <v>1.1679999999999999</v>
      </c>
      <c r="K3095">
        <v>42.9</v>
      </c>
      <c r="L3095">
        <v>36.799999999999997</v>
      </c>
      <c r="M3095">
        <v>247</v>
      </c>
      <c r="N3095">
        <v>20</v>
      </c>
      <c r="O3095">
        <v>4</v>
      </c>
      <c r="P3095">
        <v>1</v>
      </c>
    </row>
    <row r="3096" spans="1:16" x14ac:dyDescent="0.25">
      <c r="A3096" s="4">
        <v>44531</v>
      </c>
      <c r="B3096" t="s">
        <v>10</v>
      </c>
      <c r="C3096">
        <v>1</v>
      </c>
      <c r="F3096">
        <v>233</v>
      </c>
      <c r="J3096">
        <v>0.999</v>
      </c>
      <c r="K3096">
        <v>38.799999999999997</v>
      </c>
      <c r="L3096">
        <v>38.9</v>
      </c>
      <c r="M3096">
        <v>144</v>
      </c>
      <c r="N3096">
        <v>21</v>
      </c>
      <c r="O3096">
        <v>9</v>
      </c>
      <c r="P3096">
        <v>2</v>
      </c>
    </row>
    <row r="3097" spans="1:16" x14ac:dyDescent="0.25">
      <c r="A3097" s="4">
        <v>44531</v>
      </c>
      <c r="B3097" t="s">
        <v>9</v>
      </c>
      <c r="C3097">
        <v>1</v>
      </c>
      <c r="F3097">
        <v>328</v>
      </c>
      <c r="J3097">
        <v>1.1910000000000001</v>
      </c>
      <c r="K3097">
        <v>45.6</v>
      </c>
      <c r="L3097">
        <v>38.299999999999997</v>
      </c>
      <c r="M3097">
        <v>226</v>
      </c>
      <c r="N3097">
        <v>31</v>
      </c>
      <c r="O3097">
        <v>8</v>
      </c>
      <c r="P3097">
        <v>2</v>
      </c>
    </row>
    <row r="3098" spans="1:16" x14ac:dyDescent="0.25">
      <c r="A3098" s="4">
        <v>44531</v>
      </c>
      <c r="B3098" t="s">
        <v>10</v>
      </c>
      <c r="C3098" t="s">
        <v>78</v>
      </c>
      <c r="F3098">
        <v>233</v>
      </c>
      <c r="J3098">
        <v>0.999</v>
      </c>
      <c r="K3098">
        <v>38.799999999999997</v>
      </c>
      <c r="L3098">
        <v>38.9</v>
      </c>
      <c r="M3098">
        <v>144</v>
      </c>
      <c r="N3098">
        <v>21</v>
      </c>
      <c r="O3098">
        <v>9</v>
      </c>
      <c r="P3098">
        <v>2</v>
      </c>
    </row>
    <row r="3099" spans="1:16" x14ac:dyDescent="0.25">
      <c r="A3099" s="4">
        <v>44531</v>
      </c>
      <c r="B3099" t="s">
        <v>9</v>
      </c>
      <c r="C3099" t="s">
        <v>78</v>
      </c>
      <c r="F3099">
        <v>328</v>
      </c>
      <c r="J3099">
        <v>1.1910000000000001</v>
      </c>
      <c r="K3099">
        <v>45.6</v>
      </c>
      <c r="L3099">
        <v>38.299999999999997</v>
      </c>
      <c r="M3099">
        <v>226</v>
      </c>
      <c r="N3099">
        <v>31</v>
      </c>
      <c r="O3099">
        <v>8</v>
      </c>
      <c r="P3099">
        <v>2</v>
      </c>
    </row>
    <row r="3100" spans="1:16" x14ac:dyDescent="0.25">
      <c r="A3100" s="4">
        <v>44532</v>
      </c>
      <c r="B3100" t="s">
        <v>10</v>
      </c>
      <c r="C3100">
        <v>1</v>
      </c>
      <c r="F3100">
        <v>269</v>
      </c>
      <c r="J3100">
        <v>1.0269999999999999</v>
      </c>
      <c r="K3100">
        <v>39</v>
      </c>
      <c r="L3100">
        <v>37.9</v>
      </c>
      <c r="M3100">
        <v>173</v>
      </c>
      <c r="N3100">
        <v>21</v>
      </c>
      <c r="O3100">
        <v>13</v>
      </c>
      <c r="P3100">
        <v>1</v>
      </c>
    </row>
    <row r="3101" spans="1:16" x14ac:dyDescent="0.25">
      <c r="A3101" s="4">
        <v>44532</v>
      </c>
      <c r="B3101" t="s">
        <v>9</v>
      </c>
      <c r="C3101">
        <v>1</v>
      </c>
      <c r="F3101">
        <v>332</v>
      </c>
      <c r="J3101">
        <v>1.2569999999999999</v>
      </c>
      <c r="K3101">
        <v>47.4</v>
      </c>
      <c r="L3101">
        <v>37.700000000000003</v>
      </c>
      <c r="M3101">
        <v>230</v>
      </c>
      <c r="N3101">
        <v>29</v>
      </c>
      <c r="O3101">
        <v>9</v>
      </c>
      <c r="P3101">
        <v>2</v>
      </c>
    </row>
    <row r="3102" spans="1:16" x14ac:dyDescent="0.25">
      <c r="A3102" s="4">
        <v>44532</v>
      </c>
      <c r="B3102" t="s">
        <v>10</v>
      </c>
      <c r="C3102" t="s">
        <v>78</v>
      </c>
      <c r="F3102">
        <v>269</v>
      </c>
      <c r="J3102">
        <v>1.0269999999999999</v>
      </c>
      <c r="K3102">
        <v>39</v>
      </c>
      <c r="L3102">
        <v>37.9</v>
      </c>
      <c r="M3102">
        <v>173</v>
      </c>
      <c r="N3102">
        <v>21</v>
      </c>
      <c r="O3102">
        <v>13</v>
      </c>
      <c r="P3102">
        <v>1</v>
      </c>
    </row>
    <row r="3103" spans="1:16" x14ac:dyDescent="0.25">
      <c r="A3103" s="4">
        <v>44532</v>
      </c>
      <c r="B3103" t="s">
        <v>9</v>
      </c>
      <c r="C3103" t="s">
        <v>78</v>
      </c>
      <c r="F3103">
        <v>332</v>
      </c>
      <c r="J3103">
        <v>1.2569999999999999</v>
      </c>
      <c r="K3103">
        <v>47.4</v>
      </c>
      <c r="L3103">
        <v>37.700000000000003</v>
      </c>
      <c r="M3103">
        <v>230</v>
      </c>
      <c r="N3103">
        <v>29</v>
      </c>
      <c r="O3103">
        <v>9</v>
      </c>
      <c r="P3103">
        <v>2</v>
      </c>
    </row>
    <row r="3104" spans="1:16" x14ac:dyDescent="0.25">
      <c r="A3104" s="4">
        <v>44533</v>
      </c>
      <c r="B3104" t="s">
        <v>10</v>
      </c>
      <c r="C3104">
        <v>1</v>
      </c>
      <c r="F3104">
        <v>124</v>
      </c>
      <c r="J3104">
        <v>1.232</v>
      </c>
      <c r="K3104">
        <v>42.7</v>
      </c>
      <c r="L3104">
        <v>34.700000000000003</v>
      </c>
      <c r="M3104">
        <v>88</v>
      </c>
      <c r="N3104">
        <v>15</v>
      </c>
      <c r="O3104">
        <v>1</v>
      </c>
    </row>
    <row r="3105" spans="1:16" x14ac:dyDescent="0.25">
      <c r="A3105" s="4">
        <v>44533</v>
      </c>
      <c r="B3105" t="s">
        <v>9</v>
      </c>
      <c r="C3105">
        <v>1</v>
      </c>
      <c r="F3105">
        <v>342</v>
      </c>
      <c r="J3105">
        <v>1.2410000000000001</v>
      </c>
      <c r="K3105">
        <v>47.5</v>
      </c>
      <c r="L3105">
        <v>38.299999999999997</v>
      </c>
      <c r="M3105">
        <v>201</v>
      </c>
      <c r="N3105">
        <v>47</v>
      </c>
      <c r="O3105">
        <v>14</v>
      </c>
    </row>
    <row r="3106" spans="1:16" x14ac:dyDescent="0.25">
      <c r="A3106" s="4">
        <v>44533</v>
      </c>
      <c r="B3106" t="s">
        <v>10</v>
      </c>
      <c r="C3106" t="s">
        <v>78</v>
      </c>
      <c r="F3106">
        <v>124</v>
      </c>
      <c r="J3106">
        <v>1.232</v>
      </c>
      <c r="K3106">
        <v>42.7</v>
      </c>
      <c r="L3106">
        <v>34.700000000000003</v>
      </c>
      <c r="M3106">
        <v>88</v>
      </c>
      <c r="N3106">
        <v>15</v>
      </c>
      <c r="O3106">
        <v>1</v>
      </c>
    </row>
    <row r="3107" spans="1:16" x14ac:dyDescent="0.25">
      <c r="A3107" s="4">
        <v>44533</v>
      </c>
      <c r="B3107" t="s">
        <v>9</v>
      </c>
      <c r="C3107" t="s">
        <v>78</v>
      </c>
      <c r="F3107">
        <v>342</v>
      </c>
      <c r="J3107">
        <v>1.2410000000000001</v>
      </c>
      <c r="K3107">
        <v>47.5</v>
      </c>
      <c r="L3107">
        <v>38.299999999999997</v>
      </c>
      <c r="M3107">
        <v>201</v>
      </c>
      <c r="N3107">
        <v>47</v>
      </c>
      <c r="O3107">
        <v>14</v>
      </c>
    </row>
    <row r="3108" spans="1:16" x14ac:dyDescent="0.25">
      <c r="A3108" s="4">
        <v>44536</v>
      </c>
      <c r="B3108" t="s">
        <v>10</v>
      </c>
      <c r="C3108">
        <v>1</v>
      </c>
      <c r="F3108">
        <v>272</v>
      </c>
      <c r="J3108">
        <v>1.1120000000000001</v>
      </c>
      <c r="K3108">
        <v>40.6</v>
      </c>
      <c r="L3108">
        <v>36.5</v>
      </c>
      <c r="M3108">
        <v>191</v>
      </c>
      <c r="N3108">
        <v>24</v>
      </c>
      <c r="O3108">
        <v>10</v>
      </c>
    </row>
    <row r="3109" spans="1:16" x14ac:dyDescent="0.25">
      <c r="A3109" s="4">
        <v>44536</v>
      </c>
      <c r="B3109" t="s">
        <v>9</v>
      </c>
      <c r="C3109">
        <v>1</v>
      </c>
      <c r="F3109">
        <v>324</v>
      </c>
      <c r="J3109">
        <v>1.23</v>
      </c>
      <c r="K3109">
        <v>46.3</v>
      </c>
      <c r="L3109">
        <v>37.6</v>
      </c>
      <c r="M3109">
        <v>217</v>
      </c>
      <c r="N3109">
        <v>44</v>
      </c>
      <c r="O3109">
        <v>6</v>
      </c>
    </row>
    <row r="3110" spans="1:16" x14ac:dyDescent="0.25">
      <c r="A3110" s="4">
        <v>44536</v>
      </c>
      <c r="B3110" t="s">
        <v>10</v>
      </c>
      <c r="C3110" t="s">
        <v>78</v>
      </c>
      <c r="F3110">
        <v>272</v>
      </c>
      <c r="J3110">
        <v>1.1120000000000001</v>
      </c>
      <c r="K3110">
        <v>40.6</v>
      </c>
      <c r="L3110">
        <v>36.5</v>
      </c>
      <c r="M3110">
        <v>191</v>
      </c>
      <c r="N3110">
        <v>24</v>
      </c>
      <c r="O3110">
        <v>10</v>
      </c>
    </row>
    <row r="3111" spans="1:16" x14ac:dyDescent="0.25">
      <c r="A3111" s="4">
        <v>44536</v>
      </c>
      <c r="B3111" t="s">
        <v>9</v>
      </c>
      <c r="C3111" t="s">
        <v>78</v>
      </c>
      <c r="F3111">
        <v>324</v>
      </c>
      <c r="J3111">
        <v>1.23</v>
      </c>
      <c r="K3111">
        <v>46.3</v>
      </c>
      <c r="L3111">
        <v>37.6</v>
      </c>
      <c r="M3111">
        <v>217</v>
      </c>
      <c r="N3111">
        <v>44</v>
      </c>
      <c r="O3111">
        <v>6</v>
      </c>
    </row>
    <row r="3112" spans="1:16" x14ac:dyDescent="0.25">
      <c r="A3112" s="4">
        <v>44537</v>
      </c>
      <c r="B3112" t="s">
        <v>10</v>
      </c>
      <c r="C3112">
        <v>1</v>
      </c>
      <c r="F3112">
        <v>307</v>
      </c>
      <c r="J3112">
        <v>1.1759999999999999</v>
      </c>
      <c r="K3112">
        <v>45.8</v>
      </c>
      <c r="L3112">
        <v>39</v>
      </c>
      <c r="M3112">
        <v>170</v>
      </c>
      <c r="N3112">
        <v>30</v>
      </c>
      <c r="O3112">
        <v>20</v>
      </c>
      <c r="P3112">
        <v>1</v>
      </c>
    </row>
    <row r="3113" spans="1:16" x14ac:dyDescent="0.25">
      <c r="A3113" s="4">
        <v>44537</v>
      </c>
      <c r="B3113" t="s">
        <v>9</v>
      </c>
      <c r="C3113">
        <v>1</v>
      </c>
      <c r="F3113">
        <v>335</v>
      </c>
      <c r="J3113">
        <v>1.2430000000000001</v>
      </c>
      <c r="K3113">
        <v>47.9</v>
      </c>
      <c r="L3113">
        <v>38.5</v>
      </c>
      <c r="M3113">
        <v>198</v>
      </c>
      <c r="N3113">
        <v>53</v>
      </c>
      <c r="O3113">
        <v>6</v>
      </c>
      <c r="P3113">
        <v>1</v>
      </c>
    </row>
    <row r="3114" spans="1:16" x14ac:dyDescent="0.25">
      <c r="A3114" s="4">
        <v>44537</v>
      </c>
      <c r="B3114" t="s">
        <v>10</v>
      </c>
      <c r="C3114" t="s">
        <v>78</v>
      </c>
      <c r="F3114">
        <v>307</v>
      </c>
      <c r="J3114">
        <v>1.1759999999999999</v>
      </c>
      <c r="K3114">
        <v>45.8</v>
      </c>
      <c r="L3114">
        <v>39</v>
      </c>
      <c r="M3114">
        <v>170</v>
      </c>
      <c r="N3114">
        <v>30</v>
      </c>
      <c r="O3114">
        <v>20</v>
      </c>
      <c r="P3114">
        <v>1</v>
      </c>
    </row>
    <row r="3115" spans="1:16" x14ac:dyDescent="0.25">
      <c r="A3115" s="4">
        <v>44537</v>
      </c>
      <c r="B3115" t="s">
        <v>9</v>
      </c>
      <c r="C3115" t="s">
        <v>78</v>
      </c>
      <c r="F3115">
        <v>335</v>
      </c>
      <c r="J3115">
        <v>1.2430000000000001</v>
      </c>
      <c r="K3115">
        <v>47.9</v>
      </c>
      <c r="L3115">
        <v>38.5</v>
      </c>
      <c r="M3115">
        <v>198</v>
      </c>
      <c r="N3115">
        <v>53</v>
      </c>
      <c r="O3115">
        <v>6</v>
      </c>
      <c r="P3115">
        <v>1</v>
      </c>
    </row>
    <row r="3116" spans="1:16" x14ac:dyDescent="0.25">
      <c r="A3116" s="4">
        <v>44538</v>
      </c>
      <c r="B3116" t="s">
        <v>10</v>
      </c>
      <c r="C3116">
        <v>1</v>
      </c>
      <c r="F3116">
        <v>354</v>
      </c>
      <c r="J3116">
        <v>1.155</v>
      </c>
      <c r="K3116">
        <v>43.2</v>
      </c>
      <c r="L3116">
        <v>37.4</v>
      </c>
      <c r="M3116">
        <v>206</v>
      </c>
      <c r="N3116">
        <v>44</v>
      </c>
      <c r="O3116">
        <v>16</v>
      </c>
      <c r="P3116">
        <v>1</v>
      </c>
    </row>
    <row r="3117" spans="1:16" x14ac:dyDescent="0.25">
      <c r="A3117" s="4">
        <v>44538</v>
      </c>
      <c r="B3117" t="s">
        <v>9</v>
      </c>
      <c r="C3117">
        <v>1</v>
      </c>
      <c r="F3117">
        <v>401</v>
      </c>
      <c r="J3117">
        <v>1.196</v>
      </c>
      <c r="K3117">
        <v>46.1</v>
      </c>
      <c r="L3117">
        <v>38.5</v>
      </c>
      <c r="M3117">
        <v>246</v>
      </c>
      <c r="N3117">
        <v>43</v>
      </c>
      <c r="O3117">
        <v>19</v>
      </c>
      <c r="P3117">
        <v>1</v>
      </c>
    </row>
    <row r="3118" spans="1:16" x14ac:dyDescent="0.25">
      <c r="A3118" s="4">
        <v>44538</v>
      </c>
      <c r="B3118" t="s">
        <v>10</v>
      </c>
      <c r="C3118" t="s">
        <v>78</v>
      </c>
      <c r="F3118">
        <v>354</v>
      </c>
      <c r="J3118">
        <v>1.155</v>
      </c>
      <c r="K3118">
        <v>43.2</v>
      </c>
      <c r="L3118">
        <v>37.4</v>
      </c>
      <c r="M3118">
        <v>206</v>
      </c>
      <c r="N3118">
        <v>44</v>
      </c>
      <c r="O3118">
        <v>16</v>
      </c>
      <c r="P3118">
        <v>1</v>
      </c>
    </row>
    <row r="3119" spans="1:16" x14ac:dyDescent="0.25">
      <c r="A3119" s="4">
        <v>44538</v>
      </c>
      <c r="B3119" t="s">
        <v>9</v>
      </c>
      <c r="C3119" t="s">
        <v>78</v>
      </c>
      <c r="F3119">
        <v>401</v>
      </c>
      <c r="J3119">
        <v>1.196</v>
      </c>
      <c r="K3119">
        <v>46.1</v>
      </c>
      <c r="L3119">
        <v>38.5</v>
      </c>
      <c r="M3119">
        <v>246</v>
      </c>
      <c r="N3119">
        <v>43</v>
      </c>
      <c r="O3119">
        <v>19</v>
      </c>
      <c r="P3119">
        <v>1</v>
      </c>
    </row>
    <row r="3120" spans="1:16" x14ac:dyDescent="0.25">
      <c r="A3120" s="4">
        <v>44539</v>
      </c>
      <c r="B3120" t="s">
        <v>10</v>
      </c>
      <c r="C3120">
        <v>1</v>
      </c>
      <c r="F3120">
        <v>270</v>
      </c>
      <c r="J3120">
        <v>1.173</v>
      </c>
      <c r="K3120">
        <v>42.2</v>
      </c>
      <c r="L3120">
        <v>36</v>
      </c>
      <c r="M3120">
        <v>189</v>
      </c>
      <c r="N3120">
        <v>29</v>
      </c>
      <c r="O3120">
        <v>7</v>
      </c>
    </row>
    <row r="3121" spans="1:16" x14ac:dyDescent="0.25">
      <c r="A3121" s="4">
        <v>44539</v>
      </c>
      <c r="B3121" t="s">
        <v>9</v>
      </c>
      <c r="C3121">
        <v>1</v>
      </c>
      <c r="F3121">
        <v>322</v>
      </c>
      <c r="J3121">
        <v>1.2789999999999999</v>
      </c>
      <c r="K3121">
        <v>48.1</v>
      </c>
      <c r="L3121">
        <v>37.6</v>
      </c>
      <c r="M3121">
        <v>217</v>
      </c>
      <c r="N3121">
        <v>35</v>
      </c>
      <c r="O3121">
        <v>7</v>
      </c>
      <c r="P3121">
        <v>1</v>
      </c>
    </row>
    <row r="3122" spans="1:16" x14ac:dyDescent="0.25">
      <c r="A3122" s="4">
        <v>44539</v>
      </c>
      <c r="B3122" t="s">
        <v>10</v>
      </c>
      <c r="C3122" t="s">
        <v>78</v>
      </c>
      <c r="F3122">
        <v>270</v>
      </c>
      <c r="J3122">
        <v>1.173</v>
      </c>
      <c r="K3122">
        <v>42.2</v>
      </c>
      <c r="L3122">
        <v>36</v>
      </c>
      <c r="M3122">
        <v>189</v>
      </c>
      <c r="N3122">
        <v>29</v>
      </c>
      <c r="O3122">
        <v>7</v>
      </c>
    </row>
    <row r="3123" spans="1:16" x14ac:dyDescent="0.25">
      <c r="A3123" s="4">
        <v>44539</v>
      </c>
      <c r="B3123" t="s">
        <v>9</v>
      </c>
      <c r="C3123" t="s">
        <v>78</v>
      </c>
      <c r="F3123">
        <v>322</v>
      </c>
      <c r="J3123">
        <v>1.2789999999999999</v>
      </c>
      <c r="K3123">
        <v>48.1</v>
      </c>
      <c r="L3123">
        <v>37.6</v>
      </c>
      <c r="M3123">
        <v>217</v>
      </c>
      <c r="N3123">
        <v>35</v>
      </c>
      <c r="O3123">
        <v>7</v>
      </c>
      <c r="P3123">
        <v>1</v>
      </c>
    </row>
    <row r="3124" spans="1:16" x14ac:dyDescent="0.25">
      <c r="A3124" s="4">
        <v>44540</v>
      </c>
      <c r="B3124" t="s">
        <v>10</v>
      </c>
      <c r="C3124">
        <v>1</v>
      </c>
      <c r="F3124">
        <v>264</v>
      </c>
      <c r="J3124">
        <v>1.3029999999999999</v>
      </c>
      <c r="K3124">
        <v>44.8</v>
      </c>
      <c r="L3124">
        <v>34.299999999999997</v>
      </c>
      <c r="M3124">
        <v>209</v>
      </c>
      <c r="N3124">
        <v>23</v>
      </c>
      <c r="O3124">
        <v>3</v>
      </c>
    </row>
    <row r="3125" spans="1:16" x14ac:dyDescent="0.25">
      <c r="A3125" s="4">
        <v>44540</v>
      </c>
      <c r="B3125" t="s">
        <v>9</v>
      </c>
      <c r="C3125">
        <v>1</v>
      </c>
      <c r="F3125">
        <v>289</v>
      </c>
      <c r="J3125">
        <v>1.36</v>
      </c>
      <c r="K3125">
        <v>49.8</v>
      </c>
      <c r="L3125">
        <v>36.6</v>
      </c>
      <c r="M3125">
        <v>218</v>
      </c>
      <c r="N3125">
        <v>29</v>
      </c>
      <c r="O3125">
        <v>4</v>
      </c>
    </row>
    <row r="3126" spans="1:16" x14ac:dyDescent="0.25">
      <c r="A3126" s="4">
        <v>44540</v>
      </c>
      <c r="B3126" t="s">
        <v>10</v>
      </c>
      <c r="C3126" t="s">
        <v>78</v>
      </c>
      <c r="F3126">
        <v>264</v>
      </c>
      <c r="J3126">
        <v>1.3029999999999999</v>
      </c>
      <c r="K3126">
        <v>44.8</v>
      </c>
      <c r="L3126">
        <v>34.299999999999997</v>
      </c>
      <c r="M3126">
        <v>209</v>
      </c>
      <c r="N3126">
        <v>23</v>
      </c>
      <c r="O3126">
        <v>3</v>
      </c>
    </row>
    <row r="3127" spans="1:16" x14ac:dyDescent="0.25">
      <c r="A3127" s="4">
        <v>44540</v>
      </c>
      <c r="B3127" t="s">
        <v>9</v>
      </c>
      <c r="C3127" t="s">
        <v>78</v>
      </c>
      <c r="F3127">
        <v>289</v>
      </c>
      <c r="J3127">
        <v>1.36</v>
      </c>
      <c r="K3127">
        <v>49.8</v>
      </c>
      <c r="L3127">
        <v>36.6</v>
      </c>
      <c r="M3127">
        <v>218</v>
      </c>
      <c r="N3127">
        <v>29</v>
      </c>
      <c r="O3127">
        <v>4</v>
      </c>
    </row>
    <row r="3128" spans="1:16" x14ac:dyDescent="0.25">
      <c r="A3128" s="4">
        <v>44543</v>
      </c>
      <c r="B3128" t="s">
        <v>10</v>
      </c>
      <c r="C3128">
        <v>1</v>
      </c>
      <c r="F3128">
        <v>275</v>
      </c>
      <c r="J3128">
        <v>1.0880000000000001</v>
      </c>
      <c r="K3128">
        <v>41</v>
      </c>
      <c r="L3128">
        <v>37.700000000000003</v>
      </c>
      <c r="M3128">
        <v>159</v>
      </c>
      <c r="N3128">
        <v>35</v>
      </c>
      <c r="O3128">
        <v>12</v>
      </c>
      <c r="P3128">
        <v>1</v>
      </c>
    </row>
    <row r="3129" spans="1:16" x14ac:dyDescent="0.25">
      <c r="A3129" s="4">
        <v>44543</v>
      </c>
      <c r="B3129" t="s">
        <v>9</v>
      </c>
      <c r="C3129">
        <v>1</v>
      </c>
      <c r="F3129">
        <v>344</v>
      </c>
      <c r="J3129">
        <v>1.2889999999999999</v>
      </c>
      <c r="K3129">
        <v>47.8</v>
      </c>
      <c r="L3129">
        <v>37.1</v>
      </c>
      <c r="M3129">
        <v>232</v>
      </c>
      <c r="N3129">
        <v>47</v>
      </c>
      <c r="O3129">
        <v>4</v>
      </c>
    </row>
    <row r="3130" spans="1:16" x14ac:dyDescent="0.25">
      <c r="A3130" s="4">
        <v>44543</v>
      </c>
      <c r="B3130" t="s">
        <v>10</v>
      </c>
      <c r="C3130" t="s">
        <v>78</v>
      </c>
      <c r="F3130">
        <v>275</v>
      </c>
      <c r="J3130">
        <v>1.0880000000000001</v>
      </c>
      <c r="K3130">
        <v>41</v>
      </c>
      <c r="L3130">
        <v>37.700000000000003</v>
      </c>
      <c r="M3130">
        <v>159</v>
      </c>
      <c r="N3130">
        <v>35</v>
      </c>
      <c r="O3130">
        <v>12</v>
      </c>
      <c r="P3130">
        <v>1</v>
      </c>
    </row>
    <row r="3131" spans="1:16" x14ac:dyDescent="0.25">
      <c r="A3131" s="4">
        <v>44543</v>
      </c>
      <c r="B3131" t="s">
        <v>9</v>
      </c>
      <c r="C3131" t="s">
        <v>78</v>
      </c>
      <c r="F3131">
        <v>344</v>
      </c>
      <c r="J3131">
        <v>1.2889999999999999</v>
      </c>
      <c r="K3131">
        <v>47.8</v>
      </c>
      <c r="L3131">
        <v>37.1</v>
      </c>
      <c r="M3131">
        <v>232</v>
      </c>
      <c r="N3131">
        <v>47</v>
      </c>
      <c r="O3131">
        <v>4</v>
      </c>
    </row>
    <row r="3132" spans="1:16" x14ac:dyDescent="0.25">
      <c r="A3132" s="4">
        <v>44544</v>
      </c>
      <c r="B3132" t="s">
        <v>10</v>
      </c>
      <c r="C3132">
        <v>1</v>
      </c>
      <c r="F3132">
        <v>246</v>
      </c>
      <c r="J3132">
        <v>1.292</v>
      </c>
      <c r="K3132">
        <v>45.6</v>
      </c>
      <c r="L3132">
        <v>35.299999999999997</v>
      </c>
      <c r="M3132">
        <v>185</v>
      </c>
      <c r="N3132">
        <v>23</v>
      </c>
      <c r="O3132">
        <v>5</v>
      </c>
    </row>
    <row r="3133" spans="1:16" x14ac:dyDescent="0.25">
      <c r="A3133" s="4">
        <v>44544</v>
      </c>
      <c r="B3133" t="s">
        <v>9</v>
      </c>
      <c r="C3133">
        <v>1</v>
      </c>
      <c r="F3133">
        <v>305</v>
      </c>
      <c r="J3133">
        <v>1.4379999999999999</v>
      </c>
      <c r="K3133">
        <v>54.6</v>
      </c>
      <c r="L3133">
        <v>37.9</v>
      </c>
      <c r="M3133">
        <v>200</v>
      </c>
      <c r="N3133">
        <v>41</v>
      </c>
      <c r="O3133">
        <v>7</v>
      </c>
    </row>
    <row r="3134" spans="1:16" x14ac:dyDescent="0.25">
      <c r="A3134" s="4">
        <v>44544</v>
      </c>
      <c r="B3134" t="s">
        <v>10</v>
      </c>
      <c r="C3134" t="s">
        <v>78</v>
      </c>
      <c r="F3134">
        <v>246</v>
      </c>
      <c r="J3134">
        <v>1.292</v>
      </c>
      <c r="K3134">
        <v>45.6</v>
      </c>
      <c r="L3134">
        <v>35.299999999999997</v>
      </c>
      <c r="M3134">
        <v>185</v>
      </c>
      <c r="N3134">
        <v>23</v>
      </c>
      <c r="O3134">
        <v>5</v>
      </c>
    </row>
    <row r="3135" spans="1:16" x14ac:dyDescent="0.25">
      <c r="A3135" s="4">
        <v>44544</v>
      </c>
      <c r="B3135" t="s">
        <v>9</v>
      </c>
      <c r="C3135" t="s">
        <v>78</v>
      </c>
      <c r="F3135">
        <v>305</v>
      </c>
      <c r="J3135">
        <v>1.4379999999999999</v>
      </c>
      <c r="K3135">
        <v>54.6</v>
      </c>
      <c r="L3135">
        <v>37.9</v>
      </c>
      <c r="M3135">
        <v>200</v>
      </c>
      <c r="N3135">
        <v>41</v>
      </c>
      <c r="O3135">
        <v>7</v>
      </c>
    </row>
    <row r="3136" spans="1:16" x14ac:dyDescent="0.25">
      <c r="A3136" s="4">
        <v>44545</v>
      </c>
      <c r="B3136" t="s">
        <v>10</v>
      </c>
      <c r="C3136">
        <v>1</v>
      </c>
      <c r="F3136">
        <v>220</v>
      </c>
      <c r="J3136">
        <v>0.44</v>
      </c>
      <c r="K3136">
        <v>34.799999999999997</v>
      </c>
      <c r="L3136">
        <v>167</v>
      </c>
      <c r="M3136">
        <v>19</v>
      </c>
      <c r="N3136">
        <v>5</v>
      </c>
    </row>
    <row r="3137" spans="1:16" x14ac:dyDescent="0.25">
      <c r="A3137" s="4">
        <v>44545</v>
      </c>
      <c r="B3137" t="s">
        <v>9</v>
      </c>
      <c r="C3137">
        <v>1</v>
      </c>
      <c r="F3137">
        <v>244</v>
      </c>
      <c r="J3137">
        <v>1.272</v>
      </c>
      <c r="K3137">
        <v>48.8</v>
      </c>
      <c r="L3137">
        <v>38.4</v>
      </c>
      <c r="M3137">
        <v>164</v>
      </c>
      <c r="N3137">
        <v>25</v>
      </c>
      <c r="O3137">
        <v>7</v>
      </c>
      <c r="P3137">
        <v>1</v>
      </c>
    </row>
    <row r="3138" spans="1:16" x14ac:dyDescent="0.25">
      <c r="A3138" s="4">
        <v>44545</v>
      </c>
      <c r="B3138" t="s">
        <v>10</v>
      </c>
      <c r="C3138" t="s">
        <v>78</v>
      </c>
      <c r="F3138">
        <v>220</v>
      </c>
      <c r="J3138">
        <v>0.44</v>
      </c>
      <c r="K3138">
        <v>34.799999999999997</v>
      </c>
      <c r="L3138">
        <v>167</v>
      </c>
      <c r="M3138">
        <v>19</v>
      </c>
      <c r="N3138">
        <v>5</v>
      </c>
    </row>
    <row r="3139" spans="1:16" x14ac:dyDescent="0.25">
      <c r="A3139" s="4">
        <v>44545</v>
      </c>
      <c r="B3139" t="s">
        <v>9</v>
      </c>
      <c r="C3139" t="s">
        <v>78</v>
      </c>
      <c r="F3139">
        <v>244</v>
      </c>
      <c r="J3139">
        <v>1.272</v>
      </c>
      <c r="K3139">
        <v>48.8</v>
      </c>
      <c r="L3139">
        <v>38.4</v>
      </c>
      <c r="M3139">
        <v>164</v>
      </c>
      <c r="N3139">
        <v>25</v>
      </c>
      <c r="O3139">
        <v>7</v>
      </c>
      <c r="P3139">
        <v>1</v>
      </c>
    </row>
    <row r="3140" spans="1:16" x14ac:dyDescent="0.25">
      <c r="A3140" s="4">
        <v>44546</v>
      </c>
      <c r="B3140" t="s">
        <v>10</v>
      </c>
      <c r="C3140">
        <v>1</v>
      </c>
      <c r="F3140">
        <v>182</v>
      </c>
      <c r="J3140">
        <v>1.105</v>
      </c>
      <c r="K3140">
        <v>37.1</v>
      </c>
      <c r="L3140">
        <v>33.6</v>
      </c>
      <c r="M3140">
        <v>153</v>
      </c>
      <c r="N3140">
        <v>10</v>
      </c>
      <c r="O3140">
        <v>1</v>
      </c>
      <c r="P3140">
        <v>1</v>
      </c>
    </row>
    <row r="3141" spans="1:16" x14ac:dyDescent="0.25">
      <c r="A3141" s="4">
        <v>44546</v>
      </c>
      <c r="B3141" t="s">
        <v>9</v>
      </c>
      <c r="C3141">
        <v>1</v>
      </c>
      <c r="F3141">
        <v>242</v>
      </c>
      <c r="J3141">
        <v>1.1140000000000001</v>
      </c>
      <c r="K3141">
        <v>40.299999999999997</v>
      </c>
      <c r="L3141">
        <v>36.200000000000003</v>
      </c>
      <c r="M3141">
        <v>185</v>
      </c>
      <c r="N3141">
        <v>24</v>
      </c>
      <c r="O3141">
        <v>2</v>
      </c>
    </row>
    <row r="3142" spans="1:16" x14ac:dyDescent="0.25">
      <c r="A3142" s="4">
        <v>44546</v>
      </c>
      <c r="B3142" t="s">
        <v>10</v>
      </c>
      <c r="C3142" t="s">
        <v>78</v>
      </c>
      <c r="F3142">
        <v>182</v>
      </c>
      <c r="J3142">
        <v>1.105</v>
      </c>
      <c r="K3142">
        <v>37.1</v>
      </c>
      <c r="L3142">
        <v>33.6</v>
      </c>
      <c r="M3142">
        <v>153</v>
      </c>
      <c r="N3142">
        <v>10</v>
      </c>
      <c r="O3142">
        <v>1</v>
      </c>
      <c r="P3142">
        <v>1</v>
      </c>
    </row>
    <row r="3143" spans="1:16" x14ac:dyDescent="0.25">
      <c r="A3143" s="4">
        <v>44546</v>
      </c>
      <c r="B3143" t="s">
        <v>9</v>
      </c>
      <c r="C3143" t="s">
        <v>78</v>
      </c>
      <c r="F3143">
        <v>242</v>
      </c>
      <c r="J3143">
        <v>1.1140000000000001</v>
      </c>
      <c r="K3143">
        <v>40.299999999999997</v>
      </c>
      <c r="L3143">
        <v>36.200000000000003</v>
      </c>
      <c r="M3143">
        <v>185</v>
      </c>
      <c r="N3143">
        <v>24</v>
      </c>
      <c r="O3143">
        <v>2</v>
      </c>
    </row>
    <row r="3144" spans="1:16" x14ac:dyDescent="0.25">
      <c r="A3144" s="4">
        <v>44547</v>
      </c>
      <c r="B3144" t="s">
        <v>10</v>
      </c>
      <c r="C3144">
        <v>1</v>
      </c>
      <c r="F3144">
        <v>209</v>
      </c>
      <c r="J3144">
        <v>1.3120000000000001</v>
      </c>
      <c r="K3144">
        <v>47.5</v>
      </c>
      <c r="L3144">
        <v>36.200000000000003</v>
      </c>
      <c r="M3144">
        <v>153</v>
      </c>
      <c r="N3144">
        <v>18</v>
      </c>
      <c r="O3144">
        <v>5</v>
      </c>
    </row>
    <row r="3145" spans="1:16" x14ac:dyDescent="0.25">
      <c r="A3145" s="4">
        <v>44547</v>
      </c>
      <c r="B3145" t="s">
        <v>9</v>
      </c>
      <c r="C3145">
        <v>1</v>
      </c>
      <c r="F3145">
        <v>198</v>
      </c>
      <c r="J3145">
        <v>1.202</v>
      </c>
      <c r="K3145">
        <v>45</v>
      </c>
      <c r="L3145">
        <v>37.5</v>
      </c>
      <c r="M3145">
        <v>145</v>
      </c>
      <c r="N3145">
        <v>20</v>
      </c>
      <c r="O3145">
        <v>2</v>
      </c>
      <c r="P3145">
        <v>1</v>
      </c>
    </row>
    <row r="3146" spans="1:16" x14ac:dyDescent="0.25">
      <c r="A3146" s="4">
        <v>44547</v>
      </c>
      <c r="B3146" t="s">
        <v>10</v>
      </c>
      <c r="C3146" t="s">
        <v>78</v>
      </c>
      <c r="F3146">
        <v>209</v>
      </c>
      <c r="J3146">
        <v>1.3120000000000001</v>
      </c>
      <c r="K3146">
        <v>47.5</v>
      </c>
      <c r="L3146">
        <v>36.200000000000003</v>
      </c>
      <c r="M3146">
        <v>153</v>
      </c>
      <c r="N3146">
        <v>18</v>
      </c>
      <c r="O3146">
        <v>5</v>
      </c>
    </row>
    <row r="3147" spans="1:16" x14ac:dyDescent="0.25">
      <c r="A3147" s="4">
        <v>44547</v>
      </c>
      <c r="B3147" t="s">
        <v>9</v>
      </c>
      <c r="C3147" t="s">
        <v>78</v>
      </c>
      <c r="F3147">
        <v>198</v>
      </c>
      <c r="J3147">
        <v>1.202</v>
      </c>
      <c r="K3147">
        <v>45</v>
      </c>
      <c r="L3147">
        <v>37.5</v>
      </c>
      <c r="M3147">
        <v>145</v>
      </c>
      <c r="N3147">
        <v>20</v>
      </c>
      <c r="O3147">
        <v>2</v>
      </c>
      <c r="P3147">
        <v>1</v>
      </c>
    </row>
    <row r="3148" spans="1:16" x14ac:dyDescent="0.25">
      <c r="A3148" s="4">
        <v>44550</v>
      </c>
      <c r="B3148" t="s">
        <v>10</v>
      </c>
      <c r="C3148">
        <v>1</v>
      </c>
      <c r="F3148">
        <v>202</v>
      </c>
      <c r="J3148">
        <v>1.0960000000000001</v>
      </c>
      <c r="K3148">
        <v>40.4</v>
      </c>
      <c r="L3148">
        <v>36.9</v>
      </c>
      <c r="M3148">
        <v>141</v>
      </c>
      <c r="N3148">
        <v>24</v>
      </c>
      <c r="O3148">
        <v>1</v>
      </c>
      <c r="P3148">
        <v>1</v>
      </c>
    </row>
    <row r="3149" spans="1:16" x14ac:dyDescent="0.25">
      <c r="A3149" s="4">
        <v>44550</v>
      </c>
      <c r="B3149" t="s">
        <v>9</v>
      </c>
      <c r="C3149">
        <v>1</v>
      </c>
      <c r="F3149">
        <v>247</v>
      </c>
      <c r="J3149">
        <v>1.2490000000000001</v>
      </c>
      <c r="K3149">
        <v>46.6</v>
      </c>
      <c r="L3149">
        <v>37.299999999999997</v>
      </c>
      <c r="M3149">
        <v>178</v>
      </c>
      <c r="N3149">
        <v>27</v>
      </c>
      <c r="O3149">
        <v>2</v>
      </c>
      <c r="P3149">
        <v>1</v>
      </c>
    </row>
    <row r="3150" spans="1:16" x14ac:dyDescent="0.25">
      <c r="A3150" s="4">
        <v>44550</v>
      </c>
      <c r="B3150" t="s">
        <v>10</v>
      </c>
      <c r="C3150" t="s">
        <v>78</v>
      </c>
      <c r="F3150">
        <v>202</v>
      </c>
      <c r="J3150">
        <v>1.0960000000000001</v>
      </c>
      <c r="K3150">
        <v>40.4</v>
      </c>
      <c r="L3150">
        <v>36.9</v>
      </c>
      <c r="M3150">
        <v>141</v>
      </c>
      <c r="N3150">
        <v>24</v>
      </c>
      <c r="O3150">
        <v>1</v>
      </c>
      <c r="P3150">
        <v>1</v>
      </c>
    </row>
    <row r="3151" spans="1:16" x14ac:dyDescent="0.25">
      <c r="A3151" s="4">
        <v>44550</v>
      </c>
      <c r="B3151" t="s">
        <v>9</v>
      </c>
      <c r="C3151" t="s">
        <v>78</v>
      </c>
      <c r="F3151">
        <v>247</v>
      </c>
      <c r="J3151">
        <v>1.2490000000000001</v>
      </c>
      <c r="K3151">
        <v>46.6</v>
      </c>
      <c r="L3151">
        <v>37.299999999999997</v>
      </c>
      <c r="M3151">
        <v>178</v>
      </c>
      <c r="N3151">
        <v>27</v>
      </c>
      <c r="O3151">
        <v>2</v>
      </c>
      <c r="P3151">
        <v>1</v>
      </c>
    </row>
    <row r="3152" spans="1:16" x14ac:dyDescent="0.25">
      <c r="A3152" s="4">
        <v>44551</v>
      </c>
      <c r="B3152" t="s">
        <v>10</v>
      </c>
      <c r="C3152">
        <v>1</v>
      </c>
      <c r="F3152">
        <v>269</v>
      </c>
      <c r="J3152">
        <v>1.1399999999999999</v>
      </c>
      <c r="K3152">
        <v>39.6</v>
      </c>
      <c r="L3152">
        <v>34.700000000000003</v>
      </c>
      <c r="M3152">
        <v>197</v>
      </c>
      <c r="N3152">
        <v>19</v>
      </c>
      <c r="O3152">
        <v>7</v>
      </c>
      <c r="P3152">
        <v>1</v>
      </c>
    </row>
    <row r="3153" spans="1:16" x14ac:dyDescent="0.25">
      <c r="A3153" s="4">
        <v>44551</v>
      </c>
      <c r="B3153" t="s">
        <v>9</v>
      </c>
      <c r="C3153">
        <v>1</v>
      </c>
      <c r="F3153">
        <v>237</v>
      </c>
      <c r="J3153">
        <v>1.024</v>
      </c>
      <c r="K3153">
        <v>36.5</v>
      </c>
      <c r="L3153">
        <v>35.6</v>
      </c>
      <c r="M3153">
        <v>195</v>
      </c>
      <c r="N3153">
        <v>21</v>
      </c>
    </row>
    <row r="3154" spans="1:16" x14ac:dyDescent="0.25">
      <c r="A3154" s="4">
        <v>44551</v>
      </c>
      <c r="B3154" t="s">
        <v>10</v>
      </c>
      <c r="C3154" t="s">
        <v>78</v>
      </c>
      <c r="F3154">
        <v>269</v>
      </c>
      <c r="J3154">
        <v>1.1399999999999999</v>
      </c>
      <c r="K3154">
        <v>39.6</v>
      </c>
      <c r="L3154">
        <v>34.700000000000003</v>
      </c>
      <c r="M3154">
        <v>197</v>
      </c>
      <c r="N3154">
        <v>19</v>
      </c>
      <c r="O3154">
        <v>7</v>
      </c>
      <c r="P3154">
        <v>1</v>
      </c>
    </row>
    <row r="3155" spans="1:16" x14ac:dyDescent="0.25">
      <c r="A3155" s="4">
        <v>44551</v>
      </c>
      <c r="B3155" t="s">
        <v>9</v>
      </c>
      <c r="C3155" t="s">
        <v>78</v>
      </c>
      <c r="F3155">
        <v>237</v>
      </c>
      <c r="J3155">
        <v>1.024</v>
      </c>
      <c r="K3155">
        <v>36.5</v>
      </c>
      <c r="L3155">
        <v>35.6</v>
      </c>
      <c r="M3155">
        <v>195</v>
      </c>
      <c r="N3155">
        <v>21</v>
      </c>
    </row>
    <row r="3156" spans="1:16" x14ac:dyDescent="0.25">
      <c r="A3156" s="4">
        <v>44552</v>
      </c>
      <c r="B3156" t="s">
        <v>10</v>
      </c>
      <c r="C3156">
        <v>1</v>
      </c>
      <c r="F3156">
        <v>236</v>
      </c>
      <c r="J3156">
        <v>1.216</v>
      </c>
      <c r="K3156">
        <v>42.1</v>
      </c>
      <c r="L3156">
        <v>34.700000000000003</v>
      </c>
      <c r="M3156">
        <v>180</v>
      </c>
      <c r="N3156">
        <v>22</v>
      </c>
      <c r="O3156">
        <v>3</v>
      </c>
    </row>
    <row r="3157" spans="1:16" x14ac:dyDescent="0.25">
      <c r="A3157" s="4">
        <v>44552</v>
      </c>
      <c r="B3157" t="s">
        <v>9</v>
      </c>
      <c r="C3157">
        <v>1</v>
      </c>
      <c r="F3157">
        <v>267</v>
      </c>
      <c r="J3157">
        <v>1.1850000000000001</v>
      </c>
      <c r="K3157">
        <v>43.1</v>
      </c>
      <c r="L3157">
        <v>36.6</v>
      </c>
      <c r="M3157">
        <v>201</v>
      </c>
      <c r="N3157">
        <v>20</v>
      </c>
      <c r="O3157">
        <v>2</v>
      </c>
      <c r="P3157">
        <v>3</v>
      </c>
    </row>
    <row r="3158" spans="1:16" x14ac:dyDescent="0.25">
      <c r="A3158" s="4">
        <v>44552</v>
      </c>
      <c r="B3158" t="s">
        <v>10</v>
      </c>
      <c r="C3158" t="s">
        <v>78</v>
      </c>
      <c r="F3158">
        <v>236</v>
      </c>
      <c r="J3158">
        <v>1.216</v>
      </c>
      <c r="K3158">
        <v>42.1</v>
      </c>
      <c r="L3158">
        <v>34.700000000000003</v>
      </c>
      <c r="M3158">
        <v>180</v>
      </c>
      <c r="N3158">
        <v>22</v>
      </c>
      <c r="O3158">
        <v>3</v>
      </c>
    </row>
    <row r="3159" spans="1:16" x14ac:dyDescent="0.25">
      <c r="A3159" s="4">
        <v>44552</v>
      </c>
      <c r="B3159" t="s">
        <v>9</v>
      </c>
      <c r="C3159" t="s">
        <v>78</v>
      </c>
      <c r="F3159">
        <v>267</v>
      </c>
      <c r="J3159">
        <v>1.1850000000000001</v>
      </c>
      <c r="K3159">
        <v>43.1</v>
      </c>
      <c r="L3159">
        <v>36.6</v>
      </c>
      <c r="M3159">
        <v>201</v>
      </c>
      <c r="N3159">
        <v>20</v>
      </c>
      <c r="O3159">
        <v>2</v>
      </c>
      <c r="P3159">
        <v>3</v>
      </c>
    </row>
    <row r="3160" spans="1:16" x14ac:dyDescent="0.25">
      <c r="A3160" s="4">
        <v>44557</v>
      </c>
      <c r="B3160" t="s">
        <v>10</v>
      </c>
      <c r="C3160">
        <v>1</v>
      </c>
      <c r="F3160">
        <v>218</v>
      </c>
      <c r="J3160">
        <v>0.95899999999999996</v>
      </c>
      <c r="K3160">
        <v>35.200000000000003</v>
      </c>
      <c r="L3160">
        <v>36.700000000000003</v>
      </c>
      <c r="M3160">
        <v>151</v>
      </c>
      <c r="N3160">
        <v>17</v>
      </c>
      <c r="O3160">
        <v>10</v>
      </c>
    </row>
    <row r="3161" spans="1:16" x14ac:dyDescent="0.25">
      <c r="A3161" s="4">
        <v>44557</v>
      </c>
      <c r="B3161" t="s">
        <v>9</v>
      </c>
      <c r="C3161">
        <v>1</v>
      </c>
      <c r="F3161">
        <v>202</v>
      </c>
      <c r="J3161">
        <v>1.0609999999999999</v>
      </c>
      <c r="K3161">
        <v>38.9</v>
      </c>
      <c r="L3161">
        <v>36.6</v>
      </c>
      <c r="M3161">
        <v>156</v>
      </c>
      <c r="N3161">
        <v>18</v>
      </c>
      <c r="O3161">
        <v>1</v>
      </c>
    </row>
    <row r="3162" spans="1:16" x14ac:dyDescent="0.25">
      <c r="A3162" s="4">
        <v>44558</v>
      </c>
      <c r="B3162" t="s">
        <v>10</v>
      </c>
      <c r="C3162">
        <v>1</v>
      </c>
      <c r="F3162">
        <v>252</v>
      </c>
      <c r="J3162">
        <v>1.224</v>
      </c>
      <c r="K3162">
        <v>43.5</v>
      </c>
      <c r="L3162">
        <v>35.5</v>
      </c>
      <c r="M3162">
        <v>185</v>
      </c>
      <c r="N3162">
        <v>18</v>
      </c>
      <c r="O3162">
        <v>9</v>
      </c>
    </row>
    <row r="3163" spans="1:16" x14ac:dyDescent="0.25">
      <c r="A3163" s="4">
        <v>44558</v>
      </c>
      <c r="B3163" t="s">
        <v>9</v>
      </c>
      <c r="C3163">
        <v>1</v>
      </c>
      <c r="F3163">
        <v>249</v>
      </c>
      <c r="J3163">
        <v>1.1879999999999999</v>
      </c>
      <c r="K3163">
        <v>43.7</v>
      </c>
      <c r="L3163">
        <v>36.799999999999997</v>
      </c>
      <c r="M3163">
        <v>181</v>
      </c>
      <c r="N3163">
        <v>21</v>
      </c>
      <c r="O3163">
        <v>5</v>
      </c>
      <c r="P3163">
        <v>1</v>
      </c>
    </row>
    <row r="3164" spans="1:16" x14ac:dyDescent="0.25">
      <c r="A3164" s="4">
        <v>44559</v>
      </c>
      <c r="B3164" t="s">
        <v>10</v>
      </c>
      <c r="C3164">
        <v>1</v>
      </c>
      <c r="F3164">
        <v>190</v>
      </c>
      <c r="J3164">
        <v>1.1220000000000001</v>
      </c>
      <c r="K3164">
        <v>38.799999999999997</v>
      </c>
      <c r="L3164">
        <v>34.6</v>
      </c>
      <c r="M3164">
        <v>159</v>
      </c>
      <c r="N3164">
        <v>9</v>
      </c>
      <c r="O3164">
        <v>2</v>
      </c>
      <c r="P3164">
        <v>1</v>
      </c>
    </row>
    <row r="3165" spans="1:16" x14ac:dyDescent="0.25">
      <c r="A3165" s="4">
        <v>44559</v>
      </c>
      <c r="B3165" t="s">
        <v>9</v>
      </c>
      <c r="C3165">
        <v>1</v>
      </c>
      <c r="F3165">
        <v>211</v>
      </c>
      <c r="J3165">
        <v>1.1599999999999999</v>
      </c>
      <c r="K3165">
        <v>42.2</v>
      </c>
      <c r="L3165">
        <v>36.4</v>
      </c>
      <c r="M3165">
        <v>171</v>
      </c>
      <c r="N3165">
        <v>15</v>
      </c>
      <c r="O3165">
        <v>2</v>
      </c>
    </row>
    <row r="3166" spans="1:16" x14ac:dyDescent="0.25">
      <c r="A3166" s="4">
        <v>44560</v>
      </c>
      <c r="B3166" t="s">
        <v>10</v>
      </c>
      <c r="C3166">
        <v>1</v>
      </c>
      <c r="F3166">
        <v>208</v>
      </c>
      <c r="J3166">
        <v>1.1779999999999999</v>
      </c>
      <c r="K3166">
        <v>40</v>
      </c>
      <c r="L3166">
        <v>34</v>
      </c>
      <c r="M3166">
        <v>117</v>
      </c>
      <c r="N3166">
        <v>10</v>
      </c>
      <c r="O3166">
        <v>3</v>
      </c>
    </row>
    <row r="3167" spans="1:16" x14ac:dyDescent="0.25">
      <c r="A3167" s="4">
        <v>44560</v>
      </c>
      <c r="B3167" t="s">
        <v>9</v>
      </c>
      <c r="C3167">
        <v>1</v>
      </c>
      <c r="F3167">
        <v>145</v>
      </c>
      <c r="J3167">
        <v>1.0409999999999999</v>
      </c>
      <c r="K3167">
        <v>41.4</v>
      </c>
      <c r="L3167">
        <v>39.799999999999997</v>
      </c>
      <c r="M3167">
        <v>87</v>
      </c>
      <c r="N3167">
        <v>19</v>
      </c>
      <c r="O3167">
        <v>4</v>
      </c>
      <c r="P3167">
        <v>1</v>
      </c>
    </row>
    <row r="3168" spans="1:16" x14ac:dyDescent="0.25">
      <c r="A3168" s="4">
        <v>44564</v>
      </c>
      <c r="B3168" t="s">
        <v>10</v>
      </c>
      <c r="C3168">
        <v>1</v>
      </c>
      <c r="F3168">
        <v>242</v>
      </c>
      <c r="J3168">
        <v>1.1719999999999999</v>
      </c>
      <c r="K3168">
        <v>40.299999999999997</v>
      </c>
      <c r="L3168">
        <v>34.4</v>
      </c>
      <c r="M3168">
        <v>206</v>
      </c>
      <c r="N3168">
        <v>16</v>
      </c>
      <c r="O3168">
        <v>1</v>
      </c>
    </row>
    <row r="3169" spans="1:16" x14ac:dyDescent="0.25">
      <c r="A3169" s="4">
        <v>44564</v>
      </c>
      <c r="B3169" t="s">
        <v>9</v>
      </c>
      <c r="C3169">
        <v>1</v>
      </c>
      <c r="F3169">
        <v>164</v>
      </c>
      <c r="J3169">
        <v>0.74299999999999999</v>
      </c>
      <c r="K3169">
        <v>27.3</v>
      </c>
      <c r="L3169">
        <v>36.799999999999997</v>
      </c>
      <c r="M3169">
        <v>126</v>
      </c>
      <c r="N3169">
        <v>13</v>
      </c>
      <c r="O3169">
        <v>3</v>
      </c>
    </row>
    <row r="3170" spans="1:16" x14ac:dyDescent="0.25">
      <c r="A3170" s="4">
        <v>44565</v>
      </c>
      <c r="B3170" t="s">
        <v>10</v>
      </c>
      <c r="C3170">
        <v>1</v>
      </c>
      <c r="F3170">
        <v>215</v>
      </c>
      <c r="J3170">
        <v>1.2709999999999999</v>
      </c>
      <c r="K3170">
        <v>43.9</v>
      </c>
      <c r="L3170">
        <v>34.5</v>
      </c>
      <c r="M3170">
        <v>186</v>
      </c>
      <c r="N3170">
        <v>10</v>
      </c>
      <c r="O3170">
        <v>3</v>
      </c>
    </row>
    <row r="3171" spans="1:16" x14ac:dyDescent="0.25">
      <c r="A3171" s="4">
        <v>44565</v>
      </c>
      <c r="B3171" t="s">
        <v>9</v>
      </c>
      <c r="C3171">
        <v>1</v>
      </c>
      <c r="F3171">
        <v>219</v>
      </c>
      <c r="J3171">
        <v>1.1259999999999999</v>
      </c>
      <c r="K3171">
        <v>42.1</v>
      </c>
      <c r="L3171">
        <v>37.4</v>
      </c>
      <c r="M3171">
        <v>169</v>
      </c>
      <c r="N3171">
        <v>16</v>
      </c>
      <c r="O3171">
        <v>5</v>
      </c>
    </row>
    <row r="3172" spans="1:16" x14ac:dyDescent="0.25">
      <c r="A3172" s="4">
        <v>44566</v>
      </c>
      <c r="B3172" t="s">
        <v>10</v>
      </c>
      <c r="C3172">
        <v>1</v>
      </c>
      <c r="F3172">
        <v>236</v>
      </c>
      <c r="J3172">
        <v>1.2490000000000001</v>
      </c>
      <c r="K3172">
        <v>44.5</v>
      </c>
      <c r="L3172">
        <v>35.700000000000003</v>
      </c>
      <c r="M3172">
        <v>191</v>
      </c>
      <c r="N3172">
        <v>18</v>
      </c>
      <c r="O3172">
        <v>2</v>
      </c>
    </row>
    <row r="3173" spans="1:16" x14ac:dyDescent="0.25">
      <c r="A3173" s="4">
        <v>44566</v>
      </c>
      <c r="B3173" t="s">
        <v>9</v>
      </c>
      <c r="C3173">
        <v>1</v>
      </c>
      <c r="F3173">
        <v>233</v>
      </c>
      <c r="J3173">
        <v>1.151</v>
      </c>
      <c r="K3173">
        <v>42.8</v>
      </c>
      <c r="L3173">
        <v>37.200000000000003</v>
      </c>
      <c r="M3173">
        <v>165</v>
      </c>
      <c r="N3173">
        <v>26</v>
      </c>
      <c r="O3173">
        <v>3</v>
      </c>
      <c r="P3173">
        <v>1</v>
      </c>
    </row>
    <row r="3174" spans="1:16" x14ac:dyDescent="0.25">
      <c r="A3174" s="4">
        <v>44567</v>
      </c>
      <c r="B3174" t="s">
        <v>10</v>
      </c>
      <c r="C3174">
        <v>1</v>
      </c>
      <c r="F3174">
        <v>243</v>
      </c>
      <c r="J3174">
        <v>1.133</v>
      </c>
      <c r="K3174">
        <v>40.5</v>
      </c>
      <c r="L3174">
        <v>35.799999999999997</v>
      </c>
      <c r="M3174">
        <v>186</v>
      </c>
      <c r="N3174">
        <v>18</v>
      </c>
      <c r="O3174">
        <v>5</v>
      </c>
      <c r="P3174">
        <v>1</v>
      </c>
    </row>
    <row r="3175" spans="1:16" x14ac:dyDescent="0.25">
      <c r="A3175" s="4">
        <v>44567</v>
      </c>
      <c r="B3175" t="s">
        <v>9</v>
      </c>
      <c r="C3175">
        <v>1</v>
      </c>
      <c r="F3175">
        <v>176</v>
      </c>
      <c r="J3175">
        <v>1.081</v>
      </c>
      <c r="K3175">
        <v>40</v>
      </c>
      <c r="L3175">
        <v>37</v>
      </c>
      <c r="M3175">
        <v>127</v>
      </c>
      <c r="N3175">
        <v>17</v>
      </c>
      <c r="O3175">
        <v>4</v>
      </c>
    </row>
    <row r="3176" spans="1:16" x14ac:dyDescent="0.25">
      <c r="A3176" s="4">
        <v>44568</v>
      </c>
      <c r="B3176" t="s">
        <v>10</v>
      </c>
      <c r="C3176">
        <v>1</v>
      </c>
      <c r="F3176">
        <v>243</v>
      </c>
      <c r="J3176">
        <v>1.133</v>
      </c>
      <c r="K3176">
        <v>40.5</v>
      </c>
      <c r="L3176">
        <v>35.799999999999997</v>
      </c>
      <c r="M3176">
        <v>186</v>
      </c>
      <c r="N3176">
        <v>18</v>
      </c>
      <c r="O3176">
        <v>5</v>
      </c>
      <c r="P3176">
        <v>1</v>
      </c>
    </row>
    <row r="3177" spans="1:16" x14ac:dyDescent="0.25">
      <c r="A3177" s="4">
        <v>44568</v>
      </c>
      <c r="B3177" t="s">
        <v>9</v>
      </c>
      <c r="C3177">
        <v>1</v>
      </c>
      <c r="F3177">
        <v>176</v>
      </c>
      <c r="J3177">
        <v>1.081</v>
      </c>
      <c r="K3177">
        <v>40</v>
      </c>
      <c r="L3177">
        <v>37</v>
      </c>
      <c r="M3177">
        <v>127</v>
      </c>
      <c r="N3177">
        <v>17</v>
      </c>
      <c r="O3177">
        <v>4</v>
      </c>
    </row>
    <row r="3178" spans="1:16" x14ac:dyDescent="0.25">
      <c r="A3178" s="4">
        <v>44571</v>
      </c>
      <c r="B3178" t="s">
        <v>10</v>
      </c>
      <c r="C3178">
        <v>1</v>
      </c>
      <c r="F3178">
        <v>216</v>
      </c>
      <c r="J3178">
        <v>1.0580000000000001</v>
      </c>
      <c r="K3178">
        <v>37.9</v>
      </c>
      <c r="L3178">
        <v>35.799999999999997</v>
      </c>
      <c r="M3178">
        <v>174</v>
      </c>
      <c r="N3178">
        <v>18</v>
      </c>
      <c r="P3178">
        <v>1</v>
      </c>
    </row>
    <row r="3179" spans="1:16" x14ac:dyDescent="0.25">
      <c r="A3179" s="4">
        <v>44571</v>
      </c>
      <c r="B3179" t="s">
        <v>9</v>
      </c>
      <c r="C3179">
        <v>1</v>
      </c>
      <c r="F3179">
        <v>268</v>
      </c>
      <c r="J3179">
        <v>1.024</v>
      </c>
      <c r="K3179">
        <v>38.799999999999997</v>
      </c>
      <c r="L3179">
        <v>37.9</v>
      </c>
      <c r="M3179">
        <v>191</v>
      </c>
      <c r="N3179">
        <v>24</v>
      </c>
      <c r="O3179">
        <v>6</v>
      </c>
      <c r="P3179">
        <v>1</v>
      </c>
    </row>
    <row r="3180" spans="1:16" x14ac:dyDescent="0.25">
      <c r="A3180" s="4">
        <v>44572</v>
      </c>
      <c r="B3180" t="s">
        <v>10</v>
      </c>
      <c r="C3180">
        <v>1</v>
      </c>
      <c r="F3180">
        <v>236</v>
      </c>
      <c r="J3180">
        <v>1.1080000000000001</v>
      </c>
      <c r="K3180">
        <v>40.700000000000003</v>
      </c>
      <c r="L3180">
        <v>36.700000000000003</v>
      </c>
      <c r="M3180">
        <v>163</v>
      </c>
      <c r="N3180">
        <v>14</v>
      </c>
      <c r="O3180">
        <v>13</v>
      </c>
    </row>
    <row r="3181" spans="1:16" x14ac:dyDescent="0.25">
      <c r="A3181" s="4">
        <v>44572</v>
      </c>
      <c r="B3181" t="s">
        <v>9</v>
      </c>
      <c r="C3181">
        <v>1</v>
      </c>
      <c r="F3181">
        <v>263</v>
      </c>
      <c r="J3181">
        <v>1.135</v>
      </c>
      <c r="K3181">
        <v>42.4</v>
      </c>
      <c r="L3181">
        <v>37.4</v>
      </c>
      <c r="M3181">
        <v>187</v>
      </c>
      <c r="N3181">
        <v>20</v>
      </c>
      <c r="O3181">
        <v>10</v>
      </c>
    </row>
    <row r="3182" spans="1:16" x14ac:dyDescent="0.25">
      <c r="A3182" s="4">
        <v>44573</v>
      </c>
      <c r="B3182" t="s">
        <v>10</v>
      </c>
      <c r="C3182">
        <v>1</v>
      </c>
      <c r="F3182">
        <v>244</v>
      </c>
      <c r="J3182">
        <v>1.19</v>
      </c>
      <c r="K3182">
        <v>40.700000000000003</v>
      </c>
      <c r="L3182">
        <v>34.200000000000003</v>
      </c>
      <c r="M3182">
        <v>189</v>
      </c>
      <c r="N3182">
        <v>21</v>
      </c>
      <c r="O3182">
        <v>4</v>
      </c>
    </row>
    <row r="3183" spans="1:16" x14ac:dyDescent="0.25">
      <c r="A3183" s="4">
        <v>44573</v>
      </c>
      <c r="B3183" t="s">
        <v>9</v>
      </c>
      <c r="C3183">
        <v>1</v>
      </c>
      <c r="F3183">
        <v>270</v>
      </c>
      <c r="J3183">
        <v>1.1100000000000001</v>
      </c>
      <c r="K3183">
        <v>41.5</v>
      </c>
      <c r="L3183">
        <v>37.4</v>
      </c>
      <c r="M3183">
        <v>184</v>
      </c>
      <c r="N3183">
        <v>31</v>
      </c>
      <c r="O3183">
        <v>7</v>
      </c>
    </row>
    <row r="3184" spans="1:16" x14ac:dyDescent="0.25">
      <c r="A3184" s="4">
        <v>44574</v>
      </c>
      <c r="B3184" t="s">
        <v>10</v>
      </c>
      <c r="C3184">
        <v>1</v>
      </c>
      <c r="F3184">
        <v>272</v>
      </c>
      <c r="J3184">
        <v>1.2070000000000001</v>
      </c>
      <c r="K3184">
        <v>43.9</v>
      </c>
      <c r="L3184">
        <v>36.4</v>
      </c>
      <c r="M3184">
        <v>202</v>
      </c>
      <c r="N3184">
        <v>18</v>
      </c>
      <c r="O3184">
        <v>10</v>
      </c>
    </row>
    <row r="3185" spans="1:16" x14ac:dyDescent="0.25">
      <c r="A3185" s="4">
        <v>44574</v>
      </c>
      <c r="B3185" t="s">
        <v>9</v>
      </c>
      <c r="C3185">
        <v>1</v>
      </c>
      <c r="F3185">
        <v>249</v>
      </c>
      <c r="J3185">
        <v>1.1140000000000001</v>
      </c>
      <c r="K3185">
        <v>40.200000000000003</v>
      </c>
      <c r="L3185">
        <v>36</v>
      </c>
      <c r="M3185">
        <v>202</v>
      </c>
      <c r="N3185">
        <v>18</v>
      </c>
      <c r="O3185">
        <v>2</v>
      </c>
    </row>
    <row r="3186" spans="1:16" x14ac:dyDescent="0.25">
      <c r="A3186" s="4">
        <v>44575</v>
      </c>
      <c r="B3186" t="s">
        <v>10</v>
      </c>
      <c r="C3186">
        <v>1</v>
      </c>
      <c r="F3186">
        <v>252</v>
      </c>
      <c r="J3186">
        <v>1.1479999999999999</v>
      </c>
      <c r="K3186">
        <v>42</v>
      </c>
      <c r="L3186">
        <v>36.6</v>
      </c>
      <c r="M3186">
        <v>185</v>
      </c>
      <c r="N3186">
        <v>21</v>
      </c>
      <c r="O3186">
        <v>3</v>
      </c>
      <c r="P3186">
        <v>2</v>
      </c>
    </row>
    <row r="3187" spans="1:16" x14ac:dyDescent="0.25">
      <c r="A3187" s="4">
        <v>44575</v>
      </c>
      <c r="B3187" t="s">
        <v>9</v>
      </c>
      <c r="C3187">
        <v>1</v>
      </c>
      <c r="F3187">
        <v>277</v>
      </c>
      <c r="J3187">
        <v>1.1379999999999999</v>
      </c>
      <c r="K3187">
        <v>42.6</v>
      </c>
      <c r="L3187">
        <v>37.4</v>
      </c>
      <c r="M3187">
        <v>197</v>
      </c>
      <c r="N3187">
        <v>28</v>
      </c>
      <c r="O3187">
        <v>7</v>
      </c>
    </row>
    <row r="3188" spans="1:16" x14ac:dyDescent="0.25">
      <c r="A3188" s="4">
        <v>44578</v>
      </c>
      <c r="B3188" t="s">
        <v>10</v>
      </c>
      <c r="C3188">
        <v>1</v>
      </c>
      <c r="F3188">
        <v>227</v>
      </c>
      <c r="J3188">
        <v>1.165</v>
      </c>
      <c r="K3188">
        <v>43.7</v>
      </c>
      <c r="L3188">
        <v>37.5</v>
      </c>
      <c r="M3188">
        <v>139</v>
      </c>
      <c r="N3188">
        <v>18</v>
      </c>
      <c r="O3188">
        <v>13</v>
      </c>
      <c r="P3188">
        <v>1</v>
      </c>
    </row>
    <row r="3189" spans="1:16" x14ac:dyDescent="0.25">
      <c r="A3189" s="4">
        <v>44578</v>
      </c>
      <c r="B3189" t="s">
        <v>9</v>
      </c>
      <c r="C3189">
        <v>1</v>
      </c>
      <c r="F3189">
        <v>329</v>
      </c>
      <c r="J3189">
        <v>1.2050000000000001</v>
      </c>
      <c r="K3189">
        <v>45.7</v>
      </c>
      <c r="L3189">
        <v>37.9</v>
      </c>
      <c r="M3189">
        <v>219</v>
      </c>
      <c r="N3189">
        <v>36</v>
      </c>
      <c r="O3189">
        <v>11</v>
      </c>
    </row>
    <row r="3190" spans="1:16" x14ac:dyDescent="0.25">
      <c r="A3190" s="4">
        <v>44579</v>
      </c>
      <c r="B3190" t="s">
        <v>10</v>
      </c>
      <c r="C3190">
        <v>1</v>
      </c>
      <c r="F3190">
        <v>131</v>
      </c>
      <c r="J3190">
        <v>1.0680000000000001</v>
      </c>
      <c r="K3190">
        <v>39.299999999999997</v>
      </c>
      <c r="L3190">
        <v>36.799999999999997</v>
      </c>
      <c r="M3190">
        <v>86</v>
      </c>
      <c r="N3190">
        <v>13</v>
      </c>
      <c r="O3190">
        <v>6</v>
      </c>
    </row>
    <row r="3191" spans="1:16" x14ac:dyDescent="0.25">
      <c r="A3191" s="4">
        <v>44579</v>
      </c>
      <c r="B3191" t="s">
        <v>9</v>
      </c>
      <c r="C3191">
        <v>1</v>
      </c>
      <c r="F3191">
        <v>347</v>
      </c>
      <c r="J3191">
        <v>1.044</v>
      </c>
      <c r="K3191">
        <v>38.6</v>
      </c>
      <c r="L3191">
        <v>36.9</v>
      </c>
      <c r="M3191">
        <v>254</v>
      </c>
      <c r="N3191">
        <v>36</v>
      </c>
      <c r="O3191">
        <v>1</v>
      </c>
      <c r="P3191">
        <v>1</v>
      </c>
    </row>
    <row r="3192" spans="1:16" x14ac:dyDescent="0.25">
      <c r="A3192" s="4">
        <v>44580</v>
      </c>
      <c r="B3192" t="s">
        <v>10</v>
      </c>
      <c r="C3192">
        <v>1</v>
      </c>
      <c r="F3192">
        <v>347</v>
      </c>
      <c r="J3192">
        <v>1.1970000000000001</v>
      </c>
      <c r="K3192">
        <v>45.1</v>
      </c>
      <c r="L3192">
        <v>37.6</v>
      </c>
      <c r="M3192">
        <v>224</v>
      </c>
      <c r="N3192">
        <v>31</v>
      </c>
      <c r="O3192">
        <v>7</v>
      </c>
      <c r="P3192">
        <v>4</v>
      </c>
    </row>
    <row r="3193" spans="1:16" x14ac:dyDescent="0.25">
      <c r="A3193" s="4">
        <v>44580</v>
      </c>
      <c r="B3193" t="s">
        <v>9</v>
      </c>
      <c r="C3193">
        <v>1</v>
      </c>
      <c r="F3193">
        <v>371</v>
      </c>
      <c r="J3193">
        <v>1.1599999999999999</v>
      </c>
      <c r="K3193">
        <v>45.2</v>
      </c>
      <c r="L3193">
        <v>39</v>
      </c>
      <c r="M3193">
        <v>227</v>
      </c>
      <c r="N3193">
        <v>42</v>
      </c>
      <c r="O3193">
        <v>10</v>
      </c>
      <c r="P3193">
        <v>3</v>
      </c>
    </row>
    <row r="3194" spans="1:16" x14ac:dyDescent="0.25">
      <c r="A3194" s="4">
        <v>44581</v>
      </c>
      <c r="B3194" t="s">
        <v>10</v>
      </c>
      <c r="C3194">
        <v>1</v>
      </c>
      <c r="F3194">
        <v>243</v>
      </c>
      <c r="J3194">
        <v>1.1339999999999999</v>
      </c>
      <c r="K3194">
        <v>40.5</v>
      </c>
      <c r="L3194">
        <v>35.700000000000003</v>
      </c>
      <c r="M3194">
        <v>187</v>
      </c>
      <c r="N3194">
        <v>21</v>
      </c>
      <c r="O3194">
        <v>4</v>
      </c>
    </row>
    <row r="3195" spans="1:16" x14ac:dyDescent="0.25">
      <c r="A3195" s="4">
        <v>44581</v>
      </c>
      <c r="B3195" t="s">
        <v>9</v>
      </c>
      <c r="C3195">
        <v>1</v>
      </c>
      <c r="F3195">
        <v>286</v>
      </c>
      <c r="J3195">
        <v>1.181</v>
      </c>
      <c r="K3195">
        <v>44.7</v>
      </c>
      <c r="L3195">
        <v>37.799999999999997</v>
      </c>
      <c r="M3195">
        <v>201</v>
      </c>
      <c r="N3195">
        <v>27</v>
      </c>
      <c r="O3195">
        <v>7</v>
      </c>
      <c r="P3195">
        <v>1</v>
      </c>
    </row>
    <row r="3196" spans="1:16" x14ac:dyDescent="0.25">
      <c r="A3196" s="4">
        <v>44582</v>
      </c>
      <c r="B3196" t="s">
        <v>10</v>
      </c>
      <c r="C3196">
        <v>1</v>
      </c>
      <c r="F3196">
        <v>241</v>
      </c>
      <c r="J3196">
        <v>1.194</v>
      </c>
      <c r="K3196">
        <v>40.200000000000003</v>
      </c>
      <c r="L3196">
        <v>33.700000000000003</v>
      </c>
      <c r="M3196">
        <v>201</v>
      </c>
      <c r="N3196">
        <v>14</v>
      </c>
      <c r="O3196">
        <v>4</v>
      </c>
    </row>
    <row r="3197" spans="1:16" x14ac:dyDescent="0.25">
      <c r="A3197" s="4">
        <v>44582</v>
      </c>
      <c r="B3197" t="s">
        <v>9</v>
      </c>
      <c r="C3197">
        <v>1</v>
      </c>
      <c r="F3197">
        <v>279</v>
      </c>
      <c r="J3197">
        <v>1.2549999999999999</v>
      </c>
      <c r="K3197">
        <v>46.5</v>
      </c>
      <c r="L3197">
        <v>37.1</v>
      </c>
      <c r="M3197">
        <v>221</v>
      </c>
      <c r="N3197">
        <v>23</v>
      </c>
      <c r="O3197">
        <v>1</v>
      </c>
      <c r="P3197">
        <v>1</v>
      </c>
    </row>
    <row r="3198" spans="1:16" x14ac:dyDescent="0.25">
      <c r="A3198" s="4">
        <v>44585</v>
      </c>
      <c r="B3198" t="s">
        <v>10</v>
      </c>
      <c r="C3198">
        <v>1</v>
      </c>
      <c r="F3198">
        <v>237</v>
      </c>
      <c r="J3198">
        <v>1.091</v>
      </c>
      <c r="K3198">
        <v>38.200000000000003</v>
      </c>
      <c r="L3198">
        <v>35</v>
      </c>
      <c r="M3198">
        <v>194</v>
      </c>
      <c r="N3198">
        <v>18</v>
      </c>
      <c r="O3198">
        <v>2</v>
      </c>
    </row>
    <row r="3199" spans="1:16" x14ac:dyDescent="0.25">
      <c r="A3199" s="4">
        <v>44585</v>
      </c>
      <c r="B3199" t="s">
        <v>9</v>
      </c>
      <c r="C3199">
        <v>1</v>
      </c>
      <c r="F3199">
        <v>256</v>
      </c>
      <c r="J3199">
        <v>1.1080000000000001</v>
      </c>
      <c r="K3199">
        <v>41.3</v>
      </c>
      <c r="L3199">
        <v>37.299999999999997</v>
      </c>
      <c r="M3199">
        <v>195</v>
      </c>
      <c r="N3199">
        <v>19</v>
      </c>
      <c r="O3199">
        <v>4</v>
      </c>
    </row>
    <row r="3200" spans="1:16" x14ac:dyDescent="0.25">
      <c r="A3200" s="4">
        <v>44586</v>
      </c>
      <c r="B3200" t="s">
        <v>10</v>
      </c>
      <c r="C3200">
        <v>1</v>
      </c>
      <c r="F3200">
        <v>276</v>
      </c>
      <c r="J3200">
        <v>1.2330000000000001</v>
      </c>
      <c r="K3200">
        <v>44.5</v>
      </c>
      <c r="L3200">
        <v>36.1</v>
      </c>
      <c r="M3200">
        <v>207</v>
      </c>
      <c r="N3200">
        <v>21</v>
      </c>
      <c r="O3200">
        <v>2</v>
      </c>
      <c r="P3200">
        <v>3</v>
      </c>
    </row>
    <row r="3201" spans="1:16" x14ac:dyDescent="0.25">
      <c r="A3201" s="4">
        <v>44586</v>
      </c>
      <c r="B3201" t="s">
        <v>9</v>
      </c>
      <c r="C3201">
        <v>1</v>
      </c>
      <c r="F3201">
        <v>279</v>
      </c>
      <c r="J3201">
        <v>1.208</v>
      </c>
      <c r="K3201">
        <v>45</v>
      </c>
      <c r="L3201">
        <v>37.299999999999997</v>
      </c>
      <c r="M3201">
        <v>206</v>
      </c>
      <c r="N3201">
        <v>24</v>
      </c>
      <c r="O3201">
        <v>6</v>
      </c>
    </row>
    <row r="3202" spans="1:16" x14ac:dyDescent="0.25">
      <c r="A3202" s="4">
        <v>44587</v>
      </c>
      <c r="B3202" t="s">
        <v>10</v>
      </c>
      <c r="C3202">
        <v>1</v>
      </c>
      <c r="F3202">
        <v>302</v>
      </c>
      <c r="J3202">
        <v>1.1779999999999999</v>
      </c>
      <c r="K3202">
        <v>43.1</v>
      </c>
      <c r="L3202">
        <v>36.6</v>
      </c>
      <c r="M3202">
        <v>217</v>
      </c>
      <c r="N3202">
        <v>24</v>
      </c>
      <c r="O3202">
        <v>8</v>
      </c>
      <c r="P3202">
        <v>1</v>
      </c>
    </row>
    <row r="3203" spans="1:16" x14ac:dyDescent="0.25">
      <c r="A3203" s="4">
        <v>44587</v>
      </c>
      <c r="B3203" t="s">
        <v>9</v>
      </c>
      <c r="C3203">
        <v>1</v>
      </c>
      <c r="F3203">
        <v>230</v>
      </c>
      <c r="J3203">
        <v>1.1479999999999999</v>
      </c>
      <c r="K3203">
        <v>43.4</v>
      </c>
      <c r="L3203">
        <v>37.799999999999997</v>
      </c>
      <c r="M3203">
        <v>180</v>
      </c>
      <c r="N3203">
        <v>12</v>
      </c>
      <c r="O3203">
        <v>6</v>
      </c>
      <c r="P3203">
        <v>1</v>
      </c>
    </row>
    <row r="3204" spans="1:16" x14ac:dyDescent="0.25">
      <c r="A3204" s="4">
        <v>44588</v>
      </c>
      <c r="B3204" t="s">
        <v>10</v>
      </c>
      <c r="C3204">
        <v>1</v>
      </c>
      <c r="F3204">
        <v>307</v>
      </c>
      <c r="J3204">
        <v>1.1519999999999999</v>
      </c>
      <c r="K3204">
        <v>40.4</v>
      </c>
      <c r="L3204">
        <v>35.1</v>
      </c>
      <c r="M3204">
        <v>256</v>
      </c>
      <c r="N3204">
        <v>19</v>
      </c>
      <c r="O3204">
        <v>4</v>
      </c>
    </row>
    <row r="3205" spans="1:16" x14ac:dyDescent="0.25">
      <c r="A3205" s="4">
        <v>44588</v>
      </c>
      <c r="B3205" t="s">
        <v>9</v>
      </c>
      <c r="C3205">
        <v>1</v>
      </c>
      <c r="F3205">
        <v>222</v>
      </c>
      <c r="J3205">
        <v>1.157</v>
      </c>
      <c r="K3205">
        <v>41.9</v>
      </c>
      <c r="L3205">
        <v>36.200000000000003</v>
      </c>
      <c r="M3205">
        <v>183</v>
      </c>
      <c r="N3205">
        <v>14</v>
      </c>
      <c r="O3205">
        <v>3</v>
      </c>
    </row>
    <row r="3206" spans="1:16" x14ac:dyDescent="0.25">
      <c r="A3206" s="4">
        <v>44589</v>
      </c>
      <c r="B3206" t="s">
        <v>10</v>
      </c>
      <c r="C3206">
        <v>1</v>
      </c>
      <c r="F3206">
        <v>303</v>
      </c>
      <c r="J3206">
        <v>0.94499999999999995</v>
      </c>
      <c r="K3206">
        <v>36.1</v>
      </c>
      <c r="L3206">
        <v>38.200000000000003</v>
      </c>
      <c r="M3206">
        <v>212</v>
      </c>
      <c r="N3206">
        <v>30</v>
      </c>
      <c r="O3206">
        <v>10</v>
      </c>
    </row>
    <row r="3207" spans="1:16" x14ac:dyDescent="0.25">
      <c r="A3207" s="4">
        <v>44589</v>
      </c>
      <c r="B3207" t="s">
        <v>9</v>
      </c>
      <c r="C3207">
        <v>1</v>
      </c>
      <c r="F3207">
        <v>346</v>
      </c>
      <c r="J3207">
        <v>1.0529999999999999</v>
      </c>
      <c r="K3207">
        <v>40.700000000000003</v>
      </c>
      <c r="L3207">
        <v>38.6</v>
      </c>
      <c r="M3207">
        <v>245</v>
      </c>
      <c r="N3207">
        <v>38</v>
      </c>
      <c r="O3207">
        <v>5</v>
      </c>
      <c r="P3207">
        <v>1</v>
      </c>
    </row>
    <row r="3208" spans="1:16" x14ac:dyDescent="0.25">
      <c r="A3208" s="4">
        <v>44590</v>
      </c>
      <c r="B3208" t="s">
        <v>9</v>
      </c>
      <c r="C3208">
        <v>1</v>
      </c>
      <c r="F3208">
        <v>119</v>
      </c>
      <c r="J3208">
        <v>1.206</v>
      </c>
      <c r="K3208">
        <v>42.5</v>
      </c>
      <c r="L3208">
        <v>35.299999999999997</v>
      </c>
      <c r="M3208">
        <v>92</v>
      </c>
      <c r="N3208">
        <v>12</v>
      </c>
      <c r="O3208">
        <v>1</v>
      </c>
    </row>
    <row r="3209" spans="1:16" x14ac:dyDescent="0.25">
      <c r="A3209" s="4">
        <v>44592</v>
      </c>
      <c r="B3209" t="s">
        <v>10</v>
      </c>
      <c r="C3209">
        <v>1</v>
      </c>
      <c r="F3209">
        <v>250</v>
      </c>
      <c r="J3209">
        <v>1.1279999999999999</v>
      </c>
      <c r="K3209">
        <v>40.299999999999997</v>
      </c>
      <c r="L3209">
        <v>35.799999999999997</v>
      </c>
      <c r="M3209">
        <v>199</v>
      </c>
      <c r="N3209">
        <v>16</v>
      </c>
      <c r="O3209">
        <v>6</v>
      </c>
    </row>
    <row r="3210" spans="1:16" x14ac:dyDescent="0.25">
      <c r="A3210" s="4">
        <v>44592</v>
      </c>
      <c r="B3210" t="s">
        <v>9</v>
      </c>
      <c r="C3210">
        <v>1</v>
      </c>
      <c r="F3210">
        <v>290</v>
      </c>
      <c r="J3210">
        <v>1.1850000000000001</v>
      </c>
      <c r="K3210">
        <v>43.3</v>
      </c>
      <c r="L3210">
        <v>36.5</v>
      </c>
      <c r="M3210">
        <v>232</v>
      </c>
      <c r="N3210">
        <v>20</v>
      </c>
      <c r="O3210">
        <v>3</v>
      </c>
      <c r="P3210">
        <v>1</v>
      </c>
    </row>
    <row r="3211" spans="1:16" x14ac:dyDescent="0.25">
      <c r="A3211" s="4">
        <v>44593</v>
      </c>
      <c r="B3211" t="s">
        <v>10</v>
      </c>
      <c r="C3211">
        <v>1</v>
      </c>
      <c r="F3211">
        <v>285</v>
      </c>
      <c r="J3211">
        <v>1.165</v>
      </c>
      <c r="K3211">
        <v>41.9</v>
      </c>
      <c r="L3211">
        <v>36</v>
      </c>
      <c r="M3211">
        <v>215</v>
      </c>
      <c r="N3211">
        <v>28</v>
      </c>
      <c r="O3211">
        <v>4</v>
      </c>
    </row>
    <row r="3212" spans="1:16" x14ac:dyDescent="0.25">
      <c r="A3212" s="4">
        <v>44593</v>
      </c>
      <c r="B3212" t="s">
        <v>9</v>
      </c>
      <c r="C3212">
        <v>1</v>
      </c>
      <c r="F3212">
        <v>300</v>
      </c>
      <c r="J3212">
        <v>1.1870000000000001</v>
      </c>
      <c r="K3212">
        <v>44.8</v>
      </c>
      <c r="L3212">
        <v>37.700000000000003</v>
      </c>
      <c r="M3212">
        <v>221</v>
      </c>
      <c r="N3212">
        <v>32</v>
      </c>
      <c r="O3212">
        <v>3</v>
      </c>
      <c r="P3212">
        <v>1</v>
      </c>
    </row>
    <row r="3213" spans="1:16" x14ac:dyDescent="0.25">
      <c r="A3213" s="4">
        <v>44594</v>
      </c>
      <c r="B3213" t="s">
        <v>10</v>
      </c>
      <c r="C3213">
        <v>1</v>
      </c>
      <c r="F3213">
        <v>203</v>
      </c>
      <c r="J3213">
        <v>1.1299999999999999</v>
      </c>
      <c r="K3213">
        <v>40.6</v>
      </c>
      <c r="L3213">
        <v>35.9</v>
      </c>
      <c r="M3213">
        <v>160</v>
      </c>
      <c r="N3213">
        <v>16</v>
      </c>
      <c r="O3213">
        <v>3</v>
      </c>
    </row>
    <row r="3214" spans="1:16" x14ac:dyDescent="0.25">
      <c r="A3214" s="4">
        <v>44594</v>
      </c>
      <c r="B3214" t="s">
        <v>9</v>
      </c>
      <c r="C3214">
        <v>1</v>
      </c>
      <c r="F3214">
        <v>216</v>
      </c>
      <c r="J3214">
        <v>1.0980000000000001</v>
      </c>
      <c r="K3214">
        <v>41.5</v>
      </c>
      <c r="L3214">
        <v>37.799999999999997</v>
      </c>
      <c r="M3214">
        <v>171</v>
      </c>
      <c r="N3214">
        <v>16</v>
      </c>
      <c r="O3214">
        <v>3</v>
      </c>
    </row>
    <row r="3215" spans="1:16" x14ac:dyDescent="0.25">
      <c r="A3215" s="4">
        <v>44595</v>
      </c>
      <c r="B3215" t="s">
        <v>10</v>
      </c>
      <c r="C3215">
        <v>1</v>
      </c>
      <c r="F3215">
        <v>243</v>
      </c>
      <c r="J3215">
        <v>1.282</v>
      </c>
      <c r="K3215">
        <v>45</v>
      </c>
      <c r="L3215">
        <v>35.1</v>
      </c>
      <c r="M3215">
        <v>208</v>
      </c>
      <c r="N3215">
        <v>13</v>
      </c>
      <c r="O3215">
        <v>3</v>
      </c>
    </row>
    <row r="3216" spans="1:16" x14ac:dyDescent="0.25">
      <c r="A3216" s="4">
        <v>44595</v>
      </c>
      <c r="B3216" t="s">
        <v>9</v>
      </c>
      <c r="C3216">
        <v>1</v>
      </c>
      <c r="F3216">
        <v>236</v>
      </c>
      <c r="J3216">
        <v>1.2490000000000001</v>
      </c>
      <c r="K3216">
        <v>45.4</v>
      </c>
      <c r="L3216">
        <v>36.299999999999997</v>
      </c>
      <c r="M3216">
        <v>205</v>
      </c>
      <c r="N3216">
        <v>14</v>
      </c>
    </row>
    <row r="3217" spans="1:16" x14ac:dyDescent="0.25">
      <c r="A3217" s="4">
        <v>44596</v>
      </c>
      <c r="B3217" t="s">
        <v>10</v>
      </c>
      <c r="C3217">
        <v>1</v>
      </c>
      <c r="F3217">
        <v>128</v>
      </c>
      <c r="J3217">
        <v>1.1579999999999999</v>
      </c>
      <c r="K3217">
        <v>40</v>
      </c>
      <c r="L3217">
        <v>34.5</v>
      </c>
      <c r="M3217">
        <v>106</v>
      </c>
      <c r="N3217">
        <v>8</v>
      </c>
      <c r="O3217">
        <v>2</v>
      </c>
    </row>
    <row r="3218" spans="1:16" x14ac:dyDescent="0.25">
      <c r="A3218" s="4">
        <v>44596</v>
      </c>
      <c r="B3218" t="s">
        <v>9</v>
      </c>
      <c r="C3218">
        <v>1</v>
      </c>
      <c r="F3218">
        <v>311</v>
      </c>
      <c r="J3218">
        <v>1.149</v>
      </c>
      <c r="K3218">
        <v>43.2</v>
      </c>
      <c r="L3218">
        <v>37.6</v>
      </c>
      <c r="M3218">
        <v>222</v>
      </c>
      <c r="N3218">
        <v>36</v>
      </c>
      <c r="O3218">
        <v>5</v>
      </c>
    </row>
    <row r="3219" spans="1:16" x14ac:dyDescent="0.25">
      <c r="A3219" s="4">
        <v>44599</v>
      </c>
      <c r="B3219" t="s">
        <v>10</v>
      </c>
      <c r="C3219">
        <v>1</v>
      </c>
      <c r="F3219">
        <v>268</v>
      </c>
      <c r="J3219">
        <v>1.226</v>
      </c>
      <c r="K3219">
        <v>43.2</v>
      </c>
      <c r="L3219">
        <v>35.200000000000003</v>
      </c>
      <c r="M3219">
        <v>205</v>
      </c>
      <c r="N3219">
        <v>22</v>
      </c>
      <c r="O3219">
        <v>2</v>
      </c>
      <c r="P3219">
        <v>2</v>
      </c>
    </row>
    <row r="3220" spans="1:16" x14ac:dyDescent="0.25">
      <c r="A3220" s="4">
        <v>44599</v>
      </c>
      <c r="B3220" t="s">
        <v>9</v>
      </c>
      <c r="C3220">
        <v>1</v>
      </c>
      <c r="F3220">
        <v>225</v>
      </c>
      <c r="J3220">
        <v>1.1890000000000001</v>
      </c>
      <c r="K3220">
        <v>43.3</v>
      </c>
      <c r="L3220">
        <v>36.4</v>
      </c>
      <c r="M3220">
        <v>180</v>
      </c>
      <c r="N3220">
        <v>18</v>
      </c>
      <c r="O3220">
        <v>3</v>
      </c>
    </row>
    <row r="3221" spans="1:16" x14ac:dyDescent="0.25">
      <c r="A3221" s="4">
        <v>44600</v>
      </c>
      <c r="B3221" t="s">
        <v>10</v>
      </c>
      <c r="C3221">
        <v>1</v>
      </c>
      <c r="F3221">
        <v>288</v>
      </c>
      <c r="J3221">
        <v>1.2050000000000001</v>
      </c>
      <c r="K3221">
        <v>42.4</v>
      </c>
      <c r="L3221">
        <v>35.200000000000003</v>
      </c>
      <c r="M3221">
        <v>217</v>
      </c>
      <c r="N3221">
        <v>23</v>
      </c>
      <c r="O3221">
        <v>7</v>
      </c>
    </row>
    <row r="3222" spans="1:16" x14ac:dyDescent="0.25">
      <c r="A3222" s="4">
        <v>44600</v>
      </c>
      <c r="B3222" t="s">
        <v>9</v>
      </c>
      <c r="C3222">
        <v>1</v>
      </c>
      <c r="F3222">
        <v>248</v>
      </c>
      <c r="J3222">
        <v>1.1579999999999999</v>
      </c>
      <c r="K3222">
        <v>42.8</v>
      </c>
      <c r="L3222">
        <v>36.9</v>
      </c>
      <c r="M3222">
        <v>187</v>
      </c>
      <c r="N3222">
        <v>18</v>
      </c>
      <c r="O3222">
        <v>4</v>
      </c>
      <c r="P3222">
        <v>1</v>
      </c>
    </row>
    <row r="3223" spans="1:16" x14ac:dyDescent="0.25">
      <c r="A3223" s="4">
        <v>44601</v>
      </c>
      <c r="B3223" t="s">
        <v>10</v>
      </c>
      <c r="C3223">
        <v>1</v>
      </c>
      <c r="F3223">
        <v>299</v>
      </c>
      <c r="J3223">
        <v>1.1950000000000001</v>
      </c>
      <c r="K3223">
        <v>40.4</v>
      </c>
      <c r="L3223">
        <v>33.799999999999997</v>
      </c>
      <c r="M3223">
        <v>244</v>
      </c>
      <c r="N3223">
        <v>23</v>
      </c>
      <c r="O3223">
        <v>3</v>
      </c>
    </row>
    <row r="3224" spans="1:16" x14ac:dyDescent="0.25">
      <c r="A3224" s="4">
        <v>44601</v>
      </c>
      <c r="B3224" t="s">
        <v>9</v>
      </c>
      <c r="C3224">
        <v>1</v>
      </c>
      <c r="F3224">
        <v>294</v>
      </c>
      <c r="J3224">
        <v>1.115</v>
      </c>
      <c r="K3224">
        <v>40.799999999999997</v>
      </c>
      <c r="L3224">
        <v>36.6</v>
      </c>
      <c r="M3224">
        <v>235</v>
      </c>
      <c r="N3224">
        <v>22</v>
      </c>
      <c r="O3224">
        <v>3</v>
      </c>
    </row>
    <row r="3225" spans="1:16" x14ac:dyDescent="0.25">
      <c r="A3225" s="4">
        <v>44602</v>
      </c>
      <c r="B3225" t="s">
        <v>10</v>
      </c>
      <c r="C3225">
        <v>1</v>
      </c>
      <c r="F3225">
        <v>279</v>
      </c>
      <c r="J3225">
        <v>1.111</v>
      </c>
      <c r="K3225">
        <v>40.4</v>
      </c>
      <c r="L3225">
        <v>36.4</v>
      </c>
      <c r="M3225">
        <v>209</v>
      </c>
      <c r="N3225">
        <v>23</v>
      </c>
      <c r="O3225">
        <v>7</v>
      </c>
    </row>
    <row r="3226" spans="1:16" x14ac:dyDescent="0.25">
      <c r="A3226" s="4">
        <v>44602</v>
      </c>
      <c r="B3226" t="s">
        <v>9</v>
      </c>
      <c r="C3226">
        <v>1</v>
      </c>
      <c r="F3226">
        <v>250</v>
      </c>
      <c r="J3226">
        <v>1.0580000000000001</v>
      </c>
      <c r="K3226">
        <v>41.7</v>
      </c>
      <c r="L3226">
        <v>39.4</v>
      </c>
      <c r="M3226">
        <v>180</v>
      </c>
      <c r="N3226">
        <v>22</v>
      </c>
      <c r="O3226">
        <v>7</v>
      </c>
    </row>
    <row r="3227" spans="1:16" x14ac:dyDescent="0.25">
      <c r="A3227" s="4">
        <v>44603</v>
      </c>
      <c r="B3227" t="s">
        <v>10</v>
      </c>
      <c r="C3227">
        <v>1</v>
      </c>
      <c r="F3227">
        <v>305</v>
      </c>
      <c r="J3227">
        <v>1.2090000000000001</v>
      </c>
      <c r="K3227">
        <v>42.4</v>
      </c>
      <c r="L3227">
        <v>35</v>
      </c>
      <c r="M3227">
        <v>239</v>
      </c>
      <c r="N3227">
        <v>24</v>
      </c>
      <c r="O3227">
        <v>6</v>
      </c>
    </row>
    <row r="3228" spans="1:16" x14ac:dyDescent="0.25">
      <c r="A3228" s="4">
        <v>44603</v>
      </c>
      <c r="B3228" t="s">
        <v>9</v>
      </c>
      <c r="C3228">
        <v>1</v>
      </c>
      <c r="F3228">
        <v>236</v>
      </c>
      <c r="J3228">
        <v>1.131</v>
      </c>
      <c r="K3228">
        <v>40.700000000000003</v>
      </c>
      <c r="L3228">
        <v>36</v>
      </c>
      <c r="M3228">
        <v>202</v>
      </c>
      <c r="N3228">
        <v>16</v>
      </c>
    </row>
    <row r="3229" spans="1:16" x14ac:dyDescent="0.25">
      <c r="A3229" s="4">
        <v>44606</v>
      </c>
      <c r="B3229" t="s">
        <v>10</v>
      </c>
      <c r="C3229">
        <v>1</v>
      </c>
      <c r="F3229">
        <v>292</v>
      </c>
      <c r="J3229">
        <v>1.0960000000000001</v>
      </c>
      <c r="K3229">
        <v>41.7</v>
      </c>
      <c r="L3229">
        <v>38.1</v>
      </c>
      <c r="M3229">
        <v>186</v>
      </c>
      <c r="N3229">
        <v>25</v>
      </c>
      <c r="O3229">
        <v>15</v>
      </c>
      <c r="P3229">
        <v>1</v>
      </c>
    </row>
    <row r="3230" spans="1:16" x14ac:dyDescent="0.25">
      <c r="A3230" s="4">
        <v>44606</v>
      </c>
      <c r="B3230" t="s">
        <v>9</v>
      </c>
      <c r="C3230">
        <v>1</v>
      </c>
      <c r="F3230">
        <v>300</v>
      </c>
      <c r="J3230">
        <v>1.151</v>
      </c>
      <c r="K3230">
        <v>42.9</v>
      </c>
      <c r="L3230">
        <v>37.200000000000003</v>
      </c>
      <c r="M3230">
        <v>239</v>
      </c>
      <c r="N3230">
        <v>14</v>
      </c>
      <c r="O3230">
        <v>7</v>
      </c>
      <c r="P3230">
        <v>1</v>
      </c>
    </row>
    <row r="3231" spans="1:16" x14ac:dyDescent="0.25">
      <c r="A3231" s="4">
        <v>44607</v>
      </c>
      <c r="B3231" t="s">
        <v>10</v>
      </c>
      <c r="C3231">
        <v>1</v>
      </c>
      <c r="F3231">
        <v>304</v>
      </c>
      <c r="J3231">
        <v>1.137</v>
      </c>
      <c r="K3231">
        <v>40.5</v>
      </c>
      <c r="L3231">
        <v>35.700000000000003</v>
      </c>
      <c r="M3231">
        <v>222</v>
      </c>
      <c r="N3231">
        <v>31</v>
      </c>
      <c r="O3231">
        <v>6</v>
      </c>
    </row>
    <row r="3232" spans="1:16" x14ac:dyDescent="0.25">
      <c r="A3232" s="4">
        <v>44607</v>
      </c>
      <c r="B3232" t="s">
        <v>9</v>
      </c>
      <c r="C3232">
        <v>1</v>
      </c>
      <c r="F3232">
        <v>298</v>
      </c>
      <c r="J3232">
        <v>1.139</v>
      </c>
      <c r="K3232">
        <v>41.4</v>
      </c>
      <c r="L3232">
        <v>36.4</v>
      </c>
      <c r="M3232">
        <v>251</v>
      </c>
      <c r="N3232">
        <v>12</v>
      </c>
      <c r="O3232">
        <v>7</v>
      </c>
    </row>
    <row r="3233" spans="1:16" x14ac:dyDescent="0.25">
      <c r="A3233" s="4">
        <v>44608</v>
      </c>
      <c r="B3233" t="s">
        <v>10</v>
      </c>
      <c r="C3233">
        <v>1</v>
      </c>
      <c r="F3233">
        <v>278</v>
      </c>
      <c r="J3233">
        <v>1.141</v>
      </c>
      <c r="K3233">
        <v>40.299999999999997</v>
      </c>
      <c r="L3233">
        <v>35.299999999999997</v>
      </c>
      <c r="M3233">
        <v>206</v>
      </c>
      <c r="N3233">
        <v>24</v>
      </c>
      <c r="O3233">
        <v>6</v>
      </c>
      <c r="P3233">
        <v>1</v>
      </c>
    </row>
    <row r="3234" spans="1:16" x14ac:dyDescent="0.25">
      <c r="A3234" s="4">
        <v>44608</v>
      </c>
      <c r="B3234" t="s">
        <v>9</v>
      </c>
      <c r="C3234">
        <v>1</v>
      </c>
      <c r="F3234">
        <v>247</v>
      </c>
      <c r="J3234">
        <v>1.137</v>
      </c>
      <c r="K3234">
        <v>40.5</v>
      </c>
      <c r="L3234">
        <v>35.6</v>
      </c>
      <c r="M3234">
        <v>202</v>
      </c>
      <c r="N3234">
        <v>17</v>
      </c>
      <c r="O3234">
        <v>3</v>
      </c>
    </row>
    <row r="3235" spans="1:16" x14ac:dyDescent="0.25">
      <c r="A3235" s="4">
        <v>44609</v>
      </c>
      <c r="B3235" t="s">
        <v>10</v>
      </c>
      <c r="C3235">
        <v>1</v>
      </c>
      <c r="F3235">
        <v>322</v>
      </c>
      <c r="J3235">
        <v>1.296</v>
      </c>
      <c r="K3235">
        <v>46</v>
      </c>
      <c r="L3235">
        <v>35.5</v>
      </c>
      <c r="M3235">
        <v>257</v>
      </c>
      <c r="N3235">
        <v>19</v>
      </c>
      <c r="O3235">
        <v>8</v>
      </c>
    </row>
    <row r="3236" spans="1:16" x14ac:dyDescent="0.25">
      <c r="A3236" s="4">
        <v>44609</v>
      </c>
      <c r="B3236" t="s">
        <v>9</v>
      </c>
      <c r="C3236">
        <v>1</v>
      </c>
      <c r="F3236">
        <v>224</v>
      </c>
      <c r="J3236">
        <v>1.095</v>
      </c>
      <c r="K3236">
        <v>40.700000000000003</v>
      </c>
      <c r="L3236">
        <v>37.200000000000003</v>
      </c>
      <c r="M3236">
        <v>174</v>
      </c>
      <c r="N3236">
        <v>17</v>
      </c>
      <c r="O3236">
        <v>3</v>
      </c>
      <c r="P3236">
        <v>1</v>
      </c>
    </row>
    <row r="3237" spans="1:16" x14ac:dyDescent="0.25">
      <c r="A3237" s="4">
        <v>44610</v>
      </c>
      <c r="B3237" t="s">
        <v>10</v>
      </c>
      <c r="C3237">
        <v>1</v>
      </c>
      <c r="F3237">
        <v>369</v>
      </c>
      <c r="J3237">
        <v>1.105</v>
      </c>
      <c r="K3237">
        <v>42.4</v>
      </c>
      <c r="L3237">
        <v>38.4</v>
      </c>
      <c r="M3237">
        <v>238</v>
      </c>
      <c r="N3237">
        <v>52</v>
      </c>
      <c r="O3237">
        <v>6</v>
      </c>
    </row>
    <row r="3238" spans="1:16" x14ac:dyDescent="0.25">
      <c r="A3238" s="4">
        <v>44610</v>
      </c>
      <c r="B3238" t="s">
        <v>9</v>
      </c>
      <c r="C3238">
        <v>1</v>
      </c>
      <c r="F3238">
        <v>242</v>
      </c>
      <c r="J3238">
        <v>1.083</v>
      </c>
      <c r="K3238">
        <v>40.299999999999997</v>
      </c>
      <c r="L3238">
        <v>37.200000000000003</v>
      </c>
      <c r="M3238">
        <v>187</v>
      </c>
      <c r="N3238">
        <v>21</v>
      </c>
      <c r="O3238">
        <v>4</v>
      </c>
    </row>
    <row r="3239" spans="1:16" x14ac:dyDescent="0.25">
      <c r="A3239" s="4">
        <v>44611</v>
      </c>
      <c r="B3239" t="s">
        <v>10</v>
      </c>
      <c r="C3239">
        <v>1</v>
      </c>
      <c r="F3239">
        <v>215</v>
      </c>
      <c r="J3239">
        <v>1.1539999999999999</v>
      </c>
      <c r="K3239">
        <v>43</v>
      </c>
      <c r="L3239">
        <v>37.299999999999997</v>
      </c>
      <c r="M3239">
        <v>203</v>
      </c>
      <c r="N3239">
        <v>6</v>
      </c>
    </row>
    <row r="3240" spans="1:16" x14ac:dyDescent="0.25">
      <c r="A3240" s="4">
        <v>44611</v>
      </c>
      <c r="B3240" t="s">
        <v>9</v>
      </c>
      <c r="C3240">
        <v>1</v>
      </c>
      <c r="F3240">
        <v>212</v>
      </c>
      <c r="J3240">
        <v>1.03</v>
      </c>
      <c r="K3240">
        <v>42.4</v>
      </c>
      <c r="L3240">
        <v>41.2</v>
      </c>
      <c r="M3240">
        <v>147</v>
      </c>
      <c r="N3240">
        <v>28</v>
      </c>
      <c r="O3240">
        <v>3</v>
      </c>
    </row>
    <row r="3241" spans="1:16" x14ac:dyDescent="0.25">
      <c r="A3241" s="4">
        <v>44613</v>
      </c>
      <c r="B3241" t="s">
        <v>10</v>
      </c>
      <c r="C3241">
        <v>1</v>
      </c>
      <c r="F3241">
        <v>361</v>
      </c>
      <c r="J3241">
        <v>1.1579999999999999</v>
      </c>
      <c r="K3241">
        <v>43.5</v>
      </c>
      <c r="L3241">
        <v>37.6</v>
      </c>
      <c r="M3241">
        <v>215</v>
      </c>
      <c r="N3241">
        <v>53</v>
      </c>
      <c r="O3241">
        <v>11</v>
      </c>
    </row>
    <row r="3242" spans="1:16" x14ac:dyDescent="0.25">
      <c r="A3242" s="4">
        <v>44613</v>
      </c>
      <c r="B3242" t="s">
        <v>9</v>
      </c>
      <c r="C3242">
        <v>1</v>
      </c>
      <c r="F3242">
        <v>226</v>
      </c>
      <c r="J3242">
        <v>1.0569999999999999</v>
      </c>
      <c r="K3242">
        <v>40.4</v>
      </c>
      <c r="L3242">
        <v>38.200000000000003</v>
      </c>
      <c r="M3242">
        <v>157</v>
      </c>
      <c r="N3242">
        <v>20</v>
      </c>
      <c r="O3242">
        <v>6</v>
      </c>
      <c r="P3242">
        <v>1</v>
      </c>
    </row>
    <row r="3243" spans="1:16" x14ac:dyDescent="0.25">
      <c r="A3243" s="4">
        <v>44614</v>
      </c>
      <c r="B3243" t="s">
        <v>10</v>
      </c>
      <c r="C3243">
        <v>1</v>
      </c>
      <c r="F3243">
        <v>284</v>
      </c>
      <c r="J3243">
        <v>1.125</v>
      </c>
      <c r="K3243">
        <v>40.6</v>
      </c>
      <c r="L3243">
        <v>36.1</v>
      </c>
      <c r="M3243">
        <v>200</v>
      </c>
      <c r="N3243">
        <v>28</v>
      </c>
      <c r="O3243">
        <v>6</v>
      </c>
      <c r="P3243">
        <v>1</v>
      </c>
    </row>
    <row r="3244" spans="1:16" x14ac:dyDescent="0.25">
      <c r="A3244" s="4">
        <v>44614</v>
      </c>
      <c r="B3244" t="s">
        <v>9</v>
      </c>
      <c r="C3244">
        <v>1</v>
      </c>
      <c r="F3244">
        <v>220</v>
      </c>
      <c r="J3244">
        <v>1.0900000000000001</v>
      </c>
      <c r="K3244">
        <v>40</v>
      </c>
      <c r="L3244">
        <v>36.700000000000003</v>
      </c>
      <c r="M3244">
        <v>167</v>
      </c>
      <c r="N3244">
        <v>21</v>
      </c>
      <c r="O3244">
        <v>3</v>
      </c>
    </row>
    <row r="3245" spans="1:16" x14ac:dyDescent="0.25">
      <c r="A3245" s="4">
        <v>44615</v>
      </c>
      <c r="B3245" t="s">
        <v>10</v>
      </c>
      <c r="C3245">
        <v>1</v>
      </c>
      <c r="F3245">
        <v>338</v>
      </c>
      <c r="J3245">
        <v>1.161</v>
      </c>
      <c r="K3245">
        <v>42.3</v>
      </c>
      <c r="L3245">
        <v>36.4</v>
      </c>
      <c r="M3245">
        <v>233</v>
      </c>
      <c r="N3245">
        <v>36</v>
      </c>
      <c r="O3245">
        <v>10</v>
      </c>
    </row>
    <row r="3246" spans="1:16" x14ac:dyDescent="0.25">
      <c r="A3246" s="4">
        <v>44615</v>
      </c>
      <c r="B3246" t="s">
        <v>9</v>
      </c>
      <c r="C3246">
        <v>1</v>
      </c>
      <c r="F3246">
        <v>249</v>
      </c>
      <c r="J3246">
        <v>1.111</v>
      </c>
      <c r="K3246">
        <v>40.200000000000003</v>
      </c>
      <c r="L3246">
        <v>36.1</v>
      </c>
      <c r="M3246">
        <v>202</v>
      </c>
      <c r="N3246">
        <v>19</v>
      </c>
      <c r="O3246">
        <v>2</v>
      </c>
    </row>
    <row r="3247" spans="1:16" x14ac:dyDescent="0.25">
      <c r="A3247" s="4">
        <v>44616</v>
      </c>
      <c r="B3247" t="s">
        <v>10</v>
      </c>
      <c r="C3247">
        <v>1</v>
      </c>
      <c r="F3247">
        <v>318</v>
      </c>
      <c r="J3247">
        <v>1.107</v>
      </c>
      <c r="K3247">
        <v>40.299999999999997</v>
      </c>
      <c r="L3247">
        <v>36.4</v>
      </c>
      <c r="M3247">
        <v>222</v>
      </c>
      <c r="N3247">
        <v>26</v>
      </c>
      <c r="O3247">
        <v>11</v>
      </c>
      <c r="P3247">
        <v>1</v>
      </c>
    </row>
    <row r="3248" spans="1:16" x14ac:dyDescent="0.25">
      <c r="A3248" s="4">
        <v>44616</v>
      </c>
      <c r="B3248" t="s">
        <v>9</v>
      </c>
      <c r="C3248">
        <v>1</v>
      </c>
      <c r="F3248">
        <v>273</v>
      </c>
      <c r="J3248">
        <v>1.0489999999999999</v>
      </c>
      <c r="K3248">
        <v>40.200000000000003</v>
      </c>
      <c r="L3248">
        <v>38.299999999999997</v>
      </c>
      <c r="M3248">
        <v>195</v>
      </c>
      <c r="N3248">
        <v>15</v>
      </c>
      <c r="O3248">
        <v>10</v>
      </c>
      <c r="P3248">
        <v>2</v>
      </c>
    </row>
    <row r="3249" spans="1:16" x14ac:dyDescent="0.25">
      <c r="A3249" s="4">
        <v>44617</v>
      </c>
      <c r="B3249" t="s">
        <v>10</v>
      </c>
      <c r="C3249">
        <v>1</v>
      </c>
      <c r="F3249">
        <v>324</v>
      </c>
      <c r="J3249">
        <v>1.151</v>
      </c>
      <c r="K3249">
        <v>40.5</v>
      </c>
      <c r="L3249">
        <v>35.200000000000003</v>
      </c>
      <c r="M3249">
        <v>247</v>
      </c>
      <c r="N3249">
        <v>30</v>
      </c>
      <c r="O3249">
        <v>5</v>
      </c>
    </row>
    <row r="3250" spans="1:16" x14ac:dyDescent="0.25">
      <c r="A3250" s="4">
        <v>44617</v>
      </c>
      <c r="B3250" t="s">
        <v>9</v>
      </c>
      <c r="C3250">
        <v>1</v>
      </c>
      <c r="F3250">
        <v>271</v>
      </c>
      <c r="J3250">
        <v>1.081</v>
      </c>
      <c r="K3250">
        <v>40.5</v>
      </c>
      <c r="L3250">
        <v>37.4</v>
      </c>
      <c r="M3250">
        <v>210</v>
      </c>
      <c r="N3250">
        <v>21</v>
      </c>
      <c r="O3250">
        <v>3</v>
      </c>
      <c r="P3250">
        <v>1</v>
      </c>
    </row>
    <row r="3251" spans="1:16" x14ac:dyDescent="0.25">
      <c r="A3251" s="4">
        <v>44618</v>
      </c>
      <c r="B3251" t="s">
        <v>10</v>
      </c>
      <c r="C3251">
        <v>1</v>
      </c>
      <c r="F3251">
        <v>165</v>
      </c>
      <c r="J3251">
        <v>1.0529999999999999</v>
      </c>
      <c r="K3251">
        <v>41.3</v>
      </c>
      <c r="L3251">
        <v>39.200000000000003</v>
      </c>
      <c r="M3251">
        <v>131</v>
      </c>
      <c r="N3251">
        <v>17</v>
      </c>
    </row>
    <row r="3252" spans="1:16" x14ac:dyDescent="0.25">
      <c r="A3252" s="4">
        <v>44618</v>
      </c>
      <c r="B3252" t="s">
        <v>9</v>
      </c>
      <c r="C3252">
        <v>1</v>
      </c>
      <c r="F3252">
        <v>162</v>
      </c>
      <c r="J3252">
        <v>1.0289999999999999</v>
      </c>
      <c r="K3252">
        <v>40.5</v>
      </c>
      <c r="L3252">
        <v>39.4</v>
      </c>
      <c r="M3252">
        <v>135</v>
      </c>
      <c r="N3252">
        <v>12</v>
      </c>
      <c r="O3252">
        <v>1</v>
      </c>
    </row>
    <row r="3253" spans="1:16" x14ac:dyDescent="0.25">
      <c r="A3253" s="4">
        <v>44620</v>
      </c>
      <c r="B3253" t="s">
        <v>10</v>
      </c>
      <c r="C3253">
        <v>1</v>
      </c>
      <c r="F3253">
        <v>229</v>
      </c>
      <c r="J3253">
        <v>1.1180000000000001</v>
      </c>
      <c r="K3253">
        <v>40.200000000000003</v>
      </c>
      <c r="L3253">
        <v>35.9</v>
      </c>
      <c r="M3253">
        <v>181</v>
      </c>
      <c r="N3253">
        <v>18</v>
      </c>
      <c r="O3253">
        <v>2</v>
      </c>
      <c r="P3253">
        <v>1</v>
      </c>
    </row>
    <row r="3254" spans="1:16" x14ac:dyDescent="0.25">
      <c r="A3254" s="4">
        <v>44620</v>
      </c>
      <c r="B3254" t="s">
        <v>9</v>
      </c>
      <c r="C3254">
        <v>1</v>
      </c>
      <c r="F3254">
        <v>199</v>
      </c>
      <c r="J3254">
        <v>1.0940000000000001</v>
      </c>
      <c r="K3254">
        <v>39.799999999999997</v>
      </c>
      <c r="L3254">
        <v>36.4</v>
      </c>
      <c r="M3254">
        <v>158</v>
      </c>
      <c r="N3254">
        <v>16</v>
      </c>
      <c r="O3254">
        <v>3</v>
      </c>
    </row>
    <row r="3255" spans="1:16" x14ac:dyDescent="0.25">
      <c r="A3255" s="4">
        <v>44621</v>
      </c>
      <c r="B3255" t="s">
        <v>10</v>
      </c>
      <c r="C3255">
        <v>1</v>
      </c>
      <c r="F3255">
        <v>332</v>
      </c>
      <c r="J3255">
        <v>1.171</v>
      </c>
      <c r="K3255">
        <v>41.5</v>
      </c>
      <c r="L3255">
        <v>35.4</v>
      </c>
      <c r="M3255">
        <v>266</v>
      </c>
      <c r="N3255">
        <v>21</v>
      </c>
      <c r="O3255">
        <v>6</v>
      </c>
      <c r="P3255">
        <v>1</v>
      </c>
    </row>
    <row r="3256" spans="1:16" x14ac:dyDescent="0.25">
      <c r="A3256" s="4">
        <v>44621</v>
      </c>
      <c r="B3256" t="s">
        <v>9</v>
      </c>
      <c r="C3256">
        <v>1</v>
      </c>
      <c r="F3256">
        <v>305</v>
      </c>
      <c r="J3256">
        <v>1.099</v>
      </c>
      <c r="K3256">
        <v>40.1</v>
      </c>
      <c r="L3256">
        <v>36.5</v>
      </c>
      <c r="M3256">
        <v>242</v>
      </c>
      <c r="N3256">
        <v>20</v>
      </c>
      <c r="O3256">
        <v>4</v>
      </c>
      <c r="P3256">
        <v>1</v>
      </c>
    </row>
    <row r="3257" spans="1:16" x14ac:dyDescent="0.25">
      <c r="A3257" s="4">
        <v>44622</v>
      </c>
      <c r="B3257" t="s">
        <v>10</v>
      </c>
      <c r="C3257">
        <v>1</v>
      </c>
      <c r="F3257">
        <v>241</v>
      </c>
      <c r="J3257">
        <v>1.23</v>
      </c>
      <c r="K3257">
        <v>40.9</v>
      </c>
      <c r="L3257">
        <v>33.200000000000003</v>
      </c>
      <c r="M3257">
        <v>209</v>
      </c>
      <c r="N3257">
        <v>10</v>
      </c>
      <c r="O3257">
        <v>4</v>
      </c>
    </row>
    <row r="3258" spans="1:16" x14ac:dyDescent="0.25">
      <c r="A3258" s="4">
        <v>44622</v>
      </c>
      <c r="B3258" t="s">
        <v>9</v>
      </c>
      <c r="C3258">
        <v>1</v>
      </c>
      <c r="F3258">
        <v>222</v>
      </c>
      <c r="J3258">
        <v>1.119</v>
      </c>
      <c r="K3258">
        <v>40.4</v>
      </c>
      <c r="L3258">
        <v>36.1</v>
      </c>
      <c r="M3258">
        <v>185</v>
      </c>
      <c r="N3258">
        <v>17</v>
      </c>
      <c r="O3258">
        <v>1</v>
      </c>
    </row>
    <row r="3259" spans="1:16" x14ac:dyDescent="0.25">
      <c r="A3259" s="4">
        <v>44623</v>
      </c>
      <c r="B3259" t="s">
        <v>10</v>
      </c>
      <c r="C3259">
        <v>1</v>
      </c>
      <c r="F3259">
        <v>323</v>
      </c>
      <c r="J3259">
        <v>1.139</v>
      </c>
      <c r="K3259">
        <v>41.4</v>
      </c>
      <c r="L3259">
        <v>36.4</v>
      </c>
      <c r="M3259">
        <v>220</v>
      </c>
      <c r="N3259">
        <v>35</v>
      </c>
      <c r="O3259">
        <v>8</v>
      </c>
      <c r="P3259">
        <v>1</v>
      </c>
    </row>
    <row r="3260" spans="1:16" x14ac:dyDescent="0.25">
      <c r="A3260" s="4">
        <v>44623</v>
      </c>
      <c r="B3260" t="s">
        <v>9</v>
      </c>
      <c r="C3260">
        <v>1</v>
      </c>
      <c r="F3260">
        <v>293</v>
      </c>
      <c r="J3260">
        <v>1.0980000000000001</v>
      </c>
      <c r="K3260">
        <v>40.700000000000003</v>
      </c>
      <c r="L3260">
        <v>37.1</v>
      </c>
      <c r="M3260">
        <v>226</v>
      </c>
      <c r="N3260">
        <v>22</v>
      </c>
      <c r="O3260">
        <v>5</v>
      </c>
      <c r="P3260">
        <v>1</v>
      </c>
    </row>
    <row r="3261" spans="1:16" x14ac:dyDescent="0.25">
      <c r="A3261" s="4">
        <v>44624</v>
      </c>
      <c r="B3261" t="s">
        <v>10</v>
      </c>
      <c r="C3261">
        <v>1</v>
      </c>
      <c r="F3261">
        <v>257</v>
      </c>
      <c r="J3261">
        <v>1.1890000000000001</v>
      </c>
      <c r="K3261">
        <v>42.1</v>
      </c>
      <c r="L3261">
        <v>35.4</v>
      </c>
      <c r="M3261">
        <v>195</v>
      </c>
      <c r="N3261">
        <v>18</v>
      </c>
      <c r="O3261">
        <v>8</v>
      </c>
    </row>
    <row r="3262" spans="1:16" x14ac:dyDescent="0.25">
      <c r="A3262" s="4">
        <v>44624</v>
      </c>
      <c r="B3262" t="s">
        <v>9</v>
      </c>
      <c r="C3262">
        <v>1</v>
      </c>
      <c r="F3262">
        <v>233</v>
      </c>
      <c r="J3262">
        <v>1.091</v>
      </c>
      <c r="K3262">
        <v>40.200000000000003</v>
      </c>
      <c r="L3262">
        <v>36.799999999999997</v>
      </c>
      <c r="M3262">
        <v>182</v>
      </c>
      <c r="N3262">
        <v>14</v>
      </c>
      <c r="O3262">
        <v>5</v>
      </c>
      <c r="P3262">
        <v>1</v>
      </c>
    </row>
    <row r="3263" spans="1:16" x14ac:dyDescent="0.25">
      <c r="A3263" s="4">
        <v>44627</v>
      </c>
      <c r="B3263" t="s">
        <v>10</v>
      </c>
      <c r="C3263">
        <v>1</v>
      </c>
      <c r="F3263">
        <v>258</v>
      </c>
      <c r="J3263">
        <v>1.127</v>
      </c>
      <c r="K3263">
        <v>40.299999999999997</v>
      </c>
      <c r="L3263">
        <v>35.799999999999997</v>
      </c>
      <c r="M3263">
        <v>188</v>
      </c>
      <c r="N3263">
        <v>21</v>
      </c>
      <c r="O3263">
        <v>8</v>
      </c>
    </row>
    <row r="3264" spans="1:16" x14ac:dyDescent="0.25">
      <c r="A3264" s="4">
        <v>44627</v>
      </c>
      <c r="B3264" t="s">
        <v>9</v>
      </c>
      <c r="C3264">
        <v>1</v>
      </c>
      <c r="F3264">
        <v>262</v>
      </c>
      <c r="J3264">
        <v>1.137</v>
      </c>
      <c r="K3264">
        <v>40.299999999999997</v>
      </c>
      <c r="L3264">
        <v>35.4</v>
      </c>
      <c r="M3264">
        <v>227</v>
      </c>
      <c r="N3264">
        <v>16</v>
      </c>
    </row>
    <row r="3265" spans="1:16" x14ac:dyDescent="0.25">
      <c r="A3265" s="4">
        <v>44628</v>
      </c>
      <c r="B3265" t="s">
        <v>10</v>
      </c>
      <c r="C3265">
        <v>1</v>
      </c>
      <c r="F3265">
        <v>372</v>
      </c>
      <c r="J3265">
        <v>1.143</v>
      </c>
      <c r="K3265">
        <v>43.8</v>
      </c>
      <c r="L3265">
        <v>38.299999999999997</v>
      </c>
      <c r="M3265">
        <v>220</v>
      </c>
      <c r="N3265">
        <v>40</v>
      </c>
      <c r="O3265">
        <v>15</v>
      </c>
      <c r="P3265">
        <v>3</v>
      </c>
    </row>
    <row r="3266" spans="1:16" x14ac:dyDescent="0.25">
      <c r="A3266" s="4">
        <v>44628</v>
      </c>
      <c r="B3266" t="s">
        <v>9</v>
      </c>
      <c r="C3266">
        <v>1</v>
      </c>
      <c r="F3266">
        <v>293</v>
      </c>
      <c r="J3266">
        <v>1.024</v>
      </c>
      <c r="K3266">
        <v>40.1</v>
      </c>
      <c r="L3266">
        <v>39.200000000000003</v>
      </c>
      <c r="M3266">
        <v>200</v>
      </c>
      <c r="N3266">
        <v>20</v>
      </c>
      <c r="O3266">
        <v>11</v>
      </c>
      <c r="P3266">
        <v>1</v>
      </c>
    </row>
    <row r="3267" spans="1:16" x14ac:dyDescent="0.25">
      <c r="A3267" s="4">
        <v>44629</v>
      </c>
      <c r="B3267" t="s">
        <v>10</v>
      </c>
      <c r="C3267">
        <v>1</v>
      </c>
      <c r="F3267">
        <v>299</v>
      </c>
      <c r="J3267">
        <v>1.0940000000000001</v>
      </c>
      <c r="K3267">
        <v>40.4</v>
      </c>
      <c r="L3267">
        <v>36.9</v>
      </c>
      <c r="M3267">
        <v>178</v>
      </c>
      <c r="N3267">
        <v>30</v>
      </c>
      <c r="O3267">
        <v>18</v>
      </c>
    </row>
    <row r="3268" spans="1:16" x14ac:dyDescent="0.25">
      <c r="A3268" s="4">
        <v>44629</v>
      </c>
      <c r="B3268" t="s">
        <v>9</v>
      </c>
      <c r="C3268">
        <v>1</v>
      </c>
      <c r="F3268">
        <v>305</v>
      </c>
      <c r="J3268">
        <v>1.006</v>
      </c>
      <c r="K3268">
        <v>40.1</v>
      </c>
      <c r="L3268">
        <v>39.9</v>
      </c>
      <c r="M3268">
        <v>196</v>
      </c>
      <c r="N3268">
        <v>32</v>
      </c>
      <c r="O3268">
        <v>5</v>
      </c>
      <c r="P3268">
        <v>3</v>
      </c>
    </row>
    <row r="3269" spans="1:16" x14ac:dyDescent="0.25">
      <c r="A3269" s="4">
        <v>44630</v>
      </c>
      <c r="B3269" t="s">
        <v>10</v>
      </c>
      <c r="C3269">
        <v>1</v>
      </c>
      <c r="F3269">
        <v>313</v>
      </c>
      <c r="J3269">
        <v>1.137</v>
      </c>
      <c r="K3269">
        <v>40.1</v>
      </c>
      <c r="L3269">
        <v>35.299999999999997</v>
      </c>
      <c r="M3269">
        <v>217</v>
      </c>
      <c r="N3269">
        <v>37</v>
      </c>
      <c r="O3269">
        <v>6</v>
      </c>
    </row>
    <row r="3270" spans="1:16" x14ac:dyDescent="0.25">
      <c r="A3270" s="4">
        <v>44630</v>
      </c>
      <c r="B3270" t="s">
        <v>9</v>
      </c>
      <c r="C3270">
        <v>1</v>
      </c>
      <c r="F3270">
        <v>313</v>
      </c>
      <c r="J3270">
        <v>1.0860000000000001</v>
      </c>
      <c r="K3270">
        <v>40.1</v>
      </c>
      <c r="L3270">
        <v>37</v>
      </c>
      <c r="M3270">
        <v>245</v>
      </c>
      <c r="N3270">
        <v>27</v>
      </c>
      <c r="O3270">
        <v>3</v>
      </c>
    </row>
    <row r="3271" spans="1:16" x14ac:dyDescent="0.25">
      <c r="A3271" s="4">
        <v>44631</v>
      </c>
      <c r="B3271" t="s">
        <v>10</v>
      </c>
      <c r="C3271">
        <v>1</v>
      </c>
      <c r="F3271">
        <v>270</v>
      </c>
      <c r="J3271">
        <v>1.149</v>
      </c>
      <c r="K3271">
        <v>40.299999999999997</v>
      </c>
      <c r="L3271">
        <v>35.1</v>
      </c>
      <c r="M3271">
        <v>199</v>
      </c>
      <c r="N3271">
        <v>23</v>
      </c>
      <c r="O3271">
        <v>8</v>
      </c>
    </row>
    <row r="3272" spans="1:16" x14ac:dyDescent="0.25">
      <c r="A3272" s="4">
        <v>44631</v>
      </c>
      <c r="B3272" t="s">
        <v>9</v>
      </c>
      <c r="C3272">
        <v>1</v>
      </c>
      <c r="F3272">
        <v>208</v>
      </c>
      <c r="J3272">
        <v>1.133</v>
      </c>
      <c r="K3272">
        <v>40</v>
      </c>
      <c r="L3272">
        <v>35.299999999999997</v>
      </c>
      <c r="M3272">
        <v>171</v>
      </c>
      <c r="N3272">
        <v>14</v>
      </c>
      <c r="O3272">
        <v>1</v>
      </c>
    </row>
    <row r="3273" spans="1:16" x14ac:dyDescent="0.25">
      <c r="A3273" s="4">
        <v>44634</v>
      </c>
      <c r="B3273" t="s">
        <v>10</v>
      </c>
      <c r="C3273">
        <v>1</v>
      </c>
      <c r="F3273">
        <v>233</v>
      </c>
      <c r="J3273">
        <v>1.1439999999999999</v>
      </c>
      <c r="K3273">
        <v>39.5</v>
      </c>
      <c r="L3273">
        <v>34.5</v>
      </c>
      <c r="M3273">
        <v>187</v>
      </c>
      <c r="N3273">
        <v>16</v>
      </c>
      <c r="O3273">
        <v>4</v>
      </c>
    </row>
    <row r="3274" spans="1:16" x14ac:dyDescent="0.25">
      <c r="A3274" s="4">
        <v>44634</v>
      </c>
      <c r="B3274" t="s">
        <v>9</v>
      </c>
      <c r="C3274">
        <v>1</v>
      </c>
      <c r="F3274">
        <v>218</v>
      </c>
      <c r="J3274">
        <v>1.0109999999999999</v>
      </c>
      <c r="K3274">
        <v>38.299999999999997</v>
      </c>
      <c r="L3274">
        <v>37.799999999999997</v>
      </c>
      <c r="M3274">
        <v>160</v>
      </c>
      <c r="N3274">
        <v>17</v>
      </c>
      <c r="O3274">
        <v>6</v>
      </c>
    </row>
    <row r="3275" spans="1:16" x14ac:dyDescent="0.25">
      <c r="A3275" s="4">
        <v>44635</v>
      </c>
      <c r="B3275" t="s">
        <v>10</v>
      </c>
      <c r="C3275">
        <v>1</v>
      </c>
      <c r="F3275">
        <v>341</v>
      </c>
      <c r="J3275">
        <v>1.1060000000000001</v>
      </c>
      <c r="K3275">
        <v>42.6</v>
      </c>
      <c r="L3275">
        <v>38.5</v>
      </c>
      <c r="M3275">
        <v>175</v>
      </c>
      <c r="N3275">
        <v>46</v>
      </c>
      <c r="O3275">
        <v>18</v>
      </c>
      <c r="P3275">
        <v>1</v>
      </c>
    </row>
    <row r="3276" spans="1:16" x14ac:dyDescent="0.25">
      <c r="A3276" s="4">
        <v>44635</v>
      </c>
      <c r="B3276" t="s">
        <v>9</v>
      </c>
      <c r="C3276">
        <v>1</v>
      </c>
      <c r="F3276">
        <v>325</v>
      </c>
      <c r="J3276">
        <v>1.044</v>
      </c>
      <c r="K3276">
        <v>40.6</v>
      </c>
      <c r="L3276">
        <v>38.9</v>
      </c>
      <c r="M3276">
        <v>228</v>
      </c>
      <c r="N3276">
        <v>27</v>
      </c>
      <c r="O3276">
        <v>4</v>
      </c>
      <c r="P3276">
        <v>3</v>
      </c>
    </row>
    <row r="3277" spans="1:16" x14ac:dyDescent="0.25">
      <c r="A3277" s="4">
        <v>44636</v>
      </c>
      <c r="B3277" t="s">
        <v>10</v>
      </c>
      <c r="C3277">
        <v>1</v>
      </c>
      <c r="F3277">
        <v>353</v>
      </c>
      <c r="J3277">
        <v>1.1830000000000001</v>
      </c>
      <c r="K3277">
        <v>43.1</v>
      </c>
      <c r="L3277">
        <v>36.4</v>
      </c>
      <c r="M3277">
        <v>229</v>
      </c>
      <c r="N3277">
        <v>40</v>
      </c>
      <c r="O3277">
        <v>8</v>
      </c>
      <c r="P3277">
        <v>2</v>
      </c>
    </row>
    <row r="3278" spans="1:16" x14ac:dyDescent="0.25">
      <c r="A3278" s="4">
        <v>44636</v>
      </c>
      <c r="B3278" t="s">
        <v>9</v>
      </c>
      <c r="C3278">
        <v>1</v>
      </c>
      <c r="F3278">
        <v>304</v>
      </c>
      <c r="J3278">
        <v>0.97899999999999998</v>
      </c>
      <c r="K3278">
        <v>38</v>
      </c>
      <c r="L3278">
        <v>38.799999999999997</v>
      </c>
      <c r="M3278">
        <v>214</v>
      </c>
      <c r="N3278">
        <v>21</v>
      </c>
      <c r="O3278">
        <v>7</v>
      </c>
      <c r="P3278">
        <v>3</v>
      </c>
    </row>
    <row r="3279" spans="1:16" x14ac:dyDescent="0.25">
      <c r="A3279" s="4">
        <v>44637</v>
      </c>
      <c r="B3279" t="s">
        <v>10</v>
      </c>
      <c r="C3279">
        <v>1</v>
      </c>
      <c r="F3279">
        <v>311</v>
      </c>
      <c r="J3279">
        <v>1.0609999999999999</v>
      </c>
      <c r="K3279">
        <v>38.9</v>
      </c>
      <c r="L3279">
        <v>36.6</v>
      </c>
      <c r="M3279">
        <v>223</v>
      </c>
      <c r="N3279">
        <v>27</v>
      </c>
      <c r="O3279">
        <v>7</v>
      </c>
      <c r="P3279">
        <v>1</v>
      </c>
    </row>
    <row r="3280" spans="1:16" x14ac:dyDescent="0.25">
      <c r="A3280" s="4">
        <v>44637</v>
      </c>
      <c r="B3280" t="s">
        <v>9</v>
      </c>
      <c r="C3280">
        <v>1</v>
      </c>
      <c r="F3280">
        <v>307</v>
      </c>
      <c r="J3280">
        <v>1.1200000000000001</v>
      </c>
      <c r="K3280">
        <v>40.9</v>
      </c>
      <c r="L3280">
        <v>36.6</v>
      </c>
      <c r="M3280">
        <v>262</v>
      </c>
      <c r="N3280">
        <v>13</v>
      </c>
      <c r="O3280">
        <v>2</v>
      </c>
      <c r="P3280">
        <v>1</v>
      </c>
    </row>
    <row r="3281" spans="1:16" x14ac:dyDescent="0.25">
      <c r="A3281" s="4">
        <v>44638</v>
      </c>
      <c r="B3281" t="s">
        <v>10</v>
      </c>
      <c r="C3281">
        <v>1</v>
      </c>
      <c r="F3281">
        <v>214</v>
      </c>
      <c r="J3281">
        <v>1.0149999999999999</v>
      </c>
      <c r="K3281">
        <v>36.299999999999997</v>
      </c>
      <c r="L3281">
        <v>35.799999999999997</v>
      </c>
      <c r="M3281">
        <v>142</v>
      </c>
      <c r="N3281">
        <v>26</v>
      </c>
      <c r="O3281">
        <v>4</v>
      </c>
      <c r="P3281">
        <v>1</v>
      </c>
    </row>
    <row r="3282" spans="1:16" x14ac:dyDescent="0.25">
      <c r="A3282" s="4">
        <v>44638</v>
      </c>
      <c r="B3282" t="s">
        <v>9</v>
      </c>
      <c r="C3282">
        <v>1</v>
      </c>
      <c r="F3282">
        <v>274</v>
      </c>
      <c r="J3282">
        <v>0.97899999999999998</v>
      </c>
      <c r="K3282">
        <v>36.5</v>
      </c>
      <c r="L3282">
        <v>37.299999999999997</v>
      </c>
      <c r="M3282">
        <v>206</v>
      </c>
      <c r="N3282">
        <v>16</v>
      </c>
      <c r="O3282">
        <v>8</v>
      </c>
    </row>
    <row r="3283" spans="1:16" x14ac:dyDescent="0.25">
      <c r="A3283" s="4">
        <v>44641</v>
      </c>
      <c r="B3283" t="s">
        <v>10</v>
      </c>
      <c r="C3283">
        <v>1</v>
      </c>
      <c r="F3283">
        <v>242</v>
      </c>
      <c r="J3283">
        <v>0.85299999999999998</v>
      </c>
      <c r="K3283">
        <v>31.4</v>
      </c>
      <c r="L3283">
        <v>36.9</v>
      </c>
      <c r="M3283">
        <v>154</v>
      </c>
      <c r="N3283">
        <v>28</v>
      </c>
      <c r="O3283">
        <v>10</v>
      </c>
    </row>
    <row r="3284" spans="1:16" x14ac:dyDescent="0.25">
      <c r="A3284" s="4">
        <v>44641</v>
      </c>
      <c r="B3284" t="s">
        <v>9</v>
      </c>
      <c r="C3284">
        <v>1</v>
      </c>
      <c r="F3284">
        <v>340</v>
      </c>
      <c r="J3284">
        <v>1.0880000000000001</v>
      </c>
      <c r="K3284">
        <v>39.5</v>
      </c>
      <c r="L3284">
        <v>36.4</v>
      </c>
      <c r="M3284">
        <v>266</v>
      </c>
      <c r="N3284">
        <v>25</v>
      </c>
      <c r="O3284">
        <v>5</v>
      </c>
    </row>
    <row r="3285" spans="1:16" x14ac:dyDescent="0.25">
      <c r="A3285" s="4">
        <v>44642</v>
      </c>
      <c r="B3285" t="s">
        <v>10</v>
      </c>
      <c r="C3285">
        <v>1</v>
      </c>
      <c r="F3285">
        <v>362</v>
      </c>
      <c r="J3285">
        <v>1.1419999999999999</v>
      </c>
      <c r="K3285">
        <v>41.6</v>
      </c>
      <c r="L3285">
        <v>36.4</v>
      </c>
      <c r="M3285">
        <v>231</v>
      </c>
      <c r="N3285">
        <v>43</v>
      </c>
      <c r="O3285">
        <v>13</v>
      </c>
    </row>
    <row r="3286" spans="1:16" x14ac:dyDescent="0.25">
      <c r="A3286" s="4">
        <v>44642</v>
      </c>
      <c r="B3286" t="s">
        <v>9</v>
      </c>
      <c r="C3286">
        <v>1</v>
      </c>
      <c r="F3286">
        <v>260</v>
      </c>
      <c r="J3286">
        <v>0.88900000000000001</v>
      </c>
      <c r="K3286">
        <v>34.700000000000003</v>
      </c>
      <c r="L3286">
        <v>39</v>
      </c>
      <c r="M3286">
        <v>183</v>
      </c>
      <c r="N3286">
        <v>23</v>
      </c>
      <c r="O3286">
        <v>5</v>
      </c>
      <c r="P3286">
        <v>1</v>
      </c>
    </row>
    <row r="3287" spans="1:16" x14ac:dyDescent="0.25">
      <c r="A3287" s="4">
        <v>44643</v>
      </c>
      <c r="B3287" t="s">
        <v>10</v>
      </c>
      <c r="C3287">
        <v>1</v>
      </c>
      <c r="F3287">
        <v>320</v>
      </c>
      <c r="J3287">
        <v>1.0920000000000001</v>
      </c>
      <c r="K3287">
        <v>40</v>
      </c>
      <c r="L3287">
        <v>36.6</v>
      </c>
      <c r="M3287">
        <v>198</v>
      </c>
      <c r="N3287">
        <v>39</v>
      </c>
      <c r="O3287">
        <v>13</v>
      </c>
    </row>
    <row r="3288" spans="1:16" x14ac:dyDescent="0.25">
      <c r="A3288" s="4">
        <v>44643</v>
      </c>
      <c r="B3288" t="s">
        <v>9</v>
      </c>
      <c r="C3288">
        <v>1</v>
      </c>
      <c r="F3288">
        <v>342</v>
      </c>
      <c r="J3288">
        <v>1.1990000000000001</v>
      </c>
      <c r="K3288">
        <v>42.8</v>
      </c>
      <c r="L3288">
        <v>35.700000000000003</v>
      </c>
      <c r="M3288">
        <v>285</v>
      </c>
      <c r="N3288">
        <v>17</v>
      </c>
      <c r="O3288">
        <v>4</v>
      </c>
      <c r="P3288">
        <v>1</v>
      </c>
    </row>
    <row r="3289" spans="1:16" x14ac:dyDescent="0.25">
      <c r="A3289" s="4">
        <v>44644</v>
      </c>
      <c r="B3289" t="s">
        <v>10</v>
      </c>
      <c r="C3289">
        <v>1</v>
      </c>
      <c r="F3289">
        <v>317</v>
      </c>
      <c r="J3289">
        <v>1.1279999999999999</v>
      </c>
      <c r="K3289">
        <v>38.6</v>
      </c>
      <c r="L3289">
        <v>34.299999999999997</v>
      </c>
      <c r="M3289">
        <v>198</v>
      </c>
      <c r="N3289">
        <v>10</v>
      </c>
      <c r="O3289">
        <v>3</v>
      </c>
    </row>
    <row r="3290" spans="1:16" x14ac:dyDescent="0.25">
      <c r="A3290" s="4">
        <v>44644</v>
      </c>
      <c r="B3290" t="s">
        <v>9</v>
      </c>
      <c r="C3290">
        <v>1</v>
      </c>
      <c r="F3290">
        <v>238</v>
      </c>
      <c r="J3290">
        <v>1.1120000000000001</v>
      </c>
      <c r="K3290">
        <v>40.299999999999997</v>
      </c>
      <c r="L3290">
        <v>36.299999999999997</v>
      </c>
      <c r="M3290">
        <v>201</v>
      </c>
      <c r="N3290">
        <v>15</v>
      </c>
      <c r="O3290">
        <v>2</v>
      </c>
    </row>
    <row r="3291" spans="1:16" x14ac:dyDescent="0.25">
      <c r="A3291" s="4">
        <v>44645</v>
      </c>
      <c r="B3291" t="s">
        <v>10</v>
      </c>
      <c r="C3291">
        <v>1</v>
      </c>
      <c r="F3291">
        <v>279</v>
      </c>
      <c r="J3291">
        <v>1.175</v>
      </c>
      <c r="K3291">
        <v>41.6</v>
      </c>
      <c r="L3291">
        <v>35.4</v>
      </c>
      <c r="M3291">
        <v>218</v>
      </c>
      <c r="N3291">
        <v>18</v>
      </c>
      <c r="O3291">
        <v>7</v>
      </c>
    </row>
    <row r="3292" spans="1:16" x14ac:dyDescent="0.25">
      <c r="A3292" s="4">
        <v>44645</v>
      </c>
      <c r="B3292" t="s">
        <v>9</v>
      </c>
      <c r="C3292">
        <v>1</v>
      </c>
      <c r="F3292">
        <v>291</v>
      </c>
      <c r="J3292">
        <v>1.1819999999999999</v>
      </c>
      <c r="K3292">
        <v>43.4</v>
      </c>
      <c r="L3292">
        <v>36.799999999999997</v>
      </c>
      <c r="M3292">
        <v>218</v>
      </c>
      <c r="N3292">
        <v>24</v>
      </c>
      <c r="O3292">
        <v>3</v>
      </c>
      <c r="P3292">
        <v>2</v>
      </c>
    </row>
    <row r="3293" spans="1:16" x14ac:dyDescent="0.25">
      <c r="A3293" s="4">
        <v>44648</v>
      </c>
      <c r="B3293" t="s">
        <v>10</v>
      </c>
      <c r="C3293">
        <v>1</v>
      </c>
      <c r="F3293">
        <v>235</v>
      </c>
      <c r="J3293">
        <v>1.081</v>
      </c>
      <c r="K3293">
        <v>38.5</v>
      </c>
      <c r="L3293">
        <v>35.700000000000003</v>
      </c>
      <c r="M3293">
        <v>168</v>
      </c>
      <c r="N3293">
        <v>21</v>
      </c>
      <c r="O3293">
        <v>7</v>
      </c>
    </row>
    <row r="3294" spans="1:16" x14ac:dyDescent="0.25">
      <c r="A3294" s="4">
        <v>44648</v>
      </c>
      <c r="B3294" t="s">
        <v>9</v>
      </c>
      <c r="C3294">
        <v>1</v>
      </c>
      <c r="F3294">
        <v>251</v>
      </c>
      <c r="J3294">
        <v>1.0529999999999999</v>
      </c>
      <c r="K3294">
        <v>38.6</v>
      </c>
      <c r="L3294">
        <v>36.700000000000003</v>
      </c>
      <c r="M3294">
        <v>202</v>
      </c>
      <c r="N3294">
        <v>22</v>
      </c>
      <c r="O3294">
        <v>1</v>
      </c>
    </row>
    <row r="3295" spans="1:16" x14ac:dyDescent="0.25">
      <c r="A3295" s="4">
        <v>44649</v>
      </c>
      <c r="B3295" t="s">
        <v>10</v>
      </c>
      <c r="C3295">
        <v>1</v>
      </c>
      <c r="F3295">
        <v>291</v>
      </c>
      <c r="J3295">
        <v>1.268</v>
      </c>
      <c r="K3295">
        <v>44.1</v>
      </c>
      <c r="L3295">
        <v>34.799999999999997</v>
      </c>
      <c r="M3295">
        <v>209</v>
      </c>
      <c r="N3295">
        <v>31</v>
      </c>
      <c r="O3295">
        <v>6</v>
      </c>
    </row>
    <row r="3296" spans="1:16" x14ac:dyDescent="0.25">
      <c r="A3296" s="4">
        <v>44649</v>
      </c>
      <c r="B3296" t="s">
        <v>9</v>
      </c>
      <c r="C3296">
        <v>1</v>
      </c>
      <c r="F3296">
        <v>271</v>
      </c>
      <c r="J3296">
        <v>1.1419999999999999</v>
      </c>
      <c r="K3296">
        <v>41.1</v>
      </c>
      <c r="L3296">
        <v>36</v>
      </c>
      <c r="M3296">
        <v>224</v>
      </c>
      <c r="N3296">
        <v>17</v>
      </c>
      <c r="O3296">
        <v>3</v>
      </c>
    </row>
    <row r="3297" spans="1:16" x14ac:dyDescent="0.25">
      <c r="A3297" s="4">
        <v>44650</v>
      </c>
      <c r="B3297" t="s">
        <v>10</v>
      </c>
      <c r="C3297">
        <v>1</v>
      </c>
      <c r="F3297">
        <v>329</v>
      </c>
      <c r="J3297">
        <v>1.173</v>
      </c>
      <c r="K3297">
        <v>41.1</v>
      </c>
      <c r="L3297">
        <v>35.1</v>
      </c>
      <c r="M3297">
        <v>245</v>
      </c>
      <c r="N3297">
        <v>35</v>
      </c>
      <c r="O3297">
        <v>4</v>
      </c>
    </row>
    <row r="3298" spans="1:16" x14ac:dyDescent="0.25">
      <c r="A3298" s="4">
        <v>44650</v>
      </c>
      <c r="B3298" t="s">
        <v>9</v>
      </c>
      <c r="C3298">
        <v>1</v>
      </c>
      <c r="F3298">
        <v>356</v>
      </c>
      <c r="J3298">
        <v>1.17</v>
      </c>
      <c r="K3298">
        <v>44.5</v>
      </c>
      <c r="L3298">
        <v>38</v>
      </c>
      <c r="M3298">
        <v>259</v>
      </c>
      <c r="N3298">
        <v>26</v>
      </c>
      <c r="O3298">
        <v>7</v>
      </c>
      <c r="P3298">
        <v>3</v>
      </c>
    </row>
    <row r="3299" spans="1:16" x14ac:dyDescent="0.25">
      <c r="A3299" s="4">
        <v>44651</v>
      </c>
      <c r="B3299" t="s">
        <v>10</v>
      </c>
      <c r="C3299">
        <v>1</v>
      </c>
      <c r="F3299">
        <v>249</v>
      </c>
      <c r="J3299">
        <v>1.181</v>
      </c>
      <c r="K3299">
        <v>40.200000000000003</v>
      </c>
      <c r="L3299">
        <v>34</v>
      </c>
      <c r="M3299">
        <v>194</v>
      </c>
      <c r="N3299">
        <v>20</v>
      </c>
      <c r="O3299">
        <v>2</v>
      </c>
      <c r="P3299">
        <v>1</v>
      </c>
    </row>
    <row r="3300" spans="1:16" x14ac:dyDescent="0.25">
      <c r="A3300" s="4">
        <v>44651</v>
      </c>
      <c r="B3300" t="s">
        <v>9</v>
      </c>
      <c r="C3300">
        <v>1</v>
      </c>
      <c r="F3300">
        <v>347</v>
      </c>
      <c r="J3300">
        <v>1.0549999999999999</v>
      </c>
      <c r="K3300">
        <v>41.5</v>
      </c>
      <c r="L3300">
        <v>39.299999999999997</v>
      </c>
      <c r="M3300">
        <v>184</v>
      </c>
      <c r="N3300">
        <v>31</v>
      </c>
      <c r="O3300">
        <v>10</v>
      </c>
      <c r="P3300">
        <v>1</v>
      </c>
    </row>
    <row r="3301" spans="1:16" x14ac:dyDescent="0.25">
      <c r="A3301" s="4">
        <v>44652</v>
      </c>
      <c r="B3301" t="s">
        <v>10</v>
      </c>
      <c r="C3301">
        <v>1</v>
      </c>
      <c r="F3301">
        <v>258</v>
      </c>
      <c r="J3301">
        <v>1.145</v>
      </c>
      <c r="K3301">
        <v>40.299999999999997</v>
      </c>
      <c r="L3301">
        <v>35.200000000000003</v>
      </c>
      <c r="M3301">
        <v>199</v>
      </c>
      <c r="N3301">
        <v>19</v>
      </c>
      <c r="O3301">
        <v>6</v>
      </c>
    </row>
    <row r="3302" spans="1:16" x14ac:dyDescent="0.25">
      <c r="A3302" s="4">
        <v>44652</v>
      </c>
      <c r="B3302" t="s">
        <v>9</v>
      </c>
      <c r="C3302">
        <v>1</v>
      </c>
      <c r="F3302">
        <v>269</v>
      </c>
      <c r="J3302">
        <v>1.0629999999999999</v>
      </c>
      <c r="K3302">
        <v>40.799999999999997</v>
      </c>
      <c r="L3302">
        <v>38.299999999999997</v>
      </c>
      <c r="M3302">
        <v>190</v>
      </c>
      <c r="N3302">
        <v>26</v>
      </c>
      <c r="O3302">
        <v>5</v>
      </c>
      <c r="P3302">
        <v>1</v>
      </c>
    </row>
    <row r="3303" spans="1:16" x14ac:dyDescent="0.25">
      <c r="A3303" s="4">
        <v>44655</v>
      </c>
      <c r="B3303" t="s">
        <v>10</v>
      </c>
      <c r="C3303">
        <v>1</v>
      </c>
      <c r="F3303">
        <v>302</v>
      </c>
      <c r="J3303">
        <v>1.228</v>
      </c>
      <c r="K3303">
        <v>45.1</v>
      </c>
      <c r="L3303">
        <v>36.700000000000003</v>
      </c>
      <c r="M3303">
        <v>192</v>
      </c>
      <c r="N3303">
        <v>35</v>
      </c>
      <c r="O3303">
        <v>11</v>
      </c>
    </row>
    <row r="3304" spans="1:16" x14ac:dyDescent="0.25">
      <c r="A3304" s="4">
        <v>44655</v>
      </c>
      <c r="B3304" t="s">
        <v>9</v>
      </c>
      <c r="C3304">
        <v>1</v>
      </c>
      <c r="F3304">
        <v>260</v>
      </c>
      <c r="J3304">
        <v>1.109</v>
      </c>
      <c r="K3304">
        <v>40.6</v>
      </c>
      <c r="L3304">
        <v>36.6</v>
      </c>
      <c r="M3304">
        <v>216</v>
      </c>
      <c r="N3304">
        <v>17</v>
      </c>
      <c r="O3304">
        <v>2</v>
      </c>
    </row>
    <row r="3305" spans="1:16" x14ac:dyDescent="0.25">
      <c r="A3305" s="4">
        <v>44656</v>
      </c>
      <c r="B3305" t="s">
        <v>10</v>
      </c>
      <c r="C3305">
        <v>1</v>
      </c>
      <c r="F3305">
        <v>294</v>
      </c>
      <c r="J3305">
        <v>1.113</v>
      </c>
      <c r="K3305">
        <v>41.4</v>
      </c>
      <c r="L3305">
        <v>37.200000000000003</v>
      </c>
      <c r="M3305">
        <v>194</v>
      </c>
      <c r="N3305">
        <v>29</v>
      </c>
      <c r="O3305">
        <v>9</v>
      </c>
      <c r="P3305">
        <v>1</v>
      </c>
    </row>
    <row r="3306" spans="1:16" x14ac:dyDescent="0.25">
      <c r="A3306" s="4">
        <v>44656</v>
      </c>
      <c r="B3306" t="s">
        <v>9</v>
      </c>
      <c r="C3306">
        <v>1</v>
      </c>
      <c r="F3306">
        <v>218</v>
      </c>
      <c r="J3306">
        <v>0.78</v>
      </c>
      <c r="K3306">
        <v>31.1</v>
      </c>
      <c r="L3306">
        <v>39.9</v>
      </c>
      <c r="M3306">
        <v>148</v>
      </c>
      <c r="N3306">
        <v>20</v>
      </c>
      <c r="O3306">
        <v>6</v>
      </c>
      <c r="P3306">
        <v>1</v>
      </c>
    </row>
    <row r="3307" spans="1:16" x14ac:dyDescent="0.25">
      <c r="A3307" s="4">
        <v>44657</v>
      </c>
      <c r="B3307" t="s">
        <v>10</v>
      </c>
      <c r="C3307">
        <v>1</v>
      </c>
      <c r="F3307">
        <v>301</v>
      </c>
      <c r="J3307">
        <v>1.1339999999999999</v>
      </c>
      <c r="K3307">
        <v>43.6</v>
      </c>
      <c r="L3307">
        <v>38.5</v>
      </c>
      <c r="M3307">
        <v>180</v>
      </c>
      <c r="N3307">
        <v>29</v>
      </c>
      <c r="O3307">
        <v>11</v>
      </c>
      <c r="P3307">
        <v>4</v>
      </c>
    </row>
    <row r="3308" spans="1:16" x14ac:dyDescent="0.25">
      <c r="A3308" s="4">
        <v>44657</v>
      </c>
      <c r="B3308" t="s">
        <v>9</v>
      </c>
      <c r="C3308">
        <v>1</v>
      </c>
      <c r="F3308">
        <v>300</v>
      </c>
      <c r="J3308">
        <v>1.163</v>
      </c>
      <c r="K3308">
        <v>42.9</v>
      </c>
      <c r="L3308">
        <v>36.799999999999997</v>
      </c>
      <c r="M3308">
        <v>231</v>
      </c>
      <c r="N3308">
        <v>28</v>
      </c>
      <c r="O3308">
        <v>3</v>
      </c>
    </row>
    <row r="3309" spans="1:16" x14ac:dyDescent="0.25">
      <c r="A3309" s="4">
        <v>44658</v>
      </c>
      <c r="B3309" t="s">
        <v>10</v>
      </c>
      <c r="C3309">
        <v>1</v>
      </c>
      <c r="F3309">
        <v>267</v>
      </c>
      <c r="J3309">
        <v>1.0920000000000001</v>
      </c>
      <c r="K3309">
        <v>38.700000000000003</v>
      </c>
      <c r="L3309">
        <v>35.4</v>
      </c>
      <c r="M3309">
        <v>202</v>
      </c>
      <c r="N3309">
        <v>28</v>
      </c>
      <c r="O3309">
        <v>3</v>
      </c>
    </row>
    <row r="3310" spans="1:16" x14ac:dyDescent="0.25">
      <c r="A3310" s="4">
        <v>44658</v>
      </c>
      <c r="B3310" t="s">
        <v>9</v>
      </c>
      <c r="C3310">
        <v>1</v>
      </c>
      <c r="F3310">
        <v>246</v>
      </c>
      <c r="J3310">
        <v>0.999</v>
      </c>
      <c r="K3310">
        <v>37.9</v>
      </c>
      <c r="L3310">
        <v>37.9</v>
      </c>
      <c r="M3310">
        <v>174</v>
      </c>
      <c r="N3310">
        <v>27</v>
      </c>
      <c r="O3310">
        <v>5</v>
      </c>
    </row>
    <row r="3311" spans="1:16" x14ac:dyDescent="0.25">
      <c r="A3311" s="4">
        <v>44659</v>
      </c>
      <c r="B3311" t="s">
        <v>10</v>
      </c>
      <c r="C3311">
        <v>1</v>
      </c>
      <c r="F3311">
        <v>350</v>
      </c>
      <c r="J3311">
        <v>1.1319999999999999</v>
      </c>
      <c r="K3311">
        <v>41.2</v>
      </c>
      <c r="L3311">
        <v>36.4</v>
      </c>
      <c r="M3311">
        <v>256</v>
      </c>
      <c r="N3311">
        <v>34</v>
      </c>
      <c r="O3311">
        <v>7</v>
      </c>
    </row>
    <row r="3312" spans="1:16" x14ac:dyDescent="0.25">
      <c r="A3312" s="4">
        <v>44659</v>
      </c>
      <c r="B3312" t="s">
        <v>9</v>
      </c>
      <c r="C3312">
        <v>1</v>
      </c>
      <c r="F3312">
        <v>348</v>
      </c>
      <c r="J3312">
        <v>1.069</v>
      </c>
      <c r="K3312">
        <v>40.5</v>
      </c>
      <c r="L3312">
        <v>37.9</v>
      </c>
      <c r="M3312">
        <v>268</v>
      </c>
      <c r="N3312">
        <v>24</v>
      </c>
      <c r="O3312">
        <v>10</v>
      </c>
    </row>
    <row r="3313" spans="1:16" x14ac:dyDescent="0.25">
      <c r="A3313" s="4">
        <v>44660</v>
      </c>
      <c r="B3313" t="s">
        <v>10</v>
      </c>
      <c r="C3313">
        <v>1</v>
      </c>
      <c r="F3313">
        <v>143</v>
      </c>
      <c r="J3313">
        <v>1.208</v>
      </c>
      <c r="K3313">
        <v>47.7</v>
      </c>
      <c r="L3313">
        <v>39.5</v>
      </c>
      <c r="M3313">
        <v>117</v>
      </c>
      <c r="N3313">
        <v>13</v>
      </c>
    </row>
    <row r="3314" spans="1:16" x14ac:dyDescent="0.25">
      <c r="A3314" s="4">
        <v>44660</v>
      </c>
      <c r="B3314" t="s">
        <v>9</v>
      </c>
      <c r="C3314">
        <v>1</v>
      </c>
      <c r="F3314">
        <v>143</v>
      </c>
      <c r="J3314">
        <v>1.159</v>
      </c>
      <c r="K3314">
        <v>47.7</v>
      </c>
      <c r="L3314">
        <v>41.1</v>
      </c>
      <c r="M3314">
        <v>108</v>
      </c>
      <c r="N3314">
        <v>16</v>
      </c>
      <c r="O3314">
        <v>1</v>
      </c>
    </row>
    <row r="3315" spans="1:16" x14ac:dyDescent="0.25">
      <c r="A3315" s="4">
        <v>44662</v>
      </c>
      <c r="B3315" t="s">
        <v>10</v>
      </c>
      <c r="C3315">
        <v>1</v>
      </c>
      <c r="F3315">
        <v>280</v>
      </c>
      <c r="J3315">
        <v>1.1890000000000001</v>
      </c>
      <c r="K3315">
        <v>41.8</v>
      </c>
      <c r="L3315">
        <v>35.1</v>
      </c>
      <c r="M3315">
        <v>214</v>
      </c>
      <c r="N3315">
        <v>16</v>
      </c>
      <c r="O3315">
        <v>5</v>
      </c>
      <c r="P3315">
        <v>1</v>
      </c>
    </row>
    <row r="3316" spans="1:16" x14ac:dyDescent="0.25">
      <c r="A3316" s="4">
        <v>44662</v>
      </c>
      <c r="B3316" t="s">
        <v>9</v>
      </c>
      <c r="C3316">
        <v>1</v>
      </c>
      <c r="F3316">
        <v>283</v>
      </c>
      <c r="J3316">
        <v>1.0629999999999999</v>
      </c>
      <c r="K3316">
        <v>42.2</v>
      </c>
      <c r="L3316">
        <v>39.700000000000003</v>
      </c>
      <c r="M3316">
        <v>177</v>
      </c>
      <c r="N3316">
        <v>34</v>
      </c>
      <c r="O3316">
        <v>5</v>
      </c>
      <c r="P3316">
        <v>2</v>
      </c>
    </row>
    <row r="3317" spans="1:16" x14ac:dyDescent="0.25">
      <c r="A3317" s="4">
        <v>44663</v>
      </c>
      <c r="B3317" t="s">
        <v>10</v>
      </c>
      <c r="C3317">
        <v>1</v>
      </c>
      <c r="F3317">
        <v>285</v>
      </c>
      <c r="J3317">
        <v>1.181</v>
      </c>
      <c r="K3317">
        <v>43.2</v>
      </c>
      <c r="L3317">
        <v>36.6</v>
      </c>
      <c r="M3317">
        <v>196</v>
      </c>
      <c r="N3317">
        <v>25</v>
      </c>
      <c r="O3317">
        <v>9</v>
      </c>
    </row>
    <row r="3318" spans="1:16" x14ac:dyDescent="0.25">
      <c r="A3318" s="4">
        <v>44663</v>
      </c>
      <c r="B3318" t="s">
        <v>9</v>
      </c>
      <c r="C3318">
        <v>1</v>
      </c>
      <c r="F3318">
        <v>313</v>
      </c>
      <c r="J3318">
        <v>1.2250000000000001</v>
      </c>
      <c r="K3318">
        <v>45.4</v>
      </c>
      <c r="L3318">
        <v>37</v>
      </c>
      <c r="M3318">
        <v>227</v>
      </c>
      <c r="N3318">
        <v>28</v>
      </c>
      <c r="O3318">
        <v>8</v>
      </c>
    </row>
    <row r="3319" spans="1:16" x14ac:dyDescent="0.25">
      <c r="A3319" s="4">
        <v>44664</v>
      </c>
      <c r="B3319" t="s">
        <v>10</v>
      </c>
      <c r="C3319">
        <v>1</v>
      </c>
      <c r="F3319">
        <v>289</v>
      </c>
      <c r="J3319">
        <v>1.194</v>
      </c>
      <c r="K3319">
        <v>41.9</v>
      </c>
      <c r="L3319">
        <v>35.1</v>
      </c>
      <c r="M3319">
        <v>221</v>
      </c>
      <c r="N3319">
        <v>23</v>
      </c>
      <c r="O3319">
        <v>5</v>
      </c>
    </row>
    <row r="3320" spans="1:16" x14ac:dyDescent="0.25">
      <c r="A3320" s="4">
        <v>44664</v>
      </c>
      <c r="B3320" t="s">
        <v>9</v>
      </c>
      <c r="C3320">
        <v>1</v>
      </c>
      <c r="F3320">
        <v>311</v>
      </c>
      <c r="J3320">
        <v>1.1399999999999999</v>
      </c>
      <c r="K3320">
        <v>43.2</v>
      </c>
      <c r="L3320">
        <v>37.9</v>
      </c>
      <c r="M3320">
        <v>222</v>
      </c>
      <c r="N3320">
        <v>27</v>
      </c>
      <c r="O3320">
        <v>5</v>
      </c>
      <c r="P3320">
        <v>2</v>
      </c>
    </row>
    <row r="3321" spans="1:16" x14ac:dyDescent="0.25">
      <c r="A3321" s="4">
        <v>44665</v>
      </c>
      <c r="B3321" t="s">
        <v>10</v>
      </c>
      <c r="C3321">
        <v>1</v>
      </c>
      <c r="F3321">
        <v>331</v>
      </c>
      <c r="J3321">
        <v>1.228</v>
      </c>
      <c r="K3321">
        <v>45.3</v>
      </c>
      <c r="L3321">
        <v>36.9</v>
      </c>
      <c r="M3321">
        <v>226</v>
      </c>
      <c r="N3321">
        <v>31</v>
      </c>
      <c r="O3321">
        <v>9</v>
      </c>
    </row>
    <row r="3322" spans="1:16" x14ac:dyDescent="0.25">
      <c r="A3322" s="4">
        <v>44665</v>
      </c>
      <c r="B3322" t="s">
        <v>9</v>
      </c>
      <c r="C3322">
        <v>1</v>
      </c>
      <c r="F3322">
        <v>334</v>
      </c>
      <c r="J3322">
        <v>1.1739999999999999</v>
      </c>
      <c r="K3322">
        <v>45.1</v>
      </c>
      <c r="L3322">
        <v>38.5</v>
      </c>
      <c r="M3322">
        <v>229</v>
      </c>
      <c r="N3322">
        <v>36</v>
      </c>
      <c r="O3322">
        <v>7</v>
      </c>
      <c r="P3322">
        <v>1</v>
      </c>
    </row>
    <row r="3323" spans="1:16" x14ac:dyDescent="0.25">
      <c r="A3323" s="4">
        <v>44669</v>
      </c>
      <c r="B3323" t="s">
        <v>10</v>
      </c>
      <c r="C3323">
        <v>1</v>
      </c>
      <c r="F3323">
        <v>341</v>
      </c>
      <c r="J3323">
        <v>1.1910000000000001</v>
      </c>
      <c r="K3323">
        <v>42.6</v>
      </c>
      <c r="L3323">
        <v>35.799999999999997</v>
      </c>
      <c r="M3323">
        <v>239</v>
      </c>
      <c r="N3323">
        <v>37</v>
      </c>
      <c r="O3323">
        <v>8</v>
      </c>
    </row>
    <row r="3324" spans="1:16" x14ac:dyDescent="0.25">
      <c r="A3324" s="4">
        <v>44669</v>
      </c>
      <c r="B3324" t="s">
        <v>9</v>
      </c>
      <c r="C3324">
        <v>1</v>
      </c>
      <c r="F3324">
        <v>385</v>
      </c>
      <c r="J3324">
        <v>1.145</v>
      </c>
      <c r="K3324">
        <v>44.3</v>
      </c>
      <c r="L3324">
        <v>38.700000000000003</v>
      </c>
      <c r="M3324">
        <v>257</v>
      </c>
      <c r="N3324">
        <v>52</v>
      </c>
      <c r="O3324">
        <v>4</v>
      </c>
      <c r="P3324">
        <v>1</v>
      </c>
    </row>
    <row r="3325" spans="1:16" x14ac:dyDescent="0.25">
      <c r="A3325" s="4">
        <v>44670</v>
      </c>
      <c r="B3325" t="s">
        <v>10</v>
      </c>
      <c r="C3325">
        <v>1</v>
      </c>
      <c r="F3325">
        <v>276</v>
      </c>
      <c r="J3325">
        <v>1.238</v>
      </c>
      <c r="K3325">
        <v>44.5</v>
      </c>
      <c r="L3325">
        <v>36</v>
      </c>
      <c r="M3325">
        <v>202</v>
      </c>
      <c r="N3325">
        <v>24</v>
      </c>
      <c r="O3325">
        <v>3</v>
      </c>
    </row>
    <row r="3326" spans="1:16" x14ac:dyDescent="0.25">
      <c r="A3326" s="4">
        <v>44670</v>
      </c>
      <c r="B3326" t="s">
        <v>9</v>
      </c>
      <c r="C3326">
        <v>1</v>
      </c>
      <c r="F3326">
        <v>278</v>
      </c>
      <c r="J3326">
        <v>1.1950000000000001</v>
      </c>
      <c r="K3326">
        <v>44.8</v>
      </c>
      <c r="L3326">
        <v>37.5</v>
      </c>
      <c r="M3326">
        <v>200</v>
      </c>
      <c r="N3326">
        <v>33</v>
      </c>
      <c r="O3326">
        <v>2</v>
      </c>
    </row>
    <row r="3327" spans="1:16" x14ac:dyDescent="0.25">
      <c r="A3327" s="4">
        <v>44671</v>
      </c>
      <c r="B3327" t="s">
        <v>10</v>
      </c>
      <c r="C3327">
        <v>1</v>
      </c>
      <c r="F3327">
        <v>279</v>
      </c>
      <c r="J3327">
        <v>1.2350000000000001</v>
      </c>
      <c r="K3327">
        <v>45</v>
      </c>
      <c r="L3327">
        <v>36.4</v>
      </c>
      <c r="M3327">
        <v>196</v>
      </c>
      <c r="N3327">
        <v>24</v>
      </c>
      <c r="O3327">
        <v>8</v>
      </c>
    </row>
    <row r="3328" spans="1:16" x14ac:dyDescent="0.25">
      <c r="A3328" s="4">
        <v>44671</v>
      </c>
      <c r="B3328" t="s">
        <v>9</v>
      </c>
      <c r="C3328">
        <v>1</v>
      </c>
      <c r="F3328">
        <v>252</v>
      </c>
      <c r="J3328">
        <v>1.06</v>
      </c>
      <c r="K3328">
        <v>42</v>
      </c>
      <c r="L3328">
        <v>39.6</v>
      </c>
      <c r="M3328">
        <v>168</v>
      </c>
      <c r="N3328">
        <v>26</v>
      </c>
      <c r="O3328">
        <v>5</v>
      </c>
      <c r="P3328">
        <v>2</v>
      </c>
    </row>
    <row r="3329" spans="1:16" x14ac:dyDescent="0.25">
      <c r="A3329" s="4">
        <v>44672</v>
      </c>
      <c r="B3329" t="s">
        <v>10</v>
      </c>
      <c r="C3329">
        <v>1</v>
      </c>
      <c r="F3329">
        <v>266</v>
      </c>
      <c r="J3329">
        <v>1.284</v>
      </c>
      <c r="K3329">
        <v>44.3</v>
      </c>
      <c r="L3329">
        <v>34.5</v>
      </c>
      <c r="M3329">
        <v>204</v>
      </c>
      <c r="N3329">
        <v>19</v>
      </c>
      <c r="O3329">
        <v>6</v>
      </c>
    </row>
    <row r="3330" spans="1:16" x14ac:dyDescent="0.25">
      <c r="A3330" s="4">
        <v>44672</v>
      </c>
      <c r="B3330" t="s">
        <v>9</v>
      </c>
      <c r="C3330">
        <v>1</v>
      </c>
      <c r="F3330">
        <v>260</v>
      </c>
      <c r="J3330">
        <v>1.121</v>
      </c>
      <c r="K3330">
        <v>44.1</v>
      </c>
      <c r="L3330">
        <v>39.299999999999997</v>
      </c>
      <c r="M3330">
        <v>171</v>
      </c>
      <c r="N3330">
        <v>24</v>
      </c>
      <c r="O3330">
        <v>5</v>
      </c>
      <c r="P3330">
        <v>1</v>
      </c>
    </row>
    <row r="3331" spans="1:16" x14ac:dyDescent="0.25">
      <c r="A3331" s="4">
        <v>44673</v>
      </c>
      <c r="B3331" t="s">
        <v>10</v>
      </c>
      <c r="C3331">
        <v>1</v>
      </c>
      <c r="F3331">
        <v>192</v>
      </c>
      <c r="J3331">
        <v>1.097</v>
      </c>
      <c r="K3331">
        <v>38.4</v>
      </c>
      <c r="L3331">
        <v>35</v>
      </c>
      <c r="M3331">
        <v>158</v>
      </c>
      <c r="N3331">
        <v>8</v>
      </c>
      <c r="O3331">
        <v>4</v>
      </c>
    </row>
    <row r="3332" spans="1:16" x14ac:dyDescent="0.25">
      <c r="A3332" s="4">
        <v>44673</v>
      </c>
      <c r="B3332" t="s">
        <v>9</v>
      </c>
      <c r="C3332">
        <v>1</v>
      </c>
      <c r="F3332">
        <v>195</v>
      </c>
      <c r="J3332">
        <v>1.1839999999999999</v>
      </c>
      <c r="K3332">
        <v>43.3</v>
      </c>
      <c r="L3332">
        <v>36.6</v>
      </c>
      <c r="M3332">
        <v>156</v>
      </c>
      <c r="N3332">
        <v>17</v>
      </c>
      <c r="O3332">
        <v>1</v>
      </c>
    </row>
    <row r="3333" spans="1:16" x14ac:dyDescent="0.25">
      <c r="A3333" s="4">
        <v>44676</v>
      </c>
      <c r="B3333" t="s">
        <v>10</v>
      </c>
      <c r="C3333">
        <v>1</v>
      </c>
      <c r="F3333">
        <v>252</v>
      </c>
      <c r="J3333">
        <v>1.242</v>
      </c>
      <c r="K3333">
        <v>45</v>
      </c>
      <c r="L3333">
        <v>36.200000000000003</v>
      </c>
      <c r="M3333">
        <v>176</v>
      </c>
      <c r="N3333">
        <v>19</v>
      </c>
      <c r="O3333">
        <v>8</v>
      </c>
    </row>
    <row r="3334" spans="1:16" x14ac:dyDescent="0.25">
      <c r="A3334" s="4">
        <v>44676</v>
      </c>
      <c r="B3334" t="s">
        <v>9</v>
      </c>
      <c r="C3334">
        <v>1</v>
      </c>
      <c r="F3334">
        <v>272</v>
      </c>
      <c r="J3334">
        <v>1.1950000000000001</v>
      </c>
      <c r="K3334">
        <v>47.7</v>
      </c>
      <c r="L3334">
        <v>39.9</v>
      </c>
      <c r="M3334">
        <v>191</v>
      </c>
      <c r="N3334">
        <v>17</v>
      </c>
      <c r="O3334">
        <v>6</v>
      </c>
      <c r="P3334">
        <v>2</v>
      </c>
    </row>
    <row r="3335" spans="1:16" x14ac:dyDescent="0.25">
      <c r="A3335" s="4">
        <v>44677</v>
      </c>
      <c r="B3335" t="s">
        <v>10</v>
      </c>
      <c r="C3335">
        <v>1</v>
      </c>
      <c r="F3335">
        <v>257</v>
      </c>
      <c r="J3335">
        <v>1.1850000000000001</v>
      </c>
      <c r="K3335">
        <v>44.3</v>
      </c>
      <c r="L3335">
        <v>37.4</v>
      </c>
      <c r="M3335">
        <v>169</v>
      </c>
      <c r="N3335">
        <v>21</v>
      </c>
      <c r="O3335">
        <v>12</v>
      </c>
    </row>
    <row r="3336" spans="1:16" x14ac:dyDescent="0.25">
      <c r="A3336" s="4">
        <v>44677</v>
      </c>
      <c r="B3336" t="s">
        <v>9</v>
      </c>
      <c r="C3336">
        <v>1</v>
      </c>
      <c r="F3336">
        <v>277</v>
      </c>
      <c r="J3336">
        <v>1.302</v>
      </c>
      <c r="K3336">
        <v>48.6</v>
      </c>
      <c r="L3336">
        <v>37.299999999999997</v>
      </c>
      <c r="M3336">
        <v>212</v>
      </c>
      <c r="N3336">
        <v>12</v>
      </c>
      <c r="O3336">
        <v>8</v>
      </c>
      <c r="P3336">
        <v>1</v>
      </c>
    </row>
    <row r="3337" spans="1:16" x14ac:dyDescent="0.25">
      <c r="A3337" s="4">
        <v>44678</v>
      </c>
      <c r="B3337" t="s">
        <v>10</v>
      </c>
      <c r="C3337">
        <v>1</v>
      </c>
      <c r="F3337">
        <v>257</v>
      </c>
      <c r="J3337">
        <v>1.4570000000000001</v>
      </c>
      <c r="K3337">
        <v>51.4</v>
      </c>
      <c r="L3337">
        <v>35.299999999999997</v>
      </c>
      <c r="M3337">
        <v>179</v>
      </c>
      <c r="N3337">
        <v>28</v>
      </c>
      <c r="O3337">
        <v>7</v>
      </c>
    </row>
    <row r="3338" spans="1:16" x14ac:dyDescent="0.25">
      <c r="A3338" s="4">
        <v>44678</v>
      </c>
      <c r="B3338" t="s">
        <v>9</v>
      </c>
      <c r="C3338">
        <v>1</v>
      </c>
      <c r="F3338">
        <v>240</v>
      </c>
      <c r="J3338">
        <v>1.29</v>
      </c>
      <c r="K3338">
        <v>48</v>
      </c>
      <c r="L3338">
        <v>37.200000000000003</v>
      </c>
      <c r="M3338">
        <v>182</v>
      </c>
      <c r="N3338">
        <v>22</v>
      </c>
      <c r="O3338">
        <v>1</v>
      </c>
      <c r="P3338">
        <v>1</v>
      </c>
    </row>
    <row r="3339" spans="1:16" x14ac:dyDescent="0.25">
      <c r="A3339" s="4">
        <v>44679</v>
      </c>
      <c r="B3339" t="s">
        <v>10</v>
      </c>
      <c r="C3339">
        <v>1</v>
      </c>
      <c r="F3339">
        <v>226</v>
      </c>
      <c r="J3339">
        <v>1.411</v>
      </c>
      <c r="K3339">
        <v>50.2</v>
      </c>
      <c r="L3339">
        <v>35.6</v>
      </c>
      <c r="M3339">
        <v>166</v>
      </c>
      <c r="N3339">
        <v>15</v>
      </c>
      <c r="O3339">
        <v>7</v>
      </c>
    </row>
    <row r="3340" spans="1:16" x14ac:dyDescent="0.25">
      <c r="A3340" s="4">
        <v>44679</v>
      </c>
      <c r="B3340" t="s">
        <v>9</v>
      </c>
      <c r="C3340">
        <v>1</v>
      </c>
      <c r="F3340">
        <v>253</v>
      </c>
      <c r="J3340">
        <v>1.22</v>
      </c>
      <c r="K3340">
        <v>50.6</v>
      </c>
      <c r="L3340">
        <v>41.5</v>
      </c>
      <c r="M3340">
        <v>147</v>
      </c>
      <c r="N3340">
        <v>19</v>
      </c>
      <c r="O3340">
        <v>10</v>
      </c>
      <c r="P3340">
        <v>3</v>
      </c>
    </row>
    <row r="3341" spans="1:16" x14ac:dyDescent="0.25">
      <c r="A3341" s="4">
        <v>44680</v>
      </c>
      <c r="B3341" t="s">
        <v>10</v>
      </c>
      <c r="C3341">
        <v>1</v>
      </c>
      <c r="F3341">
        <v>254</v>
      </c>
      <c r="J3341">
        <v>1.2190000000000001</v>
      </c>
      <c r="K3341">
        <v>41.6</v>
      </c>
      <c r="L3341">
        <v>34.200000000000003</v>
      </c>
      <c r="M3341">
        <v>200</v>
      </c>
      <c r="N3341">
        <v>15</v>
      </c>
      <c r="O3341">
        <v>7</v>
      </c>
    </row>
    <row r="3342" spans="1:16" x14ac:dyDescent="0.25">
      <c r="A3342" s="4">
        <v>44680</v>
      </c>
      <c r="B3342" t="s">
        <v>9</v>
      </c>
      <c r="C3342">
        <v>1</v>
      </c>
      <c r="F3342">
        <v>284</v>
      </c>
      <c r="J3342">
        <v>1.1539999999999999</v>
      </c>
      <c r="K3342">
        <v>43</v>
      </c>
      <c r="L3342">
        <v>37.299999999999997</v>
      </c>
      <c r="M3342">
        <v>221</v>
      </c>
      <c r="N3342">
        <v>18</v>
      </c>
      <c r="O3342">
        <v>3</v>
      </c>
      <c r="P3342">
        <v>2</v>
      </c>
    </row>
    <row r="3343" spans="1:16" x14ac:dyDescent="0.25">
      <c r="A3343" s="4">
        <v>44683</v>
      </c>
      <c r="B3343" t="s">
        <v>10</v>
      </c>
      <c r="C3343">
        <v>1</v>
      </c>
      <c r="F3343">
        <v>171</v>
      </c>
      <c r="J3343">
        <v>1.1479999999999999</v>
      </c>
      <c r="K3343">
        <v>38.9</v>
      </c>
      <c r="L3343">
        <v>33.9</v>
      </c>
      <c r="M3343">
        <v>136</v>
      </c>
      <c r="N3343">
        <v>13</v>
      </c>
      <c r="O3343">
        <v>2</v>
      </c>
    </row>
    <row r="3344" spans="1:16" x14ac:dyDescent="0.25">
      <c r="A3344" s="4">
        <v>44683</v>
      </c>
      <c r="B3344" t="s">
        <v>9</v>
      </c>
      <c r="C3344">
        <v>1</v>
      </c>
      <c r="F3344">
        <v>206</v>
      </c>
      <c r="J3344">
        <v>1.101</v>
      </c>
      <c r="K3344">
        <v>42</v>
      </c>
      <c r="L3344">
        <v>38.200000000000003</v>
      </c>
      <c r="M3344">
        <v>154</v>
      </c>
      <c r="N3344">
        <v>18</v>
      </c>
      <c r="O3344">
        <v>4</v>
      </c>
    </row>
    <row r="3345" spans="1:16" x14ac:dyDescent="0.25">
      <c r="A3345" s="4">
        <v>44684</v>
      </c>
      <c r="B3345" t="s">
        <v>10</v>
      </c>
      <c r="C3345">
        <v>1</v>
      </c>
      <c r="F3345">
        <v>251</v>
      </c>
      <c r="J3345">
        <v>1.1839999999999999</v>
      </c>
      <c r="K3345">
        <v>43.3</v>
      </c>
      <c r="L3345">
        <v>36.5</v>
      </c>
      <c r="M3345">
        <v>181</v>
      </c>
      <c r="N3345">
        <v>19</v>
      </c>
      <c r="O3345">
        <v>5</v>
      </c>
      <c r="P3345">
        <v>1</v>
      </c>
    </row>
    <row r="3346" spans="1:16" x14ac:dyDescent="0.25">
      <c r="A3346" s="4">
        <v>44684</v>
      </c>
      <c r="B3346" t="s">
        <v>9</v>
      </c>
      <c r="C3346">
        <v>1</v>
      </c>
      <c r="F3346">
        <v>246</v>
      </c>
      <c r="J3346">
        <v>1.1659999999999999</v>
      </c>
      <c r="K3346">
        <v>43.2</v>
      </c>
      <c r="L3346">
        <v>37</v>
      </c>
      <c r="M3346">
        <v>176</v>
      </c>
      <c r="N3346">
        <v>26</v>
      </c>
      <c r="O3346">
        <v>5</v>
      </c>
    </row>
    <row r="3347" spans="1:16" x14ac:dyDescent="0.25">
      <c r="A3347" s="4">
        <v>44685</v>
      </c>
      <c r="B3347" t="s">
        <v>10</v>
      </c>
      <c r="C3347">
        <v>1</v>
      </c>
      <c r="F3347">
        <v>240</v>
      </c>
      <c r="J3347">
        <v>1.321</v>
      </c>
      <c r="K3347">
        <v>46.2</v>
      </c>
      <c r="L3347">
        <v>34.9</v>
      </c>
      <c r="M3347">
        <v>180</v>
      </c>
      <c r="N3347">
        <v>17</v>
      </c>
      <c r="O3347">
        <v>7</v>
      </c>
    </row>
    <row r="3348" spans="1:16" x14ac:dyDescent="0.25">
      <c r="A3348" s="4">
        <v>44685</v>
      </c>
      <c r="B3348" t="s">
        <v>9</v>
      </c>
      <c r="C3348">
        <v>1</v>
      </c>
      <c r="F3348">
        <v>210</v>
      </c>
      <c r="J3348">
        <v>1.1950000000000001</v>
      </c>
      <c r="K3348">
        <v>44.7</v>
      </c>
      <c r="L3348">
        <v>37.4</v>
      </c>
      <c r="M3348">
        <v>158</v>
      </c>
      <c r="N3348">
        <v>17</v>
      </c>
      <c r="O3348">
        <v>3</v>
      </c>
    </row>
    <row r="3349" spans="1:16" x14ac:dyDescent="0.25">
      <c r="A3349" s="4">
        <v>44686</v>
      </c>
      <c r="B3349" t="s">
        <v>10</v>
      </c>
      <c r="C3349">
        <v>1</v>
      </c>
      <c r="F3349">
        <v>317</v>
      </c>
      <c r="J3349">
        <v>1.323</v>
      </c>
      <c r="K3349">
        <v>52.8</v>
      </c>
      <c r="L3349">
        <v>40</v>
      </c>
      <c r="M3349">
        <v>195</v>
      </c>
      <c r="N3349">
        <v>21</v>
      </c>
      <c r="O3349">
        <v>17</v>
      </c>
      <c r="P3349">
        <v>2</v>
      </c>
    </row>
    <row r="3350" spans="1:16" x14ac:dyDescent="0.25">
      <c r="A3350" s="4">
        <v>44686</v>
      </c>
      <c r="B3350" t="s">
        <v>9</v>
      </c>
      <c r="C3350">
        <v>1</v>
      </c>
      <c r="F3350">
        <v>303</v>
      </c>
      <c r="J3350">
        <v>1.327</v>
      </c>
      <c r="K3350">
        <v>53.2</v>
      </c>
      <c r="L3350">
        <v>40.1</v>
      </c>
      <c r="M3350">
        <v>198</v>
      </c>
      <c r="N3350">
        <v>23</v>
      </c>
      <c r="O3350">
        <v>10</v>
      </c>
      <c r="P3350">
        <v>3</v>
      </c>
    </row>
    <row r="3351" spans="1:16" x14ac:dyDescent="0.25">
      <c r="A3351" s="4">
        <v>44687</v>
      </c>
      <c r="B3351" t="s">
        <v>10</v>
      </c>
      <c r="C3351">
        <v>1</v>
      </c>
      <c r="F3351">
        <v>228</v>
      </c>
      <c r="J3351">
        <v>1.1439999999999999</v>
      </c>
      <c r="K3351">
        <v>40</v>
      </c>
      <c r="L3351">
        <v>35</v>
      </c>
      <c r="M3351">
        <v>179</v>
      </c>
      <c r="N3351">
        <v>17</v>
      </c>
      <c r="O3351">
        <v>5</v>
      </c>
    </row>
    <row r="3352" spans="1:16" x14ac:dyDescent="0.25">
      <c r="A3352" s="4">
        <v>44687</v>
      </c>
      <c r="B3352" t="s">
        <v>9</v>
      </c>
      <c r="C3352">
        <v>1</v>
      </c>
      <c r="F3352">
        <v>269</v>
      </c>
      <c r="J3352">
        <v>1.2210000000000001</v>
      </c>
      <c r="K3352">
        <v>45.6</v>
      </c>
      <c r="L3352">
        <v>37.299999999999997</v>
      </c>
      <c r="M3352">
        <v>207</v>
      </c>
      <c r="N3352">
        <v>21</v>
      </c>
      <c r="O3352">
        <v>5</v>
      </c>
    </row>
    <row r="3353" spans="1:16" x14ac:dyDescent="0.25">
      <c r="A3353" s="4">
        <v>44690</v>
      </c>
      <c r="B3353" t="s">
        <v>10</v>
      </c>
      <c r="C3353">
        <v>1</v>
      </c>
      <c r="F3353">
        <v>196</v>
      </c>
      <c r="J3353">
        <v>1.155</v>
      </c>
      <c r="K3353">
        <v>40.799999999999997</v>
      </c>
      <c r="L3353">
        <v>35.4</v>
      </c>
      <c r="M3353">
        <v>157</v>
      </c>
      <c r="N3353">
        <v>16</v>
      </c>
      <c r="O3353">
        <v>2</v>
      </c>
    </row>
    <row r="3354" spans="1:16" x14ac:dyDescent="0.25">
      <c r="A3354" s="4">
        <v>44690</v>
      </c>
      <c r="B3354" t="s">
        <v>9</v>
      </c>
      <c r="C3354">
        <v>1</v>
      </c>
      <c r="F3354">
        <v>230</v>
      </c>
      <c r="J3354">
        <v>1.3460000000000001</v>
      </c>
      <c r="K3354">
        <v>47.9</v>
      </c>
      <c r="L3354">
        <v>35.6</v>
      </c>
      <c r="M3354">
        <v>188</v>
      </c>
      <c r="N3354">
        <v>16</v>
      </c>
      <c r="O3354">
        <v>3</v>
      </c>
    </row>
    <row r="3355" spans="1:16" x14ac:dyDescent="0.25">
      <c r="A3355" s="4">
        <v>44691</v>
      </c>
      <c r="B3355" t="s">
        <v>10</v>
      </c>
      <c r="C3355">
        <v>1</v>
      </c>
      <c r="F3355">
        <v>249</v>
      </c>
      <c r="J3355">
        <v>1.282</v>
      </c>
      <c r="K3355">
        <v>44.5</v>
      </c>
      <c r="L3355">
        <v>34.700000000000003</v>
      </c>
      <c r="M3355">
        <v>185</v>
      </c>
      <c r="N3355">
        <v>16</v>
      </c>
      <c r="O3355">
        <v>8</v>
      </c>
    </row>
    <row r="3356" spans="1:16" x14ac:dyDescent="0.25">
      <c r="A3356" s="4">
        <v>44691</v>
      </c>
      <c r="B3356" t="s">
        <v>9</v>
      </c>
      <c r="C3356">
        <v>1</v>
      </c>
      <c r="F3356">
        <v>247</v>
      </c>
      <c r="J3356">
        <v>1.175</v>
      </c>
      <c r="K3356">
        <v>45.7</v>
      </c>
      <c r="L3356">
        <v>38.9</v>
      </c>
      <c r="M3356">
        <v>180</v>
      </c>
      <c r="N3356">
        <v>16</v>
      </c>
      <c r="O3356">
        <v>5</v>
      </c>
      <c r="P3356">
        <v>1</v>
      </c>
    </row>
    <row r="3357" spans="1:16" x14ac:dyDescent="0.25">
      <c r="A3357" s="4">
        <v>44692</v>
      </c>
      <c r="B3357" t="s">
        <v>10</v>
      </c>
      <c r="C3357">
        <v>1</v>
      </c>
      <c r="F3357">
        <v>211</v>
      </c>
      <c r="J3357">
        <v>1.171</v>
      </c>
      <c r="K3357">
        <v>42.2</v>
      </c>
      <c r="L3357">
        <v>36</v>
      </c>
      <c r="M3357">
        <v>153</v>
      </c>
      <c r="N3357">
        <v>13</v>
      </c>
      <c r="O3357">
        <v>10</v>
      </c>
    </row>
    <row r="3358" spans="1:16" x14ac:dyDescent="0.25">
      <c r="A3358" s="4">
        <v>44692</v>
      </c>
      <c r="B3358" t="s">
        <v>9</v>
      </c>
      <c r="C3358">
        <v>1</v>
      </c>
      <c r="F3358">
        <v>238</v>
      </c>
      <c r="J3358">
        <v>1.232</v>
      </c>
      <c r="K3358">
        <v>45.8</v>
      </c>
      <c r="L3358">
        <v>37.200000000000003</v>
      </c>
      <c r="M3358">
        <v>193</v>
      </c>
      <c r="N3358">
        <v>11</v>
      </c>
      <c r="O3358">
        <v>1</v>
      </c>
      <c r="P3358">
        <v>2</v>
      </c>
    </row>
    <row r="3359" spans="1:16" x14ac:dyDescent="0.25">
      <c r="A3359" s="4">
        <v>44693</v>
      </c>
      <c r="B3359" t="s">
        <v>10</v>
      </c>
      <c r="C3359">
        <v>1</v>
      </c>
      <c r="F3359">
        <v>237</v>
      </c>
      <c r="J3359">
        <v>1.2509999999999999</v>
      </c>
      <c r="K3359">
        <v>45.6</v>
      </c>
      <c r="L3359">
        <v>36.4</v>
      </c>
      <c r="M3359">
        <v>160</v>
      </c>
      <c r="N3359">
        <v>22</v>
      </c>
      <c r="O3359">
        <v>8</v>
      </c>
      <c r="P3359">
        <v>1</v>
      </c>
    </row>
    <row r="3360" spans="1:16" x14ac:dyDescent="0.25">
      <c r="A3360" s="4">
        <v>44693</v>
      </c>
      <c r="B3360" t="s">
        <v>9</v>
      </c>
      <c r="C3360">
        <v>1</v>
      </c>
      <c r="F3360">
        <v>233</v>
      </c>
      <c r="J3360">
        <v>1.2090000000000001</v>
      </c>
      <c r="K3360">
        <v>44.8</v>
      </c>
      <c r="L3360">
        <v>37.1</v>
      </c>
      <c r="M3360">
        <v>180</v>
      </c>
      <c r="N3360">
        <v>13</v>
      </c>
      <c r="O3360">
        <v>3</v>
      </c>
      <c r="P3360">
        <v>2</v>
      </c>
    </row>
    <row r="3361" spans="1:16" x14ac:dyDescent="0.25">
      <c r="A3361" s="4">
        <v>44694</v>
      </c>
      <c r="B3361" t="s">
        <v>10</v>
      </c>
      <c r="C3361">
        <v>1</v>
      </c>
      <c r="F3361">
        <v>177</v>
      </c>
      <c r="J3361">
        <v>1.2270000000000001</v>
      </c>
      <c r="K3361">
        <v>42.1</v>
      </c>
      <c r="L3361">
        <v>34.299999999999997</v>
      </c>
      <c r="M3361">
        <v>136</v>
      </c>
      <c r="N3361">
        <v>19</v>
      </c>
      <c r="O3361">
        <v>1</v>
      </c>
    </row>
    <row r="3362" spans="1:16" x14ac:dyDescent="0.25">
      <c r="A3362" s="4">
        <v>44694</v>
      </c>
      <c r="B3362" t="s">
        <v>9</v>
      </c>
      <c r="C3362">
        <v>1</v>
      </c>
      <c r="F3362">
        <v>183</v>
      </c>
      <c r="J3362">
        <v>1.143</v>
      </c>
      <c r="K3362">
        <v>43.6</v>
      </c>
      <c r="L3362">
        <v>38.1</v>
      </c>
      <c r="M3362">
        <v>127</v>
      </c>
      <c r="N3362">
        <v>27</v>
      </c>
    </row>
    <row r="3363" spans="1:16" x14ac:dyDescent="0.25">
      <c r="A3363" s="4">
        <v>44697</v>
      </c>
      <c r="B3363" t="s">
        <v>10</v>
      </c>
      <c r="C3363">
        <v>1</v>
      </c>
      <c r="F3363">
        <v>254</v>
      </c>
      <c r="J3363">
        <v>1.1259999999999999</v>
      </c>
      <c r="K3363">
        <v>41</v>
      </c>
      <c r="L3363">
        <v>36.4</v>
      </c>
      <c r="M3363">
        <v>162</v>
      </c>
      <c r="N3363">
        <v>25</v>
      </c>
      <c r="O3363">
        <v>9</v>
      </c>
    </row>
    <row r="3364" spans="1:16" x14ac:dyDescent="0.25">
      <c r="A3364" s="4">
        <v>44697</v>
      </c>
      <c r="B3364" t="s">
        <v>9</v>
      </c>
      <c r="C3364">
        <v>1</v>
      </c>
      <c r="F3364">
        <v>278</v>
      </c>
      <c r="J3364">
        <v>1.119</v>
      </c>
      <c r="K3364">
        <v>41.5</v>
      </c>
      <c r="L3364">
        <v>37.1</v>
      </c>
      <c r="M3364">
        <v>198</v>
      </c>
      <c r="N3364">
        <v>26</v>
      </c>
      <c r="O3364">
        <v>7</v>
      </c>
    </row>
    <row r="3365" spans="1:16" x14ac:dyDescent="0.25">
      <c r="A3365" s="4">
        <v>44698</v>
      </c>
      <c r="B3365" t="s">
        <v>10</v>
      </c>
      <c r="C3365">
        <v>1</v>
      </c>
      <c r="F3365">
        <v>264</v>
      </c>
      <c r="J3365">
        <v>1.2030000000000001</v>
      </c>
      <c r="K3365">
        <v>42.6</v>
      </c>
      <c r="L3365">
        <v>35.4</v>
      </c>
      <c r="M3365">
        <v>207</v>
      </c>
      <c r="N3365">
        <v>19</v>
      </c>
      <c r="O3365">
        <v>5</v>
      </c>
    </row>
    <row r="3366" spans="1:16" x14ac:dyDescent="0.25">
      <c r="A3366" s="4">
        <v>44698</v>
      </c>
      <c r="B3366" t="s">
        <v>9</v>
      </c>
      <c r="C3366">
        <v>1</v>
      </c>
      <c r="F3366">
        <v>276</v>
      </c>
      <c r="J3366">
        <v>1.167</v>
      </c>
      <c r="K3366">
        <v>43.8</v>
      </c>
      <c r="L3366">
        <v>37.6</v>
      </c>
      <c r="M3366">
        <v>197</v>
      </c>
      <c r="N3366">
        <v>32</v>
      </c>
      <c r="O3366">
        <v>4</v>
      </c>
    </row>
    <row r="3367" spans="1:16" x14ac:dyDescent="0.25">
      <c r="A3367" s="4">
        <v>44699</v>
      </c>
      <c r="B3367" t="s">
        <v>10</v>
      </c>
      <c r="C3367">
        <v>1</v>
      </c>
      <c r="F3367">
        <v>244</v>
      </c>
      <c r="J3367">
        <v>1.363</v>
      </c>
      <c r="K3367">
        <v>46</v>
      </c>
      <c r="L3367">
        <v>33.799999999999997</v>
      </c>
      <c r="M3367">
        <v>197</v>
      </c>
      <c r="N3367">
        <v>20</v>
      </c>
      <c r="P3367">
        <v>1</v>
      </c>
    </row>
    <row r="3368" spans="1:16" x14ac:dyDescent="0.25">
      <c r="A3368" s="4">
        <v>44699</v>
      </c>
      <c r="B3368" t="s">
        <v>9</v>
      </c>
      <c r="C3368">
        <v>1</v>
      </c>
      <c r="F3368">
        <v>265</v>
      </c>
      <c r="J3368">
        <v>1.17</v>
      </c>
      <c r="K3368">
        <v>42.1</v>
      </c>
      <c r="L3368">
        <v>35.9</v>
      </c>
      <c r="M3368">
        <v>204</v>
      </c>
      <c r="N3368">
        <v>21</v>
      </c>
      <c r="O3368">
        <v>6</v>
      </c>
    </row>
    <row r="3369" spans="1:16" x14ac:dyDescent="0.25">
      <c r="A3369" s="4">
        <v>44700</v>
      </c>
      <c r="B3369" t="s">
        <v>10</v>
      </c>
      <c r="C3369">
        <v>1</v>
      </c>
      <c r="F3369">
        <v>216</v>
      </c>
      <c r="J3369">
        <v>1.246</v>
      </c>
      <c r="K3369">
        <v>44.1</v>
      </c>
      <c r="L3369">
        <v>35.4</v>
      </c>
      <c r="M3369">
        <v>173</v>
      </c>
      <c r="N3369">
        <v>15</v>
      </c>
      <c r="O3369">
        <v>4</v>
      </c>
    </row>
    <row r="3370" spans="1:16" x14ac:dyDescent="0.25">
      <c r="A3370" s="4">
        <v>44700</v>
      </c>
      <c r="B3370" t="s">
        <v>9</v>
      </c>
      <c r="C3370">
        <v>1</v>
      </c>
      <c r="F3370">
        <v>205</v>
      </c>
      <c r="J3370">
        <v>1.214</v>
      </c>
      <c r="K3370">
        <v>43.6</v>
      </c>
      <c r="L3370">
        <v>35.9</v>
      </c>
      <c r="M3370">
        <v>180</v>
      </c>
      <c r="N3370">
        <v>10</v>
      </c>
      <c r="O3370">
        <v>1</v>
      </c>
    </row>
    <row r="3371" spans="1:16" x14ac:dyDescent="0.25">
      <c r="A3371" s="4">
        <v>44701</v>
      </c>
      <c r="B3371" t="s">
        <v>10</v>
      </c>
      <c r="C3371">
        <v>1</v>
      </c>
      <c r="F3371">
        <v>196</v>
      </c>
      <c r="J3371">
        <v>1.2350000000000001</v>
      </c>
      <c r="K3371">
        <v>43.6</v>
      </c>
      <c r="L3371">
        <v>35.299999999999997</v>
      </c>
      <c r="M3371">
        <v>145</v>
      </c>
      <c r="N3371">
        <v>18</v>
      </c>
      <c r="O3371">
        <v>4</v>
      </c>
    </row>
    <row r="3372" spans="1:16" x14ac:dyDescent="0.25">
      <c r="A3372" s="4">
        <v>44701</v>
      </c>
      <c r="B3372" t="s">
        <v>9</v>
      </c>
      <c r="C3372">
        <v>1</v>
      </c>
      <c r="F3372">
        <v>167</v>
      </c>
      <c r="J3372">
        <v>0.94</v>
      </c>
      <c r="K3372">
        <v>37.1</v>
      </c>
      <c r="L3372">
        <v>39.5</v>
      </c>
      <c r="M3372">
        <v>110</v>
      </c>
      <c r="N3372">
        <v>19</v>
      </c>
      <c r="O3372">
        <v>4</v>
      </c>
      <c r="P3372">
        <v>1</v>
      </c>
    </row>
    <row r="3373" spans="1:16" x14ac:dyDescent="0.25">
      <c r="A3373" s="4">
        <v>44704</v>
      </c>
      <c r="B3373" t="s">
        <v>10</v>
      </c>
      <c r="C3373">
        <v>1</v>
      </c>
      <c r="F3373">
        <v>218</v>
      </c>
      <c r="J3373">
        <v>1.1579999999999999</v>
      </c>
      <c r="K3373">
        <v>41.9</v>
      </c>
      <c r="L3373">
        <v>36.200000000000003</v>
      </c>
      <c r="M3373">
        <v>159</v>
      </c>
      <c r="N3373">
        <v>20</v>
      </c>
      <c r="O3373">
        <v>5</v>
      </c>
    </row>
    <row r="3374" spans="1:16" x14ac:dyDescent="0.25">
      <c r="A3374" s="4">
        <v>44704</v>
      </c>
      <c r="B3374" t="s">
        <v>9</v>
      </c>
      <c r="C3374">
        <v>1</v>
      </c>
      <c r="F3374">
        <v>264</v>
      </c>
      <c r="J3374">
        <v>1.202</v>
      </c>
      <c r="K3374">
        <v>38.5</v>
      </c>
      <c r="L3374">
        <v>178</v>
      </c>
      <c r="M3374">
        <v>25</v>
      </c>
      <c r="N3374">
        <v>7</v>
      </c>
      <c r="O3374">
        <v>1</v>
      </c>
    </row>
    <row r="3375" spans="1:16" x14ac:dyDescent="0.25">
      <c r="A3375" s="4">
        <v>44705</v>
      </c>
      <c r="B3375" t="s">
        <v>10</v>
      </c>
      <c r="C3375">
        <v>1</v>
      </c>
      <c r="F3375">
        <v>218</v>
      </c>
      <c r="J3375">
        <v>1.3029999999999999</v>
      </c>
      <c r="K3375">
        <v>45.4</v>
      </c>
      <c r="L3375">
        <v>34.9</v>
      </c>
      <c r="M3375">
        <v>171</v>
      </c>
      <c r="N3375">
        <v>17</v>
      </c>
      <c r="O3375">
        <v>1</v>
      </c>
      <c r="P3375">
        <v>1</v>
      </c>
    </row>
    <row r="3376" spans="1:16" x14ac:dyDescent="0.25">
      <c r="A3376" s="4">
        <v>44705</v>
      </c>
      <c r="B3376" t="s">
        <v>9</v>
      </c>
      <c r="C3376">
        <v>1</v>
      </c>
      <c r="F3376">
        <v>219</v>
      </c>
      <c r="J3376">
        <v>1.2370000000000001</v>
      </c>
      <c r="K3376">
        <v>45.6</v>
      </c>
      <c r="L3376">
        <v>36.9</v>
      </c>
      <c r="M3376">
        <v>170</v>
      </c>
      <c r="N3376">
        <v>19</v>
      </c>
      <c r="O3376">
        <v>3</v>
      </c>
    </row>
    <row r="3377" spans="1:16" x14ac:dyDescent="0.25">
      <c r="A3377" s="4">
        <v>44706</v>
      </c>
      <c r="B3377" t="s">
        <v>10</v>
      </c>
      <c r="C3377">
        <v>1</v>
      </c>
      <c r="F3377">
        <v>231</v>
      </c>
      <c r="J3377">
        <v>1.1419999999999999</v>
      </c>
      <c r="K3377">
        <v>42</v>
      </c>
      <c r="L3377">
        <v>36.799999999999997</v>
      </c>
      <c r="M3377">
        <v>160</v>
      </c>
      <c r="N3377">
        <v>19</v>
      </c>
      <c r="O3377">
        <v>7</v>
      </c>
    </row>
    <row r="3378" spans="1:16" x14ac:dyDescent="0.25">
      <c r="A3378" s="4">
        <v>44706</v>
      </c>
      <c r="B3378" t="s">
        <v>9</v>
      </c>
      <c r="C3378">
        <v>1</v>
      </c>
      <c r="F3378">
        <v>211</v>
      </c>
      <c r="J3378">
        <v>0.99399999999999999</v>
      </c>
      <c r="K3378">
        <v>38.4</v>
      </c>
      <c r="L3378">
        <v>38.6</v>
      </c>
      <c r="M3378">
        <v>142</v>
      </c>
      <c r="N3378">
        <v>26</v>
      </c>
      <c r="O3378">
        <v>2</v>
      </c>
      <c r="P3378">
        <v>1</v>
      </c>
    </row>
    <row r="3379" spans="1:16" x14ac:dyDescent="0.25">
      <c r="A3379" s="4">
        <v>44707</v>
      </c>
      <c r="B3379" t="s">
        <v>10</v>
      </c>
      <c r="C3379">
        <v>1</v>
      </c>
      <c r="F3379">
        <v>187</v>
      </c>
      <c r="J3379">
        <v>1.2010000000000001</v>
      </c>
      <c r="K3379">
        <v>41.6</v>
      </c>
      <c r="L3379">
        <v>34.6</v>
      </c>
      <c r="M3379">
        <v>149</v>
      </c>
      <c r="N3379">
        <v>15</v>
      </c>
    </row>
    <row r="3380" spans="1:16" x14ac:dyDescent="0.25">
      <c r="A3380" s="4">
        <v>44707</v>
      </c>
      <c r="B3380" t="s">
        <v>9</v>
      </c>
      <c r="C3380">
        <v>1</v>
      </c>
      <c r="F3380">
        <v>195</v>
      </c>
      <c r="J3380">
        <v>1.141</v>
      </c>
      <c r="K3380">
        <v>42.4</v>
      </c>
      <c r="L3380">
        <v>37.200000000000003</v>
      </c>
      <c r="M3380">
        <v>146</v>
      </c>
      <c r="N3380">
        <v>22</v>
      </c>
      <c r="O3380">
        <v>1</v>
      </c>
    </row>
    <row r="3381" spans="1:16" x14ac:dyDescent="0.25">
      <c r="A3381" s="4">
        <v>44708</v>
      </c>
      <c r="B3381" t="s">
        <v>10</v>
      </c>
      <c r="C3381">
        <v>1</v>
      </c>
      <c r="F3381">
        <v>192</v>
      </c>
      <c r="J3381">
        <v>1.169</v>
      </c>
      <c r="K3381">
        <v>42.7</v>
      </c>
      <c r="L3381">
        <v>36.5</v>
      </c>
      <c r="M3381">
        <v>140</v>
      </c>
      <c r="N3381">
        <v>15</v>
      </c>
      <c r="O3381">
        <v>4</v>
      </c>
    </row>
    <row r="3382" spans="1:16" x14ac:dyDescent="0.25">
      <c r="A3382" s="4">
        <v>44708</v>
      </c>
      <c r="B3382" t="s">
        <v>9</v>
      </c>
      <c r="C3382">
        <v>1</v>
      </c>
      <c r="F3382">
        <v>230</v>
      </c>
      <c r="J3382">
        <v>1.214</v>
      </c>
      <c r="K3382">
        <v>46</v>
      </c>
      <c r="L3382">
        <v>37.9</v>
      </c>
      <c r="M3382">
        <v>175</v>
      </c>
      <c r="N3382">
        <v>22</v>
      </c>
      <c r="O3382">
        <v>3</v>
      </c>
    </row>
    <row r="3383" spans="1:16" x14ac:dyDescent="0.25">
      <c r="A3383" s="4">
        <v>44712</v>
      </c>
      <c r="B3383" t="s">
        <v>9</v>
      </c>
      <c r="C3383">
        <v>1</v>
      </c>
      <c r="F3383">
        <v>325</v>
      </c>
      <c r="J3383">
        <v>1.167</v>
      </c>
      <c r="K3383">
        <v>45.1</v>
      </c>
      <c r="L3383">
        <v>38.700000000000003</v>
      </c>
      <c r="M3383">
        <v>210</v>
      </c>
      <c r="N3383">
        <v>32</v>
      </c>
      <c r="O3383">
        <v>12</v>
      </c>
      <c r="P3383">
        <v>1</v>
      </c>
    </row>
    <row r="3384" spans="1:16" x14ac:dyDescent="0.25">
      <c r="A3384" s="4">
        <v>44713</v>
      </c>
      <c r="B3384" t="s">
        <v>10</v>
      </c>
      <c r="C3384">
        <v>1</v>
      </c>
      <c r="F3384">
        <v>118</v>
      </c>
      <c r="J3384">
        <v>1.238</v>
      </c>
      <c r="K3384">
        <v>40.700000000000003</v>
      </c>
      <c r="L3384">
        <v>32.9</v>
      </c>
      <c r="M3384">
        <v>101</v>
      </c>
      <c r="N3384">
        <v>7</v>
      </c>
      <c r="O3384">
        <v>1</v>
      </c>
    </row>
    <row r="3385" spans="1:16" x14ac:dyDescent="0.25">
      <c r="A3385" s="4">
        <v>44713</v>
      </c>
      <c r="B3385" t="s">
        <v>9</v>
      </c>
      <c r="C3385">
        <v>1</v>
      </c>
      <c r="F3385">
        <v>311</v>
      </c>
      <c r="J3385">
        <v>1.137</v>
      </c>
      <c r="K3385">
        <v>43.2</v>
      </c>
      <c r="L3385">
        <v>38</v>
      </c>
      <c r="M3385">
        <v>211</v>
      </c>
      <c r="N3385">
        <v>34</v>
      </c>
      <c r="O3385">
        <v>6</v>
      </c>
      <c r="P3385">
        <v>1</v>
      </c>
    </row>
    <row r="3386" spans="1:16" x14ac:dyDescent="0.25">
      <c r="A3386" s="4">
        <v>44714</v>
      </c>
      <c r="B3386" t="s">
        <v>10</v>
      </c>
      <c r="C3386">
        <v>1</v>
      </c>
      <c r="F3386">
        <v>257</v>
      </c>
      <c r="J3386">
        <v>1.137</v>
      </c>
      <c r="K3386">
        <v>41.5</v>
      </c>
      <c r="L3386">
        <v>36.5</v>
      </c>
      <c r="M3386">
        <v>184</v>
      </c>
      <c r="N3386">
        <v>25</v>
      </c>
      <c r="O3386">
        <v>4</v>
      </c>
      <c r="P3386">
        <v>1</v>
      </c>
    </row>
    <row r="3387" spans="1:16" x14ac:dyDescent="0.25">
      <c r="A3387" s="4">
        <v>44714</v>
      </c>
      <c r="B3387" t="s">
        <v>9</v>
      </c>
      <c r="C3387">
        <v>1</v>
      </c>
      <c r="F3387">
        <v>247</v>
      </c>
      <c r="J3387">
        <v>1.1379999999999999</v>
      </c>
      <c r="K3387">
        <v>41.2</v>
      </c>
      <c r="L3387">
        <v>36.200000000000003</v>
      </c>
      <c r="M3387">
        <v>193</v>
      </c>
      <c r="N3387">
        <v>22</v>
      </c>
      <c r="O3387">
        <v>2</v>
      </c>
    </row>
    <row r="3388" spans="1:16" x14ac:dyDescent="0.25">
      <c r="A3388" s="4">
        <v>44715</v>
      </c>
      <c r="B3388" t="s">
        <v>10</v>
      </c>
      <c r="C3388">
        <v>1</v>
      </c>
      <c r="F3388">
        <v>195</v>
      </c>
      <c r="J3388">
        <v>1.155</v>
      </c>
      <c r="K3388">
        <v>41.5</v>
      </c>
      <c r="L3388">
        <v>35.9</v>
      </c>
      <c r="M3388">
        <v>144</v>
      </c>
      <c r="N3388">
        <v>21</v>
      </c>
      <c r="O3388">
        <v>2</v>
      </c>
    </row>
    <row r="3389" spans="1:16" x14ac:dyDescent="0.25">
      <c r="A3389" s="4">
        <v>44715</v>
      </c>
      <c r="B3389" t="s">
        <v>9</v>
      </c>
      <c r="C3389">
        <v>1</v>
      </c>
      <c r="F3389">
        <v>196</v>
      </c>
      <c r="J3389">
        <v>1.0760000000000001</v>
      </c>
      <c r="K3389">
        <v>41.7</v>
      </c>
      <c r="L3389">
        <v>38.799999999999997</v>
      </c>
      <c r="M3389">
        <v>119</v>
      </c>
      <c r="N3389">
        <v>30</v>
      </c>
      <c r="O3389">
        <v>3</v>
      </c>
      <c r="P3389">
        <v>1</v>
      </c>
    </row>
    <row r="3390" spans="1:16" x14ac:dyDescent="0.25">
      <c r="A3390" s="4">
        <v>44718</v>
      </c>
      <c r="B3390" t="s">
        <v>10</v>
      </c>
      <c r="C3390">
        <v>1</v>
      </c>
      <c r="F3390">
        <v>251</v>
      </c>
      <c r="J3390">
        <v>1.2250000000000001</v>
      </c>
      <c r="K3390">
        <v>47.4</v>
      </c>
      <c r="L3390">
        <v>38.700000000000003</v>
      </c>
      <c r="M3390">
        <v>149</v>
      </c>
      <c r="N3390">
        <v>27</v>
      </c>
      <c r="O3390">
        <v>7</v>
      </c>
      <c r="P3390">
        <v>2</v>
      </c>
    </row>
    <row r="3391" spans="1:16" x14ac:dyDescent="0.25">
      <c r="A3391" s="4">
        <v>44718</v>
      </c>
      <c r="B3391" t="s">
        <v>9</v>
      </c>
      <c r="C3391">
        <v>1</v>
      </c>
      <c r="F3391">
        <v>224</v>
      </c>
      <c r="J3391">
        <v>1.08</v>
      </c>
      <c r="K3391">
        <v>42.3</v>
      </c>
      <c r="L3391">
        <v>39.1</v>
      </c>
      <c r="M3391">
        <v>147</v>
      </c>
      <c r="N3391">
        <v>20</v>
      </c>
      <c r="O3391">
        <v>8</v>
      </c>
      <c r="P3391">
        <v>1</v>
      </c>
    </row>
    <row r="3392" spans="1:16" x14ac:dyDescent="0.25">
      <c r="A3392" s="4">
        <v>44719</v>
      </c>
      <c r="B3392" t="s">
        <v>10</v>
      </c>
      <c r="C3392">
        <v>1</v>
      </c>
      <c r="F3392">
        <v>236</v>
      </c>
      <c r="J3392">
        <v>1.198</v>
      </c>
      <c r="K3392">
        <v>43.7</v>
      </c>
      <c r="L3392">
        <v>36.5</v>
      </c>
      <c r="M3392">
        <v>154</v>
      </c>
      <c r="N3392">
        <v>20</v>
      </c>
      <c r="O3392">
        <v>7</v>
      </c>
      <c r="P3392">
        <v>1</v>
      </c>
    </row>
    <row r="3393" spans="1:16" x14ac:dyDescent="0.25">
      <c r="A3393" s="4">
        <v>44719</v>
      </c>
      <c r="B3393" t="s">
        <v>9</v>
      </c>
      <c r="C3393">
        <v>1</v>
      </c>
      <c r="F3393">
        <v>241</v>
      </c>
      <c r="J3393">
        <v>1.2210000000000001</v>
      </c>
      <c r="K3393">
        <v>44.6</v>
      </c>
      <c r="L3393">
        <v>36.6</v>
      </c>
      <c r="M3393">
        <v>174</v>
      </c>
      <c r="N3393">
        <v>23</v>
      </c>
      <c r="O3393">
        <v>2</v>
      </c>
      <c r="P3393">
        <v>2</v>
      </c>
    </row>
    <row r="3394" spans="1:16" x14ac:dyDescent="0.25">
      <c r="A3394" s="4">
        <v>44720</v>
      </c>
      <c r="B3394" t="s">
        <v>10</v>
      </c>
      <c r="C3394">
        <v>1</v>
      </c>
      <c r="F3394">
        <v>223</v>
      </c>
      <c r="J3394">
        <v>1.1779999999999999</v>
      </c>
      <c r="K3394">
        <v>44.6</v>
      </c>
      <c r="L3394">
        <v>37.9</v>
      </c>
      <c r="M3394">
        <v>137</v>
      </c>
      <c r="N3394">
        <v>16</v>
      </c>
      <c r="O3394">
        <v>14</v>
      </c>
    </row>
    <row r="3395" spans="1:16" x14ac:dyDescent="0.25">
      <c r="A3395" s="4">
        <v>44720</v>
      </c>
      <c r="B3395" t="s">
        <v>9</v>
      </c>
      <c r="C3395">
        <v>1</v>
      </c>
      <c r="F3395">
        <v>217</v>
      </c>
      <c r="J3395">
        <v>1.1220000000000001</v>
      </c>
      <c r="K3395">
        <v>43.4</v>
      </c>
      <c r="L3395">
        <v>38.700000000000003</v>
      </c>
      <c r="M3395">
        <v>147</v>
      </c>
      <c r="N3395">
        <v>24</v>
      </c>
      <c r="O3395">
        <v>5</v>
      </c>
    </row>
    <row r="3396" spans="1:16" x14ac:dyDescent="0.25">
      <c r="A3396" s="4">
        <v>44721</v>
      </c>
      <c r="B3396" t="s">
        <v>10</v>
      </c>
      <c r="C3396">
        <v>1</v>
      </c>
      <c r="F3396">
        <v>207</v>
      </c>
      <c r="J3396">
        <v>1.1990000000000001</v>
      </c>
      <c r="K3396">
        <v>42.2</v>
      </c>
      <c r="L3396">
        <v>35.200000000000003</v>
      </c>
      <c r="M3396">
        <v>157</v>
      </c>
      <c r="N3396">
        <v>16</v>
      </c>
      <c r="O3396">
        <v>3</v>
      </c>
    </row>
    <row r="3397" spans="1:16" x14ac:dyDescent="0.25">
      <c r="A3397" s="4">
        <v>44721</v>
      </c>
      <c r="B3397" t="s">
        <v>9</v>
      </c>
      <c r="C3397">
        <v>1</v>
      </c>
      <c r="F3397">
        <v>216</v>
      </c>
      <c r="J3397">
        <v>1.155</v>
      </c>
      <c r="K3397">
        <v>43.2</v>
      </c>
      <c r="L3397">
        <v>37.4</v>
      </c>
      <c r="M3397">
        <v>174</v>
      </c>
      <c r="N3397">
        <v>15</v>
      </c>
      <c r="O3397">
        <v>3</v>
      </c>
    </row>
    <row r="3398" spans="1:16" x14ac:dyDescent="0.25">
      <c r="A3398" s="4">
        <v>44722</v>
      </c>
      <c r="B3398" t="s">
        <v>10</v>
      </c>
      <c r="C3398">
        <v>1</v>
      </c>
      <c r="F3398">
        <v>221</v>
      </c>
      <c r="J3398">
        <v>1.2130000000000001</v>
      </c>
      <c r="K3398">
        <v>44.2</v>
      </c>
      <c r="L3398">
        <v>36.4</v>
      </c>
      <c r="M3398">
        <v>173</v>
      </c>
      <c r="N3398">
        <v>15</v>
      </c>
      <c r="O3398">
        <v>3</v>
      </c>
    </row>
    <row r="3399" spans="1:16" x14ac:dyDescent="0.25">
      <c r="A3399" s="4">
        <v>44722</v>
      </c>
      <c r="B3399" t="s">
        <v>9</v>
      </c>
      <c r="C3399">
        <v>1</v>
      </c>
      <c r="F3399">
        <v>186</v>
      </c>
      <c r="J3399">
        <v>1.03</v>
      </c>
      <c r="K3399">
        <v>39.6</v>
      </c>
      <c r="L3399">
        <v>38.4</v>
      </c>
      <c r="M3399">
        <v>120</v>
      </c>
      <c r="N3399">
        <v>28</v>
      </c>
      <c r="O3399">
        <v>2</v>
      </c>
    </row>
    <row r="3400" spans="1:16" x14ac:dyDescent="0.25">
      <c r="A3400" s="4">
        <v>44725</v>
      </c>
      <c r="B3400" t="s">
        <v>9</v>
      </c>
      <c r="C3400">
        <v>1</v>
      </c>
      <c r="F3400">
        <v>248</v>
      </c>
      <c r="J3400">
        <v>1.2090000000000001</v>
      </c>
      <c r="K3400">
        <v>40</v>
      </c>
      <c r="L3400">
        <v>38.9</v>
      </c>
      <c r="M3400">
        <v>146</v>
      </c>
      <c r="N3400">
        <v>27</v>
      </c>
      <c r="O3400">
        <v>9</v>
      </c>
      <c r="P3400">
        <v>2</v>
      </c>
    </row>
    <row r="3401" spans="1:16" x14ac:dyDescent="0.25">
      <c r="A3401" s="4">
        <v>44726</v>
      </c>
      <c r="B3401" t="s">
        <v>9</v>
      </c>
      <c r="C3401">
        <v>1</v>
      </c>
      <c r="F3401">
        <v>369</v>
      </c>
      <c r="J3401">
        <v>1.24</v>
      </c>
      <c r="K3401">
        <v>47.3</v>
      </c>
      <c r="L3401">
        <v>38.5</v>
      </c>
      <c r="M3401">
        <v>235</v>
      </c>
      <c r="N3401">
        <v>39</v>
      </c>
      <c r="O3401">
        <v>9</v>
      </c>
      <c r="P3401">
        <v>2</v>
      </c>
    </row>
    <row r="3402" spans="1:16" x14ac:dyDescent="0.25">
      <c r="A3402" s="4">
        <v>44727</v>
      </c>
      <c r="B3402" t="s">
        <v>10</v>
      </c>
      <c r="C3402">
        <v>1</v>
      </c>
      <c r="F3402">
        <v>129</v>
      </c>
      <c r="J3402">
        <v>1.042</v>
      </c>
      <c r="K3402">
        <v>40.299999999999997</v>
      </c>
      <c r="L3402">
        <v>38.700000000000003</v>
      </c>
      <c r="M3402">
        <v>64</v>
      </c>
      <c r="N3402">
        <v>23</v>
      </c>
      <c r="O3402">
        <v>6</v>
      </c>
    </row>
    <row r="3403" spans="1:16" x14ac:dyDescent="0.25">
      <c r="A3403" s="4">
        <v>44727</v>
      </c>
      <c r="B3403" t="s">
        <v>9</v>
      </c>
      <c r="C3403">
        <v>1</v>
      </c>
      <c r="F3403">
        <v>329</v>
      </c>
      <c r="J3403">
        <v>1.1020000000000001</v>
      </c>
      <c r="K3403">
        <v>40.1</v>
      </c>
      <c r="L3403">
        <v>36.4</v>
      </c>
      <c r="M3403">
        <v>240</v>
      </c>
      <c r="N3403">
        <v>32</v>
      </c>
      <c r="O3403">
        <v>7</v>
      </c>
    </row>
    <row r="3404" spans="1:16" x14ac:dyDescent="0.25">
      <c r="A3404" s="4">
        <v>44728</v>
      </c>
      <c r="B3404" t="s">
        <v>10</v>
      </c>
      <c r="C3404">
        <v>1</v>
      </c>
      <c r="F3404">
        <v>149</v>
      </c>
      <c r="J3404">
        <v>1.0940000000000001</v>
      </c>
      <c r="K3404">
        <v>40.299999999999997</v>
      </c>
      <c r="L3404">
        <v>36.799999999999997</v>
      </c>
      <c r="M3404">
        <v>97</v>
      </c>
      <c r="N3404">
        <v>17</v>
      </c>
      <c r="O3404">
        <v>3</v>
      </c>
      <c r="P3404">
        <v>1</v>
      </c>
    </row>
    <row r="3405" spans="1:16" x14ac:dyDescent="0.25">
      <c r="A3405" s="4">
        <v>44728</v>
      </c>
      <c r="B3405" t="s">
        <v>9</v>
      </c>
      <c r="C3405">
        <v>1</v>
      </c>
      <c r="F3405">
        <v>363</v>
      </c>
      <c r="J3405">
        <v>0.93400000000000005</v>
      </c>
      <c r="K3405">
        <v>41.3</v>
      </c>
      <c r="L3405">
        <v>44.2</v>
      </c>
      <c r="M3405">
        <v>197</v>
      </c>
      <c r="N3405">
        <v>17</v>
      </c>
      <c r="O3405">
        <v>5</v>
      </c>
      <c r="P3405">
        <v>12</v>
      </c>
    </row>
    <row r="3406" spans="1:16" x14ac:dyDescent="0.25">
      <c r="A3406" s="4">
        <v>44729</v>
      </c>
      <c r="B3406" t="s">
        <v>9</v>
      </c>
      <c r="C3406">
        <v>1</v>
      </c>
      <c r="F3406">
        <v>294</v>
      </c>
      <c r="J3406">
        <v>1.0900000000000001</v>
      </c>
      <c r="K3406" t="s">
        <v>96</v>
      </c>
      <c r="L3406">
        <v>37.5</v>
      </c>
      <c r="M3406">
        <v>208</v>
      </c>
      <c r="N3406">
        <v>31</v>
      </c>
      <c r="O3406">
        <v>5</v>
      </c>
    </row>
    <row r="3407" spans="1:16" x14ac:dyDescent="0.25">
      <c r="A3407" s="4">
        <v>44732</v>
      </c>
      <c r="B3407" t="s">
        <v>9</v>
      </c>
      <c r="C3407">
        <v>1</v>
      </c>
      <c r="F3407">
        <v>322</v>
      </c>
      <c r="J3407">
        <v>1.0640000000000001</v>
      </c>
      <c r="K3407">
        <v>40.299999999999997</v>
      </c>
      <c r="L3407">
        <v>37.799999999999997</v>
      </c>
      <c r="M3407">
        <v>202</v>
      </c>
      <c r="N3407">
        <v>50</v>
      </c>
      <c r="O3407">
        <v>4</v>
      </c>
      <c r="P3407">
        <v>1</v>
      </c>
    </row>
    <row r="3408" spans="1:16" x14ac:dyDescent="0.25">
      <c r="A3408" s="4">
        <v>44733</v>
      </c>
      <c r="B3408" t="s">
        <v>10</v>
      </c>
      <c r="C3408">
        <v>1</v>
      </c>
      <c r="F3408">
        <v>138</v>
      </c>
      <c r="J3408">
        <v>1.0429999999999999</v>
      </c>
      <c r="K3408">
        <v>40.6</v>
      </c>
      <c r="L3408">
        <v>38.9</v>
      </c>
      <c r="M3408">
        <v>65</v>
      </c>
      <c r="N3408">
        <v>21</v>
      </c>
      <c r="O3408">
        <v>7</v>
      </c>
      <c r="P3408">
        <v>1</v>
      </c>
    </row>
    <row r="3409" spans="1:16" x14ac:dyDescent="0.25">
      <c r="A3409" s="4">
        <v>44733</v>
      </c>
      <c r="B3409" t="s">
        <v>9</v>
      </c>
      <c r="C3409">
        <v>1</v>
      </c>
      <c r="F3409">
        <v>343</v>
      </c>
      <c r="J3409">
        <v>1.099</v>
      </c>
      <c r="K3409">
        <v>41.8</v>
      </c>
      <c r="L3409">
        <v>38.1</v>
      </c>
      <c r="M3409">
        <v>241</v>
      </c>
      <c r="N3409">
        <v>38</v>
      </c>
      <c r="O3409">
        <v>4</v>
      </c>
      <c r="P3409">
        <v>1</v>
      </c>
    </row>
    <row r="3410" spans="1:16" x14ac:dyDescent="0.25">
      <c r="A3410" s="4">
        <v>44734</v>
      </c>
      <c r="B3410" t="s">
        <v>9</v>
      </c>
      <c r="C3410">
        <v>1</v>
      </c>
      <c r="F3410">
        <v>325</v>
      </c>
      <c r="J3410">
        <v>1.0820000000000001</v>
      </c>
      <c r="K3410">
        <v>40.1</v>
      </c>
      <c r="L3410">
        <v>37.1</v>
      </c>
      <c r="M3410">
        <v>230</v>
      </c>
      <c r="N3410">
        <v>33</v>
      </c>
      <c r="O3410">
        <v>3</v>
      </c>
      <c r="P3410">
        <v>2</v>
      </c>
    </row>
    <row r="3411" spans="1:16" x14ac:dyDescent="0.25">
      <c r="A3411" s="4">
        <v>44735</v>
      </c>
      <c r="B3411" t="s">
        <v>10</v>
      </c>
      <c r="C3411">
        <v>1</v>
      </c>
      <c r="F3411">
        <v>156</v>
      </c>
      <c r="J3411">
        <v>1.2190000000000001</v>
      </c>
      <c r="K3411">
        <v>43.3</v>
      </c>
      <c r="L3411">
        <v>35.6</v>
      </c>
      <c r="M3411">
        <v>118</v>
      </c>
      <c r="N3411">
        <v>10</v>
      </c>
      <c r="O3411">
        <v>5</v>
      </c>
    </row>
    <row r="3412" spans="1:16" x14ac:dyDescent="0.25">
      <c r="A3412" s="4">
        <v>44735</v>
      </c>
      <c r="B3412" t="s">
        <v>9</v>
      </c>
      <c r="C3412">
        <v>1</v>
      </c>
      <c r="F3412">
        <v>341</v>
      </c>
      <c r="J3412">
        <v>1.103</v>
      </c>
      <c r="K3412">
        <v>40.1</v>
      </c>
      <c r="L3412">
        <v>36.4</v>
      </c>
      <c r="M3412">
        <v>280</v>
      </c>
      <c r="N3412">
        <v>23</v>
      </c>
      <c r="O3412">
        <v>4</v>
      </c>
    </row>
    <row r="3413" spans="1:16" x14ac:dyDescent="0.25">
      <c r="A3413" s="4">
        <v>44736</v>
      </c>
      <c r="B3413" t="s">
        <v>10</v>
      </c>
      <c r="C3413">
        <v>1</v>
      </c>
      <c r="F3413">
        <v>182</v>
      </c>
      <c r="J3413">
        <v>1.1659999999999999</v>
      </c>
      <c r="K3413">
        <v>43.3</v>
      </c>
      <c r="L3413">
        <v>37.200000000000003</v>
      </c>
      <c r="M3413">
        <v>111</v>
      </c>
      <c r="N3413">
        <v>23</v>
      </c>
      <c r="O3413">
        <v>5</v>
      </c>
      <c r="P3413">
        <v>1</v>
      </c>
    </row>
    <row r="3414" spans="1:16" x14ac:dyDescent="0.25">
      <c r="A3414" s="4">
        <v>44736</v>
      </c>
      <c r="B3414" t="s">
        <v>9</v>
      </c>
      <c r="C3414">
        <v>1</v>
      </c>
      <c r="F3414">
        <v>362</v>
      </c>
      <c r="J3414">
        <v>1.252</v>
      </c>
      <c r="K3414">
        <v>45.3</v>
      </c>
      <c r="L3414">
        <v>36.200000000000003</v>
      </c>
      <c r="M3414">
        <v>275</v>
      </c>
      <c r="N3414">
        <v>28</v>
      </c>
      <c r="O3414">
        <v>8</v>
      </c>
    </row>
    <row r="3415" spans="1:16" x14ac:dyDescent="0.25">
      <c r="A3415" s="4">
        <v>44739</v>
      </c>
      <c r="B3415" t="s">
        <v>10</v>
      </c>
      <c r="C3415">
        <v>1</v>
      </c>
      <c r="F3415">
        <v>292</v>
      </c>
      <c r="J3415">
        <v>1.17</v>
      </c>
      <c r="K3415">
        <v>43.6</v>
      </c>
      <c r="L3415">
        <v>37.200000000000003</v>
      </c>
      <c r="M3415">
        <v>205</v>
      </c>
      <c r="N3415">
        <v>24</v>
      </c>
      <c r="O3415">
        <v>9</v>
      </c>
    </row>
    <row r="3416" spans="1:16" x14ac:dyDescent="0.25">
      <c r="A3416" s="4">
        <v>44740</v>
      </c>
      <c r="B3416" t="s">
        <v>10</v>
      </c>
      <c r="C3416">
        <v>1</v>
      </c>
      <c r="F3416">
        <v>371</v>
      </c>
      <c r="J3416">
        <v>1.254</v>
      </c>
      <c r="K3416">
        <v>46.4</v>
      </c>
      <c r="L3416">
        <v>37</v>
      </c>
      <c r="M3416">
        <v>278</v>
      </c>
      <c r="N3416">
        <v>21</v>
      </c>
      <c r="O3416">
        <v>10</v>
      </c>
    </row>
    <row r="3417" spans="1:16" x14ac:dyDescent="0.25">
      <c r="A3417" s="4">
        <v>44741</v>
      </c>
      <c r="B3417" t="s">
        <v>10</v>
      </c>
      <c r="C3417">
        <v>1</v>
      </c>
      <c r="F3417">
        <v>99</v>
      </c>
      <c r="J3417">
        <v>1.0920000000000001</v>
      </c>
      <c r="K3417">
        <v>41.3</v>
      </c>
      <c r="L3417">
        <v>37.799999999999997</v>
      </c>
      <c r="M3417">
        <v>97</v>
      </c>
      <c r="N3417">
        <v>1</v>
      </c>
    </row>
    <row r="3418" spans="1:16" x14ac:dyDescent="0.25">
      <c r="A3418" s="4">
        <v>44741</v>
      </c>
      <c r="B3418" t="s">
        <v>9</v>
      </c>
      <c r="C3418">
        <v>1</v>
      </c>
      <c r="F3418">
        <v>369</v>
      </c>
      <c r="J3418">
        <v>1.236</v>
      </c>
      <c r="K3418">
        <v>45</v>
      </c>
      <c r="L3418">
        <v>36.4</v>
      </c>
      <c r="M3418">
        <v>259</v>
      </c>
      <c r="N3418">
        <v>36</v>
      </c>
      <c r="O3418">
        <v>9</v>
      </c>
      <c r="P3418">
        <v>1</v>
      </c>
    </row>
    <row r="3419" spans="1:16" x14ac:dyDescent="0.25">
      <c r="A3419" s="4">
        <v>44742</v>
      </c>
      <c r="B3419" t="s">
        <v>10</v>
      </c>
      <c r="C3419">
        <v>1</v>
      </c>
      <c r="F3419">
        <v>52</v>
      </c>
      <c r="J3419">
        <v>1.016</v>
      </c>
      <c r="K3419">
        <v>40</v>
      </c>
      <c r="L3419">
        <v>39.4</v>
      </c>
      <c r="M3419">
        <v>50</v>
      </c>
      <c r="N3419">
        <v>1</v>
      </c>
    </row>
    <row r="3420" spans="1:16" x14ac:dyDescent="0.25">
      <c r="A3420" s="4">
        <v>44742</v>
      </c>
      <c r="B3420" t="s">
        <v>9</v>
      </c>
      <c r="C3420">
        <v>1</v>
      </c>
      <c r="F3420">
        <v>302</v>
      </c>
      <c r="J3420">
        <v>1.1060000000000001</v>
      </c>
      <c r="K3420">
        <v>40.299999999999997</v>
      </c>
      <c r="L3420">
        <v>36.4</v>
      </c>
      <c r="M3420">
        <v>223</v>
      </c>
      <c r="N3420">
        <v>31</v>
      </c>
      <c r="O3420">
        <v>5</v>
      </c>
    </row>
    <row r="3421" spans="1:16" x14ac:dyDescent="0.25">
      <c r="A3421" s="4">
        <v>44743</v>
      </c>
      <c r="B3421" t="s">
        <v>10</v>
      </c>
      <c r="C3421">
        <v>1</v>
      </c>
      <c r="F3421">
        <v>38</v>
      </c>
      <c r="J3421">
        <v>0.83</v>
      </c>
      <c r="K3421">
        <v>40</v>
      </c>
      <c r="L3421">
        <v>48.2</v>
      </c>
      <c r="M3421">
        <v>14</v>
      </c>
      <c r="N3421">
        <v>12</v>
      </c>
    </row>
    <row r="3422" spans="1:16" x14ac:dyDescent="0.25">
      <c r="A3422" s="4">
        <v>44743</v>
      </c>
      <c r="B3422" t="s">
        <v>9</v>
      </c>
      <c r="C3422">
        <v>1</v>
      </c>
      <c r="F3422">
        <v>304</v>
      </c>
      <c r="J3422">
        <v>1.0740000000000001</v>
      </c>
      <c r="K3422">
        <v>40</v>
      </c>
      <c r="L3422">
        <v>37.299999999999997</v>
      </c>
      <c r="M3422">
        <v>216</v>
      </c>
      <c r="N3422">
        <v>23</v>
      </c>
      <c r="O3422">
        <v>12</v>
      </c>
    </row>
    <row r="3423" spans="1:16" x14ac:dyDescent="0.25">
      <c r="A3423" s="4">
        <v>44747</v>
      </c>
      <c r="B3423" t="s">
        <v>9</v>
      </c>
      <c r="C3423">
        <v>1</v>
      </c>
      <c r="F3423">
        <v>397</v>
      </c>
      <c r="J3423">
        <v>1.2669999999999999</v>
      </c>
      <c r="K3423">
        <v>46.7</v>
      </c>
      <c r="L3423">
        <v>36.9</v>
      </c>
      <c r="M3423">
        <v>277</v>
      </c>
      <c r="N3423">
        <v>39</v>
      </c>
      <c r="O3423">
        <v>13</v>
      </c>
    </row>
    <row r="3424" spans="1:16" x14ac:dyDescent="0.25">
      <c r="A3424" s="4">
        <v>44748</v>
      </c>
      <c r="B3424" t="s">
        <v>9</v>
      </c>
      <c r="C3424">
        <v>1</v>
      </c>
      <c r="F3424">
        <v>320</v>
      </c>
      <c r="J3424">
        <v>1.141</v>
      </c>
      <c r="K3424">
        <v>41</v>
      </c>
      <c r="L3424">
        <v>36</v>
      </c>
      <c r="M3424">
        <v>239</v>
      </c>
      <c r="N3424">
        <v>34</v>
      </c>
      <c r="O3424">
        <v>2</v>
      </c>
      <c r="P3424">
        <v>1</v>
      </c>
    </row>
    <row r="3425" spans="1:16" x14ac:dyDescent="0.25">
      <c r="A3425" s="4">
        <v>44749</v>
      </c>
      <c r="B3425" t="s">
        <v>10</v>
      </c>
      <c r="C3425">
        <v>1</v>
      </c>
      <c r="F3425">
        <v>377</v>
      </c>
      <c r="J3425">
        <v>1.163</v>
      </c>
      <c r="K3425">
        <v>44.4</v>
      </c>
      <c r="L3425">
        <v>38.200000000000003</v>
      </c>
      <c r="M3425">
        <v>235</v>
      </c>
      <c r="N3425">
        <v>44</v>
      </c>
      <c r="O3425">
        <v>12</v>
      </c>
      <c r="P3425">
        <v>2</v>
      </c>
    </row>
    <row r="3426" spans="1:16" x14ac:dyDescent="0.25">
      <c r="A3426" s="4">
        <v>44750</v>
      </c>
      <c r="B3426" t="s">
        <v>9</v>
      </c>
      <c r="C3426">
        <v>1</v>
      </c>
      <c r="F3426">
        <v>377</v>
      </c>
      <c r="J3426">
        <v>1.1479999999999999</v>
      </c>
      <c r="K3426">
        <v>44.4</v>
      </c>
      <c r="L3426">
        <v>38.6</v>
      </c>
      <c r="M3426">
        <v>241</v>
      </c>
      <c r="N3426">
        <v>50</v>
      </c>
      <c r="O3426">
        <v>7</v>
      </c>
      <c r="P3426">
        <v>2</v>
      </c>
    </row>
    <row r="3427" spans="1:16" x14ac:dyDescent="0.25">
      <c r="A3427" s="4">
        <v>44753</v>
      </c>
      <c r="B3427" t="s">
        <v>10</v>
      </c>
      <c r="C3427">
        <v>1</v>
      </c>
      <c r="F3427">
        <v>96</v>
      </c>
      <c r="J3427">
        <v>1.0109999999999999</v>
      </c>
      <c r="K3427">
        <v>40</v>
      </c>
      <c r="L3427">
        <v>39.6</v>
      </c>
      <c r="M3427">
        <v>86</v>
      </c>
      <c r="N3427">
        <v>5</v>
      </c>
    </row>
    <row r="3428" spans="1:16" x14ac:dyDescent="0.25">
      <c r="A3428" s="4">
        <v>44753</v>
      </c>
      <c r="B3428" t="s">
        <v>9</v>
      </c>
      <c r="C3428">
        <v>1</v>
      </c>
      <c r="F3428">
        <v>375</v>
      </c>
      <c r="J3428">
        <v>1.22</v>
      </c>
      <c r="K3428">
        <v>45.7</v>
      </c>
      <c r="L3428">
        <v>37.5</v>
      </c>
      <c r="M3428">
        <v>260</v>
      </c>
      <c r="N3428">
        <v>43</v>
      </c>
      <c r="O3428">
        <v>8</v>
      </c>
    </row>
    <row r="3429" spans="1:16" x14ac:dyDescent="0.25">
      <c r="A3429" s="4">
        <v>44754</v>
      </c>
      <c r="B3429" t="s">
        <v>10</v>
      </c>
      <c r="C3429">
        <v>1</v>
      </c>
      <c r="F3429">
        <v>169</v>
      </c>
      <c r="J3429">
        <v>1.0760000000000001</v>
      </c>
      <c r="K3429">
        <v>42.3</v>
      </c>
      <c r="L3429">
        <v>39.299999999999997</v>
      </c>
      <c r="M3429">
        <v>150</v>
      </c>
      <c r="N3429">
        <v>8</v>
      </c>
      <c r="O3429">
        <v>1</v>
      </c>
    </row>
    <row r="3430" spans="1:16" x14ac:dyDescent="0.25">
      <c r="A3430" s="4">
        <v>44754</v>
      </c>
      <c r="B3430" t="s">
        <v>9</v>
      </c>
      <c r="C3430">
        <v>1</v>
      </c>
      <c r="F3430">
        <v>344</v>
      </c>
      <c r="J3430">
        <v>1.2410000000000001</v>
      </c>
      <c r="K3430">
        <v>45.9</v>
      </c>
      <c r="L3430">
        <v>37</v>
      </c>
      <c r="M3430">
        <v>263</v>
      </c>
      <c r="N3430">
        <v>27</v>
      </c>
      <c r="O3430">
        <v>6</v>
      </c>
    </row>
    <row r="3431" spans="1:16" x14ac:dyDescent="0.25">
      <c r="A3431" s="4">
        <v>44755</v>
      </c>
      <c r="B3431" t="s">
        <v>10</v>
      </c>
      <c r="C3431">
        <v>1</v>
      </c>
      <c r="F3431">
        <v>200</v>
      </c>
      <c r="J3431">
        <v>1.165</v>
      </c>
      <c r="K3431">
        <v>44.4</v>
      </c>
      <c r="L3431">
        <v>38.200000000000003</v>
      </c>
      <c r="M3431">
        <v>162</v>
      </c>
      <c r="N3431">
        <v>13</v>
      </c>
      <c r="O3431">
        <v>3</v>
      </c>
    </row>
    <row r="3432" spans="1:16" x14ac:dyDescent="0.25">
      <c r="A3432" s="4">
        <v>44755</v>
      </c>
      <c r="B3432" t="s">
        <v>9</v>
      </c>
      <c r="C3432">
        <v>1</v>
      </c>
      <c r="F3432">
        <v>350</v>
      </c>
      <c r="J3432">
        <v>1.117</v>
      </c>
      <c r="K3432">
        <v>41.2</v>
      </c>
      <c r="L3432">
        <v>36.9</v>
      </c>
      <c r="M3432">
        <v>266</v>
      </c>
      <c r="N3432">
        <v>26</v>
      </c>
      <c r="O3432">
        <v>9</v>
      </c>
    </row>
    <row r="3433" spans="1:16" x14ac:dyDescent="0.25">
      <c r="A3433" s="4">
        <v>44756</v>
      </c>
      <c r="B3433" t="s">
        <v>10</v>
      </c>
      <c r="C3433">
        <v>1</v>
      </c>
      <c r="F3433">
        <v>117</v>
      </c>
      <c r="J3433">
        <v>1.0820000000000001</v>
      </c>
      <c r="K3433">
        <v>40.299999999999997</v>
      </c>
      <c r="L3433">
        <v>37.299999999999997</v>
      </c>
      <c r="M3433">
        <v>103</v>
      </c>
      <c r="N3433">
        <v>7</v>
      </c>
    </row>
    <row r="3434" spans="1:16" x14ac:dyDescent="0.25">
      <c r="A3434" s="4">
        <v>44756</v>
      </c>
      <c r="B3434" t="s">
        <v>9</v>
      </c>
      <c r="C3434">
        <v>1</v>
      </c>
      <c r="F3434">
        <v>363</v>
      </c>
      <c r="J3434">
        <v>1.1599999999999999</v>
      </c>
      <c r="K3434">
        <v>44.3</v>
      </c>
      <c r="L3434">
        <v>38.200000000000003</v>
      </c>
      <c r="M3434">
        <v>254</v>
      </c>
      <c r="N3434">
        <v>33</v>
      </c>
      <c r="O3434">
        <v>13</v>
      </c>
    </row>
    <row r="3435" spans="1:16" x14ac:dyDescent="0.25">
      <c r="A3435" s="4">
        <v>44757</v>
      </c>
      <c r="B3435" t="s">
        <v>10</v>
      </c>
      <c r="C3435">
        <v>1</v>
      </c>
      <c r="F3435">
        <v>46</v>
      </c>
      <c r="J3435">
        <v>1.0960000000000001</v>
      </c>
      <c r="K3435">
        <v>41.8</v>
      </c>
      <c r="L3435">
        <v>38.200000000000003</v>
      </c>
      <c r="M3435">
        <v>46</v>
      </c>
    </row>
    <row r="3436" spans="1:16" x14ac:dyDescent="0.25">
      <c r="A3436" s="4">
        <v>44757</v>
      </c>
      <c r="B3436" t="s">
        <v>9</v>
      </c>
      <c r="C3436">
        <v>1</v>
      </c>
      <c r="F3436">
        <v>289</v>
      </c>
      <c r="J3436">
        <v>1.127</v>
      </c>
      <c r="K3436">
        <v>41.3</v>
      </c>
      <c r="L3436">
        <v>36.6</v>
      </c>
      <c r="M3436">
        <v>207</v>
      </c>
      <c r="N3436">
        <v>31</v>
      </c>
      <c r="O3436">
        <v>6</v>
      </c>
    </row>
    <row r="3437" spans="1:16" x14ac:dyDescent="0.25">
      <c r="A3437" s="4">
        <v>44760</v>
      </c>
      <c r="B3437" t="s">
        <v>9</v>
      </c>
      <c r="C3437">
        <v>1</v>
      </c>
      <c r="F3437">
        <v>337</v>
      </c>
      <c r="J3437">
        <v>1.099</v>
      </c>
      <c r="K3437">
        <v>40.6</v>
      </c>
      <c r="L3437">
        <v>37</v>
      </c>
      <c r="M3437">
        <v>236</v>
      </c>
      <c r="N3437">
        <v>31</v>
      </c>
      <c r="O3437">
        <v>7</v>
      </c>
      <c r="P3437">
        <v>2</v>
      </c>
    </row>
    <row r="3438" spans="1:16" x14ac:dyDescent="0.25">
      <c r="A3438" s="4">
        <v>44761</v>
      </c>
      <c r="B3438" t="s">
        <v>10</v>
      </c>
      <c r="C3438">
        <v>1</v>
      </c>
      <c r="F3438">
        <v>25</v>
      </c>
      <c r="J3438">
        <v>1.0429999999999999</v>
      </c>
      <c r="K3438">
        <v>41.7</v>
      </c>
      <c r="L3438">
        <v>40</v>
      </c>
      <c r="M3438">
        <v>23</v>
      </c>
      <c r="N3438">
        <v>1</v>
      </c>
    </row>
    <row r="3439" spans="1:16" x14ac:dyDescent="0.25">
      <c r="A3439" s="4">
        <v>44761</v>
      </c>
      <c r="B3439" t="s">
        <v>9</v>
      </c>
      <c r="C3439">
        <v>1</v>
      </c>
      <c r="F3439">
        <v>348</v>
      </c>
      <c r="J3439">
        <v>1.0640000000000001</v>
      </c>
      <c r="K3439">
        <v>40.9</v>
      </c>
      <c r="L3439">
        <v>38.5</v>
      </c>
      <c r="M3439">
        <v>198</v>
      </c>
      <c r="N3439">
        <v>59</v>
      </c>
      <c r="O3439">
        <v>9</v>
      </c>
    </row>
    <row r="3440" spans="1:16" x14ac:dyDescent="0.25">
      <c r="A3440" s="4">
        <v>44762</v>
      </c>
      <c r="B3440" t="s">
        <v>10</v>
      </c>
      <c r="C3440">
        <v>1</v>
      </c>
      <c r="F3440">
        <v>147</v>
      </c>
      <c r="J3440">
        <v>1.0329999999999999</v>
      </c>
      <c r="K3440">
        <v>42</v>
      </c>
      <c r="L3440">
        <v>40.6</v>
      </c>
      <c r="M3440">
        <v>93</v>
      </c>
      <c r="N3440">
        <v>16</v>
      </c>
      <c r="O3440">
        <v>6</v>
      </c>
    </row>
    <row r="3441" spans="1:16" x14ac:dyDescent="0.25">
      <c r="A3441" s="4">
        <v>44762</v>
      </c>
      <c r="B3441" t="s">
        <v>9</v>
      </c>
      <c r="C3441">
        <v>1</v>
      </c>
      <c r="F3441">
        <v>349</v>
      </c>
      <c r="J3441">
        <v>1.2410000000000001</v>
      </c>
      <c r="K3441">
        <v>43.1</v>
      </c>
      <c r="L3441">
        <v>34.700000000000003</v>
      </c>
      <c r="M3441">
        <v>281</v>
      </c>
      <c r="N3441">
        <v>25</v>
      </c>
      <c r="O3441">
        <v>5</v>
      </c>
    </row>
    <row r="3442" spans="1:16" x14ac:dyDescent="0.25">
      <c r="A3442" s="4">
        <v>44763</v>
      </c>
      <c r="B3442" t="s">
        <v>10</v>
      </c>
      <c r="C3442">
        <v>1</v>
      </c>
      <c r="F3442">
        <v>194</v>
      </c>
      <c r="J3442">
        <v>1.2070000000000001</v>
      </c>
      <c r="K3442">
        <v>43.1</v>
      </c>
      <c r="L3442">
        <v>35.700000000000003</v>
      </c>
      <c r="M3442">
        <v>138</v>
      </c>
      <c r="N3442">
        <v>18</v>
      </c>
      <c r="O3442">
        <v>4</v>
      </c>
    </row>
    <row r="3443" spans="1:16" x14ac:dyDescent="0.25">
      <c r="A3443" s="4">
        <v>44763</v>
      </c>
      <c r="B3443" t="s">
        <v>9</v>
      </c>
      <c r="C3443">
        <v>1</v>
      </c>
      <c r="F3443">
        <v>300</v>
      </c>
      <c r="J3443">
        <v>1.194</v>
      </c>
      <c r="K3443">
        <v>43.5</v>
      </c>
      <c r="L3443">
        <v>36.4</v>
      </c>
      <c r="M3443">
        <v>230</v>
      </c>
      <c r="N3443">
        <v>30</v>
      </c>
      <c r="O3443">
        <v>3</v>
      </c>
    </row>
    <row r="3444" spans="1:16" x14ac:dyDescent="0.25">
      <c r="A3444" s="4">
        <v>44764</v>
      </c>
      <c r="B3444" t="s">
        <v>10</v>
      </c>
      <c r="C3444">
        <v>1</v>
      </c>
      <c r="F3444">
        <v>173</v>
      </c>
      <c r="J3444">
        <v>1.167</v>
      </c>
      <c r="K3444">
        <v>41.2</v>
      </c>
      <c r="L3444">
        <v>35.299999999999997</v>
      </c>
      <c r="M3444">
        <v>129</v>
      </c>
      <c r="N3444">
        <v>16</v>
      </c>
      <c r="O3444">
        <v>2</v>
      </c>
    </row>
    <row r="3445" spans="1:16" x14ac:dyDescent="0.25">
      <c r="A3445" s="4">
        <v>44764</v>
      </c>
      <c r="B3445" t="s">
        <v>9</v>
      </c>
      <c r="C3445">
        <v>1</v>
      </c>
      <c r="F3445">
        <v>266</v>
      </c>
      <c r="J3445">
        <v>1.2</v>
      </c>
      <c r="K3445">
        <v>41.6</v>
      </c>
      <c r="L3445">
        <v>34.6</v>
      </c>
      <c r="M3445">
        <v>243</v>
      </c>
      <c r="N3445">
        <v>10</v>
      </c>
      <c r="O3445">
        <v>1</v>
      </c>
    </row>
    <row r="3446" spans="1:16" x14ac:dyDescent="0.25">
      <c r="A3446" s="4">
        <v>44767</v>
      </c>
      <c r="B3446" t="s">
        <v>9</v>
      </c>
      <c r="C3446">
        <v>1</v>
      </c>
      <c r="F3446">
        <v>238</v>
      </c>
      <c r="J3446">
        <v>1.347</v>
      </c>
      <c r="K3446">
        <v>52.9</v>
      </c>
      <c r="L3446">
        <v>39.299999999999997</v>
      </c>
      <c r="M3446">
        <v>141</v>
      </c>
      <c r="N3446">
        <v>17</v>
      </c>
      <c r="O3446">
        <v>12</v>
      </c>
      <c r="P3446">
        <v>2</v>
      </c>
    </row>
    <row r="3447" spans="1:16" x14ac:dyDescent="0.25">
      <c r="A3447" s="4">
        <v>44767</v>
      </c>
      <c r="B3447" t="s">
        <v>9</v>
      </c>
      <c r="C3447">
        <v>1</v>
      </c>
      <c r="F3447">
        <v>244</v>
      </c>
      <c r="J3447">
        <v>1.0640000000000001</v>
      </c>
      <c r="K3447">
        <v>40.700000000000003</v>
      </c>
      <c r="L3447">
        <v>38.200000000000003</v>
      </c>
      <c r="M3447">
        <v>162</v>
      </c>
      <c r="N3447">
        <v>22</v>
      </c>
      <c r="O3447">
        <v>5</v>
      </c>
      <c r="P3447">
        <v>1</v>
      </c>
    </row>
    <row r="3448" spans="1:16" x14ac:dyDescent="0.25">
      <c r="A3448" s="4">
        <v>44768</v>
      </c>
      <c r="B3448" t="s">
        <v>10</v>
      </c>
      <c r="C3448">
        <v>1</v>
      </c>
      <c r="F3448">
        <v>385</v>
      </c>
      <c r="J3448">
        <v>1.2230000000000001</v>
      </c>
      <c r="K3448">
        <v>47.5</v>
      </c>
      <c r="L3448">
        <v>38.9</v>
      </c>
      <c r="M3448">
        <v>239</v>
      </c>
      <c r="N3448">
        <v>28</v>
      </c>
      <c r="O3448">
        <v>16</v>
      </c>
      <c r="P3448">
        <v>3</v>
      </c>
    </row>
    <row r="3449" spans="1:16" x14ac:dyDescent="0.25">
      <c r="A3449" s="4">
        <v>44768</v>
      </c>
      <c r="B3449" t="s">
        <v>9</v>
      </c>
      <c r="C3449">
        <v>1</v>
      </c>
      <c r="F3449">
        <v>146</v>
      </c>
      <c r="J3449">
        <v>1.048</v>
      </c>
      <c r="K3449">
        <v>39.5</v>
      </c>
      <c r="L3449">
        <v>37.700000000000003</v>
      </c>
      <c r="M3449">
        <v>107</v>
      </c>
      <c r="N3449">
        <v>13</v>
      </c>
      <c r="O3449">
        <v>3</v>
      </c>
    </row>
    <row r="3450" spans="1:16" x14ac:dyDescent="0.25">
      <c r="A3450" s="4">
        <v>44769</v>
      </c>
      <c r="B3450" t="s">
        <v>10</v>
      </c>
      <c r="C3450">
        <v>1</v>
      </c>
      <c r="F3450">
        <v>308</v>
      </c>
      <c r="J3450">
        <v>1.0820000000000001</v>
      </c>
      <c r="K3450">
        <v>40</v>
      </c>
      <c r="L3450">
        <v>37</v>
      </c>
      <c r="M3450">
        <v>239</v>
      </c>
      <c r="N3450">
        <v>20</v>
      </c>
      <c r="O3450">
        <v>3</v>
      </c>
    </row>
    <row r="3451" spans="1:16" x14ac:dyDescent="0.25">
      <c r="A3451" s="4">
        <v>44769</v>
      </c>
      <c r="B3451" t="s">
        <v>9</v>
      </c>
      <c r="C3451">
        <v>1</v>
      </c>
      <c r="F3451">
        <v>65</v>
      </c>
      <c r="J3451">
        <v>1.0880000000000001</v>
      </c>
      <c r="K3451">
        <v>43.3</v>
      </c>
      <c r="L3451">
        <v>39.799999999999997</v>
      </c>
      <c r="M3451">
        <v>41</v>
      </c>
      <c r="N3451">
        <v>9</v>
      </c>
      <c r="O3451">
        <v>2</v>
      </c>
    </row>
    <row r="3452" spans="1:16" x14ac:dyDescent="0.25">
      <c r="A3452" s="4">
        <v>44770</v>
      </c>
      <c r="B3452" t="s">
        <v>10</v>
      </c>
      <c r="C3452">
        <v>1</v>
      </c>
      <c r="F3452">
        <v>414</v>
      </c>
      <c r="J3452">
        <v>1.375</v>
      </c>
      <c r="K3452">
        <v>51.8</v>
      </c>
      <c r="L3452">
        <v>37.6</v>
      </c>
      <c r="M3452">
        <v>299</v>
      </c>
      <c r="N3452">
        <v>31</v>
      </c>
      <c r="O3452">
        <v>7</v>
      </c>
    </row>
    <row r="3453" spans="1:16" x14ac:dyDescent="0.25">
      <c r="A3453" s="4">
        <v>44771</v>
      </c>
      <c r="B3453" t="s">
        <v>10</v>
      </c>
      <c r="C3453">
        <v>1</v>
      </c>
      <c r="F3453">
        <v>371</v>
      </c>
      <c r="J3453">
        <v>1.3240000000000001</v>
      </c>
      <c r="K3453">
        <v>48.2</v>
      </c>
      <c r="L3453">
        <v>36.4</v>
      </c>
      <c r="M3453">
        <v>283</v>
      </c>
      <c r="N3453">
        <v>24</v>
      </c>
      <c r="O3453">
        <v>2</v>
      </c>
      <c r="P3453">
        <v>2</v>
      </c>
    </row>
    <row r="3454" spans="1:16" x14ac:dyDescent="0.25">
      <c r="A3454" s="4">
        <v>44774</v>
      </c>
      <c r="B3454" t="s">
        <v>10</v>
      </c>
      <c r="C3454">
        <v>1</v>
      </c>
      <c r="F3454">
        <v>379</v>
      </c>
      <c r="J3454">
        <v>1.306</v>
      </c>
      <c r="K3454">
        <v>47.4</v>
      </c>
      <c r="L3454">
        <v>36.299999999999997</v>
      </c>
      <c r="M3454">
        <v>278</v>
      </c>
      <c r="N3454">
        <v>33</v>
      </c>
      <c r="O3454">
        <v>8</v>
      </c>
    </row>
    <row r="3455" spans="1:16" x14ac:dyDescent="0.25">
      <c r="A3455" s="4">
        <v>44775</v>
      </c>
      <c r="B3455" t="s">
        <v>10</v>
      </c>
      <c r="C3455">
        <v>1</v>
      </c>
      <c r="F3455">
        <v>459</v>
      </c>
      <c r="J3455">
        <v>1.2669999999999999</v>
      </c>
      <c r="K3455">
        <v>54</v>
      </c>
      <c r="L3455">
        <v>42.6</v>
      </c>
      <c r="M3455">
        <v>240</v>
      </c>
      <c r="N3455">
        <v>40</v>
      </c>
      <c r="O3455">
        <v>31</v>
      </c>
      <c r="P3455">
        <v>1</v>
      </c>
    </row>
    <row r="3456" spans="1:16" x14ac:dyDescent="0.25">
      <c r="A3456" s="4">
        <v>44776</v>
      </c>
      <c r="B3456" t="s">
        <v>10</v>
      </c>
      <c r="C3456">
        <v>1</v>
      </c>
      <c r="F3456">
        <v>468</v>
      </c>
      <c r="J3456">
        <v>1.264</v>
      </c>
      <c r="K3456">
        <v>53.2</v>
      </c>
      <c r="L3456">
        <v>42.1</v>
      </c>
      <c r="M3456">
        <v>223</v>
      </c>
      <c r="N3456">
        <v>44</v>
      </c>
      <c r="O3456">
        <v>35</v>
      </c>
      <c r="P3456">
        <v>2</v>
      </c>
    </row>
    <row r="3457" spans="1:16" x14ac:dyDescent="0.25">
      <c r="A3457" s="4">
        <v>44777</v>
      </c>
      <c r="B3457" t="s">
        <v>10</v>
      </c>
      <c r="C3457">
        <v>1</v>
      </c>
      <c r="F3457">
        <v>446</v>
      </c>
      <c r="J3457">
        <v>1.3540000000000001</v>
      </c>
      <c r="K3457">
        <v>50.7</v>
      </c>
      <c r="L3457">
        <v>37.4</v>
      </c>
      <c r="M3457">
        <v>286</v>
      </c>
      <c r="N3457">
        <v>44</v>
      </c>
      <c r="O3457">
        <v>14</v>
      </c>
      <c r="P3457">
        <v>1</v>
      </c>
    </row>
    <row r="3458" spans="1:16" x14ac:dyDescent="0.25">
      <c r="A3458" s="4">
        <v>44778</v>
      </c>
      <c r="B3458" t="s">
        <v>10</v>
      </c>
      <c r="C3458">
        <v>1</v>
      </c>
      <c r="F3458">
        <v>413</v>
      </c>
      <c r="J3458">
        <v>1.347</v>
      </c>
      <c r="K3458">
        <v>49.2</v>
      </c>
      <c r="L3458">
        <v>36.5</v>
      </c>
      <c r="M3458">
        <v>327</v>
      </c>
      <c r="N3458">
        <v>21</v>
      </c>
      <c r="O3458">
        <v>10</v>
      </c>
    </row>
    <row r="3459" spans="1:16" x14ac:dyDescent="0.25">
      <c r="A3459" s="4">
        <v>44781</v>
      </c>
      <c r="B3459" t="s">
        <v>10</v>
      </c>
      <c r="C3459">
        <v>1</v>
      </c>
      <c r="F3459">
        <v>414</v>
      </c>
      <c r="J3459">
        <v>1.214</v>
      </c>
      <c r="K3459">
        <v>48.1</v>
      </c>
      <c r="L3459">
        <v>39.6</v>
      </c>
      <c r="M3459">
        <v>248</v>
      </c>
      <c r="N3459">
        <v>49</v>
      </c>
      <c r="O3459">
        <v>9</v>
      </c>
      <c r="P3459">
        <v>1</v>
      </c>
    </row>
    <row r="3460" spans="1:16" x14ac:dyDescent="0.25">
      <c r="A3460" s="4">
        <v>44782</v>
      </c>
      <c r="B3460" t="s">
        <v>10</v>
      </c>
      <c r="C3460">
        <v>1</v>
      </c>
      <c r="F3460">
        <v>420</v>
      </c>
      <c r="J3460">
        <v>1.2809999999999999</v>
      </c>
      <c r="K3460">
        <v>47.7</v>
      </c>
      <c r="L3460">
        <v>37.299999999999997</v>
      </c>
      <c r="M3460">
        <v>312</v>
      </c>
      <c r="N3460">
        <v>25</v>
      </c>
      <c r="O3460">
        <v>8</v>
      </c>
      <c r="P3460">
        <v>1</v>
      </c>
    </row>
    <row r="3461" spans="1:16" x14ac:dyDescent="0.25">
      <c r="A3461" s="4">
        <v>44783</v>
      </c>
      <c r="B3461" t="s">
        <v>10</v>
      </c>
      <c r="C3461">
        <v>1</v>
      </c>
      <c r="F3461">
        <v>452</v>
      </c>
      <c r="J3461">
        <v>1.3620000000000001</v>
      </c>
      <c r="K3461">
        <v>51.4</v>
      </c>
      <c r="L3461">
        <v>37.700000000000003</v>
      </c>
      <c r="M3461">
        <v>306</v>
      </c>
      <c r="N3461">
        <v>36</v>
      </c>
      <c r="O3461">
        <v>13</v>
      </c>
      <c r="P3461">
        <v>2</v>
      </c>
    </row>
    <row r="3462" spans="1:16" x14ac:dyDescent="0.25">
      <c r="A3462" s="4">
        <v>44784</v>
      </c>
      <c r="B3462" t="s">
        <v>10</v>
      </c>
      <c r="C3462">
        <v>1</v>
      </c>
      <c r="F3462">
        <v>418</v>
      </c>
      <c r="J3462">
        <v>1.2569999999999999</v>
      </c>
      <c r="K3462">
        <v>47.5</v>
      </c>
      <c r="L3462">
        <v>37.799999999999997</v>
      </c>
      <c r="M3462">
        <v>282</v>
      </c>
      <c r="N3462">
        <v>39</v>
      </c>
      <c r="O3462">
        <v>11</v>
      </c>
      <c r="P3462">
        <v>2</v>
      </c>
    </row>
    <row r="3463" spans="1:16" x14ac:dyDescent="0.25">
      <c r="A3463" s="4">
        <v>44785</v>
      </c>
      <c r="B3463" t="s">
        <v>10</v>
      </c>
      <c r="C3463">
        <v>1</v>
      </c>
      <c r="F3463">
        <v>330</v>
      </c>
      <c r="J3463">
        <v>1.2849999999999999</v>
      </c>
      <c r="K3463">
        <v>47.1</v>
      </c>
      <c r="L3463">
        <v>36.700000000000003</v>
      </c>
      <c r="M3463">
        <v>235</v>
      </c>
      <c r="N3463">
        <v>31</v>
      </c>
      <c r="O3463">
        <v>5</v>
      </c>
    </row>
    <row r="3464" spans="1:16" x14ac:dyDescent="0.25">
      <c r="A3464" s="4">
        <v>44788</v>
      </c>
      <c r="B3464" t="s">
        <v>10</v>
      </c>
      <c r="C3464">
        <v>1</v>
      </c>
      <c r="F3464">
        <v>314</v>
      </c>
      <c r="J3464">
        <v>1.194</v>
      </c>
      <c r="K3464">
        <v>46</v>
      </c>
      <c r="L3464">
        <v>38.5</v>
      </c>
      <c r="M3464">
        <v>258</v>
      </c>
      <c r="N3464">
        <v>46</v>
      </c>
      <c r="O3464">
        <v>10</v>
      </c>
    </row>
    <row r="3465" spans="1:16" x14ac:dyDescent="0.25">
      <c r="A3465" s="4">
        <v>44789</v>
      </c>
      <c r="B3465" t="s">
        <v>10</v>
      </c>
      <c r="C3465">
        <v>1</v>
      </c>
      <c r="F3465">
        <v>422</v>
      </c>
      <c r="J3465">
        <v>1.1930000000000001</v>
      </c>
      <c r="K3465">
        <v>46.9</v>
      </c>
      <c r="L3465">
        <v>39.299999999999997</v>
      </c>
      <c r="M3465">
        <v>249</v>
      </c>
      <c r="N3465">
        <v>47</v>
      </c>
      <c r="O3465">
        <v>11</v>
      </c>
      <c r="P3465">
        <v>4</v>
      </c>
    </row>
    <row r="3466" spans="1:16" x14ac:dyDescent="0.25">
      <c r="A3466" s="4">
        <v>44790</v>
      </c>
      <c r="B3466" t="s">
        <v>10</v>
      </c>
      <c r="C3466">
        <v>1</v>
      </c>
      <c r="F3466">
        <v>412</v>
      </c>
      <c r="J3466">
        <v>1.2350000000000001</v>
      </c>
      <c r="K3466">
        <v>45.8</v>
      </c>
      <c r="L3466">
        <v>37.1</v>
      </c>
      <c r="M3466">
        <v>293</v>
      </c>
      <c r="N3466">
        <v>33</v>
      </c>
      <c r="O3466">
        <v>12</v>
      </c>
      <c r="P3466">
        <v>1</v>
      </c>
    </row>
    <row r="3467" spans="1:16" x14ac:dyDescent="0.25">
      <c r="A3467" s="4">
        <v>44791</v>
      </c>
      <c r="B3467" t="s">
        <v>10</v>
      </c>
      <c r="C3467">
        <v>1</v>
      </c>
      <c r="F3467">
        <v>415</v>
      </c>
      <c r="J3467">
        <v>1.3089999999999999</v>
      </c>
      <c r="K3467">
        <v>47.2</v>
      </c>
      <c r="L3467">
        <v>36</v>
      </c>
      <c r="M3467">
        <v>303</v>
      </c>
      <c r="N3467">
        <v>40</v>
      </c>
      <c r="O3467">
        <v>5</v>
      </c>
      <c r="P3467">
        <v>1</v>
      </c>
    </row>
    <row r="3468" spans="1:16" x14ac:dyDescent="0.25">
      <c r="A3468" s="4">
        <v>44792</v>
      </c>
      <c r="B3468" t="s">
        <v>10</v>
      </c>
      <c r="C3468">
        <v>1</v>
      </c>
      <c r="F3468">
        <v>53</v>
      </c>
      <c r="J3468">
        <v>1.103</v>
      </c>
      <c r="K3468">
        <v>37.9</v>
      </c>
      <c r="L3468">
        <v>34.299999999999997</v>
      </c>
      <c r="M3468">
        <v>47</v>
      </c>
      <c r="N3468">
        <v>3</v>
      </c>
    </row>
    <row r="3469" spans="1:16" x14ac:dyDescent="0.25">
      <c r="A3469" s="4">
        <v>44792</v>
      </c>
      <c r="B3469" t="s">
        <v>9</v>
      </c>
      <c r="C3469">
        <v>1</v>
      </c>
      <c r="F3469">
        <v>204</v>
      </c>
      <c r="J3469">
        <v>0.63400000000000001</v>
      </c>
      <c r="K3469">
        <v>27.2</v>
      </c>
      <c r="L3469">
        <v>42.9</v>
      </c>
      <c r="M3469">
        <v>98</v>
      </c>
      <c r="N3469">
        <v>25</v>
      </c>
      <c r="O3469">
        <v>12</v>
      </c>
      <c r="P3469">
        <v>1</v>
      </c>
    </row>
    <row r="3470" spans="1:16" x14ac:dyDescent="0.25">
      <c r="A3470" s="4">
        <v>44795</v>
      </c>
      <c r="B3470" t="s">
        <v>10</v>
      </c>
      <c r="C3470">
        <v>1</v>
      </c>
      <c r="F3470">
        <v>327</v>
      </c>
      <c r="J3470">
        <v>1.1180000000000001</v>
      </c>
      <c r="K3470">
        <v>40.4</v>
      </c>
      <c r="L3470">
        <v>36.1</v>
      </c>
      <c r="M3470">
        <v>250</v>
      </c>
      <c r="N3470">
        <v>30</v>
      </c>
      <c r="O3470">
        <v>3</v>
      </c>
      <c r="P3470">
        <v>1</v>
      </c>
    </row>
    <row r="3471" spans="1:16" x14ac:dyDescent="0.25">
      <c r="A3471" s="4">
        <v>44795</v>
      </c>
      <c r="B3471" t="s">
        <v>9</v>
      </c>
      <c r="C3471">
        <v>1</v>
      </c>
      <c r="F3471">
        <v>104</v>
      </c>
      <c r="J3471">
        <v>0.88100000000000001</v>
      </c>
      <c r="K3471">
        <v>40</v>
      </c>
      <c r="L3471">
        <v>45.4</v>
      </c>
      <c r="M3471">
        <v>58</v>
      </c>
      <c r="N3471">
        <v>23</v>
      </c>
    </row>
    <row r="3472" spans="1:16" x14ac:dyDescent="0.25">
      <c r="A3472" s="4">
        <v>44796</v>
      </c>
      <c r="B3472" t="s">
        <v>10</v>
      </c>
      <c r="C3472">
        <v>1</v>
      </c>
      <c r="F3472">
        <v>285</v>
      </c>
      <c r="J3472">
        <v>1.0920000000000001</v>
      </c>
      <c r="K3472">
        <v>43.9</v>
      </c>
      <c r="L3472">
        <v>40.200000000000003</v>
      </c>
      <c r="M3472">
        <v>180</v>
      </c>
      <c r="N3472">
        <v>25</v>
      </c>
      <c r="O3472">
        <v>12</v>
      </c>
    </row>
    <row r="3473" spans="1:16" x14ac:dyDescent="0.25">
      <c r="A3473" s="4">
        <v>44796</v>
      </c>
      <c r="B3473" t="s">
        <v>9</v>
      </c>
      <c r="C3473">
        <v>1</v>
      </c>
      <c r="F3473">
        <v>88</v>
      </c>
      <c r="J3473">
        <v>1.0109999999999999</v>
      </c>
      <c r="K3473">
        <v>40</v>
      </c>
      <c r="L3473">
        <v>39.6</v>
      </c>
      <c r="M3473">
        <v>84</v>
      </c>
      <c r="N3473">
        <v>2</v>
      </c>
    </row>
    <row r="3474" spans="1:16" x14ac:dyDescent="0.25">
      <c r="A3474" s="4">
        <v>44797</v>
      </c>
      <c r="B3474" t="s">
        <v>10</v>
      </c>
      <c r="C3474">
        <v>1</v>
      </c>
      <c r="F3474">
        <v>376</v>
      </c>
      <c r="J3474">
        <v>1.266</v>
      </c>
      <c r="K3474">
        <v>46.4</v>
      </c>
      <c r="L3474">
        <v>36.700000000000003</v>
      </c>
      <c r="M3474">
        <v>274</v>
      </c>
      <c r="N3474">
        <v>38</v>
      </c>
      <c r="O3474">
        <v>5</v>
      </c>
    </row>
    <row r="3475" spans="1:16" x14ac:dyDescent="0.25">
      <c r="A3475" s="4">
        <v>44798</v>
      </c>
      <c r="B3475" t="s">
        <v>10</v>
      </c>
      <c r="C3475">
        <v>1</v>
      </c>
      <c r="F3475">
        <v>317</v>
      </c>
      <c r="J3475">
        <v>1.0860000000000001</v>
      </c>
      <c r="K3475">
        <v>40.1</v>
      </c>
      <c r="L3475">
        <v>37</v>
      </c>
      <c r="M3475">
        <v>214</v>
      </c>
      <c r="N3475">
        <v>34</v>
      </c>
      <c r="O3475">
        <v>7</v>
      </c>
      <c r="P3475">
        <v>1</v>
      </c>
    </row>
    <row r="3476" spans="1:16" x14ac:dyDescent="0.25">
      <c r="A3476" s="4">
        <v>44799</v>
      </c>
      <c r="B3476" t="s">
        <v>10</v>
      </c>
      <c r="C3476">
        <v>1</v>
      </c>
      <c r="F3476">
        <v>365</v>
      </c>
      <c r="J3476">
        <v>1.117</v>
      </c>
      <c r="K3476">
        <v>42</v>
      </c>
      <c r="L3476">
        <v>38</v>
      </c>
      <c r="M3476">
        <v>242</v>
      </c>
      <c r="N3476">
        <v>31</v>
      </c>
      <c r="O3476">
        <v>11</v>
      </c>
      <c r="P3476">
        <v>4</v>
      </c>
    </row>
    <row r="3477" spans="1:16" x14ac:dyDescent="0.25">
      <c r="A3477" s="4">
        <v>44799</v>
      </c>
      <c r="B3477" t="s">
        <v>9</v>
      </c>
      <c r="C3477">
        <v>1</v>
      </c>
      <c r="F3477">
        <v>152</v>
      </c>
      <c r="J3477">
        <v>0.80700000000000005</v>
      </c>
      <c r="K3477">
        <v>40</v>
      </c>
      <c r="L3477">
        <v>49.6</v>
      </c>
      <c r="M3477">
        <v>65</v>
      </c>
      <c r="N3477">
        <v>14</v>
      </c>
      <c r="O3477">
        <v>1</v>
      </c>
      <c r="P3477">
        <v>4</v>
      </c>
    </row>
    <row r="3478" spans="1:16" x14ac:dyDescent="0.25">
      <c r="A3478" s="4">
        <v>44800</v>
      </c>
      <c r="B3478" t="s">
        <v>10</v>
      </c>
      <c r="C3478">
        <v>1</v>
      </c>
      <c r="F3478">
        <v>210</v>
      </c>
      <c r="J3478">
        <v>1.238</v>
      </c>
      <c r="K3478">
        <v>43.8</v>
      </c>
      <c r="L3478">
        <v>35.299999999999997</v>
      </c>
      <c r="M3478">
        <v>144</v>
      </c>
      <c r="N3478">
        <v>25</v>
      </c>
      <c r="O3478">
        <v>5</v>
      </c>
    </row>
    <row r="3479" spans="1:16" x14ac:dyDescent="0.25">
      <c r="A3479" s="4">
        <v>44802</v>
      </c>
      <c r="B3479" t="s">
        <v>10</v>
      </c>
      <c r="C3479">
        <v>1</v>
      </c>
      <c r="F3479">
        <v>284</v>
      </c>
      <c r="J3479">
        <v>1.22</v>
      </c>
      <c r="K3479">
        <v>42.4</v>
      </c>
      <c r="L3479">
        <v>34.700000000000003</v>
      </c>
      <c r="M3479">
        <v>218</v>
      </c>
      <c r="N3479">
        <v>18</v>
      </c>
      <c r="O3479">
        <v>4</v>
      </c>
      <c r="P3479">
        <v>1</v>
      </c>
    </row>
    <row r="3480" spans="1:16" x14ac:dyDescent="0.25">
      <c r="A3480" s="4">
        <v>44802</v>
      </c>
      <c r="B3480" t="s">
        <v>9</v>
      </c>
      <c r="C3480">
        <v>1</v>
      </c>
      <c r="F3480">
        <v>72</v>
      </c>
      <c r="J3480">
        <v>1.0940000000000001</v>
      </c>
      <c r="K3480">
        <v>40</v>
      </c>
      <c r="L3480">
        <v>36.6</v>
      </c>
      <c r="M3480">
        <v>64</v>
      </c>
      <c r="N3480">
        <v>4</v>
      </c>
    </row>
    <row r="3481" spans="1:16" x14ac:dyDescent="0.25">
      <c r="A3481" s="4">
        <v>44803</v>
      </c>
      <c r="B3481" t="s">
        <v>10</v>
      </c>
      <c r="C3481">
        <v>1</v>
      </c>
      <c r="F3481">
        <v>370</v>
      </c>
      <c r="J3481">
        <v>1.254</v>
      </c>
      <c r="K3481">
        <v>45.1</v>
      </c>
      <c r="L3481">
        <v>36</v>
      </c>
      <c r="M3481">
        <v>269</v>
      </c>
      <c r="N3481">
        <v>5</v>
      </c>
      <c r="O3481">
        <v>2</v>
      </c>
    </row>
    <row r="3482" spans="1:16" x14ac:dyDescent="0.25">
      <c r="A3482" s="4">
        <v>44803</v>
      </c>
      <c r="B3482" t="s">
        <v>9</v>
      </c>
      <c r="C3482">
        <v>1</v>
      </c>
      <c r="F3482">
        <v>69</v>
      </c>
      <c r="J3482">
        <v>1.1000000000000001</v>
      </c>
      <c r="K3482">
        <v>40.6</v>
      </c>
      <c r="L3482">
        <v>36.9</v>
      </c>
      <c r="M3482">
        <v>61</v>
      </c>
      <c r="N3482">
        <v>2</v>
      </c>
      <c r="O3482">
        <v>1</v>
      </c>
    </row>
    <row r="3483" spans="1:16" x14ac:dyDescent="0.25">
      <c r="A3483" s="4">
        <v>44804</v>
      </c>
      <c r="B3483" t="s">
        <v>10</v>
      </c>
      <c r="C3483">
        <v>1</v>
      </c>
      <c r="F3483">
        <v>379</v>
      </c>
      <c r="J3483">
        <v>1.329</v>
      </c>
      <c r="K3483">
        <v>46.8</v>
      </c>
      <c r="L3483">
        <v>35.200000000000003</v>
      </c>
      <c r="M3483">
        <v>285</v>
      </c>
      <c r="N3483">
        <v>33</v>
      </c>
      <c r="O3483">
        <v>7</v>
      </c>
    </row>
    <row r="3484" spans="1:16" x14ac:dyDescent="0.25">
      <c r="A3484" s="4">
        <v>44804</v>
      </c>
      <c r="B3484" t="s">
        <v>9</v>
      </c>
      <c r="C3484">
        <v>1</v>
      </c>
      <c r="F3484">
        <v>55</v>
      </c>
      <c r="J3484">
        <v>1.01</v>
      </c>
      <c r="K3484">
        <v>42.3</v>
      </c>
      <c r="L3484">
        <v>41.9</v>
      </c>
      <c r="M3484">
        <v>43</v>
      </c>
      <c r="N3484">
        <v>4</v>
      </c>
      <c r="O3484">
        <v>1</v>
      </c>
    </row>
    <row r="3485" spans="1:16" x14ac:dyDescent="0.25">
      <c r="A3485" s="4">
        <v>44805</v>
      </c>
      <c r="B3485" t="s">
        <v>10</v>
      </c>
      <c r="C3485">
        <v>1</v>
      </c>
      <c r="F3485">
        <v>349</v>
      </c>
      <c r="J3485">
        <v>1.274</v>
      </c>
      <c r="K3485">
        <v>45.9</v>
      </c>
      <c r="L3485">
        <v>36.1</v>
      </c>
      <c r="M3485">
        <v>274</v>
      </c>
      <c r="N3485">
        <v>18</v>
      </c>
      <c r="O3485">
        <v>5</v>
      </c>
      <c r="P3485">
        <v>2</v>
      </c>
    </row>
    <row r="3486" spans="1:16" x14ac:dyDescent="0.25">
      <c r="A3486" s="4">
        <v>44805</v>
      </c>
      <c r="B3486" t="s">
        <v>9</v>
      </c>
      <c r="C3486">
        <v>1</v>
      </c>
      <c r="F3486">
        <v>40</v>
      </c>
      <c r="J3486">
        <v>0.97399999999999998</v>
      </c>
      <c r="K3486">
        <v>40</v>
      </c>
      <c r="L3486">
        <v>41.1</v>
      </c>
      <c r="M3486">
        <v>30</v>
      </c>
      <c r="N3486">
        <v>5</v>
      </c>
    </row>
    <row r="3487" spans="1:16" x14ac:dyDescent="0.25">
      <c r="A3487" s="4">
        <v>44810</v>
      </c>
      <c r="B3487" t="s">
        <v>10</v>
      </c>
      <c r="C3487">
        <v>1</v>
      </c>
      <c r="F3487">
        <v>294</v>
      </c>
      <c r="J3487">
        <v>0.95599999999999996</v>
      </c>
      <c r="K3487">
        <v>36.799999999999997</v>
      </c>
      <c r="L3487">
        <v>38.4</v>
      </c>
      <c r="M3487">
        <v>191</v>
      </c>
      <c r="N3487">
        <v>21</v>
      </c>
      <c r="O3487">
        <v>14</v>
      </c>
    </row>
    <row r="3488" spans="1:16" x14ac:dyDescent="0.25">
      <c r="A3488" s="4">
        <v>44810</v>
      </c>
      <c r="B3488" t="s">
        <v>9</v>
      </c>
      <c r="C3488">
        <v>1</v>
      </c>
      <c r="F3488">
        <v>117</v>
      </c>
      <c r="J3488">
        <v>1.23</v>
      </c>
    </row>
    <row r="3489" spans="1:16" x14ac:dyDescent="0.25">
      <c r="A3489" s="4">
        <v>44811</v>
      </c>
      <c r="B3489" t="s">
        <v>10</v>
      </c>
      <c r="C3489">
        <v>1</v>
      </c>
      <c r="F3489">
        <v>453</v>
      </c>
      <c r="J3489">
        <v>1.3049999999999999</v>
      </c>
      <c r="K3489">
        <v>50.3</v>
      </c>
      <c r="L3489">
        <v>38.6</v>
      </c>
      <c r="M3489">
        <v>278</v>
      </c>
      <c r="N3489">
        <v>39</v>
      </c>
      <c r="O3489">
        <v>18</v>
      </c>
      <c r="P3489">
        <v>3</v>
      </c>
    </row>
    <row r="3490" spans="1:16" x14ac:dyDescent="0.25">
      <c r="A3490" s="4">
        <v>44811</v>
      </c>
      <c r="B3490" t="s">
        <v>9</v>
      </c>
      <c r="C3490">
        <v>1</v>
      </c>
      <c r="F3490">
        <v>94</v>
      </c>
      <c r="J3490">
        <v>1.1919999999999999</v>
      </c>
      <c r="K3490">
        <v>49.5</v>
      </c>
      <c r="L3490">
        <v>41.5</v>
      </c>
      <c r="M3490">
        <v>73</v>
      </c>
      <c r="N3490">
        <v>9</v>
      </c>
      <c r="O3490">
        <v>1</v>
      </c>
    </row>
    <row r="3491" spans="1:16" x14ac:dyDescent="0.25">
      <c r="A3491" s="4">
        <v>44812</v>
      </c>
      <c r="B3491" t="s">
        <v>10</v>
      </c>
      <c r="C3491">
        <v>1</v>
      </c>
      <c r="F3491">
        <v>411</v>
      </c>
      <c r="J3491">
        <v>1.3420000000000001</v>
      </c>
      <c r="K3491">
        <v>47.8</v>
      </c>
      <c r="L3491">
        <v>35.6</v>
      </c>
      <c r="M3491">
        <v>312</v>
      </c>
      <c r="N3491">
        <v>28</v>
      </c>
      <c r="O3491">
        <v>8</v>
      </c>
    </row>
    <row r="3492" spans="1:16" x14ac:dyDescent="0.25">
      <c r="A3492" s="4">
        <v>44812</v>
      </c>
      <c r="B3492" t="s">
        <v>9</v>
      </c>
      <c r="C3492">
        <v>1</v>
      </c>
      <c r="F3492">
        <v>84</v>
      </c>
      <c r="J3492">
        <v>1.115</v>
      </c>
      <c r="K3492">
        <v>46.7</v>
      </c>
      <c r="L3492">
        <v>41.9</v>
      </c>
      <c r="M3492">
        <v>63</v>
      </c>
      <c r="N3492">
        <v>9</v>
      </c>
      <c r="O3492">
        <v>1</v>
      </c>
    </row>
    <row r="3493" spans="1:16" x14ac:dyDescent="0.25">
      <c r="A3493" s="4">
        <v>44813</v>
      </c>
      <c r="B3493" t="s">
        <v>10</v>
      </c>
      <c r="C3493">
        <v>1</v>
      </c>
      <c r="F3493">
        <v>400</v>
      </c>
      <c r="J3493">
        <v>1.4379999999999999</v>
      </c>
      <c r="K3493">
        <v>55.6</v>
      </c>
      <c r="L3493">
        <v>38.6</v>
      </c>
      <c r="M3493">
        <v>249</v>
      </c>
      <c r="N3493">
        <v>52</v>
      </c>
      <c r="O3493">
        <v>9</v>
      </c>
      <c r="P3493">
        <v>1</v>
      </c>
    </row>
    <row r="3494" spans="1:16" x14ac:dyDescent="0.25">
      <c r="A3494" s="4">
        <v>44814</v>
      </c>
      <c r="B3494" t="s">
        <v>10</v>
      </c>
      <c r="C3494">
        <v>1</v>
      </c>
      <c r="F3494">
        <v>102</v>
      </c>
      <c r="J3494">
        <v>1.2230000000000001</v>
      </c>
      <c r="K3494">
        <v>46.4</v>
      </c>
      <c r="L3494">
        <v>37.9</v>
      </c>
      <c r="M3494">
        <v>101</v>
      </c>
    </row>
    <row r="3495" spans="1:16" x14ac:dyDescent="0.25">
      <c r="A3495" s="4">
        <v>44816</v>
      </c>
      <c r="B3495" t="s">
        <v>10</v>
      </c>
      <c r="C3495">
        <v>1</v>
      </c>
      <c r="F3495">
        <v>455</v>
      </c>
      <c r="J3495">
        <v>1.361</v>
      </c>
      <c r="K3495">
        <v>50.6</v>
      </c>
      <c r="L3495">
        <v>37.200000000000003</v>
      </c>
      <c r="M3495">
        <v>307</v>
      </c>
      <c r="N3495">
        <v>42</v>
      </c>
      <c r="O3495">
        <v>8</v>
      </c>
      <c r="P3495">
        <v>3</v>
      </c>
    </row>
    <row r="3496" spans="1:16" x14ac:dyDescent="0.25">
      <c r="A3496" s="4">
        <v>44816</v>
      </c>
      <c r="B3496" t="s">
        <v>9</v>
      </c>
      <c r="C3496">
        <v>1</v>
      </c>
      <c r="F3496">
        <v>83</v>
      </c>
      <c r="J3496">
        <v>1.1200000000000001</v>
      </c>
      <c r="K3496">
        <v>46.1</v>
      </c>
      <c r="L3496">
        <v>41.2</v>
      </c>
      <c r="M3496">
        <v>61</v>
      </c>
      <c r="N3496">
        <v>11</v>
      </c>
    </row>
    <row r="3497" spans="1:16" x14ac:dyDescent="0.25">
      <c r="A3497" s="4">
        <v>44817</v>
      </c>
      <c r="B3497" t="s">
        <v>10</v>
      </c>
      <c r="C3497">
        <v>1</v>
      </c>
      <c r="F3497">
        <v>415</v>
      </c>
      <c r="J3497">
        <v>1.3340000000000001</v>
      </c>
      <c r="K3497">
        <v>48.3</v>
      </c>
      <c r="L3497">
        <v>36.200000000000003</v>
      </c>
      <c r="M3497">
        <v>317</v>
      </c>
      <c r="N3497">
        <v>28</v>
      </c>
      <c r="O3497">
        <v>2</v>
      </c>
      <c r="P3497">
        <v>2</v>
      </c>
    </row>
    <row r="3498" spans="1:16" x14ac:dyDescent="0.25">
      <c r="A3498" s="4">
        <v>44817</v>
      </c>
      <c r="B3498" t="s">
        <v>9</v>
      </c>
      <c r="C3498">
        <v>1</v>
      </c>
      <c r="F3498">
        <v>92</v>
      </c>
      <c r="J3498">
        <v>1.131</v>
      </c>
      <c r="K3498">
        <v>46</v>
      </c>
      <c r="L3498">
        <v>40.700000000000003</v>
      </c>
      <c r="M3498">
        <v>77</v>
      </c>
      <c r="N3498">
        <v>6</v>
      </c>
      <c r="O3498">
        <v>1</v>
      </c>
    </row>
    <row r="3499" spans="1:16" x14ac:dyDescent="0.25">
      <c r="A3499" s="4">
        <v>44818</v>
      </c>
      <c r="B3499" t="s">
        <v>10</v>
      </c>
      <c r="C3499">
        <v>1</v>
      </c>
      <c r="F3499">
        <v>407</v>
      </c>
      <c r="J3499">
        <v>1.2609999999999999</v>
      </c>
      <c r="K3499">
        <v>47.9</v>
      </c>
      <c r="L3499">
        <v>38</v>
      </c>
      <c r="M3499">
        <v>279</v>
      </c>
      <c r="N3499">
        <v>36</v>
      </c>
      <c r="O3499">
        <v>11</v>
      </c>
      <c r="P3499">
        <v>1</v>
      </c>
    </row>
    <row r="3500" spans="1:16" x14ac:dyDescent="0.25">
      <c r="A3500" s="4">
        <v>44818</v>
      </c>
      <c r="B3500" t="s">
        <v>9</v>
      </c>
      <c r="C3500">
        <v>1</v>
      </c>
      <c r="F3500">
        <v>75</v>
      </c>
      <c r="J3500">
        <v>1.105</v>
      </c>
      <c r="K3500">
        <v>44.1</v>
      </c>
      <c r="L3500">
        <v>39.9</v>
      </c>
      <c r="M3500">
        <v>61</v>
      </c>
      <c r="N3500">
        <v>7</v>
      </c>
    </row>
    <row r="3501" spans="1:16" x14ac:dyDescent="0.25">
      <c r="A3501" s="4">
        <v>44819</v>
      </c>
      <c r="B3501" t="s">
        <v>10</v>
      </c>
      <c r="C3501">
        <v>1</v>
      </c>
      <c r="F3501">
        <v>348</v>
      </c>
      <c r="J3501">
        <v>1.381</v>
      </c>
      <c r="K3501">
        <v>48.3</v>
      </c>
      <c r="L3501">
        <v>35</v>
      </c>
      <c r="M3501">
        <v>294</v>
      </c>
      <c r="N3501">
        <v>21</v>
      </c>
      <c r="O3501">
        <v>2</v>
      </c>
    </row>
    <row r="3502" spans="1:16" x14ac:dyDescent="0.25">
      <c r="A3502" s="4">
        <v>44819</v>
      </c>
      <c r="B3502" t="s">
        <v>9</v>
      </c>
      <c r="C3502">
        <v>1</v>
      </c>
    </row>
    <row r="3503" spans="1:16" x14ac:dyDescent="0.25">
      <c r="A3503" s="4">
        <v>44820</v>
      </c>
      <c r="B3503" t="s">
        <v>10</v>
      </c>
      <c r="C3503">
        <v>1</v>
      </c>
      <c r="F3503">
        <v>374</v>
      </c>
      <c r="J3503">
        <v>1.448</v>
      </c>
      <c r="K3503">
        <v>51.9</v>
      </c>
      <c r="L3503">
        <v>35.9</v>
      </c>
      <c r="M3503">
        <v>277</v>
      </c>
      <c r="N3503">
        <v>29</v>
      </c>
      <c r="O3503">
        <v>8</v>
      </c>
      <c r="P3503">
        <v>1</v>
      </c>
    </row>
    <row r="3504" spans="1:16" x14ac:dyDescent="0.25">
      <c r="A3504" s="4">
        <v>44820</v>
      </c>
      <c r="B3504" t="s">
        <v>9</v>
      </c>
      <c r="C3504">
        <v>1</v>
      </c>
      <c r="F3504">
        <v>29</v>
      </c>
      <c r="J3504">
        <v>1.0329999999999999</v>
      </c>
      <c r="K3504">
        <v>48.3</v>
      </c>
      <c r="L3504">
        <v>46.8</v>
      </c>
      <c r="M3504">
        <v>13</v>
      </c>
      <c r="N3504">
        <v>8</v>
      </c>
    </row>
    <row r="3505" spans="1:16" x14ac:dyDescent="0.25">
      <c r="A3505" s="4">
        <v>44823</v>
      </c>
      <c r="B3505" t="s">
        <v>10</v>
      </c>
      <c r="C3505">
        <v>1</v>
      </c>
      <c r="F3505">
        <v>423</v>
      </c>
      <c r="J3505">
        <v>1.26</v>
      </c>
      <c r="K3505">
        <v>47</v>
      </c>
      <c r="L3505">
        <v>37.299999999999997</v>
      </c>
      <c r="M3505">
        <v>296</v>
      </c>
      <c r="N3505">
        <v>37</v>
      </c>
      <c r="O3505">
        <v>10</v>
      </c>
    </row>
    <row r="3506" spans="1:16" x14ac:dyDescent="0.25">
      <c r="A3506" s="4">
        <v>44824</v>
      </c>
      <c r="B3506" t="s">
        <v>10</v>
      </c>
      <c r="C3506">
        <v>1</v>
      </c>
      <c r="F3506">
        <v>454</v>
      </c>
      <c r="J3506">
        <v>1.5129999999999999</v>
      </c>
      <c r="K3506">
        <v>54.1</v>
      </c>
      <c r="L3506">
        <v>35.700000000000003</v>
      </c>
      <c r="M3506">
        <v>332</v>
      </c>
      <c r="N3506">
        <v>30</v>
      </c>
      <c r="O3506">
        <v>13</v>
      </c>
    </row>
    <row r="3507" spans="1:16" x14ac:dyDescent="0.25">
      <c r="A3507" s="4">
        <v>44824</v>
      </c>
      <c r="B3507" t="s">
        <v>9</v>
      </c>
      <c r="C3507">
        <v>1</v>
      </c>
      <c r="F3507">
        <v>102</v>
      </c>
      <c r="J3507">
        <v>1.0880000000000001</v>
      </c>
      <c r="K3507">
        <v>48.6</v>
      </c>
      <c r="L3507">
        <v>44.7</v>
      </c>
      <c r="M3507">
        <v>58</v>
      </c>
      <c r="N3507">
        <v>22</v>
      </c>
    </row>
    <row r="3508" spans="1:16" x14ac:dyDescent="0.25">
      <c r="A3508" s="4">
        <v>44825</v>
      </c>
      <c r="B3508" t="s">
        <v>10</v>
      </c>
      <c r="C3508">
        <v>1</v>
      </c>
      <c r="F3508">
        <v>358</v>
      </c>
      <c r="J3508">
        <v>1.31</v>
      </c>
      <c r="K3508">
        <v>47.1</v>
      </c>
      <c r="L3508">
        <v>36</v>
      </c>
      <c r="M3508">
        <v>270</v>
      </c>
      <c r="N3508">
        <v>32</v>
      </c>
      <c r="O3508">
        <v>5</v>
      </c>
    </row>
    <row r="3509" spans="1:16" x14ac:dyDescent="0.25">
      <c r="A3509" s="4">
        <v>44825</v>
      </c>
      <c r="B3509" t="s">
        <v>9</v>
      </c>
      <c r="C3509">
        <v>1</v>
      </c>
      <c r="F3509">
        <v>86</v>
      </c>
      <c r="J3509">
        <v>1</v>
      </c>
      <c r="K3509">
        <v>43</v>
      </c>
      <c r="L3509">
        <v>43</v>
      </c>
      <c r="M3509">
        <v>48</v>
      </c>
      <c r="N3509">
        <v>10</v>
      </c>
      <c r="O3509">
        <v>5</v>
      </c>
    </row>
    <row r="3510" spans="1:16" x14ac:dyDescent="0.25">
      <c r="A3510" s="4">
        <v>44826</v>
      </c>
      <c r="B3510" t="s">
        <v>10</v>
      </c>
      <c r="C3510">
        <v>1</v>
      </c>
      <c r="F3510">
        <v>429</v>
      </c>
      <c r="J3510">
        <v>1.367</v>
      </c>
      <c r="K3510">
        <v>48.8</v>
      </c>
      <c r="L3510">
        <v>35.700000000000003</v>
      </c>
      <c r="M3510">
        <v>330</v>
      </c>
      <c r="N3510">
        <v>31</v>
      </c>
      <c r="O3510">
        <v>4</v>
      </c>
      <c r="P3510">
        <v>1</v>
      </c>
    </row>
    <row r="3511" spans="1:16" x14ac:dyDescent="0.25">
      <c r="A3511" s="4">
        <v>44826</v>
      </c>
      <c r="B3511" t="s">
        <v>9</v>
      </c>
      <c r="C3511">
        <v>1</v>
      </c>
      <c r="F3511">
        <v>82</v>
      </c>
      <c r="J3511">
        <v>1.0289999999999999</v>
      </c>
      <c r="K3511">
        <v>43.2</v>
      </c>
      <c r="L3511">
        <v>41.9</v>
      </c>
      <c r="M3511">
        <v>54</v>
      </c>
      <c r="N3511">
        <v>6</v>
      </c>
      <c r="O3511">
        <v>5</v>
      </c>
    </row>
    <row r="3512" spans="1:16" x14ac:dyDescent="0.25">
      <c r="A3512" s="4">
        <v>44827</v>
      </c>
      <c r="B3512" t="s">
        <v>10</v>
      </c>
      <c r="C3512">
        <v>1</v>
      </c>
      <c r="F3512">
        <v>479</v>
      </c>
      <c r="J3512">
        <v>1.51</v>
      </c>
      <c r="K3512">
        <v>54.4</v>
      </c>
      <c r="L3512">
        <v>36</v>
      </c>
      <c r="M3512">
        <v>354</v>
      </c>
      <c r="N3512">
        <v>38</v>
      </c>
      <c r="O3512">
        <v>7</v>
      </c>
    </row>
    <row r="3513" spans="1:16" x14ac:dyDescent="0.25">
      <c r="A3513" s="4">
        <v>44827</v>
      </c>
      <c r="B3513" t="s">
        <v>9</v>
      </c>
      <c r="C3513">
        <v>1</v>
      </c>
      <c r="F3513">
        <v>82</v>
      </c>
      <c r="J3513">
        <v>1.175</v>
      </c>
      <c r="K3513">
        <v>45.6</v>
      </c>
      <c r="L3513">
        <v>38.799999999999997</v>
      </c>
      <c r="M3513">
        <v>61</v>
      </c>
      <c r="N3513">
        <v>9</v>
      </c>
      <c r="O3513">
        <v>1</v>
      </c>
    </row>
    <row r="3514" spans="1:16" x14ac:dyDescent="0.25">
      <c r="A3514" s="4">
        <v>44830</v>
      </c>
      <c r="B3514" t="s">
        <v>10</v>
      </c>
      <c r="C3514">
        <v>1</v>
      </c>
      <c r="F3514">
        <v>292</v>
      </c>
      <c r="J3514">
        <v>1.242</v>
      </c>
      <c r="K3514">
        <v>47.1</v>
      </c>
      <c r="L3514">
        <v>37.9</v>
      </c>
      <c r="M3514">
        <v>204</v>
      </c>
      <c r="N3514">
        <v>18</v>
      </c>
      <c r="O3514">
        <v>6</v>
      </c>
      <c r="P3514">
        <v>2</v>
      </c>
    </row>
    <row r="3515" spans="1:16" x14ac:dyDescent="0.25">
      <c r="A3515" s="4">
        <v>44830</v>
      </c>
      <c r="B3515" t="s">
        <v>9</v>
      </c>
      <c r="C3515">
        <v>1</v>
      </c>
      <c r="F3515">
        <v>71</v>
      </c>
      <c r="J3515">
        <v>1.0349999999999999</v>
      </c>
      <c r="K3515">
        <v>44.4</v>
      </c>
      <c r="L3515">
        <v>42.9</v>
      </c>
      <c r="M3515">
        <v>43</v>
      </c>
      <c r="N3515">
        <v>14</v>
      </c>
    </row>
    <row r="3516" spans="1:16" x14ac:dyDescent="0.25">
      <c r="A3516" s="4">
        <v>44831</v>
      </c>
      <c r="B3516" t="s">
        <v>10</v>
      </c>
      <c r="C3516">
        <v>1</v>
      </c>
      <c r="F3516">
        <v>345</v>
      </c>
      <c r="J3516">
        <v>1.3939999999999999</v>
      </c>
      <c r="K3516">
        <v>49.3</v>
      </c>
      <c r="L3516">
        <v>35.4</v>
      </c>
      <c r="M3516">
        <v>272</v>
      </c>
      <c r="N3516">
        <v>18</v>
      </c>
      <c r="O3516">
        <v>7</v>
      </c>
    </row>
    <row r="3517" spans="1:16" x14ac:dyDescent="0.25">
      <c r="A3517" s="4">
        <v>44831</v>
      </c>
      <c r="B3517" t="s">
        <v>9</v>
      </c>
      <c r="C3517">
        <v>1</v>
      </c>
      <c r="F3517">
        <v>55</v>
      </c>
      <c r="J3517">
        <v>1.1910000000000001</v>
      </c>
      <c r="K3517">
        <v>45.8</v>
      </c>
      <c r="L3517">
        <v>38.5</v>
      </c>
      <c r="M3517">
        <v>51</v>
      </c>
      <c r="N3517">
        <v>2</v>
      </c>
    </row>
    <row r="3518" spans="1:16" x14ac:dyDescent="0.25">
      <c r="A3518" s="4">
        <v>44832</v>
      </c>
      <c r="B3518" t="s">
        <v>10</v>
      </c>
      <c r="C3518">
        <v>1</v>
      </c>
      <c r="F3518">
        <v>351</v>
      </c>
      <c r="J3518">
        <v>1.4039999999999999</v>
      </c>
      <c r="K3518">
        <v>50.1</v>
      </c>
      <c r="L3518">
        <v>35.700000000000003</v>
      </c>
      <c r="M3518">
        <v>269</v>
      </c>
      <c r="N3518">
        <v>30</v>
      </c>
      <c r="O3518">
        <v>4</v>
      </c>
    </row>
    <row r="3519" spans="1:16" x14ac:dyDescent="0.25">
      <c r="A3519" s="4">
        <v>44832</v>
      </c>
      <c r="B3519" t="s">
        <v>9</v>
      </c>
      <c r="C3519">
        <v>1</v>
      </c>
      <c r="F3519">
        <v>87</v>
      </c>
      <c r="J3519">
        <v>0.97399999999999998</v>
      </c>
      <c r="K3519">
        <v>43.5</v>
      </c>
      <c r="L3519">
        <v>44.7</v>
      </c>
      <c r="M3519">
        <v>42</v>
      </c>
      <c r="N3519">
        <v>12</v>
      </c>
      <c r="O3519">
        <v>7</v>
      </c>
    </row>
    <row r="3520" spans="1:16" x14ac:dyDescent="0.25">
      <c r="A3520" s="4">
        <v>44833</v>
      </c>
      <c r="B3520" t="s">
        <v>10</v>
      </c>
      <c r="C3520">
        <v>1</v>
      </c>
      <c r="F3520">
        <v>407</v>
      </c>
      <c r="J3520">
        <v>1.3089999999999999</v>
      </c>
      <c r="K3520">
        <v>56.5</v>
      </c>
      <c r="L3520">
        <v>43.2</v>
      </c>
      <c r="M3520">
        <v>214</v>
      </c>
      <c r="N3520">
        <v>27</v>
      </c>
      <c r="O3520">
        <v>25</v>
      </c>
      <c r="P3520">
        <v>5</v>
      </c>
    </row>
    <row r="3521" spans="1:16" x14ac:dyDescent="0.25">
      <c r="A3521" s="4">
        <v>44833</v>
      </c>
      <c r="B3521" t="s">
        <v>9</v>
      </c>
      <c r="C3521">
        <v>1</v>
      </c>
      <c r="F3521">
        <v>65</v>
      </c>
      <c r="J3521">
        <v>0.98899999999999999</v>
      </c>
      <c r="K3521">
        <v>46.4</v>
      </c>
      <c r="L3521">
        <v>47</v>
      </c>
      <c r="M3521">
        <v>38</v>
      </c>
      <c r="N3521">
        <v>5</v>
      </c>
      <c r="O3521">
        <v>1</v>
      </c>
      <c r="P3521">
        <v>2</v>
      </c>
    </row>
    <row r="3522" spans="1:16" x14ac:dyDescent="0.25">
      <c r="A3522" s="4">
        <v>44834</v>
      </c>
      <c r="B3522" t="s">
        <v>10</v>
      </c>
      <c r="C3522">
        <v>1</v>
      </c>
      <c r="F3522">
        <v>398</v>
      </c>
      <c r="J3522">
        <v>1.4179999999999999</v>
      </c>
      <c r="K3522">
        <v>55.3</v>
      </c>
      <c r="L3522">
        <v>39</v>
      </c>
      <c r="M3522">
        <v>236</v>
      </c>
      <c r="N3522">
        <v>28</v>
      </c>
      <c r="O3522">
        <v>24</v>
      </c>
      <c r="P3522">
        <v>1</v>
      </c>
    </row>
    <row r="3523" spans="1:16" x14ac:dyDescent="0.25">
      <c r="A3523" s="4">
        <v>44834</v>
      </c>
      <c r="B3523" t="s">
        <v>9</v>
      </c>
      <c r="C3523">
        <v>1</v>
      </c>
      <c r="F3523">
        <v>65</v>
      </c>
      <c r="J3523">
        <v>1.22</v>
      </c>
      <c r="K3523">
        <v>46.4</v>
      </c>
      <c r="L3523">
        <v>38.1</v>
      </c>
      <c r="M3523">
        <v>63</v>
      </c>
      <c r="N3523">
        <v>1</v>
      </c>
    </row>
    <row r="3524" spans="1:16" x14ac:dyDescent="0.25">
      <c r="A3524" s="4">
        <v>44837</v>
      </c>
      <c r="B3524" t="s">
        <v>10</v>
      </c>
      <c r="C3524">
        <v>1</v>
      </c>
      <c r="F3524">
        <v>392</v>
      </c>
      <c r="J3524">
        <v>1.2969999999999999</v>
      </c>
      <c r="K3524">
        <v>47.2</v>
      </c>
      <c r="L3524">
        <v>36.4</v>
      </c>
      <c r="M3524">
        <v>295</v>
      </c>
      <c r="N3524">
        <v>28</v>
      </c>
      <c r="O3524">
        <v>7</v>
      </c>
    </row>
    <row r="3525" spans="1:16" x14ac:dyDescent="0.25">
      <c r="A3525" s="4">
        <v>44837</v>
      </c>
      <c r="B3525" t="s">
        <v>9</v>
      </c>
      <c r="C3525">
        <v>1</v>
      </c>
      <c r="F3525">
        <v>100</v>
      </c>
      <c r="J3525">
        <v>1.0569999999999999</v>
      </c>
      <c r="K3525">
        <v>45.5</v>
      </c>
      <c r="L3525">
        <v>43</v>
      </c>
      <c r="M3525">
        <v>66</v>
      </c>
      <c r="N3525">
        <v>14</v>
      </c>
      <c r="O3525">
        <v>2</v>
      </c>
    </row>
    <row r="3526" spans="1:16" x14ac:dyDescent="0.25">
      <c r="A3526" s="4">
        <v>44838</v>
      </c>
      <c r="B3526" t="s">
        <v>10</v>
      </c>
      <c r="C3526">
        <v>1</v>
      </c>
      <c r="F3526">
        <v>444</v>
      </c>
      <c r="J3526">
        <v>1.4139999999999999</v>
      </c>
      <c r="K3526">
        <v>55.5</v>
      </c>
      <c r="L3526">
        <v>39.299999999999997</v>
      </c>
      <c r="M3526">
        <v>256</v>
      </c>
      <c r="N3526">
        <v>37</v>
      </c>
      <c r="O3526">
        <v>21</v>
      </c>
      <c r="P3526">
        <v>3</v>
      </c>
    </row>
    <row r="3527" spans="1:16" x14ac:dyDescent="0.25">
      <c r="A3527" s="4">
        <v>44838</v>
      </c>
      <c r="B3527" t="s">
        <v>9</v>
      </c>
      <c r="C3527">
        <v>1</v>
      </c>
      <c r="F3527">
        <v>60</v>
      </c>
      <c r="J3527">
        <v>1.169</v>
      </c>
      <c r="K3527">
        <v>46.2</v>
      </c>
      <c r="L3527">
        <v>39.5</v>
      </c>
      <c r="M3527">
        <v>49</v>
      </c>
      <c r="N3527">
        <v>4</v>
      </c>
      <c r="O3527">
        <v>1</v>
      </c>
    </row>
    <row r="3528" spans="1:16" x14ac:dyDescent="0.25">
      <c r="A3528" s="4">
        <v>44839</v>
      </c>
      <c r="B3528" t="s">
        <v>10</v>
      </c>
      <c r="C3528">
        <v>1</v>
      </c>
      <c r="F3528">
        <v>446</v>
      </c>
      <c r="J3528">
        <v>1.39</v>
      </c>
      <c r="K3528">
        <v>51.9</v>
      </c>
      <c r="L3528">
        <v>37.299999999999997</v>
      </c>
      <c r="M3528">
        <v>301</v>
      </c>
      <c r="N3528">
        <v>42</v>
      </c>
      <c r="O3528">
        <v>10</v>
      </c>
      <c r="P3528">
        <v>2</v>
      </c>
    </row>
    <row r="3529" spans="1:16" x14ac:dyDescent="0.25">
      <c r="A3529" s="4">
        <v>44839</v>
      </c>
      <c r="B3529" t="s">
        <v>9</v>
      </c>
      <c r="C3529">
        <v>1</v>
      </c>
      <c r="F3529">
        <v>59</v>
      </c>
      <c r="J3529">
        <v>1.0409999999999999</v>
      </c>
      <c r="K3529">
        <v>45.4</v>
      </c>
      <c r="L3529">
        <v>43.6</v>
      </c>
      <c r="M3529">
        <v>33</v>
      </c>
      <c r="N3529">
        <v>13</v>
      </c>
    </row>
    <row r="3530" spans="1:16" x14ac:dyDescent="0.25">
      <c r="A3530" s="4">
        <v>44840</v>
      </c>
      <c r="B3530" t="s">
        <v>10</v>
      </c>
      <c r="C3530">
        <v>1</v>
      </c>
      <c r="F3530">
        <v>452</v>
      </c>
      <c r="J3530">
        <v>1.4239999999999999</v>
      </c>
      <c r="K3530">
        <v>52</v>
      </c>
      <c r="L3530">
        <v>36.5</v>
      </c>
      <c r="M3530">
        <v>326</v>
      </c>
      <c r="N3530">
        <v>41</v>
      </c>
      <c r="O3530">
        <v>8</v>
      </c>
      <c r="P3530">
        <v>1</v>
      </c>
    </row>
    <row r="3531" spans="1:16" x14ac:dyDescent="0.25">
      <c r="A3531" s="4">
        <v>44840</v>
      </c>
      <c r="B3531" t="s">
        <v>9</v>
      </c>
      <c r="C3531">
        <v>1</v>
      </c>
      <c r="F3531">
        <v>97</v>
      </c>
      <c r="J3531">
        <v>1.1599999999999999</v>
      </c>
      <c r="K3531">
        <v>46.2</v>
      </c>
      <c r="L3531">
        <v>39.799999999999997</v>
      </c>
      <c r="M3531">
        <v>80</v>
      </c>
      <c r="N3531">
        <v>7</v>
      </c>
      <c r="O3531">
        <v>1</v>
      </c>
    </row>
    <row r="3532" spans="1:16" x14ac:dyDescent="0.25">
      <c r="A3532" s="4">
        <v>44841</v>
      </c>
      <c r="B3532" t="s">
        <v>10</v>
      </c>
      <c r="C3532">
        <v>1</v>
      </c>
      <c r="F3532">
        <v>414</v>
      </c>
      <c r="J3532">
        <v>1.284</v>
      </c>
      <c r="K3532">
        <v>47.6</v>
      </c>
      <c r="L3532">
        <v>37.1</v>
      </c>
      <c r="M3532">
        <v>298</v>
      </c>
      <c r="N3532">
        <v>34</v>
      </c>
      <c r="O3532">
        <v>6</v>
      </c>
    </row>
    <row r="3533" spans="1:16" x14ac:dyDescent="0.25">
      <c r="A3533" s="4">
        <v>44841</v>
      </c>
      <c r="B3533" t="s">
        <v>9</v>
      </c>
      <c r="C3533">
        <v>1</v>
      </c>
      <c r="F3533">
        <v>68</v>
      </c>
      <c r="J3533">
        <v>1.26</v>
      </c>
      <c r="K3533">
        <v>45.3</v>
      </c>
      <c r="L3533">
        <v>36</v>
      </c>
      <c r="M3533">
        <v>64</v>
      </c>
      <c r="N3533">
        <v>2</v>
      </c>
    </row>
    <row r="3534" spans="1:16" x14ac:dyDescent="0.25">
      <c r="A3534" s="4">
        <v>44844</v>
      </c>
      <c r="B3534" t="s">
        <v>10</v>
      </c>
      <c r="C3534">
        <v>1</v>
      </c>
      <c r="F3534">
        <v>450</v>
      </c>
      <c r="J3534">
        <v>1.365</v>
      </c>
      <c r="K3534">
        <v>51.7</v>
      </c>
      <c r="L3534">
        <v>37.9</v>
      </c>
      <c r="M3534">
        <v>286</v>
      </c>
      <c r="N3534">
        <v>42</v>
      </c>
      <c r="O3534">
        <v>18</v>
      </c>
      <c r="P3534">
        <v>1</v>
      </c>
    </row>
    <row r="3535" spans="1:16" x14ac:dyDescent="0.25">
      <c r="A3535" s="4">
        <v>44844</v>
      </c>
      <c r="B3535" t="s">
        <v>9</v>
      </c>
      <c r="C3535">
        <v>1</v>
      </c>
      <c r="F3535">
        <v>64</v>
      </c>
      <c r="J3535">
        <v>1.163</v>
      </c>
      <c r="K3535">
        <v>45.7</v>
      </c>
      <c r="L3535">
        <v>39.299999999999997</v>
      </c>
      <c r="M3535">
        <v>54</v>
      </c>
      <c r="N3535">
        <v>5</v>
      </c>
    </row>
    <row r="3536" spans="1:16" x14ac:dyDescent="0.25">
      <c r="A3536" s="4">
        <v>44845</v>
      </c>
      <c r="B3536" t="s">
        <v>10</v>
      </c>
      <c r="C3536">
        <v>1</v>
      </c>
      <c r="F3536">
        <v>431</v>
      </c>
      <c r="J3536">
        <v>1.3919999999999999</v>
      </c>
      <c r="K3536">
        <v>51.3</v>
      </c>
      <c r="L3536">
        <v>36.9</v>
      </c>
      <c r="M3536">
        <v>296</v>
      </c>
      <c r="N3536">
        <v>37</v>
      </c>
      <c r="O3536">
        <v>16</v>
      </c>
    </row>
    <row r="3537" spans="1:16" x14ac:dyDescent="0.25">
      <c r="A3537" s="4">
        <v>44845</v>
      </c>
      <c r="B3537" t="s">
        <v>9</v>
      </c>
      <c r="C3537">
        <v>1</v>
      </c>
      <c r="F3537">
        <v>123</v>
      </c>
      <c r="J3537">
        <v>0.95099999999999996</v>
      </c>
      <c r="K3537">
        <v>49.2</v>
      </c>
      <c r="L3537">
        <v>51.7</v>
      </c>
      <c r="M3537">
        <v>39</v>
      </c>
      <c r="N3537">
        <v>7</v>
      </c>
      <c r="O3537">
        <v>23</v>
      </c>
    </row>
    <row r="3538" spans="1:16" x14ac:dyDescent="0.25">
      <c r="A3538" s="4">
        <v>44846</v>
      </c>
      <c r="B3538" t="s">
        <v>10</v>
      </c>
      <c r="C3538">
        <v>1</v>
      </c>
      <c r="F3538">
        <v>409</v>
      </c>
      <c r="J3538">
        <v>1.3180000000000001</v>
      </c>
      <c r="K3538">
        <v>49.3</v>
      </c>
      <c r="L3538">
        <v>37.4</v>
      </c>
      <c r="M3538">
        <v>276</v>
      </c>
      <c r="N3538">
        <v>33</v>
      </c>
      <c r="O3538">
        <v>14</v>
      </c>
      <c r="P3538">
        <v>1</v>
      </c>
    </row>
    <row r="3539" spans="1:16" x14ac:dyDescent="0.25">
      <c r="A3539" s="4">
        <v>44846</v>
      </c>
      <c r="B3539" t="s">
        <v>9</v>
      </c>
      <c r="C3539">
        <v>1</v>
      </c>
      <c r="F3539">
        <v>107</v>
      </c>
      <c r="J3539">
        <v>1.073</v>
      </c>
      <c r="K3539">
        <v>46.5</v>
      </c>
      <c r="L3539">
        <v>43.3</v>
      </c>
      <c r="M3539">
        <v>63</v>
      </c>
      <c r="N3539">
        <v>20</v>
      </c>
      <c r="O3539">
        <v>1</v>
      </c>
    </row>
    <row r="3540" spans="1:16" x14ac:dyDescent="0.25">
      <c r="A3540" s="4">
        <v>44847</v>
      </c>
      <c r="B3540" t="s">
        <v>10</v>
      </c>
      <c r="C3540">
        <v>1</v>
      </c>
      <c r="F3540">
        <v>425</v>
      </c>
      <c r="J3540">
        <v>1.306</v>
      </c>
      <c r="K3540">
        <v>50.6</v>
      </c>
      <c r="L3540">
        <v>38.700000000000003</v>
      </c>
      <c r="M3540">
        <v>256</v>
      </c>
      <c r="N3540">
        <v>48</v>
      </c>
      <c r="O3540">
        <v>12</v>
      </c>
      <c r="P3540">
        <v>2</v>
      </c>
    </row>
    <row r="3541" spans="1:16" x14ac:dyDescent="0.25">
      <c r="A3541" s="4">
        <v>44847</v>
      </c>
      <c r="B3541" t="s">
        <v>9</v>
      </c>
      <c r="C3541">
        <v>1</v>
      </c>
      <c r="F3541">
        <v>80</v>
      </c>
      <c r="J3541">
        <v>1.3080000000000001</v>
      </c>
      <c r="K3541">
        <v>47.1</v>
      </c>
      <c r="L3541">
        <v>36</v>
      </c>
      <c r="M3541">
        <v>73</v>
      </c>
      <c r="N3541">
        <v>3</v>
      </c>
    </row>
    <row r="3542" spans="1:16" x14ac:dyDescent="0.25">
      <c r="A3542" s="4">
        <v>44848</v>
      </c>
      <c r="B3542" t="s">
        <v>10</v>
      </c>
      <c r="C3542">
        <v>1</v>
      </c>
      <c r="F3542">
        <v>403</v>
      </c>
      <c r="J3542">
        <v>1.3240000000000001</v>
      </c>
      <c r="K3542">
        <v>47.4</v>
      </c>
      <c r="L3542">
        <v>35.799999999999997</v>
      </c>
      <c r="M3542">
        <v>300</v>
      </c>
      <c r="N3542">
        <v>28</v>
      </c>
      <c r="O3542">
        <v>9</v>
      </c>
      <c r="P3542">
        <v>1</v>
      </c>
    </row>
    <row r="3543" spans="1:16" x14ac:dyDescent="0.25">
      <c r="A3543" s="4">
        <v>44848</v>
      </c>
      <c r="B3543" t="s">
        <v>9</v>
      </c>
      <c r="C3543">
        <v>1</v>
      </c>
      <c r="F3543">
        <v>82</v>
      </c>
      <c r="J3543">
        <v>1.1910000000000001</v>
      </c>
      <c r="K3543">
        <v>45.6</v>
      </c>
      <c r="L3543">
        <v>38.299999999999997</v>
      </c>
      <c r="M3543">
        <v>70</v>
      </c>
      <c r="N3543">
        <v>3</v>
      </c>
      <c r="O3543">
        <v>2</v>
      </c>
    </row>
    <row r="3544" spans="1:16" x14ac:dyDescent="0.25">
      <c r="A3544" s="4">
        <v>44849</v>
      </c>
      <c r="B3544" t="s">
        <v>10</v>
      </c>
      <c r="C3544">
        <v>1</v>
      </c>
      <c r="F3544">
        <v>168</v>
      </c>
      <c r="J3544">
        <v>1.341</v>
      </c>
      <c r="K3544">
        <v>49.4</v>
      </c>
      <c r="L3544">
        <v>36.9</v>
      </c>
      <c r="M3544">
        <v>142</v>
      </c>
      <c r="N3544">
        <v>12</v>
      </c>
    </row>
    <row r="3545" spans="1:16" x14ac:dyDescent="0.25">
      <c r="A3545" s="4">
        <v>44849</v>
      </c>
      <c r="B3545" t="s">
        <v>9</v>
      </c>
      <c r="C3545">
        <v>1</v>
      </c>
      <c r="F3545">
        <v>47</v>
      </c>
      <c r="J3545">
        <v>1.2370000000000001</v>
      </c>
      <c r="K3545">
        <v>47</v>
      </c>
      <c r="L3545">
        <v>38</v>
      </c>
      <c r="M3545">
        <v>43</v>
      </c>
      <c r="N3545">
        <v>2</v>
      </c>
    </row>
    <row r="3546" spans="1:16" x14ac:dyDescent="0.25">
      <c r="A3546" s="4">
        <v>44851</v>
      </c>
      <c r="B3546" t="s">
        <v>10</v>
      </c>
      <c r="C3546">
        <v>1</v>
      </c>
      <c r="F3546">
        <v>401</v>
      </c>
      <c r="J3546">
        <v>1.395</v>
      </c>
      <c r="K3546">
        <v>50.1</v>
      </c>
      <c r="L3546">
        <v>35.9</v>
      </c>
      <c r="M3546">
        <v>298</v>
      </c>
      <c r="N3546">
        <v>33</v>
      </c>
      <c r="O3546">
        <v>5</v>
      </c>
      <c r="P3546">
        <v>1</v>
      </c>
    </row>
    <row r="3547" spans="1:16" x14ac:dyDescent="0.25">
      <c r="A3547" s="4">
        <v>44851</v>
      </c>
      <c r="B3547" t="s">
        <v>9</v>
      </c>
      <c r="C3547">
        <v>1</v>
      </c>
      <c r="F3547">
        <v>79</v>
      </c>
      <c r="J3547">
        <v>1.159</v>
      </c>
      <c r="K3547">
        <v>46.5</v>
      </c>
      <c r="L3547">
        <v>40.1</v>
      </c>
      <c r="M3547">
        <v>59</v>
      </c>
      <c r="N3547">
        <v>10</v>
      </c>
    </row>
    <row r="3548" spans="1:16" x14ac:dyDescent="0.25">
      <c r="A3548" s="4">
        <v>44852</v>
      </c>
      <c r="B3548" t="s">
        <v>10</v>
      </c>
      <c r="C3548">
        <v>1</v>
      </c>
      <c r="F3548">
        <v>432</v>
      </c>
      <c r="J3548">
        <v>1.381</v>
      </c>
      <c r="K3548">
        <v>50.8</v>
      </c>
      <c r="L3548">
        <v>36.799999999999997</v>
      </c>
      <c r="M3548">
        <v>309</v>
      </c>
      <c r="N3548">
        <v>39</v>
      </c>
      <c r="O3548">
        <v>6</v>
      </c>
      <c r="P3548">
        <v>1</v>
      </c>
    </row>
    <row r="3549" spans="1:16" x14ac:dyDescent="0.25">
      <c r="A3549" s="4">
        <v>44852</v>
      </c>
      <c r="B3549" t="s">
        <v>9</v>
      </c>
      <c r="C3549">
        <v>1</v>
      </c>
      <c r="F3549">
        <v>70</v>
      </c>
      <c r="J3549">
        <v>1.2430000000000001</v>
      </c>
      <c r="K3549">
        <v>46.7</v>
      </c>
      <c r="L3549">
        <v>37.5</v>
      </c>
      <c r="M3549">
        <v>62</v>
      </c>
      <c r="N3549">
        <v>4</v>
      </c>
    </row>
    <row r="3550" spans="1:16" x14ac:dyDescent="0.25">
      <c r="A3550" s="4">
        <v>44853</v>
      </c>
      <c r="B3550" t="s">
        <v>10</v>
      </c>
      <c r="C3550">
        <v>1</v>
      </c>
      <c r="F3550">
        <v>421</v>
      </c>
      <c r="J3550">
        <v>1.3080000000000001</v>
      </c>
      <c r="K3550">
        <v>49.5</v>
      </c>
      <c r="L3550">
        <v>37.9</v>
      </c>
      <c r="M3550">
        <v>280</v>
      </c>
      <c r="N3550">
        <v>32</v>
      </c>
      <c r="O3550">
        <v>11</v>
      </c>
      <c r="P3550">
        <v>3</v>
      </c>
    </row>
    <row r="3551" spans="1:16" x14ac:dyDescent="0.25">
      <c r="A3551" s="4">
        <v>44853</v>
      </c>
      <c r="B3551" t="s">
        <v>9</v>
      </c>
      <c r="C3551">
        <v>1</v>
      </c>
      <c r="F3551">
        <v>74</v>
      </c>
      <c r="J3551">
        <v>1.1850000000000001</v>
      </c>
      <c r="K3551">
        <v>46.3</v>
      </c>
      <c r="L3551">
        <v>39</v>
      </c>
      <c r="M3551">
        <v>58</v>
      </c>
      <c r="N3551">
        <v>5</v>
      </c>
      <c r="O3551">
        <v>2</v>
      </c>
    </row>
    <row r="3552" spans="1:16" x14ac:dyDescent="0.25">
      <c r="A3552" s="4">
        <v>44854</v>
      </c>
      <c r="B3552" t="s">
        <v>10</v>
      </c>
      <c r="C3552">
        <v>1</v>
      </c>
      <c r="F3552">
        <v>387</v>
      </c>
      <c r="J3552">
        <v>1.3280000000000001</v>
      </c>
      <c r="K3552">
        <v>49.6</v>
      </c>
      <c r="L3552">
        <v>37.4</v>
      </c>
      <c r="M3552">
        <v>248</v>
      </c>
      <c r="N3552">
        <v>42</v>
      </c>
      <c r="O3552">
        <v>10</v>
      </c>
      <c r="P3552">
        <v>1</v>
      </c>
    </row>
    <row r="3553" spans="1:16" x14ac:dyDescent="0.25">
      <c r="A3553" s="4">
        <v>44854</v>
      </c>
      <c r="B3553" t="s">
        <v>9</v>
      </c>
      <c r="C3553">
        <v>1</v>
      </c>
      <c r="F3553">
        <v>71</v>
      </c>
      <c r="J3553">
        <v>1.123</v>
      </c>
      <c r="K3553">
        <v>47.3</v>
      </c>
      <c r="L3553">
        <v>42.2</v>
      </c>
      <c r="M3553">
        <v>47</v>
      </c>
      <c r="N3553">
        <v>7</v>
      </c>
      <c r="O3553">
        <v>3</v>
      </c>
    </row>
    <row r="3554" spans="1:16" x14ac:dyDescent="0.25">
      <c r="A3554" s="4">
        <v>44855</v>
      </c>
      <c r="B3554" t="s">
        <v>10</v>
      </c>
      <c r="C3554">
        <v>1</v>
      </c>
      <c r="F3554">
        <v>400</v>
      </c>
      <c r="J3554">
        <v>1.3520000000000001</v>
      </c>
      <c r="K3554">
        <v>47.1</v>
      </c>
      <c r="L3554">
        <v>34.799999999999997</v>
      </c>
      <c r="M3554">
        <v>319</v>
      </c>
      <c r="N3554">
        <v>27</v>
      </c>
      <c r="O3554">
        <v>5</v>
      </c>
    </row>
    <row r="3555" spans="1:16" x14ac:dyDescent="0.25">
      <c r="A3555" s="4">
        <v>44855</v>
      </c>
      <c r="B3555" t="s">
        <v>9</v>
      </c>
      <c r="C3555">
        <v>1</v>
      </c>
      <c r="F3555">
        <v>76</v>
      </c>
      <c r="J3555">
        <v>1.119</v>
      </c>
      <c r="K3555">
        <v>44.7</v>
      </c>
      <c r="L3555">
        <v>40</v>
      </c>
      <c r="M3555">
        <v>51</v>
      </c>
      <c r="N3555">
        <v>11</v>
      </c>
      <c r="O3555">
        <v>1</v>
      </c>
    </row>
    <row r="3556" spans="1:16" x14ac:dyDescent="0.25">
      <c r="A3556" s="4">
        <v>44858</v>
      </c>
      <c r="B3556" t="s">
        <v>10</v>
      </c>
      <c r="C3556">
        <v>1</v>
      </c>
      <c r="F3556">
        <v>455</v>
      </c>
      <c r="J3556">
        <v>1.367</v>
      </c>
      <c r="K3556">
        <v>50.6</v>
      </c>
      <c r="L3556">
        <v>37</v>
      </c>
      <c r="M3556">
        <v>337</v>
      </c>
      <c r="N3556">
        <v>26</v>
      </c>
      <c r="O3556">
        <v>9</v>
      </c>
      <c r="P3556">
        <v>2</v>
      </c>
    </row>
    <row r="3557" spans="1:16" x14ac:dyDescent="0.25">
      <c r="A3557" s="4">
        <v>44858</v>
      </c>
      <c r="B3557" t="s">
        <v>9</v>
      </c>
      <c r="C3557">
        <v>1</v>
      </c>
      <c r="F3557">
        <v>55</v>
      </c>
      <c r="J3557">
        <v>1.2490000000000001</v>
      </c>
      <c r="K3557">
        <v>45.8</v>
      </c>
      <c r="L3557">
        <v>36.700000000000003</v>
      </c>
      <c r="M3557">
        <v>53</v>
      </c>
      <c r="N3557">
        <v>1</v>
      </c>
    </row>
    <row r="3558" spans="1:16" x14ac:dyDescent="0.25">
      <c r="A3558" s="4">
        <v>44859</v>
      </c>
      <c r="B3558" t="s">
        <v>10</v>
      </c>
      <c r="C3558">
        <v>1</v>
      </c>
      <c r="F3558">
        <v>403</v>
      </c>
      <c r="J3558">
        <v>1.335</v>
      </c>
      <c r="K3558">
        <v>48</v>
      </c>
      <c r="L3558">
        <v>35.9</v>
      </c>
      <c r="M3558">
        <v>311</v>
      </c>
      <c r="N3558">
        <v>28</v>
      </c>
      <c r="O3558">
        <v>7</v>
      </c>
    </row>
    <row r="3559" spans="1:16" x14ac:dyDescent="0.25">
      <c r="A3559" s="4">
        <v>44859</v>
      </c>
      <c r="B3559" t="s">
        <v>9</v>
      </c>
      <c r="C3559">
        <v>1</v>
      </c>
      <c r="F3559">
        <v>87</v>
      </c>
      <c r="J3559">
        <v>1.125</v>
      </c>
      <c r="K3559">
        <v>45.8</v>
      </c>
      <c r="L3559">
        <v>40.700000000000003</v>
      </c>
      <c r="M3559">
        <v>63</v>
      </c>
      <c r="N3559">
        <v>9</v>
      </c>
      <c r="O3559">
        <v>2</v>
      </c>
    </row>
    <row r="3560" spans="1:16" x14ac:dyDescent="0.25">
      <c r="A3560" s="4">
        <v>44860</v>
      </c>
      <c r="B3560" t="s">
        <v>10</v>
      </c>
      <c r="C3560">
        <v>1</v>
      </c>
      <c r="F3560">
        <v>444</v>
      </c>
      <c r="J3560">
        <v>1.4119999999999999</v>
      </c>
      <c r="K3560">
        <v>51.6</v>
      </c>
      <c r="L3560">
        <v>36.6</v>
      </c>
      <c r="M3560">
        <v>330</v>
      </c>
      <c r="N3560">
        <v>30</v>
      </c>
      <c r="O3560">
        <v>10</v>
      </c>
      <c r="P3560">
        <v>1</v>
      </c>
    </row>
    <row r="3561" spans="1:16" x14ac:dyDescent="0.25">
      <c r="A3561" s="4">
        <v>44860</v>
      </c>
      <c r="B3561" t="s">
        <v>9</v>
      </c>
      <c r="C3561">
        <v>1</v>
      </c>
    </row>
    <row r="3562" spans="1:16" x14ac:dyDescent="0.25">
      <c r="A3562" s="4">
        <v>44861</v>
      </c>
      <c r="B3562" t="s">
        <v>10</v>
      </c>
      <c r="C3562">
        <v>1</v>
      </c>
      <c r="F3562">
        <v>420</v>
      </c>
      <c r="J3562">
        <v>1.3260000000000001</v>
      </c>
      <c r="K3562">
        <v>49.4</v>
      </c>
      <c r="L3562">
        <v>37.299999999999997</v>
      </c>
      <c r="M3562">
        <v>281</v>
      </c>
      <c r="N3562">
        <v>42</v>
      </c>
      <c r="O3562">
        <v>11</v>
      </c>
    </row>
    <row r="3563" spans="1:16" x14ac:dyDescent="0.25">
      <c r="A3563" s="4">
        <v>44861</v>
      </c>
      <c r="B3563" t="s">
        <v>9</v>
      </c>
      <c r="C3563">
        <v>1</v>
      </c>
      <c r="F3563">
        <v>74</v>
      </c>
      <c r="J3563">
        <v>1.1619999999999999</v>
      </c>
      <c r="K3563">
        <v>46.3</v>
      </c>
      <c r="L3563">
        <v>39.799999999999997</v>
      </c>
      <c r="M3563">
        <v>64</v>
      </c>
      <c r="N3563">
        <v>5</v>
      </c>
    </row>
    <row r="3564" spans="1:16" x14ac:dyDescent="0.25">
      <c r="A3564" s="4">
        <v>44862</v>
      </c>
      <c r="B3564" t="s">
        <v>10</v>
      </c>
      <c r="C3564">
        <v>1</v>
      </c>
      <c r="F3564">
        <v>453</v>
      </c>
      <c r="J3564">
        <v>1.3919999999999999</v>
      </c>
      <c r="K3564">
        <v>50.3</v>
      </c>
      <c r="L3564">
        <v>36.200000000000003</v>
      </c>
      <c r="M3564">
        <v>352</v>
      </c>
      <c r="N3564">
        <v>27</v>
      </c>
      <c r="O3564">
        <v>7</v>
      </c>
      <c r="P3564">
        <v>1</v>
      </c>
    </row>
    <row r="3565" spans="1:16" x14ac:dyDescent="0.25">
      <c r="A3565" s="4">
        <v>44862</v>
      </c>
      <c r="B3565" t="s">
        <v>9</v>
      </c>
      <c r="C3565">
        <v>1</v>
      </c>
      <c r="F3565">
        <v>64</v>
      </c>
      <c r="J3565">
        <v>1.2250000000000001</v>
      </c>
      <c r="K3565">
        <v>45.7</v>
      </c>
      <c r="L3565">
        <v>37.299999999999997</v>
      </c>
      <c r="M3565">
        <v>58</v>
      </c>
      <c r="N3565">
        <v>3</v>
      </c>
    </row>
    <row r="3566" spans="1:16" x14ac:dyDescent="0.25">
      <c r="A3566" s="4">
        <v>44865</v>
      </c>
      <c r="B3566" t="s">
        <v>10</v>
      </c>
      <c r="C3566">
        <v>1</v>
      </c>
      <c r="F3566">
        <v>400</v>
      </c>
      <c r="J3566">
        <v>1.3069999999999999</v>
      </c>
      <c r="K3566">
        <v>48.2</v>
      </c>
      <c r="L3566">
        <v>36.9</v>
      </c>
      <c r="M3566">
        <v>297</v>
      </c>
      <c r="N3566">
        <v>27</v>
      </c>
      <c r="O3566">
        <v>7</v>
      </c>
      <c r="P3566">
        <v>2</v>
      </c>
    </row>
    <row r="3567" spans="1:16" x14ac:dyDescent="0.25">
      <c r="A3567" s="4">
        <v>44865</v>
      </c>
      <c r="B3567" t="s">
        <v>9</v>
      </c>
      <c r="C3567">
        <v>1</v>
      </c>
    </row>
    <row r="3568" spans="1:16" x14ac:dyDescent="0.25">
      <c r="A3568" s="4">
        <v>44866</v>
      </c>
      <c r="B3568" t="s">
        <v>10</v>
      </c>
      <c r="C3568">
        <v>1</v>
      </c>
      <c r="F3568">
        <v>430</v>
      </c>
      <c r="J3568">
        <v>1.369</v>
      </c>
      <c r="K3568">
        <v>51.2</v>
      </c>
      <c r="L3568">
        <v>37.4</v>
      </c>
      <c r="M3568">
        <v>283</v>
      </c>
      <c r="N3568">
        <v>38</v>
      </c>
      <c r="O3568">
        <v>13</v>
      </c>
      <c r="P3568">
        <v>2</v>
      </c>
    </row>
    <row r="3569" spans="1:16" x14ac:dyDescent="0.25">
      <c r="A3569" s="4">
        <v>44866</v>
      </c>
      <c r="B3569" t="s">
        <v>9</v>
      </c>
      <c r="C3569">
        <v>1</v>
      </c>
      <c r="F3569">
        <v>72</v>
      </c>
      <c r="J3569">
        <v>1.137</v>
      </c>
      <c r="K3569">
        <v>45</v>
      </c>
      <c r="L3569">
        <v>39.6</v>
      </c>
      <c r="M3569">
        <v>63</v>
      </c>
      <c r="N3569">
        <v>3</v>
      </c>
      <c r="O3569">
        <v>1</v>
      </c>
    </row>
    <row r="3570" spans="1:16" x14ac:dyDescent="0.25">
      <c r="A3570" s="4">
        <v>44867</v>
      </c>
      <c r="B3570" t="s">
        <v>10</v>
      </c>
      <c r="C3570">
        <v>1</v>
      </c>
      <c r="F3570">
        <v>421</v>
      </c>
      <c r="J3570">
        <v>1.2969999999999999</v>
      </c>
      <c r="K3570">
        <v>48.4</v>
      </c>
      <c r="L3570">
        <v>37.299999999999997</v>
      </c>
      <c r="M3570">
        <v>308</v>
      </c>
      <c r="N3570">
        <v>29</v>
      </c>
      <c r="O3570">
        <v>10</v>
      </c>
    </row>
    <row r="3571" spans="1:16" x14ac:dyDescent="0.25">
      <c r="A3571" s="4">
        <v>44867</v>
      </c>
      <c r="B3571" t="s">
        <v>9</v>
      </c>
      <c r="C3571">
        <v>1</v>
      </c>
      <c r="F3571">
        <v>70</v>
      </c>
      <c r="J3571">
        <v>1.147</v>
      </c>
      <c r="K3571">
        <v>46.7</v>
      </c>
      <c r="L3571">
        <v>40.700000000000003</v>
      </c>
      <c r="M3571">
        <v>58</v>
      </c>
      <c r="N3571">
        <v>6</v>
      </c>
    </row>
    <row r="3572" spans="1:16" x14ac:dyDescent="0.25">
      <c r="A3572" s="4">
        <v>44868</v>
      </c>
      <c r="B3572" t="s">
        <v>10</v>
      </c>
      <c r="C3572">
        <v>1</v>
      </c>
      <c r="F3572">
        <v>404</v>
      </c>
      <c r="J3572">
        <v>1.325</v>
      </c>
      <c r="K3572">
        <v>48.7</v>
      </c>
      <c r="L3572">
        <v>36.700000000000003</v>
      </c>
      <c r="M3572">
        <v>306</v>
      </c>
      <c r="N3572">
        <v>30</v>
      </c>
      <c r="O3572">
        <v>7</v>
      </c>
    </row>
    <row r="3573" spans="1:16" x14ac:dyDescent="0.25">
      <c r="A3573" s="4">
        <v>44868</v>
      </c>
      <c r="B3573" t="s">
        <v>9</v>
      </c>
      <c r="C3573">
        <v>1</v>
      </c>
    </row>
    <row r="3574" spans="1:16" x14ac:dyDescent="0.25">
      <c r="A3574" s="4">
        <v>44869</v>
      </c>
      <c r="B3574" t="s">
        <v>10</v>
      </c>
      <c r="C3574">
        <v>1</v>
      </c>
      <c r="F3574">
        <v>467</v>
      </c>
      <c r="J3574">
        <v>1.3620000000000001</v>
      </c>
      <c r="K3574">
        <v>53.1</v>
      </c>
      <c r="L3574">
        <v>39</v>
      </c>
      <c r="M3574">
        <v>287</v>
      </c>
      <c r="N3574">
        <v>51</v>
      </c>
      <c r="O3574">
        <v>15</v>
      </c>
      <c r="P3574">
        <v>2</v>
      </c>
    </row>
    <row r="3575" spans="1:16" x14ac:dyDescent="0.25">
      <c r="A3575" s="4">
        <v>44869</v>
      </c>
      <c r="B3575" t="s">
        <v>9</v>
      </c>
      <c r="C3575">
        <v>1</v>
      </c>
    </row>
    <row r="3576" spans="1:16" x14ac:dyDescent="0.25">
      <c r="A3576" s="4">
        <v>44872</v>
      </c>
      <c r="B3576" t="s">
        <v>10</v>
      </c>
      <c r="C3576">
        <v>1</v>
      </c>
      <c r="F3576">
        <v>398</v>
      </c>
      <c r="J3576">
        <v>1.323</v>
      </c>
      <c r="K3576">
        <v>49.8</v>
      </c>
      <c r="L3576">
        <v>37.6</v>
      </c>
      <c r="M3576">
        <v>287</v>
      </c>
      <c r="N3576">
        <v>28</v>
      </c>
      <c r="O3576">
        <v>4</v>
      </c>
      <c r="P3576">
        <v>3</v>
      </c>
    </row>
    <row r="3577" spans="1:16" x14ac:dyDescent="0.25">
      <c r="A3577" s="4">
        <v>44872</v>
      </c>
      <c r="B3577" t="s">
        <v>9</v>
      </c>
      <c r="C3577">
        <v>1</v>
      </c>
    </row>
    <row r="3578" spans="1:16" x14ac:dyDescent="0.25">
      <c r="A3578" s="4">
        <v>44873</v>
      </c>
      <c r="B3578" t="s">
        <v>10</v>
      </c>
      <c r="C3578">
        <v>1</v>
      </c>
      <c r="F3578">
        <v>419</v>
      </c>
      <c r="J3578">
        <v>1.3160000000000001</v>
      </c>
      <c r="K3578">
        <v>51.1</v>
      </c>
      <c r="L3578">
        <v>38.799999999999997</v>
      </c>
      <c r="M3578">
        <v>262</v>
      </c>
      <c r="N3578">
        <v>42</v>
      </c>
      <c r="O3578">
        <v>15</v>
      </c>
      <c r="P3578">
        <v>1</v>
      </c>
    </row>
    <row r="3579" spans="1:16" x14ac:dyDescent="0.25">
      <c r="A3579" s="4">
        <v>44873</v>
      </c>
      <c r="B3579" t="s">
        <v>9</v>
      </c>
      <c r="C3579">
        <v>1</v>
      </c>
      <c r="F3579">
        <v>100</v>
      </c>
      <c r="J3579">
        <v>1.27</v>
      </c>
      <c r="K3579">
        <v>47.6</v>
      </c>
      <c r="L3579">
        <v>37.5</v>
      </c>
      <c r="M3579">
        <v>72</v>
      </c>
      <c r="N3579">
        <v>10</v>
      </c>
      <c r="O3579">
        <v>2</v>
      </c>
    </row>
    <row r="3580" spans="1:16" x14ac:dyDescent="0.25">
      <c r="A3580" s="4">
        <v>44874</v>
      </c>
      <c r="B3580" t="s">
        <v>10</v>
      </c>
      <c r="C3580">
        <v>1</v>
      </c>
      <c r="F3580">
        <v>383</v>
      </c>
      <c r="J3580">
        <v>1.339</v>
      </c>
      <c r="K3580">
        <v>47.9</v>
      </c>
      <c r="L3580">
        <v>35.799999999999997</v>
      </c>
      <c r="M3580">
        <v>305</v>
      </c>
      <c r="N3580">
        <v>22</v>
      </c>
      <c r="O3580">
        <v>4</v>
      </c>
      <c r="P3580">
        <v>1</v>
      </c>
    </row>
    <row r="3581" spans="1:16" x14ac:dyDescent="0.25">
      <c r="A3581" s="4">
        <v>44874</v>
      </c>
      <c r="B3581" t="s">
        <v>9</v>
      </c>
      <c r="C3581">
        <v>1</v>
      </c>
      <c r="F3581">
        <v>89</v>
      </c>
      <c r="J3581">
        <v>1.145</v>
      </c>
      <c r="K3581">
        <v>44.5</v>
      </c>
      <c r="L3581">
        <v>38.9</v>
      </c>
      <c r="M3581">
        <v>69</v>
      </c>
      <c r="N3581">
        <v>10</v>
      </c>
    </row>
    <row r="3582" spans="1:16" x14ac:dyDescent="0.25">
      <c r="A3582" s="4">
        <v>44875</v>
      </c>
      <c r="B3582" t="s">
        <v>10</v>
      </c>
      <c r="C3582">
        <v>1</v>
      </c>
      <c r="F3582">
        <v>364</v>
      </c>
      <c r="J3582">
        <v>1.2889999999999999</v>
      </c>
      <c r="K3582">
        <v>47.3</v>
      </c>
      <c r="L3582">
        <v>36.700000000000003</v>
      </c>
      <c r="M3582">
        <v>257</v>
      </c>
      <c r="N3582">
        <v>29</v>
      </c>
      <c r="O3582">
        <v>11</v>
      </c>
    </row>
    <row r="3583" spans="1:16" x14ac:dyDescent="0.25">
      <c r="A3583" s="4">
        <v>44875</v>
      </c>
      <c r="B3583" t="s">
        <v>9</v>
      </c>
      <c r="C3583">
        <v>1</v>
      </c>
      <c r="F3583">
        <v>102</v>
      </c>
      <c r="J3583">
        <v>1.212</v>
      </c>
      <c r="K3583">
        <v>46.4</v>
      </c>
      <c r="L3583">
        <v>38.299999999999997</v>
      </c>
      <c r="M3583">
        <v>78</v>
      </c>
      <c r="N3583">
        <v>4</v>
      </c>
      <c r="O3583">
        <v>5</v>
      </c>
    </row>
    <row r="3584" spans="1:16" x14ac:dyDescent="0.25">
      <c r="A3584" s="4">
        <v>44876</v>
      </c>
      <c r="B3584" t="s">
        <v>10</v>
      </c>
      <c r="C3584">
        <v>1</v>
      </c>
      <c r="F3584">
        <v>460</v>
      </c>
      <c r="J3584">
        <v>1.3420000000000001</v>
      </c>
      <c r="K3584">
        <v>52.9</v>
      </c>
      <c r="L3584">
        <v>39.4</v>
      </c>
      <c r="M3584">
        <v>278</v>
      </c>
      <c r="N3584">
        <v>28</v>
      </c>
      <c r="O3584">
        <v>21</v>
      </c>
      <c r="P3584">
        <v>5</v>
      </c>
    </row>
    <row r="3585" spans="1:16" x14ac:dyDescent="0.25">
      <c r="A3585" s="4">
        <v>44876</v>
      </c>
      <c r="B3585" t="s">
        <v>9</v>
      </c>
      <c r="C3585">
        <v>1</v>
      </c>
      <c r="F3585">
        <v>122</v>
      </c>
      <c r="J3585">
        <v>1.2050000000000001</v>
      </c>
      <c r="K3585">
        <v>48.8</v>
      </c>
      <c r="L3585">
        <v>40.5</v>
      </c>
      <c r="M3585">
        <v>73</v>
      </c>
      <c r="N3585">
        <v>14</v>
      </c>
      <c r="O3585">
        <v>6</v>
      </c>
    </row>
    <row r="3586" spans="1:16" x14ac:dyDescent="0.25">
      <c r="A3586" s="4">
        <v>44879</v>
      </c>
      <c r="B3586" t="s">
        <v>10</v>
      </c>
      <c r="C3586">
        <v>1</v>
      </c>
      <c r="F3586">
        <v>390</v>
      </c>
      <c r="J3586">
        <v>1.294</v>
      </c>
      <c r="K3586">
        <v>48.2</v>
      </c>
      <c r="L3586">
        <v>37.200000000000003</v>
      </c>
      <c r="M3586">
        <v>252</v>
      </c>
      <c r="N3586">
        <v>38</v>
      </c>
      <c r="O3586">
        <v>9</v>
      </c>
      <c r="P3586">
        <v>1</v>
      </c>
    </row>
    <row r="3587" spans="1:16" x14ac:dyDescent="0.25">
      <c r="A3587" s="4">
        <v>44879</v>
      </c>
      <c r="B3587" t="s">
        <v>9</v>
      </c>
      <c r="C3587">
        <v>1</v>
      </c>
      <c r="F3587">
        <v>100</v>
      </c>
      <c r="J3587">
        <v>1.2869999999999999</v>
      </c>
      <c r="K3587">
        <v>47.6</v>
      </c>
      <c r="L3587">
        <v>37</v>
      </c>
      <c r="M3587">
        <v>81</v>
      </c>
      <c r="N3587">
        <v>4</v>
      </c>
      <c r="O3587">
        <v>1</v>
      </c>
      <c r="P3587">
        <v>1</v>
      </c>
    </row>
    <row r="3588" spans="1:16" x14ac:dyDescent="0.25">
      <c r="A3588" s="4">
        <v>44880</v>
      </c>
      <c r="B3588" t="s">
        <v>10</v>
      </c>
      <c r="C3588">
        <v>1</v>
      </c>
      <c r="F3588">
        <v>390</v>
      </c>
      <c r="J3588">
        <v>1.2410000000000001</v>
      </c>
      <c r="K3588">
        <v>47</v>
      </c>
      <c r="L3588">
        <v>37.9</v>
      </c>
      <c r="M3588">
        <v>265</v>
      </c>
      <c r="N3588">
        <v>35</v>
      </c>
      <c r="O3588">
        <v>9</v>
      </c>
    </row>
    <row r="3589" spans="1:16" x14ac:dyDescent="0.25">
      <c r="A3589" s="4">
        <v>44880</v>
      </c>
      <c r="B3589" t="s">
        <v>9</v>
      </c>
      <c r="C3589">
        <v>1</v>
      </c>
      <c r="F3589">
        <v>81</v>
      </c>
      <c r="J3589">
        <v>1.0249999999999999</v>
      </c>
      <c r="K3589">
        <v>45</v>
      </c>
      <c r="L3589">
        <v>43.9</v>
      </c>
      <c r="M3589">
        <v>33</v>
      </c>
      <c r="N3589">
        <v>21</v>
      </c>
      <c r="O3589">
        <v>2</v>
      </c>
    </row>
    <row r="3590" spans="1:16" x14ac:dyDescent="0.25">
      <c r="A3590" s="4">
        <v>44881</v>
      </c>
      <c r="B3590" t="s">
        <v>10</v>
      </c>
      <c r="C3590">
        <v>1</v>
      </c>
      <c r="F3590">
        <v>409</v>
      </c>
      <c r="J3590">
        <v>1.272</v>
      </c>
      <c r="K3590">
        <v>48.1</v>
      </c>
      <c r="L3590">
        <v>37.799999999999997</v>
      </c>
      <c r="M3590">
        <v>266</v>
      </c>
      <c r="N3590">
        <v>40</v>
      </c>
      <c r="O3590">
        <v>11</v>
      </c>
      <c r="P3590">
        <v>2</v>
      </c>
    </row>
    <row r="3591" spans="1:16" x14ac:dyDescent="0.25">
      <c r="A3591" s="4">
        <v>44881</v>
      </c>
      <c r="B3591" t="s">
        <v>9</v>
      </c>
      <c r="C3591">
        <v>1</v>
      </c>
      <c r="F3591">
        <v>162</v>
      </c>
      <c r="J3591">
        <v>1.1819999999999999</v>
      </c>
      <c r="K3591">
        <v>45</v>
      </c>
      <c r="L3591">
        <v>38.1</v>
      </c>
      <c r="M3591">
        <v>115</v>
      </c>
      <c r="N3591">
        <v>19</v>
      </c>
      <c r="O3591">
        <v>3</v>
      </c>
    </row>
    <row r="3592" spans="1:16" x14ac:dyDescent="0.25">
      <c r="A3592" s="4">
        <v>44882</v>
      </c>
      <c r="B3592" t="s">
        <v>10</v>
      </c>
      <c r="C3592">
        <v>1</v>
      </c>
      <c r="F3592">
        <v>363</v>
      </c>
      <c r="J3592">
        <v>1.2010000000000001</v>
      </c>
      <c r="K3592">
        <v>47.1</v>
      </c>
      <c r="L3592">
        <v>39.299999999999997</v>
      </c>
      <c r="M3592">
        <v>208</v>
      </c>
      <c r="N3592">
        <v>37</v>
      </c>
      <c r="O3592">
        <v>16</v>
      </c>
      <c r="P3592">
        <v>1</v>
      </c>
    </row>
    <row r="3593" spans="1:16" x14ac:dyDescent="0.25">
      <c r="A3593" s="4">
        <v>44882</v>
      </c>
      <c r="B3593" t="s">
        <v>9</v>
      </c>
      <c r="C3593">
        <v>1</v>
      </c>
      <c r="F3593">
        <v>99</v>
      </c>
      <c r="J3593">
        <v>1.228</v>
      </c>
      <c r="K3593">
        <v>47.1</v>
      </c>
      <c r="L3593">
        <v>38.4</v>
      </c>
      <c r="M3593">
        <v>67</v>
      </c>
      <c r="N3593">
        <v>7</v>
      </c>
      <c r="O3593">
        <v>3</v>
      </c>
      <c r="P3593">
        <v>1</v>
      </c>
    </row>
    <row r="3594" spans="1:16" x14ac:dyDescent="0.25">
      <c r="A3594" s="4">
        <v>44883</v>
      </c>
      <c r="B3594" t="s">
        <v>10</v>
      </c>
      <c r="C3594">
        <v>1</v>
      </c>
      <c r="F3594">
        <v>386</v>
      </c>
      <c r="J3594">
        <v>1.24</v>
      </c>
      <c r="K3594">
        <v>45.4</v>
      </c>
      <c r="L3594">
        <v>36.6</v>
      </c>
      <c r="M3594">
        <v>287</v>
      </c>
      <c r="N3594">
        <v>26</v>
      </c>
      <c r="O3594">
        <v>9</v>
      </c>
    </row>
    <row r="3595" spans="1:16" x14ac:dyDescent="0.25">
      <c r="A3595" s="4">
        <v>44883</v>
      </c>
      <c r="B3595" t="s">
        <v>9</v>
      </c>
      <c r="C3595">
        <v>1</v>
      </c>
      <c r="F3595">
        <v>67</v>
      </c>
      <c r="J3595">
        <v>1.1779999999999999</v>
      </c>
      <c r="K3595">
        <v>45.6</v>
      </c>
      <c r="L3595">
        <v>38.700000000000003</v>
      </c>
      <c r="M3595">
        <v>58</v>
      </c>
      <c r="N3595">
        <v>3</v>
      </c>
      <c r="O3595">
        <v>1</v>
      </c>
    </row>
    <row r="3596" spans="1:16" x14ac:dyDescent="0.25">
      <c r="A3596" s="4">
        <v>44884</v>
      </c>
      <c r="B3596" t="s">
        <v>10</v>
      </c>
      <c r="C3596">
        <v>1</v>
      </c>
      <c r="F3596">
        <v>265</v>
      </c>
      <c r="J3596">
        <v>1.272</v>
      </c>
      <c r="K3596">
        <v>48.2</v>
      </c>
      <c r="L3596">
        <v>37.9</v>
      </c>
      <c r="M3596">
        <v>165</v>
      </c>
      <c r="N3596">
        <v>29</v>
      </c>
      <c r="O3596">
        <v>10</v>
      </c>
    </row>
    <row r="3597" spans="1:16" x14ac:dyDescent="0.25">
      <c r="A3597" s="4">
        <v>44884</v>
      </c>
      <c r="B3597" t="s">
        <v>9</v>
      </c>
      <c r="C3597">
        <v>1</v>
      </c>
      <c r="F3597">
        <v>67</v>
      </c>
      <c r="J3597">
        <v>1.1100000000000001</v>
      </c>
      <c r="K3597">
        <v>43.2</v>
      </c>
      <c r="L3597">
        <v>39</v>
      </c>
      <c r="M3597">
        <v>55</v>
      </c>
      <c r="N3597">
        <v>4</v>
      </c>
    </row>
    <row r="3598" spans="1:16" x14ac:dyDescent="0.25">
      <c r="A3598" s="4">
        <v>44886</v>
      </c>
      <c r="B3598" t="s">
        <v>10</v>
      </c>
      <c r="C3598">
        <v>1</v>
      </c>
      <c r="F3598">
        <v>380</v>
      </c>
      <c r="J3598">
        <v>1.246</v>
      </c>
      <c r="K3598">
        <v>45.2</v>
      </c>
      <c r="L3598">
        <v>36.299999999999997</v>
      </c>
      <c r="M3598">
        <v>294</v>
      </c>
      <c r="N3598">
        <v>18</v>
      </c>
      <c r="O3598">
        <v>7</v>
      </c>
      <c r="P3598">
        <v>2</v>
      </c>
    </row>
    <row r="3599" spans="1:16" x14ac:dyDescent="0.25">
      <c r="A3599" s="4">
        <v>44886</v>
      </c>
      <c r="B3599" t="s">
        <v>9</v>
      </c>
      <c r="C3599">
        <v>1</v>
      </c>
      <c r="F3599">
        <v>93</v>
      </c>
      <c r="J3599">
        <v>1.0329999999999999</v>
      </c>
      <c r="K3599">
        <v>42.3</v>
      </c>
      <c r="L3599">
        <v>40.9</v>
      </c>
      <c r="M3599">
        <v>67</v>
      </c>
      <c r="N3599">
        <v>7</v>
      </c>
      <c r="O3599">
        <v>3</v>
      </c>
    </row>
    <row r="3600" spans="1:16" x14ac:dyDescent="0.25">
      <c r="A3600" s="4">
        <v>44887</v>
      </c>
      <c r="B3600" t="s">
        <v>10</v>
      </c>
      <c r="C3600">
        <v>1</v>
      </c>
      <c r="F3600">
        <v>438</v>
      </c>
      <c r="J3600">
        <v>1.2889999999999999</v>
      </c>
      <c r="K3600">
        <v>48.7</v>
      </c>
      <c r="L3600">
        <v>37.700000000000003</v>
      </c>
      <c r="M3600">
        <v>287</v>
      </c>
      <c r="N3600">
        <v>39</v>
      </c>
      <c r="O3600">
        <v>12</v>
      </c>
      <c r="P3600">
        <v>2</v>
      </c>
    </row>
    <row r="3601" spans="1:16" x14ac:dyDescent="0.25">
      <c r="A3601" s="4">
        <v>44887</v>
      </c>
      <c r="B3601" t="s">
        <v>9</v>
      </c>
      <c r="C3601">
        <v>1</v>
      </c>
      <c r="F3601">
        <v>66</v>
      </c>
      <c r="J3601">
        <v>1.109</v>
      </c>
      <c r="K3601">
        <v>45.2</v>
      </c>
      <c r="L3601">
        <v>40.799999999999997</v>
      </c>
      <c r="M3601">
        <v>42</v>
      </c>
      <c r="N3601">
        <v>2</v>
      </c>
      <c r="O3601">
        <v>5</v>
      </c>
    </row>
    <row r="3602" spans="1:16" x14ac:dyDescent="0.25">
      <c r="A3602" s="4">
        <v>44888</v>
      </c>
      <c r="B3602" t="s">
        <v>10</v>
      </c>
      <c r="C3602">
        <v>1</v>
      </c>
      <c r="F3602">
        <v>407</v>
      </c>
      <c r="J3602">
        <v>1.288</v>
      </c>
      <c r="K3602">
        <v>46.8</v>
      </c>
      <c r="L3602">
        <v>36.299999999999997</v>
      </c>
      <c r="M3602">
        <v>307</v>
      </c>
      <c r="N3602">
        <v>26</v>
      </c>
      <c r="O3602">
        <v>4</v>
      </c>
      <c r="P3602">
        <v>2</v>
      </c>
    </row>
    <row r="3603" spans="1:16" x14ac:dyDescent="0.25">
      <c r="A3603" s="4">
        <v>44888</v>
      </c>
      <c r="B3603" t="s">
        <v>9</v>
      </c>
      <c r="C3603">
        <v>1</v>
      </c>
      <c r="F3603">
        <v>83</v>
      </c>
      <c r="J3603">
        <v>1.1919999999999999</v>
      </c>
      <c r="K3603">
        <v>46.1</v>
      </c>
      <c r="L3603">
        <v>38.700000000000003</v>
      </c>
      <c r="M3603">
        <v>52</v>
      </c>
      <c r="N3603">
        <v>13</v>
      </c>
      <c r="O3603">
        <v>1</v>
      </c>
    </row>
    <row r="3604" spans="1:16" x14ac:dyDescent="0.25">
      <c r="A3604" s="4">
        <v>44893</v>
      </c>
      <c r="B3604" t="s">
        <v>10</v>
      </c>
      <c r="C3604">
        <v>1</v>
      </c>
      <c r="F3604">
        <v>400</v>
      </c>
      <c r="J3604">
        <v>1.2929999999999999</v>
      </c>
      <c r="K3604">
        <v>47.1</v>
      </c>
      <c r="L3604">
        <v>36.4</v>
      </c>
      <c r="M3604">
        <v>291</v>
      </c>
      <c r="N3604">
        <v>31</v>
      </c>
      <c r="O3604">
        <v>9</v>
      </c>
    </row>
    <row r="3605" spans="1:16" x14ac:dyDescent="0.25">
      <c r="A3605" s="4">
        <v>44893</v>
      </c>
      <c r="B3605" t="s">
        <v>9</v>
      </c>
      <c r="C3605">
        <v>1</v>
      </c>
      <c r="F3605">
        <v>64</v>
      </c>
      <c r="J3605">
        <v>1.28</v>
      </c>
      <c r="K3605">
        <v>45.7</v>
      </c>
      <c r="L3605">
        <v>35.700000000000003</v>
      </c>
      <c r="M3605">
        <v>58</v>
      </c>
      <c r="N3605">
        <v>3</v>
      </c>
    </row>
    <row r="3606" spans="1:16" x14ac:dyDescent="0.25">
      <c r="A3606" s="4">
        <v>44894</v>
      </c>
      <c r="B3606" t="s">
        <v>10</v>
      </c>
      <c r="C3606">
        <v>1</v>
      </c>
      <c r="F3606">
        <v>326</v>
      </c>
      <c r="J3606">
        <v>1.2450000000000001</v>
      </c>
      <c r="K3606">
        <v>45.3</v>
      </c>
      <c r="L3606">
        <v>36.4</v>
      </c>
      <c r="M3606">
        <v>235</v>
      </c>
      <c r="N3606">
        <v>29</v>
      </c>
      <c r="O3606">
        <v>5</v>
      </c>
      <c r="P3606">
        <v>1</v>
      </c>
    </row>
    <row r="3607" spans="1:16" x14ac:dyDescent="0.25">
      <c r="A3607" s="4">
        <v>44894</v>
      </c>
      <c r="B3607" t="s">
        <v>9</v>
      </c>
      <c r="C3607">
        <v>1</v>
      </c>
      <c r="F3607">
        <v>52</v>
      </c>
      <c r="J3607">
        <v>1.2430000000000001</v>
      </c>
      <c r="K3607">
        <v>45.2</v>
      </c>
      <c r="L3607">
        <v>36.4</v>
      </c>
      <c r="M3607">
        <v>46</v>
      </c>
      <c r="N3607">
        <v>3</v>
      </c>
    </row>
    <row r="3608" spans="1:16" x14ac:dyDescent="0.25">
      <c r="A3608" s="4">
        <v>44895</v>
      </c>
      <c r="B3608" t="s">
        <v>10</v>
      </c>
      <c r="C3608">
        <v>1</v>
      </c>
      <c r="F3608">
        <v>335</v>
      </c>
      <c r="J3608">
        <v>1.264</v>
      </c>
      <c r="K3608">
        <v>47.9</v>
      </c>
      <c r="L3608">
        <v>37.9</v>
      </c>
      <c r="M3608">
        <v>225</v>
      </c>
      <c r="N3608">
        <v>24</v>
      </c>
      <c r="O3608">
        <v>12</v>
      </c>
      <c r="P3608">
        <v>1</v>
      </c>
    </row>
    <row r="3609" spans="1:16" x14ac:dyDescent="0.25">
      <c r="A3609" s="4">
        <v>44895</v>
      </c>
      <c r="B3609" t="s">
        <v>9</v>
      </c>
      <c r="C3609">
        <v>1</v>
      </c>
      <c r="F3609">
        <v>67</v>
      </c>
      <c r="J3609">
        <v>1.2150000000000001</v>
      </c>
      <c r="K3609">
        <v>44.7</v>
      </c>
      <c r="L3609">
        <v>36.799999999999997</v>
      </c>
      <c r="M3609">
        <v>51</v>
      </c>
      <c r="N3609">
        <v>8</v>
      </c>
    </row>
    <row r="3610" spans="1:16" x14ac:dyDescent="0.25">
      <c r="A3610" s="4">
        <v>44896</v>
      </c>
      <c r="B3610" t="s">
        <v>10</v>
      </c>
      <c r="C3610">
        <v>1</v>
      </c>
      <c r="F3610">
        <v>334</v>
      </c>
      <c r="J3610">
        <v>1.23</v>
      </c>
      <c r="K3610">
        <v>47.7</v>
      </c>
      <c r="L3610">
        <v>38.799999999999997</v>
      </c>
      <c r="M3610">
        <v>226</v>
      </c>
      <c r="N3610">
        <v>15</v>
      </c>
      <c r="O3610">
        <v>14</v>
      </c>
      <c r="P3610">
        <v>2</v>
      </c>
    </row>
    <row r="3611" spans="1:16" x14ac:dyDescent="0.25">
      <c r="A3611" s="4">
        <v>44896</v>
      </c>
      <c r="B3611" t="s">
        <v>9</v>
      </c>
      <c r="C3611">
        <v>1</v>
      </c>
      <c r="F3611">
        <v>55</v>
      </c>
      <c r="J3611">
        <v>1.2450000000000001</v>
      </c>
      <c r="K3611">
        <v>44.4</v>
      </c>
      <c r="L3611">
        <v>35.6</v>
      </c>
      <c r="M3611">
        <v>45</v>
      </c>
      <c r="N3611">
        <v>2</v>
      </c>
      <c r="O3611">
        <v>1</v>
      </c>
    </row>
    <row r="3612" spans="1:16" x14ac:dyDescent="0.25">
      <c r="A3612" s="4">
        <v>44897</v>
      </c>
      <c r="B3612" t="s">
        <v>10</v>
      </c>
      <c r="C3612">
        <v>1</v>
      </c>
      <c r="F3612">
        <v>298</v>
      </c>
      <c r="J3612">
        <v>1.284</v>
      </c>
      <c r="K3612">
        <v>45.9</v>
      </c>
      <c r="L3612">
        <v>35.700000000000003</v>
      </c>
      <c r="M3612">
        <v>237</v>
      </c>
      <c r="N3612">
        <v>17</v>
      </c>
      <c r="O3612">
        <v>5</v>
      </c>
    </row>
    <row r="3613" spans="1:16" x14ac:dyDescent="0.25">
      <c r="A3613" s="4">
        <v>44897</v>
      </c>
      <c r="B3613" t="s">
        <v>9</v>
      </c>
      <c r="C3613">
        <v>1</v>
      </c>
      <c r="F3613">
        <v>69</v>
      </c>
      <c r="J3613">
        <v>1.2749999999999999</v>
      </c>
      <c r="K3613">
        <v>45.4</v>
      </c>
      <c r="L3613">
        <v>35.6</v>
      </c>
      <c r="M3613">
        <v>66</v>
      </c>
      <c r="N3613">
        <v>1</v>
      </c>
    </row>
    <row r="3614" spans="1:16" x14ac:dyDescent="0.25">
      <c r="A3614" s="4">
        <v>44900</v>
      </c>
      <c r="B3614" t="s">
        <v>10</v>
      </c>
      <c r="C3614">
        <v>1</v>
      </c>
      <c r="F3614">
        <v>413</v>
      </c>
      <c r="J3614">
        <v>1.278</v>
      </c>
      <c r="K3614">
        <v>48.6</v>
      </c>
      <c r="L3614">
        <v>38</v>
      </c>
      <c r="M3614">
        <v>276</v>
      </c>
      <c r="N3614">
        <v>28</v>
      </c>
      <c r="O3614">
        <v>17</v>
      </c>
      <c r="P3614">
        <v>2</v>
      </c>
    </row>
    <row r="3615" spans="1:16" x14ac:dyDescent="0.25">
      <c r="A3615" s="4">
        <v>44900</v>
      </c>
      <c r="B3615" t="s">
        <v>9</v>
      </c>
      <c r="C3615">
        <v>1</v>
      </c>
      <c r="F3615">
        <v>89</v>
      </c>
      <c r="J3615">
        <v>1.1659999999999999</v>
      </c>
      <c r="K3615">
        <v>44.5</v>
      </c>
      <c r="L3615">
        <v>38.200000000000003</v>
      </c>
      <c r="M3615">
        <v>77</v>
      </c>
      <c r="N3615">
        <v>4</v>
      </c>
      <c r="O3615">
        <v>1</v>
      </c>
    </row>
    <row r="3616" spans="1:16" x14ac:dyDescent="0.25">
      <c r="A3616" s="4">
        <v>44901</v>
      </c>
      <c r="B3616" t="s">
        <v>10</v>
      </c>
      <c r="C3616">
        <v>1</v>
      </c>
      <c r="F3616">
        <v>375</v>
      </c>
      <c r="J3616">
        <v>1.268</v>
      </c>
      <c r="K3616">
        <v>46.9</v>
      </c>
      <c r="L3616">
        <v>37</v>
      </c>
      <c r="M3616">
        <v>257</v>
      </c>
      <c r="N3616">
        <v>35</v>
      </c>
      <c r="O3616">
        <v>8</v>
      </c>
      <c r="P3616">
        <v>2</v>
      </c>
    </row>
    <row r="3617" spans="1:16" x14ac:dyDescent="0.25">
      <c r="A3617" s="4">
        <v>44901</v>
      </c>
      <c r="B3617" t="s">
        <v>9</v>
      </c>
      <c r="C3617">
        <v>1</v>
      </c>
      <c r="F3617">
        <v>103</v>
      </c>
      <c r="J3617">
        <v>1.242</v>
      </c>
      <c r="K3617">
        <v>46.8</v>
      </c>
      <c r="L3617">
        <v>37.700000000000003</v>
      </c>
      <c r="M3617">
        <v>81</v>
      </c>
      <c r="N3617">
        <v>11</v>
      </c>
    </row>
    <row r="3618" spans="1:16" x14ac:dyDescent="0.25">
      <c r="A3618" s="4">
        <v>44902</v>
      </c>
      <c r="B3618" t="s">
        <v>10</v>
      </c>
      <c r="C3618">
        <v>1</v>
      </c>
      <c r="F3618">
        <v>401</v>
      </c>
      <c r="J3618">
        <v>1.3360000000000001</v>
      </c>
      <c r="K3618">
        <v>47.7</v>
      </c>
      <c r="L3618">
        <v>35.700000000000003</v>
      </c>
      <c r="M3618">
        <v>304</v>
      </c>
      <c r="N3618">
        <v>39</v>
      </c>
      <c r="O3618">
        <v>3</v>
      </c>
    </row>
    <row r="3619" spans="1:16" x14ac:dyDescent="0.25">
      <c r="A3619" s="4">
        <v>44902</v>
      </c>
      <c r="B3619" t="s">
        <v>9</v>
      </c>
      <c r="C3619">
        <v>1</v>
      </c>
    </row>
    <row r="3620" spans="1:16" x14ac:dyDescent="0.25">
      <c r="A3620" s="4">
        <v>44903</v>
      </c>
      <c r="B3620" t="s">
        <v>10</v>
      </c>
      <c r="C3620">
        <v>1</v>
      </c>
      <c r="F3620">
        <v>421</v>
      </c>
      <c r="J3620">
        <v>1.2589999999999999</v>
      </c>
      <c r="K3620">
        <v>47.8</v>
      </c>
      <c r="L3620">
        <v>38</v>
      </c>
      <c r="M3620">
        <v>297</v>
      </c>
      <c r="N3620">
        <v>35</v>
      </c>
      <c r="O3620">
        <v>10</v>
      </c>
    </row>
    <row r="3621" spans="1:16" x14ac:dyDescent="0.25">
      <c r="A3621" s="4">
        <v>44903</v>
      </c>
      <c r="B3621" t="s">
        <v>9</v>
      </c>
      <c r="C3621">
        <v>1</v>
      </c>
    </row>
    <row r="3622" spans="1:16" x14ac:dyDescent="0.25">
      <c r="A3622" s="4">
        <v>44904</v>
      </c>
      <c r="B3622" t="s">
        <v>10</v>
      </c>
      <c r="C3622">
        <v>1</v>
      </c>
      <c r="F3622">
        <v>418</v>
      </c>
      <c r="J3622">
        <v>1.381</v>
      </c>
      <c r="K3622">
        <v>49.2</v>
      </c>
      <c r="L3622">
        <v>35.6</v>
      </c>
      <c r="M3622">
        <v>331</v>
      </c>
      <c r="N3622">
        <v>25</v>
      </c>
      <c r="O3622">
        <v>5</v>
      </c>
    </row>
    <row r="3623" spans="1:16" x14ac:dyDescent="0.25">
      <c r="A3623" s="4">
        <v>44904</v>
      </c>
      <c r="B3623" t="s">
        <v>9</v>
      </c>
      <c r="C3623">
        <v>1</v>
      </c>
      <c r="F3623">
        <v>67</v>
      </c>
      <c r="J3623">
        <v>1.2090000000000001</v>
      </c>
      <c r="K3623">
        <v>44.7</v>
      </c>
      <c r="L3623">
        <v>37</v>
      </c>
      <c r="M3623">
        <v>57</v>
      </c>
      <c r="N3623">
        <v>5</v>
      </c>
    </row>
    <row r="3624" spans="1:16" x14ac:dyDescent="0.25">
      <c r="A3624" s="4">
        <v>44907</v>
      </c>
      <c r="B3624" t="s">
        <v>10</v>
      </c>
      <c r="C3624">
        <v>1</v>
      </c>
      <c r="F3624">
        <v>338</v>
      </c>
      <c r="J3624">
        <v>1.363</v>
      </c>
      <c r="K3624">
        <v>49.7</v>
      </c>
      <c r="L3624">
        <v>36.5</v>
      </c>
      <c r="M3624">
        <v>233</v>
      </c>
      <c r="N3624">
        <v>28</v>
      </c>
      <c r="O3624">
        <v>9</v>
      </c>
      <c r="P3624">
        <v>1</v>
      </c>
    </row>
    <row r="3625" spans="1:16" x14ac:dyDescent="0.25">
      <c r="A3625" s="4">
        <v>44907</v>
      </c>
      <c r="B3625" t="s">
        <v>9</v>
      </c>
      <c r="C3625">
        <v>1</v>
      </c>
      <c r="F3625">
        <v>63</v>
      </c>
      <c r="J3625">
        <v>1.1919999999999999</v>
      </c>
      <c r="K3625">
        <v>45</v>
      </c>
      <c r="L3625">
        <v>37.700000000000003</v>
      </c>
      <c r="M3625">
        <v>53</v>
      </c>
      <c r="N3625">
        <v>5</v>
      </c>
    </row>
    <row r="3626" spans="1:16" x14ac:dyDescent="0.25">
      <c r="A3626" s="4">
        <v>44908</v>
      </c>
      <c r="B3626" t="s">
        <v>10</v>
      </c>
      <c r="C3626">
        <v>1</v>
      </c>
      <c r="F3626">
        <v>334</v>
      </c>
      <c r="J3626">
        <v>1.29</v>
      </c>
      <c r="K3626">
        <v>48.4</v>
      </c>
      <c r="L3626">
        <v>37.5</v>
      </c>
      <c r="M3626">
        <v>225</v>
      </c>
      <c r="N3626">
        <v>24</v>
      </c>
      <c r="O3626">
        <v>10</v>
      </c>
      <c r="P3626">
        <v>2</v>
      </c>
    </row>
    <row r="3627" spans="1:16" x14ac:dyDescent="0.25">
      <c r="A3627" s="4">
        <v>44908</v>
      </c>
      <c r="B3627" t="s">
        <v>9</v>
      </c>
      <c r="C3627">
        <v>1</v>
      </c>
      <c r="F3627">
        <v>45</v>
      </c>
      <c r="J3627">
        <v>1.202</v>
      </c>
      <c r="K3627">
        <v>45</v>
      </c>
      <c r="L3627">
        <v>37.4</v>
      </c>
      <c r="M3627">
        <v>40</v>
      </c>
      <c r="N3627">
        <v>2</v>
      </c>
    </row>
    <row r="3628" spans="1:16" x14ac:dyDescent="0.25">
      <c r="A3628" s="4">
        <v>44909</v>
      </c>
      <c r="B3628" t="s">
        <v>10</v>
      </c>
      <c r="C3628">
        <v>1</v>
      </c>
      <c r="F3628">
        <v>346</v>
      </c>
      <c r="J3628">
        <v>1.3069999999999999</v>
      </c>
      <c r="K3628">
        <v>49.4</v>
      </c>
      <c r="L3628">
        <v>37.799999999999997</v>
      </c>
      <c r="M3628">
        <v>239</v>
      </c>
      <c r="N3628">
        <v>29</v>
      </c>
      <c r="O3628">
        <v>6</v>
      </c>
      <c r="P3628">
        <v>2</v>
      </c>
    </row>
    <row r="3629" spans="1:16" x14ac:dyDescent="0.25">
      <c r="A3629" s="4">
        <v>44909</v>
      </c>
      <c r="B3629" t="s">
        <v>9</v>
      </c>
      <c r="C3629">
        <v>1</v>
      </c>
      <c r="F3629">
        <v>89</v>
      </c>
      <c r="J3629">
        <v>1.0740000000000001</v>
      </c>
      <c r="K3629">
        <v>46.8</v>
      </c>
      <c r="L3629">
        <v>43.6</v>
      </c>
      <c r="M3629">
        <v>54</v>
      </c>
      <c r="N3629">
        <v>13</v>
      </c>
      <c r="O3629">
        <v>3</v>
      </c>
    </row>
    <row r="3630" spans="1:16" x14ac:dyDescent="0.25">
      <c r="A3630" s="4">
        <v>44910</v>
      </c>
      <c r="B3630" t="s">
        <v>10</v>
      </c>
      <c r="C3630">
        <v>1</v>
      </c>
      <c r="F3630">
        <v>329</v>
      </c>
      <c r="J3630">
        <v>1.3069999999999999</v>
      </c>
      <c r="K3630">
        <v>47</v>
      </c>
      <c r="L3630">
        <v>36</v>
      </c>
      <c r="M3630">
        <v>251</v>
      </c>
      <c r="N3630">
        <v>21</v>
      </c>
      <c r="O3630">
        <v>8</v>
      </c>
    </row>
    <row r="3631" spans="1:16" x14ac:dyDescent="0.25">
      <c r="A3631" s="4">
        <v>44910</v>
      </c>
      <c r="B3631" t="s">
        <v>9</v>
      </c>
      <c r="C3631">
        <v>1</v>
      </c>
      <c r="F3631">
        <v>82</v>
      </c>
      <c r="J3631">
        <v>1.0680000000000001</v>
      </c>
      <c r="K3631">
        <v>43.2</v>
      </c>
      <c r="L3631">
        <v>40.4</v>
      </c>
      <c r="M3631">
        <v>59</v>
      </c>
      <c r="N3631">
        <v>9</v>
      </c>
      <c r="O3631">
        <v>1</v>
      </c>
    </row>
    <row r="3632" spans="1:16" x14ac:dyDescent="0.25">
      <c r="A3632" s="4">
        <v>44911</v>
      </c>
      <c r="B3632" t="s">
        <v>10</v>
      </c>
      <c r="C3632">
        <v>1</v>
      </c>
      <c r="F3632">
        <v>314</v>
      </c>
      <c r="J3632">
        <v>1.2749999999999999</v>
      </c>
      <c r="K3632">
        <v>46.2</v>
      </c>
      <c r="L3632">
        <v>36.200000000000003</v>
      </c>
      <c r="M3632">
        <v>226</v>
      </c>
      <c r="N3632">
        <v>19</v>
      </c>
      <c r="O3632">
        <v>11</v>
      </c>
      <c r="P3632">
        <v>1</v>
      </c>
    </row>
    <row r="3633" spans="1:16" x14ac:dyDescent="0.25">
      <c r="A3633" s="4">
        <v>44911</v>
      </c>
      <c r="B3633" t="s">
        <v>9</v>
      </c>
      <c r="C3633">
        <v>1</v>
      </c>
      <c r="F3633">
        <v>78</v>
      </c>
      <c r="J3633">
        <v>1.077</v>
      </c>
      <c r="K3633">
        <v>43.3</v>
      </c>
      <c r="L3633">
        <v>40.299999999999997</v>
      </c>
      <c r="M3633">
        <v>61</v>
      </c>
      <c r="N3633">
        <v>4</v>
      </c>
      <c r="O3633">
        <v>2</v>
      </c>
    </row>
    <row r="3634" spans="1:16" x14ac:dyDescent="0.25">
      <c r="A3634" s="4">
        <v>44914</v>
      </c>
      <c r="B3634" t="s">
        <v>10</v>
      </c>
      <c r="C3634">
        <v>1</v>
      </c>
      <c r="F3634">
        <v>305</v>
      </c>
      <c r="J3634">
        <v>1.171</v>
      </c>
      <c r="K3634">
        <v>44.9</v>
      </c>
      <c r="L3634">
        <v>38.299999999999997</v>
      </c>
      <c r="M3634">
        <v>205</v>
      </c>
      <c r="N3634">
        <v>22</v>
      </c>
      <c r="O3634">
        <v>6</v>
      </c>
      <c r="P3634">
        <v>2</v>
      </c>
    </row>
    <row r="3635" spans="1:16" x14ac:dyDescent="0.25">
      <c r="A3635" s="4">
        <v>44914</v>
      </c>
      <c r="B3635" t="s">
        <v>9</v>
      </c>
      <c r="C3635">
        <v>1</v>
      </c>
      <c r="F3635">
        <v>55</v>
      </c>
      <c r="J3635">
        <v>1.087</v>
      </c>
      <c r="K3635">
        <v>42.3</v>
      </c>
      <c r="L3635">
        <v>38.9</v>
      </c>
      <c r="M3635">
        <v>48</v>
      </c>
      <c r="N3635">
        <v>3</v>
      </c>
    </row>
    <row r="3636" spans="1:16" x14ac:dyDescent="0.25">
      <c r="A3636" s="4">
        <v>44915</v>
      </c>
      <c r="B3636" t="s">
        <v>10</v>
      </c>
      <c r="C3636">
        <v>1</v>
      </c>
      <c r="F3636">
        <v>354</v>
      </c>
      <c r="J3636">
        <v>1.3</v>
      </c>
      <c r="K3636">
        <v>49.2</v>
      </c>
      <c r="L3636">
        <v>37.799999999999997</v>
      </c>
      <c r="M3636">
        <v>236</v>
      </c>
      <c r="N3636">
        <v>21</v>
      </c>
      <c r="O3636">
        <v>12</v>
      </c>
      <c r="P3636">
        <v>2</v>
      </c>
    </row>
    <row r="3637" spans="1:16" x14ac:dyDescent="0.25">
      <c r="A3637" s="4">
        <v>44915</v>
      </c>
      <c r="B3637" t="s">
        <v>9</v>
      </c>
      <c r="C3637">
        <v>1</v>
      </c>
      <c r="F3637">
        <v>53</v>
      </c>
      <c r="J3637">
        <v>1.1379999999999999</v>
      </c>
      <c r="K3637">
        <v>44.2</v>
      </c>
      <c r="L3637">
        <v>38.799999999999997</v>
      </c>
      <c r="M3637">
        <v>46</v>
      </c>
      <c r="N3637">
        <v>3</v>
      </c>
    </row>
    <row r="3638" spans="1:16" x14ac:dyDescent="0.25">
      <c r="A3638" s="4">
        <v>44916</v>
      </c>
      <c r="B3638" t="s">
        <v>10</v>
      </c>
      <c r="C3638">
        <v>1</v>
      </c>
      <c r="F3638">
        <v>311</v>
      </c>
      <c r="J3638">
        <v>1.272</v>
      </c>
      <c r="K3638">
        <v>46.4</v>
      </c>
      <c r="L3638">
        <v>36.5</v>
      </c>
      <c r="M3638">
        <v>212</v>
      </c>
      <c r="N3638">
        <v>26</v>
      </c>
      <c r="O3638">
        <v>9</v>
      </c>
      <c r="P3638">
        <v>1</v>
      </c>
    </row>
    <row r="3639" spans="1:16" x14ac:dyDescent="0.25">
      <c r="A3639" s="4">
        <v>44916</v>
      </c>
      <c r="B3639" t="s">
        <v>9</v>
      </c>
      <c r="C3639">
        <v>1</v>
      </c>
      <c r="F3639">
        <v>49</v>
      </c>
      <c r="J3639">
        <v>1.1639999999999999</v>
      </c>
      <c r="K3639">
        <v>44.6</v>
      </c>
      <c r="L3639">
        <v>38.299999999999997</v>
      </c>
      <c r="M3639">
        <v>45</v>
      </c>
      <c r="N3639">
        <v>2</v>
      </c>
    </row>
    <row r="3640" spans="1:16" x14ac:dyDescent="0.25">
      <c r="A3640" s="4">
        <v>44917</v>
      </c>
      <c r="B3640" t="s">
        <v>10</v>
      </c>
      <c r="C3640">
        <v>1</v>
      </c>
      <c r="F3640">
        <v>331</v>
      </c>
      <c r="J3640">
        <v>1.321</v>
      </c>
      <c r="K3640">
        <v>47.3</v>
      </c>
      <c r="L3640">
        <v>35.799999999999997</v>
      </c>
      <c r="M3640">
        <v>252</v>
      </c>
      <c r="N3640">
        <v>21</v>
      </c>
      <c r="O3640">
        <v>6</v>
      </c>
      <c r="P3640">
        <v>1</v>
      </c>
    </row>
    <row r="3641" spans="1:16" x14ac:dyDescent="0.25">
      <c r="A3641" s="4">
        <v>44917</v>
      </c>
      <c r="B3641" t="s">
        <v>9</v>
      </c>
      <c r="C3641">
        <v>1</v>
      </c>
      <c r="F3641">
        <v>70</v>
      </c>
      <c r="J3641">
        <v>1.125</v>
      </c>
      <c r="K3641">
        <v>43.8</v>
      </c>
      <c r="L3641">
        <v>38.9</v>
      </c>
      <c r="M3641">
        <v>62</v>
      </c>
      <c r="N3641">
        <v>4</v>
      </c>
    </row>
    <row r="3642" spans="1:16" x14ac:dyDescent="0.25">
      <c r="A3642" s="4">
        <v>44922</v>
      </c>
      <c r="B3642" t="s">
        <v>10</v>
      </c>
      <c r="C3642">
        <v>1</v>
      </c>
      <c r="F3642">
        <v>327</v>
      </c>
      <c r="J3642">
        <v>1.2350000000000001</v>
      </c>
      <c r="K3642">
        <v>46.7</v>
      </c>
      <c r="L3642">
        <v>37.799999999999997</v>
      </c>
      <c r="M3642">
        <v>217</v>
      </c>
      <c r="N3642">
        <v>21</v>
      </c>
      <c r="O3642">
        <v>11</v>
      </c>
      <c r="P3642">
        <v>2</v>
      </c>
    </row>
    <row r="3643" spans="1:16" x14ac:dyDescent="0.25">
      <c r="A3643" s="4">
        <v>44922</v>
      </c>
      <c r="B3643" t="s">
        <v>9</v>
      </c>
      <c r="C3643">
        <v>1</v>
      </c>
      <c r="F3643">
        <v>62</v>
      </c>
      <c r="J3643">
        <v>1.121</v>
      </c>
      <c r="K3643">
        <v>44.3</v>
      </c>
      <c r="L3643">
        <v>39.5</v>
      </c>
      <c r="M3643">
        <v>48</v>
      </c>
      <c r="N3643">
        <v>7</v>
      </c>
    </row>
    <row r="3644" spans="1:16" x14ac:dyDescent="0.25">
      <c r="A3644" s="4">
        <v>44923</v>
      </c>
      <c r="B3644" t="s">
        <v>10</v>
      </c>
      <c r="C3644">
        <v>1</v>
      </c>
      <c r="F3644">
        <v>287</v>
      </c>
      <c r="J3644">
        <v>1.2090000000000001</v>
      </c>
      <c r="K3644">
        <v>43.9</v>
      </c>
      <c r="L3644">
        <v>36</v>
      </c>
      <c r="M3644">
        <v>221</v>
      </c>
      <c r="N3644">
        <v>16</v>
      </c>
      <c r="O3644">
        <v>6</v>
      </c>
    </row>
    <row r="3645" spans="1:16" x14ac:dyDescent="0.25">
      <c r="A3645" s="4">
        <v>44923</v>
      </c>
      <c r="B3645" t="s">
        <v>9</v>
      </c>
      <c r="C3645">
        <v>1</v>
      </c>
      <c r="F3645">
        <v>68</v>
      </c>
      <c r="J3645">
        <v>1.1499999999999999</v>
      </c>
      <c r="K3645">
        <v>42.5</v>
      </c>
      <c r="L3645">
        <v>36.9</v>
      </c>
      <c r="M3645">
        <v>62</v>
      </c>
      <c r="N3645">
        <v>3</v>
      </c>
    </row>
    <row r="3646" spans="1:16" x14ac:dyDescent="0.25">
      <c r="A3646" s="4">
        <v>44924</v>
      </c>
      <c r="B3646" t="s">
        <v>10</v>
      </c>
      <c r="C3646">
        <v>1</v>
      </c>
      <c r="F3646">
        <v>225</v>
      </c>
      <c r="J3646">
        <v>1.3149999999999999</v>
      </c>
      <c r="K3646">
        <v>45</v>
      </c>
      <c r="L3646">
        <v>34.200000000000003</v>
      </c>
      <c r="M3646">
        <v>203</v>
      </c>
      <c r="N3646">
        <v>4</v>
      </c>
      <c r="O3646">
        <v>2</v>
      </c>
    </row>
    <row r="3647" spans="1:16" x14ac:dyDescent="0.25">
      <c r="A3647" s="4">
        <v>44924</v>
      </c>
      <c r="B3647" t="s">
        <v>9</v>
      </c>
      <c r="C3647">
        <v>1</v>
      </c>
      <c r="F3647">
        <v>68</v>
      </c>
      <c r="J3647">
        <v>1.1399999999999999</v>
      </c>
      <c r="K3647">
        <v>45.3</v>
      </c>
      <c r="L3647">
        <v>39.799999999999997</v>
      </c>
      <c r="M3647">
        <v>58</v>
      </c>
      <c r="N3647">
        <v>5</v>
      </c>
    </row>
    <row r="3648" spans="1:16" x14ac:dyDescent="0.25">
      <c r="A3648" s="4">
        <v>44925</v>
      </c>
      <c r="B3648" t="s">
        <v>10</v>
      </c>
      <c r="C3648">
        <v>1</v>
      </c>
      <c r="F3648">
        <v>218</v>
      </c>
      <c r="J3648">
        <v>1.236</v>
      </c>
      <c r="K3648">
        <v>44.5</v>
      </c>
      <c r="L3648">
        <v>36</v>
      </c>
      <c r="M3648">
        <v>178</v>
      </c>
      <c r="N3648">
        <v>10</v>
      </c>
      <c r="O3648">
        <v>2</v>
      </c>
    </row>
    <row r="3649" spans="1:16" x14ac:dyDescent="0.25">
      <c r="A3649" s="4">
        <v>44925</v>
      </c>
      <c r="B3649" t="s">
        <v>9</v>
      </c>
      <c r="C3649">
        <v>1</v>
      </c>
      <c r="F3649">
        <v>53</v>
      </c>
      <c r="J3649">
        <v>1.143</v>
      </c>
      <c r="K3649">
        <v>44.2</v>
      </c>
      <c r="L3649">
        <v>38.6</v>
      </c>
      <c r="M3649">
        <v>43</v>
      </c>
      <c r="N3649">
        <v>5</v>
      </c>
    </row>
    <row r="3650" spans="1:16" x14ac:dyDescent="0.25">
      <c r="A3650" s="4">
        <v>44929</v>
      </c>
      <c r="B3650" t="s">
        <v>10</v>
      </c>
      <c r="C3650">
        <v>1</v>
      </c>
      <c r="F3650">
        <v>204</v>
      </c>
      <c r="J3650">
        <v>1.2549999999999999</v>
      </c>
      <c r="K3650">
        <v>44.4</v>
      </c>
      <c r="L3650">
        <v>35.299999999999997</v>
      </c>
      <c r="M3650">
        <v>172</v>
      </c>
      <c r="N3650">
        <v>4</v>
      </c>
      <c r="O3650">
        <v>3</v>
      </c>
    </row>
    <row r="3651" spans="1:16" x14ac:dyDescent="0.25">
      <c r="A3651" s="4">
        <v>44929</v>
      </c>
      <c r="B3651" t="s">
        <v>9</v>
      </c>
      <c r="C3651">
        <v>1</v>
      </c>
      <c r="F3651">
        <v>35</v>
      </c>
      <c r="J3651">
        <v>1.0860000000000001</v>
      </c>
      <c r="K3651">
        <v>41.7</v>
      </c>
      <c r="L3651">
        <v>38.4</v>
      </c>
      <c r="M3651">
        <v>31</v>
      </c>
      <c r="N3651">
        <v>2</v>
      </c>
    </row>
    <row r="3652" spans="1:16" x14ac:dyDescent="0.25">
      <c r="A3652" s="4">
        <v>44930</v>
      </c>
      <c r="B3652" t="s">
        <v>10</v>
      </c>
      <c r="C3652">
        <v>1</v>
      </c>
      <c r="F3652">
        <v>247</v>
      </c>
      <c r="J3652">
        <v>1.1950000000000001</v>
      </c>
      <c r="K3652">
        <v>44.1</v>
      </c>
      <c r="L3652">
        <v>36.9</v>
      </c>
      <c r="M3652">
        <v>188</v>
      </c>
      <c r="N3652">
        <v>14</v>
      </c>
      <c r="O3652">
        <v>4</v>
      </c>
    </row>
    <row r="3653" spans="1:16" x14ac:dyDescent="0.25">
      <c r="A3653" s="4">
        <v>44930</v>
      </c>
      <c r="B3653" t="s">
        <v>9</v>
      </c>
      <c r="C3653">
        <v>1</v>
      </c>
      <c r="F3653">
        <v>80</v>
      </c>
      <c r="J3653">
        <v>1.0920000000000001</v>
      </c>
      <c r="K3653">
        <v>42.1</v>
      </c>
      <c r="L3653">
        <v>38.6</v>
      </c>
      <c r="M3653">
        <v>72</v>
      </c>
      <c r="N3653">
        <v>1</v>
      </c>
      <c r="P3653">
        <v>1</v>
      </c>
    </row>
    <row r="3654" spans="1:16" x14ac:dyDescent="0.25">
      <c r="A3654" s="4">
        <v>44931</v>
      </c>
      <c r="B3654" t="s">
        <v>10</v>
      </c>
      <c r="C3654">
        <v>1</v>
      </c>
      <c r="F3654">
        <v>234</v>
      </c>
      <c r="J3654">
        <v>1.2529999999999999</v>
      </c>
      <c r="K3654">
        <v>43.3</v>
      </c>
      <c r="L3654">
        <v>34.6</v>
      </c>
      <c r="M3654">
        <v>202</v>
      </c>
      <c r="N3654">
        <v>11</v>
      </c>
      <c r="O3654">
        <v>1</v>
      </c>
    </row>
    <row r="3655" spans="1:16" x14ac:dyDescent="0.25">
      <c r="A3655" s="4">
        <v>44931</v>
      </c>
      <c r="B3655" t="s">
        <v>9</v>
      </c>
      <c r="C3655">
        <v>1</v>
      </c>
      <c r="F3655">
        <v>57</v>
      </c>
      <c r="J3655">
        <v>1.1559999999999999</v>
      </c>
      <c r="K3655">
        <v>43.6</v>
      </c>
      <c r="L3655">
        <v>37.9</v>
      </c>
      <c r="M3655">
        <v>51</v>
      </c>
      <c r="N3655">
        <v>2</v>
      </c>
    </row>
    <row r="3656" spans="1:16" x14ac:dyDescent="0.25">
      <c r="A3656" s="4">
        <v>44932</v>
      </c>
      <c r="B3656" t="s">
        <v>10</v>
      </c>
      <c r="C3656">
        <v>1</v>
      </c>
      <c r="F3656">
        <v>287</v>
      </c>
      <c r="J3656">
        <v>1.1950000000000001</v>
      </c>
      <c r="K3656">
        <v>45.6</v>
      </c>
      <c r="L3656">
        <v>38.1</v>
      </c>
      <c r="M3656">
        <v>196</v>
      </c>
      <c r="N3656">
        <v>22</v>
      </c>
      <c r="O3656">
        <v>2</v>
      </c>
      <c r="P3656">
        <v>3</v>
      </c>
    </row>
    <row r="3657" spans="1:16" x14ac:dyDescent="0.25">
      <c r="A3657" s="4">
        <v>44932</v>
      </c>
      <c r="B3657" t="s">
        <v>9</v>
      </c>
      <c r="C3657">
        <v>1</v>
      </c>
      <c r="F3657">
        <v>73</v>
      </c>
      <c r="J3657">
        <v>1.0620000000000001</v>
      </c>
      <c r="K3657">
        <v>42.9</v>
      </c>
      <c r="L3657">
        <v>40.4</v>
      </c>
      <c r="M3657">
        <v>61</v>
      </c>
      <c r="N3657">
        <v>3</v>
      </c>
      <c r="O3657">
        <v>1</v>
      </c>
    </row>
    <row r="3658" spans="1:16" x14ac:dyDescent="0.25">
      <c r="A3658" s="4">
        <v>44935</v>
      </c>
      <c r="B3658" t="s">
        <v>10</v>
      </c>
      <c r="C3658">
        <v>1</v>
      </c>
      <c r="F3658">
        <v>300</v>
      </c>
      <c r="J3658">
        <v>1.1359999999999999</v>
      </c>
      <c r="K3658">
        <v>43.5</v>
      </c>
      <c r="L3658">
        <v>38.299999999999997</v>
      </c>
      <c r="M3658">
        <v>195</v>
      </c>
      <c r="N3658">
        <v>35</v>
      </c>
      <c r="O3658">
        <v>7</v>
      </c>
    </row>
    <row r="3659" spans="1:16" x14ac:dyDescent="0.25">
      <c r="A3659" s="4">
        <v>44935</v>
      </c>
      <c r="B3659" t="s">
        <v>9</v>
      </c>
      <c r="C3659">
        <v>1</v>
      </c>
      <c r="F3659">
        <v>98</v>
      </c>
      <c r="J3659">
        <v>1.081</v>
      </c>
      <c r="K3659">
        <v>42.6</v>
      </c>
      <c r="L3659">
        <v>39.4</v>
      </c>
      <c r="M3659">
        <v>82</v>
      </c>
      <c r="N3659">
        <v>6</v>
      </c>
    </row>
    <row r="3660" spans="1:16" x14ac:dyDescent="0.25">
      <c r="A3660" s="4">
        <v>44936</v>
      </c>
      <c r="B3660" t="s">
        <v>10</v>
      </c>
      <c r="C3660">
        <v>1</v>
      </c>
      <c r="F3660">
        <v>308</v>
      </c>
      <c r="J3660">
        <v>1.194</v>
      </c>
      <c r="K3660">
        <v>46.7</v>
      </c>
      <c r="L3660">
        <v>39.1</v>
      </c>
      <c r="M3660">
        <v>192</v>
      </c>
      <c r="N3660">
        <v>25</v>
      </c>
      <c r="O3660">
        <v>10</v>
      </c>
      <c r="P3660">
        <v>3</v>
      </c>
    </row>
    <row r="3661" spans="1:16" x14ac:dyDescent="0.25">
      <c r="A3661" s="4">
        <v>44936</v>
      </c>
      <c r="B3661" t="s">
        <v>9</v>
      </c>
      <c r="C3661">
        <v>1</v>
      </c>
    </row>
    <row r="3662" spans="1:16" x14ac:dyDescent="0.25">
      <c r="A3662" s="4">
        <v>44937</v>
      </c>
      <c r="B3662" t="s">
        <v>10</v>
      </c>
      <c r="C3662">
        <v>1</v>
      </c>
      <c r="F3662">
        <v>402</v>
      </c>
      <c r="J3662">
        <v>1.1919999999999999</v>
      </c>
      <c r="K3662">
        <v>45.7</v>
      </c>
      <c r="L3662">
        <v>38.299999999999997</v>
      </c>
      <c r="M3662">
        <v>254</v>
      </c>
      <c r="N3662">
        <v>36</v>
      </c>
      <c r="O3662">
        <v>15</v>
      </c>
      <c r="P3662">
        <v>2</v>
      </c>
    </row>
    <row r="3663" spans="1:16" x14ac:dyDescent="0.25">
      <c r="A3663" s="4">
        <v>44937</v>
      </c>
      <c r="B3663" t="s">
        <v>9</v>
      </c>
      <c r="C3663">
        <v>1</v>
      </c>
      <c r="F3663">
        <v>83</v>
      </c>
      <c r="J3663">
        <v>1.129</v>
      </c>
      <c r="K3663">
        <v>43.7</v>
      </c>
      <c r="L3663">
        <v>38.700000000000003</v>
      </c>
      <c r="M3663">
        <v>81</v>
      </c>
      <c r="N3663">
        <v>1</v>
      </c>
    </row>
    <row r="3664" spans="1:16" x14ac:dyDescent="0.25">
      <c r="A3664" s="4">
        <v>44938</v>
      </c>
      <c r="B3664" t="s">
        <v>10</v>
      </c>
      <c r="C3664">
        <v>1</v>
      </c>
      <c r="F3664">
        <v>301</v>
      </c>
      <c r="J3664">
        <v>1.2969999999999999</v>
      </c>
      <c r="K3664">
        <v>46.3</v>
      </c>
      <c r="L3664">
        <v>35.700000000000003</v>
      </c>
      <c r="M3664">
        <v>231</v>
      </c>
      <c r="N3664">
        <v>19</v>
      </c>
      <c r="O3664">
        <v>5</v>
      </c>
      <c r="P3664">
        <v>1</v>
      </c>
    </row>
    <row r="3665" spans="1:16" x14ac:dyDescent="0.25">
      <c r="A3665" s="4">
        <v>44938</v>
      </c>
      <c r="B3665" t="s">
        <v>9</v>
      </c>
      <c r="C3665">
        <v>1</v>
      </c>
      <c r="F3665">
        <v>75</v>
      </c>
      <c r="J3665">
        <v>1.1559999999999999</v>
      </c>
      <c r="K3665">
        <v>43.1</v>
      </c>
      <c r="L3665">
        <v>37.299999999999997</v>
      </c>
      <c r="M3665">
        <v>73</v>
      </c>
      <c r="N3665">
        <v>1</v>
      </c>
    </row>
    <row r="3666" spans="1:16" x14ac:dyDescent="0.25">
      <c r="A3666" s="4">
        <v>44939</v>
      </c>
      <c r="B3666" t="s">
        <v>10</v>
      </c>
      <c r="C3666">
        <v>1</v>
      </c>
      <c r="F3666">
        <v>336</v>
      </c>
      <c r="J3666">
        <v>1.2969999999999999</v>
      </c>
      <c r="K3666">
        <v>46.7</v>
      </c>
      <c r="L3666">
        <v>36</v>
      </c>
      <c r="M3666">
        <v>240</v>
      </c>
      <c r="N3666">
        <v>22</v>
      </c>
      <c r="O3666">
        <v>10</v>
      </c>
      <c r="P3666">
        <v>1</v>
      </c>
    </row>
    <row r="3667" spans="1:16" x14ac:dyDescent="0.25">
      <c r="A3667" s="4">
        <v>44939</v>
      </c>
      <c r="B3667" t="s">
        <v>9</v>
      </c>
      <c r="C3667">
        <v>1</v>
      </c>
      <c r="F3667">
        <v>74</v>
      </c>
      <c r="J3667">
        <v>1.107</v>
      </c>
      <c r="K3667">
        <v>43.5</v>
      </c>
      <c r="L3667">
        <v>39.1</v>
      </c>
      <c r="M3667">
        <v>61</v>
      </c>
      <c r="N3667">
        <v>5</v>
      </c>
      <c r="O3667">
        <v>1</v>
      </c>
    </row>
    <row r="3668" spans="1:16" x14ac:dyDescent="0.25">
      <c r="A3668" s="4">
        <v>44942</v>
      </c>
      <c r="B3668" t="s">
        <v>10</v>
      </c>
      <c r="C3668">
        <v>1</v>
      </c>
      <c r="F3668">
        <v>419</v>
      </c>
      <c r="J3668">
        <v>1.33</v>
      </c>
      <c r="K3668">
        <v>47.6</v>
      </c>
      <c r="L3668">
        <v>35.799999999999997</v>
      </c>
      <c r="M3668">
        <v>307</v>
      </c>
      <c r="N3668">
        <v>33</v>
      </c>
      <c r="O3668">
        <v>9</v>
      </c>
    </row>
    <row r="3669" spans="1:16" x14ac:dyDescent="0.25">
      <c r="A3669" s="4">
        <v>44942</v>
      </c>
      <c r="B3669" t="s">
        <v>9</v>
      </c>
      <c r="C3669">
        <v>1</v>
      </c>
      <c r="F3669">
        <v>66</v>
      </c>
      <c r="J3669">
        <v>1.07</v>
      </c>
      <c r="K3669">
        <v>41.3</v>
      </c>
      <c r="L3669">
        <v>38.6</v>
      </c>
      <c r="M3669">
        <v>56</v>
      </c>
      <c r="N3669">
        <v>5</v>
      </c>
    </row>
    <row r="3670" spans="1:16" x14ac:dyDescent="0.25">
      <c r="A3670" s="4">
        <v>44943</v>
      </c>
      <c r="B3670" t="s">
        <v>10</v>
      </c>
      <c r="C3670">
        <v>1</v>
      </c>
      <c r="F3670">
        <v>310</v>
      </c>
      <c r="J3670">
        <v>1.2869999999999999</v>
      </c>
      <c r="K3670">
        <v>45.6</v>
      </c>
      <c r="L3670">
        <v>35.6</v>
      </c>
      <c r="M3670">
        <v>242</v>
      </c>
      <c r="N3670">
        <v>19</v>
      </c>
      <c r="O3670">
        <v>4</v>
      </c>
      <c r="P3670">
        <v>1</v>
      </c>
    </row>
    <row r="3671" spans="1:16" x14ac:dyDescent="0.25">
      <c r="A3671" s="4">
        <v>44943</v>
      </c>
      <c r="B3671" t="s">
        <v>9</v>
      </c>
      <c r="C3671">
        <v>1</v>
      </c>
      <c r="F3671">
        <v>70</v>
      </c>
      <c r="J3671">
        <v>1.1060000000000001</v>
      </c>
      <c r="K3671">
        <v>42.4</v>
      </c>
      <c r="L3671">
        <v>38.4</v>
      </c>
      <c r="M3671">
        <v>63</v>
      </c>
      <c r="N3671">
        <v>3</v>
      </c>
    </row>
    <row r="3672" spans="1:16" x14ac:dyDescent="0.25">
      <c r="A3672" s="4">
        <v>44944</v>
      </c>
      <c r="B3672" t="s">
        <v>10</v>
      </c>
      <c r="C3672">
        <v>1</v>
      </c>
      <c r="F3672">
        <v>377</v>
      </c>
      <c r="J3672">
        <v>1.397</v>
      </c>
      <c r="K3672">
        <v>52.4</v>
      </c>
      <c r="L3672">
        <v>37.5</v>
      </c>
      <c r="M3672">
        <v>264</v>
      </c>
      <c r="N3672">
        <v>26</v>
      </c>
      <c r="O3672">
        <v>7</v>
      </c>
      <c r="P3672">
        <v>1</v>
      </c>
    </row>
    <row r="3673" spans="1:16" x14ac:dyDescent="0.25">
      <c r="A3673" s="4">
        <v>44944</v>
      </c>
      <c r="B3673" t="s">
        <v>9</v>
      </c>
      <c r="C3673">
        <v>1</v>
      </c>
      <c r="F3673">
        <v>47</v>
      </c>
      <c r="J3673">
        <v>1.139</v>
      </c>
      <c r="K3673">
        <v>42.7</v>
      </c>
      <c r="L3673">
        <v>37.5</v>
      </c>
      <c r="M3673">
        <v>45</v>
      </c>
      <c r="N3673">
        <v>1</v>
      </c>
    </row>
    <row r="3674" spans="1:16" x14ac:dyDescent="0.25">
      <c r="A3674" s="4">
        <v>44945</v>
      </c>
      <c r="B3674" t="s">
        <v>10</v>
      </c>
      <c r="C3674">
        <v>1</v>
      </c>
      <c r="F3674">
        <v>355</v>
      </c>
      <c r="J3674">
        <v>1.409</v>
      </c>
      <c r="K3674">
        <v>53</v>
      </c>
      <c r="L3674">
        <v>37.6</v>
      </c>
      <c r="M3674">
        <v>250</v>
      </c>
      <c r="N3674">
        <v>21</v>
      </c>
      <c r="O3674">
        <v>10</v>
      </c>
      <c r="P3674">
        <v>1</v>
      </c>
    </row>
    <row r="3675" spans="1:16" x14ac:dyDescent="0.25">
      <c r="A3675" s="4">
        <v>44945</v>
      </c>
      <c r="B3675" t="s">
        <v>9</v>
      </c>
      <c r="C3675">
        <v>1</v>
      </c>
      <c r="F3675">
        <v>63</v>
      </c>
      <c r="J3675">
        <v>1.1339999999999999</v>
      </c>
      <c r="K3675">
        <v>42</v>
      </c>
      <c r="L3675">
        <v>37</v>
      </c>
      <c r="M3675">
        <v>61</v>
      </c>
      <c r="N3675">
        <v>1</v>
      </c>
    </row>
    <row r="3676" spans="1:16" x14ac:dyDescent="0.25">
      <c r="A3676" s="4">
        <v>44946</v>
      </c>
      <c r="B3676" t="s">
        <v>10</v>
      </c>
      <c r="C3676">
        <v>1</v>
      </c>
      <c r="F3676">
        <v>340</v>
      </c>
      <c r="J3676">
        <v>1.3149999999999999</v>
      </c>
      <c r="K3676">
        <v>50</v>
      </c>
      <c r="L3676">
        <v>38</v>
      </c>
      <c r="M3676">
        <v>236</v>
      </c>
      <c r="N3676">
        <v>27</v>
      </c>
      <c r="O3676">
        <v>12</v>
      </c>
    </row>
    <row r="3677" spans="1:16" x14ac:dyDescent="0.25">
      <c r="A3677" s="4">
        <v>44946</v>
      </c>
      <c r="B3677" t="s">
        <v>9</v>
      </c>
      <c r="C3677">
        <v>1</v>
      </c>
      <c r="F3677">
        <v>56</v>
      </c>
      <c r="J3677">
        <v>1.0920000000000001</v>
      </c>
      <c r="K3677">
        <v>41.8</v>
      </c>
      <c r="L3677">
        <v>38.299999999999997</v>
      </c>
      <c r="M3677">
        <v>54</v>
      </c>
      <c r="N3677">
        <v>1</v>
      </c>
    </row>
    <row r="3678" spans="1:16" x14ac:dyDescent="0.25">
      <c r="A3678" s="4">
        <v>44949</v>
      </c>
      <c r="B3678" t="s">
        <v>10</v>
      </c>
      <c r="C3678">
        <v>1</v>
      </c>
      <c r="F3678">
        <v>436</v>
      </c>
      <c r="J3678">
        <v>1.3440000000000001</v>
      </c>
      <c r="K3678">
        <v>49.6</v>
      </c>
      <c r="L3678">
        <v>36.9</v>
      </c>
      <c r="M3678">
        <v>322</v>
      </c>
      <c r="N3678">
        <v>26</v>
      </c>
      <c r="O3678">
        <v>8</v>
      </c>
      <c r="P3678">
        <v>1</v>
      </c>
    </row>
    <row r="3679" spans="1:16" x14ac:dyDescent="0.25">
      <c r="A3679" s="4">
        <v>44949</v>
      </c>
      <c r="B3679" t="s">
        <v>9</v>
      </c>
      <c r="C3679">
        <v>1</v>
      </c>
      <c r="F3679">
        <v>55</v>
      </c>
      <c r="J3679">
        <v>1.141</v>
      </c>
      <c r="K3679">
        <v>42.3</v>
      </c>
      <c r="L3679">
        <v>37.1</v>
      </c>
      <c r="M3679">
        <v>43</v>
      </c>
      <c r="N3679">
        <v>3</v>
      </c>
      <c r="O3679">
        <v>2</v>
      </c>
    </row>
    <row r="3680" spans="1:16" x14ac:dyDescent="0.25">
      <c r="A3680" s="4">
        <v>44950</v>
      </c>
      <c r="B3680" t="s">
        <v>10</v>
      </c>
      <c r="C3680">
        <v>1</v>
      </c>
      <c r="F3680">
        <v>424</v>
      </c>
      <c r="J3680">
        <v>1.3839999999999999</v>
      </c>
      <c r="K3680">
        <v>49.3</v>
      </c>
      <c r="L3680">
        <v>35.6</v>
      </c>
      <c r="M3680">
        <v>324</v>
      </c>
      <c r="N3680">
        <v>30</v>
      </c>
      <c r="O3680">
        <v>5</v>
      </c>
    </row>
    <row r="3681" spans="1:16" x14ac:dyDescent="0.25">
      <c r="A3681" s="4">
        <v>44950</v>
      </c>
      <c r="B3681" t="s">
        <v>9</v>
      </c>
      <c r="C3681">
        <v>1</v>
      </c>
      <c r="F3681">
        <v>63</v>
      </c>
      <c r="J3681">
        <v>1.1220000000000001</v>
      </c>
      <c r="K3681">
        <v>42</v>
      </c>
      <c r="L3681">
        <v>37.4</v>
      </c>
      <c r="M3681">
        <v>61</v>
      </c>
      <c r="N3681">
        <v>1</v>
      </c>
    </row>
    <row r="3682" spans="1:16" x14ac:dyDescent="0.25">
      <c r="A3682" s="4">
        <v>44951</v>
      </c>
      <c r="B3682" t="s">
        <v>10</v>
      </c>
      <c r="C3682">
        <v>1</v>
      </c>
      <c r="F3682">
        <v>330</v>
      </c>
      <c r="J3682">
        <v>1.3360000000000001</v>
      </c>
      <c r="K3682">
        <v>47.8</v>
      </c>
      <c r="L3682">
        <v>35.799999999999997</v>
      </c>
      <c r="M3682">
        <v>255</v>
      </c>
      <c r="N3682">
        <v>22</v>
      </c>
      <c r="O3682">
        <v>4</v>
      </c>
    </row>
    <row r="3683" spans="1:16" x14ac:dyDescent="0.25">
      <c r="A3683" s="4">
        <v>44951</v>
      </c>
      <c r="B3683" t="s">
        <v>9</v>
      </c>
      <c r="C3683">
        <v>1</v>
      </c>
      <c r="F3683">
        <v>43</v>
      </c>
      <c r="J3683">
        <v>1.1120000000000001</v>
      </c>
      <c r="K3683">
        <v>43</v>
      </c>
      <c r="L3683">
        <v>38.700000000000003</v>
      </c>
      <c r="M3683">
        <v>39</v>
      </c>
      <c r="N3683">
        <v>2</v>
      </c>
    </row>
    <row r="3684" spans="1:16" x14ac:dyDescent="0.25">
      <c r="A3684" s="4">
        <v>44952</v>
      </c>
      <c r="B3684" t="s">
        <v>10</v>
      </c>
      <c r="C3684">
        <v>1</v>
      </c>
      <c r="F3684">
        <v>439</v>
      </c>
      <c r="J3684">
        <v>1.379</v>
      </c>
      <c r="K3684">
        <v>49.9</v>
      </c>
      <c r="L3684">
        <v>36.200000000000003</v>
      </c>
      <c r="M3684">
        <v>333</v>
      </c>
      <c r="N3684">
        <v>20</v>
      </c>
      <c r="O3684">
        <v>9</v>
      </c>
      <c r="P3684">
        <v>4</v>
      </c>
    </row>
    <row r="3685" spans="1:16" x14ac:dyDescent="0.25">
      <c r="A3685" s="4">
        <v>44952</v>
      </c>
      <c r="B3685" t="s">
        <v>9</v>
      </c>
      <c r="C3685">
        <v>1</v>
      </c>
      <c r="F3685">
        <v>62</v>
      </c>
      <c r="J3685">
        <v>1.046</v>
      </c>
      <c r="K3685">
        <v>43.4</v>
      </c>
      <c r="L3685">
        <v>41.5</v>
      </c>
      <c r="M3685">
        <v>47</v>
      </c>
      <c r="N3685">
        <v>2</v>
      </c>
      <c r="O3685">
        <v>1</v>
      </c>
      <c r="P3685">
        <v>1</v>
      </c>
    </row>
    <row r="3686" spans="1:16" x14ac:dyDescent="0.25">
      <c r="A3686" s="4">
        <v>44953</v>
      </c>
      <c r="B3686" t="s">
        <v>10</v>
      </c>
      <c r="C3686">
        <v>1</v>
      </c>
      <c r="F3686">
        <v>386</v>
      </c>
      <c r="J3686">
        <v>1.4159999999999999</v>
      </c>
      <c r="K3686">
        <v>52.2</v>
      </c>
      <c r="L3686">
        <v>36.799999999999997</v>
      </c>
      <c r="M3686">
        <v>276</v>
      </c>
      <c r="N3686">
        <v>23</v>
      </c>
      <c r="O3686">
        <v>11</v>
      </c>
      <c r="P3686">
        <v>2</v>
      </c>
    </row>
    <row r="3687" spans="1:16" x14ac:dyDescent="0.25">
      <c r="A3687" s="4">
        <v>44953</v>
      </c>
      <c r="B3687" t="s">
        <v>9</v>
      </c>
      <c r="C3687">
        <v>1</v>
      </c>
      <c r="F3687">
        <v>72</v>
      </c>
      <c r="J3687">
        <v>1.032</v>
      </c>
      <c r="K3687">
        <v>42.4</v>
      </c>
      <c r="L3687">
        <v>41</v>
      </c>
      <c r="M3687">
        <v>52</v>
      </c>
      <c r="N3687">
        <v>2</v>
      </c>
      <c r="O3687">
        <v>3</v>
      </c>
      <c r="P3687">
        <v>1</v>
      </c>
    </row>
    <row r="3688" spans="1:16" x14ac:dyDescent="0.25">
      <c r="A3688" s="4">
        <v>44956</v>
      </c>
      <c r="B3688" t="s">
        <v>10</v>
      </c>
      <c r="C3688">
        <v>1</v>
      </c>
      <c r="F3688">
        <v>428</v>
      </c>
      <c r="J3688">
        <v>1.256</v>
      </c>
      <c r="K3688">
        <v>49.8</v>
      </c>
      <c r="L3688">
        <v>39.6</v>
      </c>
      <c r="M3688">
        <v>266</v>
      </c>
      <c r="N3688">
        <v>33</v>
      </c>
      <c r="O3688">
        <v>11</v>
      </c>
      <c r="P3688">
        <v>6</v>
      </c>
    </row>
    <row r="3689" spans="1:16" x14ac:dyDescent="0.25">
      <c r="A3689" s="4">
        <v>44956</v>
      </c>
      <c r="B3689" t="s">
        <v>9</v>
      </c>
      <c r="C3689">
        <v>1</v>
      </c>
      <c r="F3689">
        <v>68</v>
      </c>
      <c r="J3689">
        <v>1.0609999999999999</v>
      </c>
      <c r="K3689">
        <v>42.5</v>
      </c>
      <c r="L3689">
        <v>40</v>
      </c>
      <c r="M3689">
        <v>56</v>
      </c>
      <c r="N3689">
        <v>6</v>
      </c>
    </row>
    <row r="3690" spans="1:16" x14ac:dyDescent="0.25">
      <c r="A3690" s="4">
        <v>44957</v>
      </c>
      <c r="B3690" t="s">
        <v>10</v>
      </c>
      <c r="C3690">
        <v>1</v>
      </c>
      <c r="F3690">
        <v>407</v>
      </c>
      <c r="J3690">
        <v>1.2829999999999999</v>
      </c>
      <c r="K3690">
        <v>47.9</v>
      </c>
      <c r="L3690">
        <v>37.299999999999997</v>
      </c>
      <c r="M3690">
        <v>293</v>
      </c>
      <c r="N3690">
        <v>34</v>
      </c>
      <c r="O3690">
        <v>7</v>
      </c>
      <c r="P3690">
        <v>1</v>
      </c>
    </row>
    <row r="3691" spans="1:16" x14ac:dyDescent="0.25">
      <c r="A3691" s="4">
        <v>44957</v>
      </c>
      <c r="B3691" t="s">
        <v>9</v>
      </c>
      <c r="C3691">
        <v>1</v>
      </c>
    </row>
    <row r="3692" spans="1:16" x14ac:dyDescent="0.25">
      <c r="A3692" s="4">
        <v>44958</v>
      </c>
      <c r="B3692" t="s">
        <v>10</v>
      </c>
      <c r="C3692">
        <v>1</v>
      </c>
      <c r="F3692">
        <v>445</v>
      </c>
      <c r="J3692">
        <v>1.33</v>
      </c>
      <c r="K3692">
        <v>50.6</v>
      </c>
      <c r="L3692">
        <v>38</v>
      </c>
      <c r="M3692">
        <v>298</v>
      </c>
      <c r="N3692">
        <v>37</v>
      </c>
      <c r="O3692">
        <v>10</v>
      </c>
      <c r="P3692">
        <v>3</v>
      </c>
    </row>
    <row r="3693" spans="1:16" x14ac:dyDescent="0.25">
      <c r="A3693" s="4">
        <v>44958</v>
      </c>
      <c r="B3693" t="s">
        <v>9</v>
      </c>
      <c r="C3693">
        <v>1</v>
      </c>
      <c r="F3693">
        <v>69</v>
      </c>
      <c r="J3693">
        <v>1.1930000000000001</v>
      </c>
      <c r="K3693">
        <v>43.1</v>
      </c>
      <c r="L3693">
        <v>36.200000000000003</v>
      </c>
      <c r="M3693">
        <v>66</v>
      </c>
      <c r="N3693">
        <v>1</v>
      </c>
    </row>
    <row r="3694" spans="1:16" x14ac:dyDescent="0.25">
      <c r="A3694" s="4">
        <v>44959</v>
      </c>
      <c r="B3694" t="s">
        <v>10</v>
      </c>
      <c r="C3694">
        <v>1</v>
      </c>
      <c r="F3694">
        <v>432</v>
      </c>
      <c r="J3694">
        <v>1.369</v>
      </c>
      <c r="K3694">
        <v>50.8</v>
      </c>
      <c r="L3694">
        <v>37.1</v>
      </c>
      <c r="M3694">
        <v>313</v>
      </c>
      <c r="N3694">
        <v>29</v>
      </c>
      <c r="O3694">
        <v>9</v>
      </c>
      <c r="P3694">
        <v>1</v>
      </c>
    </row>
    <row r="3695" spans="1:16" x14ac:dyDescent="0.25">
      <c r="A3695" s="4">
        <v>44959</v>
      </c>
      <c r="B3695" t="s">
        <v>9</v>
      </c>
      <c r="C3695">
        <v>1</v>
      </c>
      <c r="F3695">
        <v>44</v>
      </c>
      <c r="J3695">
        <v>1.04</v>
      </c>
      <c r="K3695">
        <v>40</v>
      </c>
      <c r="L3695">
        <v>38.5</v>
      </c>
      <c r="M3695">
        <v>38</v>
      </c>
      <c r="N3695">
        <v>3</v>
      </c>
    </row>
    <row r="3696" spans="1:16" x14ac:dyDescent="0.25">
      <c r="A3696" s="4">
        <v>44960</v>
      </c>
      <c r="B3696" t="s">
        <v>10</v>
      </c>
      <c r="C3696">
        <v>1</v>
      </c>
      <c r="F3696">
        <v>401</v>
      </c>
      <c r="J3696">
        <v>1.32</v>
      </c>
      <c r="K3696">
        <v>47.7</v>
      </c>
      <c r="L3696">
        <v>36.200000000000003</v>
      </c>
      <c r="M3696">
        <v>294</v>
      </c>
      <c r="N3696">
        <v>32</v>
      </c>
      <c r="O3696">
        <v>7</v>
      </c>
    </row>
    <row r="3697" spans="1:16" x14ac:dyDescent="0.25">
      <c r="A3697" s="4">
        <v>44960</v>
      </c>
      <c r="B3697" t="s">
        <v>9</v>
      </c>
      <c r="C3697">
        <v>1</v>
      </c>
      <c r="F3697">
        <v>64</v>
      </c>
      <c r="J3697">
        <v>1.0269999999999999</v>
      </c>
      <c r="K3697">
        <v>42.7</v>
      </c>
      <c r="L3697">
        <v>41.6</v>
      </c>
      <c r="M3697">
        <v>44</v>
      </c>
      <c r="N3697">
        <v>10</v>
      </c>
    </row>
    <row r="3698" spans="1:16" x14ac:dyDescent="0.25">
      <c r="A3698" s="4">
        <v>44961</v>
      </c>
      <c r="B3698" t="s">
        <v>10</v>
      </c>
      <c r="C3698">
        <v>1</v>
      </c>
      <c r="F3698">
        <v>101</v>
      </c>
      <c r="J3698">
        <v>1.1990000000000001</v>
      </c>
      <c r="K3698">
        <v>48.1</v>
      </c>
      <c r="L3698">
        <v>40.1</v>
      </c>
      <c r="M3698">
        <v>87</v>
      </c>
      <c r="N3698">
        <v>7</v>
      </c>
    </row>
    <row r="3699" spans="1:16" x14ac:dyDescent="0.25">
      <c r="A3699" s="4">
        <v>44961</v>
      </c>
      <c r="B3699" t="s">
        <v>9</v>
      </c>
      <c r="C3699">
        <v>1</v>
      </c>
    </row>
    <row r="3700" spans="1:16" x14ac:dyDescent="0.25">
      <c r="A3700" s="4">
        <v>44963</v>
      </c>
      <c r="B3700" t="s">
        <v>10</v>
      </c>
      <c r="C3700">
        <v>1</v>
      </c>
      <c r="F3700">
        <v>345</v>
      </c>
      <c r="J3700">
        <v>1.3009999999999999</v>
      </c>
      <c r="K3700">
        <v>47.9</v>
      </c>
      <c r="L3700">
        <v>36.799999999999997</v>
      </c>
      <c r="M3700">
        <v>248</v>
      </c>
      <c r="N3700">
        <v>20</v>
      </c>
      <c r="O3700">
        <v>9</v>
      </c>
      <c r="P3700">
        <v>1</v>
      </c>
    </row>
    <row r="3701" spans="1:16" x14ac:dyDescent="0.25">
      <c r="A3701" s="4">
        <v>44963</v>
      </c>
      <c r="B3701" t="s">
        <v>9</v>
      </c>
      <c r="C3701">
        <v>1</v>
      </c>
      <c r="F3701">
        <v>46</v>
      </c>
      <c r="J3701">
        <v>1.002</v>
      </c>
      <c r="K3701">
        <v>41.8</v>
      </c>
      <c r="L3701">
        <v>41.7</v>
      </c>
      <c r="M3701">
        <v>31</v>
      </c>
      <c r="N3701">
        <v>7</v>
      </c>
    </row>
    <row r="3702" spans="1:16" x14ac:dyDescent="0.25">
      <c r="A3702" s="4">
        <v>44964</v>
      </c>
      <c r="B3702" t="s">
        <v>10</v>
      </c>
      <c r="C3702">
        <v>1</v>
      </c>
      <c r="F3702">
        <v>395</v>
      </c>
      <c r="J3702">
        <v>1.2689999999999999</v>
      </c>
      <c r="K3702">
        <v>47</v>
      </c>
      <c r="L3702">
        <v>37.1</v>
      </c>
      <c r="M3702">
        <v>279</v>
      </c>
      <c r="N3702">
        <v>37</v>
      </c>
      <c r="O3702">
        <v>5</v>
      </c>
    </row>
    <row r="3703" spans="1:16" x14ac:dyDescent="0.25">
      <c r="A3703" s="4">
        <v>44964</v>
      </c>
      <c r="B3703" t="s">
        <v>9</v>
      </c>
      <c r="C3703">
        <v>1</v>
      </c>
      <c r="F3703">
        <v>70</v>
      </c>
      <c r="J3703">
        <v>1.071</v>
      </c>
      <c r="K3703">
        <v>41.2</v>
      </c>
      <c r="L3703">
        <v>38.5</v>
      </c>
      <c r="M3703">
        <v>56</v>
      </c>
      <c r="N3703">
        <v>7</v>
      </c>
    </row>
    <row r="3704" spans="1:16" x14ac:dyDescent="0.25">
      <c r="A3704" s="4">
        <v>44965</v>
      </c>
      <c r="B3704" t="s">
        <v>10</v>
      </c>
      <c r="C3704">
        <v>1</v>
      </c>
      <c r="F3704">
        <v>426</v>
      </c>
      <c r="J3704">
        <v>1.393</v>
      </c>
      <c r="K3704">
        <v>49.5</v>
      </c>
      <c r="L3704">
        <v>35.6</v>
      </c>
      <c r="M3704">
        <v>347</v>
      </c>
      <c r="N3704">
        <v>22</v>
      </c>
      <c r="O3704">
        <v>7</v>
      </c>
    </row>
    <row r="3705" spans="1:16" x14ac:dyDescent="0.25">
      <c r="A3705" s="4">
        <v>44965</v>
      </c>
      <c r="B3705" t="s">
        <v>9</v>
      </c>
      <c r="C3705">
        <v>1</v>
      </c>
      <c r="F3705">
        <v>59</v>
      </c>
      <c r="J3705">
        <v>1.03</v>
      </c>
      <c r="K3705">
        <v>44.4</v>
      </c>
      <c r="L3705">
        <v>43.1</v>
      </c>
      <c r="M3705">
        <v>38</v>
      </c>
      <c r="N3705">
        <v>6</v>
      </c>
      <c r="O3705">
        <v>3</v>
      </c>
    </row>
    <row r="3706" spans="1:16" x14ac:dyDescent="0.25">
      <c r="A3706" s="4">
        <v>44966</v>
      </c>
      <c r="B3706" t="s">
        <v>10</v>
      </c>
      <c r="C3706">
        <v>1</v>
      </c>
      <c r="F3706">
        <v>445</v>
      </c>
      <c r="J3706">
        <v>1.36</v>
      </c>
      <c r="K3706">
        <v>50.6</v>
      </c>
      <c r="L3706">
        <v>37.200000000000003</v>
      </c>
      <c r="M3706">
        <v>302</v>
      </c>
      <c r="N3706">
        <v>34</v>
      </c>
      <c r="O3706">
        <v>13</v>
      </c>
      <c r="P3706">
        <v>2</v>
      </c>
    </row>
    <row r="3707" spans="1:16" x14ac:dyDescent="0.25">
      <c r="A3707" s="4">
        <v>44966</v>
      </c>
      <c r="B3707" t="s">
        <v>9</v>
      </c>
      <c r="C3707">
        <v>1</v>
      </c>
      <c r="F3707">
        <v>87</v>
      </c>
      <c r="J3707">
        <v>1.0900000000000001</v>
      </c>
      <c r="K3707">
        <v>43.5</v>
      </c>
      <c r="L3707">
        <v>39.9</v>
      </c>
      <c r="M3707">
        <v>65</v>
      </c>
      <c r="N3707">
        <v>11</v>
      </c>
    </row>
    <row r="3708" spans="1:16" x14ac:dyDescent="0.25">
      <c r="A3708" s="4">
        <v>44967</v>
      </c>
      <c r="B3708" t="s">
        <v>10</v>
      </c>
      <c r="C3708">
        <v>1</v>
      </c>
      <c r="F3708">
        <v>266</v>
      </c>
      <c r="J3708">
        <v>1.3069999999999999</v>
      </c>
      <c r="K3708">
        <v>48.4</v>
      </c>
      <c r="L3708">
        <v>37</v>
      </c>
      <c r="M3708">
        <v>195</v>
      </c>
      <c r="N3708">
        <v>18</v>
      </c>
      <c r="O3708">
        <v>6</v>
      </c>
    </row>
    <row r="3709" spans="1:16" x14ac:dyDescent="0.25">
      <c r="A3709" s="4">
        <v>44967</v>
      </c>
      <c r="B3709" t="s">
        <v>9</v>
      </c>
      <c r="C3709">
        <v>1</v>
      </c>
      <c r="F3709">
        <v>100</v>
      </c>
      <c r="J3709">
        <v>1.1220000000000001</v>
      </c>
      <c r="K3709">
        <v>41.7</v>
      </c>
      <c r="L3709">
        <v>37.1</v>
      </c>
      <c r="M3709">
        <v>84</v>
      </c>
      <c r="N3709">
        <v>8</v>
      </c>
    </row>
    <row r="3710" spans="1:16" x14ac:dyDescent="0.25">
      <c r="A3710" s="4">
        <v>44968</v>
      </c>
      <c r="B3710" t="s">
        <v>10</v>
      </c>
      <c r="C3710">
        <v>1</v>
      </c>
      <c r="F3710">
        <v>241</v>
      </c>
      <c r="J3710">
        <v>1.0029999999999999</v>
      </c>
      <c r="K3710">
        <v>40.200000000000003</v>
      </c>
      <c r="L3710">
        <v>40</v>
      </c>
      <c r="M3710">
        <v>178</v>
      </c>
      <c r="N3710">
        <v>25</v>
      </c>
      <c r="O3710">
        <v>4</v>
      </c>
    </row>
    <row r="3711" spans="1:16" x14ac:dyDescent="0.25">
      <c r="A3711" s="4">
        <v>44968</v>
      </c>
      <c r="B3711" t="s">
        <v>9</v>
      </c>
      <c r="C3711">
        <v>1</v>
      </c>
      <c r="F3711">
        <v>130</v>
      </c>
      <c r="J3711">
        <v>0.97099999999999997</v>
      </c>
      <c r="K3711">
        <v>40.6</v>
      </c>
      <c r="L3711">
        <v>41.9</v>
      </c>
      <c r="M3711">
        <v>88</v>
      </c>
      <c r="N3711">
        <v>15</v>
      </c>
      <c r="O3711">
        <v>4</v>
      </c>
    </row>
    <row r="3712" spans="1:16" x14ac:dyDescent="0.25">
      <c r="A3712" s="4">
        <v>44970</v>
      </c>
      <c r="B3712" t="s">
        <v>10</v>
      </c>
      <c r="C3712">
        <v>1</v>
      </c>
      <c r="F3712">
        <v>413</v>
      </c>
      <c r="J3712">
        <v>1.2769999999999999</v>
      </c>
      <c r="K3712">
        <v>48</v>
      </c>
      <c r="L3712">
        <v>37.6</v>
      </c>
      <c r="M3712">
        <v>279</v>
      </c>
      <c r="N3712">
        <v>38</v>
      </c>
      <c r="O3712">
        <v>5</v>
      </c>
      <c r="P3712">
        <v>3</v>
      </c>
    </row>
    <row r="3713" spans="1:16" x14ac:dyDescent="0.25">
      <c r="A3713" s="4">
        <v>44970</v>
      </c>
      <c r="B3713" t="s">
        <v>9</v>
      </c>
      <c r="C3713">
        <v>1</v>
      </c>
      <c r="F3713">
        <v>34</v>
      </c>
      <c r="J3713">
        <v>0.96599999999999997</v>
      </c>
      <c r="K3713">
        <v>42.5</v>
      </c>
      <c r="L3713">
        <v>44</v>
      </c>
      <c r="M3713">
        <v>19</v>
      </c>
      <c r="N3713">
        <v>6</v>
      </c>
      <c r="O3713">
        <v>1</v>
      </c>
    </row>
    <row r="3714" spans="1:16" x14ac:dyDescent="0.25">
      <c r="A3714" s="4">
        <v>44971</v>
      </c>
      <c r="B3714" t="s">
        <v>10</v>
      </c>
      <c r="C3714">
        <v>1</v>
      </c>
      <c r="F3714">
        <v>382</v>
      </c>
      <c r="J3714">
        <v>1.1970000000000001</v>
      </c>
      <c r="K3714">
        <v>47.2</v>
      </c>
      <c r="L3714">
        <v>39.4</v>
      </c>
      <c r="M3714">
        <v>233</v>
      </c>
      <c r="N3714">
        <v>35</v>
      </c>
      <c r="O3714">
        <v>11</v>
      </c>
      <c r="P3714">
        <v>3</v>
      </c>
    </row>
    <row r="3715" spans="1:16" x14ac:dyDescent="0.25">
      <c r="A3715" s="4">
        <v>44971</v>
      </c>
      <c r="B3715" t="s">
        <v>9</v>
      </c>
      <c r="C3715">
        <v>1</v>
      </c>
    </row>
    <row r="3716" spans="1:16" x14ac:dyDescent="0.25">
      <c r="A3716" s="4">
        <v>44972</v>
      </c>
      <c r="B3716" t="s">
        <v>10</v>
      </c>
      <c r="C3716">
        <v>1</v>
      </c>
      <c r="F3716">
        <v>387</v>
      </c>
      <c r="J3716">
        <v>1.3340000000000001</v>
      </c>
      <c r="K3716">
        <v>47.8</v>
      </c>
      <c r="L3716">
        <v>35.799999999999997</v>
      </c>
      <c r="M3716">
        <v>284</v>
      </c>
      <c r="N3716">
        <v>37</v>
      </c>
      <c r="O3716">
        <v>5</v>
      </c>
    </row>
    <row r="3717" spans="1:16" x14ac:dyDescent="0.25">
      <c r="A3717" s="4">
        <v>44972</v>
      </c>
      <c r="B3717" t="s">
        <v>9</v>
      </c>
      <c r="C3717">
        <v>1</v>
      </c>
      <c r="F3717">
        <v>53</v>
      </c>
      <c r="J3717">
        <v>1.111</v>
      </c>
      <c r="K3717">
        <v>44.2</v>
      </c>
      <c r="L3717">
        <v>39.799999999999997</v>
      </c>
      <c r="M3717">
        <v>42</v>
      </c>
      <c r="N3717">
        <v>4</v>
      </c>
      <c r="O3717">
        <v>1</v>
      </c>
    </row>
    <row r="3718" spans="1:16" x14ac:dyDescent="0.25">
      <c r="A3718" s="4">
        <v>44973</v>
      </c>
      <c r="B3718" t="s">
        <v>10</v>
      </c>
      <c r="C3718">
        <v>1</v>
      </c>
      <c r="F3718">
        <v>433</v>
      </c>
      <c r="J3718">
        <v>1.349</v>
      </c>
      <c r="K3718">
        <v>49.8</v>
      </c>
      <c r="L3718">
        <v>36.9</v>
      </c>
      <c r="M3718">
        <v>311</v>
      </c>
      <c r="N3718">
        <v>38</v>
      </c>
      <c r="O3718">
        <v>9</v>
      </c>
    </row>
    <row r="3719" spans="1:16" x14ac:dyDescent="0.25">
      <c r="A3719" s="4">
        <v>44973</v>
      </c>
      <c r="B3719" t="s">
        <v>9</v>
      </c>
      <c r="C3719">
        <v>1</v>
      </c>
      <c r="F3719">
        <v>56</v>
      </c>
      <c r="J3719">
        <v>1.105</v>
      </c>
      <c r="K3719">
        <v>43.1</v>
      </c>
      <c r="L3719">
        <v>39</v>
      </c>
      <c r="M3719">
        <v>48</v>
      </c>
      <c r="N3719">
        <v>4</v>
      </c>
    </row>
    <row r="3720" spans="1:16" x14ac:dyDescent="0.25">
      <c r="A3720" s="4">
        <v>44974</v>
      </c>
      <c r="B3720" t="s">
        <v>10</v>
      </c>
      <c r="C3720">
        <v>1</v>
      </c>
      <c r="F3720">
        <v>280</v>
      </c>
      <c r="J3720">
        <v>1.2210000000000001</v>
      </c>
      <c r="K3720">
        <v>43.1</v>
      </c>
      <c r="L3720">
        <v>35.299999999999997</v>
      </c>
      <c r="M3720">
        <v>233</v>
      </c>
      <c r="N3720">
        <v>17</v>
      </c>
      <c r="O3720">
        <v>3</v>
      </c>
    </row>
    <row r="3721" spans="1:16" x14ac:dyDescent="0.25">
      <c r="A3721" s="4">
        <v>44974</v>
      </c>
      <c r="B3721" t="s">
        <v>9</v>
      </c>
      <c r="C3721">
        <v>1</v>
      </c>
    </row>
    <row r="3722" spans="1:16" x14ac:dyDescent="0.25">
      <c r="A3722" s="4">
        <v>44975</v>
      </c>
      <c r="B3722" t="s">
        <v>10</v>
      </c>
      <c r="C3722">
        <v>1</v>
      </c>
      <c r="F3722">
        <v>273</v>
      </c>
      <c r="J3722">
        <v>1.161</v>
      </c>
      <c r="K3722">
        <v>43.3</v>
      </c>
      <c r="L3722">
        <v>37.299999999999997</v>
      </c>
      <c r="M3722">
        <v>176</v>
      </c>
      <c r="N3722">
        <v>21</v>
      </c>
      <c r="O3722">
        <v>16</v>
      </c>
    </row>
    <row r="3723" spans="1:16" x14ac:dyDescent="0.25">
      <c r="A3723" s="4">
        <v>44975</v>
      </c>
      <c r="B3723" t="s">
        <v>9</v>
      </c>
      <c r="C3723">
        <v>1</v>
      </c>
    </row>
    <row r="3724" spans="1:16" x14ac:dyDescent="0.25">
      <c r="A3724" s="4">
        <v>44977</v>
      </c>
      <c r="B3724" t="s">
        <v>10</v>
      </c>
      <c r="C3724">
        <v>1</v>
      </c>
      <c r="F3724">
        <v>377</v>
      </c>
      <c r="J3724">
        <v>1.2809999999999999</v>
      </c>
      <c r="K3724">
        <v>47.1</v>
      </c>
      <c r="L3724">
        <v>36.799999999999997</v>
      </c>
      <c r="M3724">
        <v>258</v>
      </c>
      <c r="N3724">
        <v>35</v>
      </c>
      <c r="O3724">
        <v>8</v>
      </c>
      <c r="P3724">
        <v>1</v>
      </c>
    </row>
    <row r="3725" spans="1:16" x14ac:dyDescent="0.25">
      <c r="A3725" s="4">
        <v>44977</v>
      </c>
      <c r="B3725" t="s">
        <v>9</v>
      </c>
      <c r="C3725">
        <v>1</v>
      </c>
    </row>
    <row r="3726" spans="1:16" x14ac:dyDescent="0.25">
      <c r="A3726" s="4">
        <v>44978</v>
      </c>
      <c r="B3726" t="s">
        <v>10</v>
      </c>
      <c r="C3726">
        <v>1</v>
      </c>
      <c r="F3726">
        <v>423</v>
      </c>
      <c r="J3726">
        <v>1.347</v>
      </c>
      <c r="K3726">
        <v>49.2</v>
      </c>
      <c r="L3726">
        <v>36.5</v>
      </c>
      <c r="M3726">
        <v>315</v>
      </c>
      <c r="N3726">
        <v>30</v>
      </c>
      <c r="O3726">
        <v>10</v>
      </c>
    </row>
    <row r="3727" spans="1:16" x14ac:dyDescent="0.25">
      <c r="A3727" s="4">
        <v>44978</v>
      </c>
      <c r="B3727" t="s">
        <v>9</v>
      </c>
      <c r="C3727">
        <v>1</v>
      </c>
      <c r="F3727">
        <v>64</v>
      </c>
      <c r="J3727">
        <v>1.079</v>
      </c>
      <c r="K3727">
        <v>42.7</v>
      </c>
      <c r="L3727">
        <v>39.5</v>
      </c>
      <c r="M3727">
        <v>50</v>
      </c>
      <c r="N3727">
        <v>7</v>
      </c>
    </row>
    <row r="3728" spans="1:16" x14ac:dyDescent="0.25">
      <c r="A3728" s="4">
        <v>44979</v>
      </c>
      <c r="B3728" t="s">
        <v>10</v>
      </c>
      <c r="C3728">
        <v>1</v>
      </c>
      <c r="F3728">
        <v>301</v>
      </c>
      <c r="J3728">
        <v>1.1970000000000001</v>
      </c>
      <c r="K3728">
        <v>43.1</v>
      </c>
      <c r="L3728">
        <v>36</v>
      </c>
      <c r="M3728">
        <v>274</v>
      </c>
      <c r="N3728">
        <v>23</v>
      </c>
      <c r="O3728">
        <v>4</v>
      </c>
    </row>
    <row r="3729" spans="1:16" x14ac:dyDescent="0.25">
      <c r="A3729" s="4">
        <v>44979</v>
      </c>
      <c r="B3729" t="s">
        <v>9</v>
      </c>
      <c r="C3729">
        <v>1</v>
      </c>
      <c r="F3729">
        <v>48</v>
      </c>
      <c r="J3729">
        <v>1.119</v>
      </c>
      <c r="K3729">
        <v>43.6</v>
      </c>
      <c r="L3729">
        <v>39</v>
      </c>
      <c r="M3729">
        <v>44</v>
      </c>
      <c r="N3729">
        <v>2</v>
      </c>
    </row>
    <row r="3730" spans="1:16" x14ac:dyDescent="0.25">
      <c r="A3730" s="4">
        <v>44980</v>
      </c>
      <c r="B3730" t="s">
        <v>10</v>
      </c>
      <c r="C3730">
        <v>1</v>
      </c>
      <c r="F3730">
        <v>367</v>
      </c>
      <c r="J3730">
        <v>1.242</v>
      </c>
      <c r="K3730">
        <v>46.5</v>
      </c>
      <c r="L3730">
        <v>37.4</v>
      </c>
      <c r="M3730">
        <v>237</v>
      </c>
      <c r="N3730">
        <v>38</v>
      </c>
      <c r="O3730">
        <v>7</v>
      </c>
      <c r="P3730">
        <v>2</v>
      </c>
    </row>
    <row r="3731" spans="1:16" x14ac:dyDescent="0.25">
      <c r="A3731" s="4">
        <v>44980</v>
      </c>
      <c r="B3731" t="s">
        <v>9</v>
      </c>
      <c r="C3731">
        <v>1</v>
      </c>
      <c r="F3731">
        <v>42</v>
      </c>
      <c r="J3731">
        <v>1.0429999999999999</v>
      </c>
      <c r="K3731">
        <v>42</v>
      </c>
      <c r="L3731">
        <v>40.299999999999997</v>
      </c>
      <c r="M3731">
        <v>35</v>
      </c>
      <c r="N3731">
        <v>2</v>
      </c>
      <c r="O3731">
        <v>1</v>
      </c>
    </row>
    <row r="3732" spans="1:16" x14ac:dyDescent="0.25">
      <c r="A3732" s="4">
        <v>44981</v>
      </c>
      <c r="B3732" t="s">
        <v>10</v>
      </c>
      <c r="C3732">
        <v>1</v>
      </c>
      <c r="F3732">
        <v>366</v>
      </c>
      <c r="J3732">
        <v>1.2909999999999999</v>
      </c>
      <c r="K3732">
        <v>45.8</v>
      </c>
      <c r="L3732">
        <v>35.4</v>
      </c>
      <c r="M3732">
        <v>274</v>
      </c>
      <c r="N3732">
        <v>29</v>
      </c>
      <c r="O3732">
        <v>5</v>
      </c>
      <c r="P3732">
        <v>1</v>
      </c>
    </row>
    <row r="3733" spans="1:16" x14ac:dyDescent="0.25">
      <c r="A3733" s="4">
        <v>44981</v>
      </c>
      <c r="B3733" t="s">
        <v>9</v>
      </c>
      <c r="C3733">
        <v>1</v>
      </c>
      <c r="F3733">
        <v>57</v>
      </c>
      <c r="J3733">
        <v>1.115</v>
      </c>
      <c r="K3733">
        <v>43.9</v>
      </c>
      <c r="L3733">
        <v>39.299999999999997</v>
      </c>
      <c r="M3733">
        <v>43</v>
      </c>
      <c r="N3733">
        <v>7</v>
      </c>
    </row>
    <row r="3734" spans="1:16" x14ac:dyDescent="0.25">
      <c r="A3734" s="4">
        <v>44982</v>
      </c>
      <c r="B3734" t="s">
        <v>10</v>
      </c>
      <c r="C3734">
        <v>1</v>
      </c>
      <c r="F3734">
        <v>258</v>
      </c>
      <c r="J3734">
        <v>1.155</v>
      </c>
      <c r="K3734">
        <v>42.3</v>
      </c>
      <c r="L3734">
        <v>36.6</v>
      </c>
      <c r="M3734">
        <v>204</v>
      </c>
      <c r="N3734">
        <v>17</v>
      </c>
      <c r="O3734">
        <v>2</v>
      </c>
      <c r="P3734">
        <v>1</v>
      </c>
    </row>
    <row r="3735" spans="1:16" x14ac:dyDescent="0.25">
      <c r="A3735" s="4">
        <v>44982</v>
      </c>
      <c r="B3735" t="s">
        <v>9</v>
      </c>
      <c r="C3735">
        <v>1</v>
      </c>
      <c r="F3735">
        <v>73</v>
      </c>
      <c r="J3735">
        <v>1.0129999999999999</v>
      </c>
      <c r="K3735">
        <v>44.2</v>
      </c>
      <c r="L3735">
        <v>43.7</v>
      </c>
      <c r="M3735">
        <v>45</v>
      </c>
      <c r="N3735">
        <v>11</v>
      </c>
      <c r="O3735">
        <v>2</v>
      </c>
    </row>
    <row r="3736" spans="1:16" x14ac:dyDescent="0.25">
      <c r="A3736" s="4">
        <v>44984</v>
      </c>
      <c r="B3736" t="s">
        <v>10</v>
      </c>
      <c r="C3736">
        <v>1</v>
      </c>
      <c r="F3736">
        <v>341</v>
      </c>
      <c r="J3736">
        <v>1.236</v>
      </c>
      <c r="K3736">
        <v>48.7</v>
      </c>
      <c r="L3736">
        <v>39.4</v>
      </c>
      <c r="M3736">
        <v>206</v>
      </c>
      <c r="N3736">
        <v>34</v>
      </c>
      <c r="O3736">
        <v>12</v>
      </c>
    </row>
    <row r="3737" spans="1:16" x14ac:dyDescent="0.25">
      <c r="A3737" s="4">
        <v>44984</v>
      </c>
      <c r="B3737" t="s">
        <v>9</v>
      </c>
      <c r="C3737">
        <v>1</v>
      </c>
      <c r="F3737">
        <v>81</v>
      </c>
      <c r="J3737">
        <v>1.1200000000000001</v>
      </c>
      <c r="K3737">
        <v>42.6</v>
      </c>
      <c r="L3737">
        <v>38.1</v>
      </c>
      <c r="M3737">
        <v>76</v>
      </c>
      <c r="N3737">
        <v>1</v>
      </c>
      <c r="O3737">
        <v>1</v>
      </c>
    </row>
    <row r="3738" spans="1:16" x14ac:dyDescent="0.25">
      <c r="A3738" s="4">
        <v>44985</v>
      </c>
      <c r="B3738" t="s">
        <v>10</v>
      </c>
      <c r="C3738">
        <v>1</v>
      </c>
      <c r="F3738">
        <v>400</v>
      </c>
      <c r="J3738">
        <v>1.284</v>
      </c>
      <c r="K3738">
        <v>47.6</v>
      </c>
      <c r="L3738">
        <v>37.1</v>
      </c>
      <c r="M3738">
        <v>274</v>
      </c>
      <c r="N3738">
        <v>35</v>
      </c>
      <c r="O3738">
        <v>11</v>
      </c>
      <c r="P3738">
        <v>1</v>
      </c>
    </row>
    <row r="3739" spans="1:16" x14ac:dyDescent="0.25">
      <c r="A3739" s="4">
        <v>44985</v>
      </c>
      <c r="B3739" t="s">
        <v>9</v>
      </c>
      <c r="C3739">
        <v>1</v>
      </c>
      <c r="F3739">
        <v>76</v>
      </c>
      <c r="J3739">
        <v>1.0669999999999999</v>
      </c>
      <c r="K3739">
        <v>42.2</v>
      </c>
      <c r="L3739">
        <v>39.6</v>
      </c>
      <c r="M3739">
        <v>66</v>
      </c>
      <c r="N3739">
        <v>5</v>
      </c>
    </row>
    <row r="3740" spans="1:16" x14ac:dyDescent="0.25">
      <c r="A3740" s="4">
        <v>44986</v>
      </c>
      <c r="B3740" t="s">
        <v>10</v>
      </c>
      <c r="C3740">
        <v>1</v>
      </c>
      <c r="F3740">
        <v>377</v>
      </c>
      <c r="J3740">
        <v>1.2030000000000001</v>
      </c>
      <c r="K3740">
        <v>44.9</v>
      </c>
      <c r="L3740">
        <v>37.299999999999997</v>
      </c>
      <c r="M3740">
        <v>256</v>
      </c>
      <c r="N3740">
        <v>31</v>
      </c>
      <c r="O3740">
        <v>10</v>
      </c>
    </row>
    <row r="3741" spans="1:16" x14ac:dyDescent="0.25">
      <c r="A3741" s="4">
        <v>44986</v>
      </c>
      <c r="B3741" t="s">
        <v>9</v>
      </c>
      <c r="C3741">
        <v>1</v>
      </c>
      <c r="F3741">
        <v>71</v>
      </c>
      <c r="J3741">
        <v>1.0369999999999999</v>
      </c>
      <c r="K3741">
        <v>41.8</v>
      </c>
      <c r="L3741">
        <v>40.299999999999997</v>
      </c>
      <c r="M3741">
        <v>59</v>
      </c>
      <c r="N3741">
        <v>6</v>
      </c>
    </row>
    <row r="3742" spans="1:16" x14ac:dyDescent="0.25">
      <c r="A3742" s="4">
        <v>44987</v>
      </c>
      <c r="B3742" t="s">
        <v>10</v>
      </c>
      <c r="C3742">
        <v>1</v>
      </c>
      <c r="F3742">
        <v>392</v>
      </c>
      <c r="J3742">
        <v>1.25</v>
      </c>
      <c r="K3742">
        <v>47.8</v>
      </c>
      <c r="L3742">
        <v>38.299999999999997</v>
      </c>
      <c r="M3742">
        <v>255</v>
      </c>
      <c r="N3742">
        <v>35</v>
      </c>
      <c r="O3742">
        <v>11</v>
      </c>
      <c r="P3742">
        <v>1</v>
      </c>
    </row>
    <row r="3743" spans="1:16" x14ac:dyDescent="0.25">
      <c r="A3743" s="4">
        <v>44987</v>
      </c>
      <c r="B3743" t="s">
        <v>9</v>
      </c>
      <c r="C3743">
        <v>1</v>
      </c>
      <c r="F3743">
        <v>70</v>
      </c>
      <c r="J3743">
        <v>1.1220000000000001</v>
      </c>
      <c r="K3743">
        <v>41.2</v>
      </c>
      <c r="L3743">
        <v>36.700000000000003</v>
      </c>
      <c r="M3743">
        <v>64</v>
      </c>
      <c r="N3743">
        <v>3</v>
      </c>
    </row>
    <row r="3744" spans="1:16" x14ac:dyDescent="0.25">
      <c r="A3744" s="4">
        <v>44988</v>
      </c>
      <c r="B3744" t="s">
        <v>10</v>
      </c>
      <c r="C3744">
        <v>1</v>
      </c>
      <c r="F3744">
        <v>370</v>
      </c>
      <c r="J3744">
        <v>1.2030000000000001</v>
      </c>
      <c r="K3744">
        <v>45.1</v>
      </c>
      <c r="L3744">
        <v>37.5</v>
      </c>
      <c r="M3744">
        <v>257</v>
      </c>
      <c r="N3744">
        <v>41</v>
      </c>
      <c r="O3744">
        <v>3</v>
      </c>
    </row>
    <row r="3745" spans="1:16" x14ac:dyDescent="0.25">
      <c r="A3745" s="4">
        <v>44988</v>
      </c>
      <c r="B3745" t="s">
        <v>9</v>
      </c>
      <c r="C3745">
        <v>1</v>
      </c>
      <c r="F3745">
        <v>57</v>
      </c>
      <c r="J3745">
        <v>1.069</v>
      </c>
      <c r="K3745">
        <v>43.9</v>
      </c>
      <c r="L3745">
        <v>41</v>
      </c>
      <c r="M3745">
        <v>41</v>
      </c>
      <c r="N3745">
        <v>8</v>
      </c>
    </row>
    <row r="3746" spans="1:16" x14ac:dyDescent="0.25">
      <c r="A3746" s="4">
        <v>44989</v>
      </c>
      <c r="B3746" t="s">
        <v>10</v>
      </c>
      <c r="C3746">
        <v>1</v>
      </c>
      <c r="F3746">
        <v>321</v>
      </c>
      <c r="J3746">
        <v>1.3480000000000001</v>
      </c>
      <c r="K3746">
        <v>47.9</v>
      </c>
      <c r="L3746">
        <v>35.6</v>
      </c>
      <c r="M3746">
        <v>250</v>
      </c>
      <c r="N3746">
        <v>22</v>
      </c>
      <c r="O3746">
        <v>6</v>
      </c>
    </row>
    <row r="3747" spans="1:16" x14ac:dyDescent="0.25">
      <c r="A3747" s="4">
        <v>44989</v>
      </c>
      <c r="B3747" t="s">
        <v>9</v>
      </c>
      <c r="C3747">
        <v>1</v>
      </c>
      <c r="F3747">
        <v>39</v>
      </c>
      <c r="J3747">
        <v>1.204</v>
      </c>
      <c r="K3747">
        <v>43.3</v>
      </c>
      <c r="L3747">
        <v>36</v>
      </c>
      <c r="M3747">
        <v>33</v>
      </c>
      <c r="N3747">
        <v>1</v>
      </c>
      <c r="O3747">
        <v>1</v>
      </c>
    </row>
    <row r="3748" spans="1:16" x14ac:dyDescent="0.25">
      <c r="A3748" s="4">
        <v>44991</v>
      </c>
      <c r="B3748" t="s">
        <v>10</v>
      </c>
      <c r="C3748">
        <v>1</v>
      </c>
      <c r="F3748">
        <v>303</v>
      </c>
      <c r="J3748">
        <v>1.2809999999999999</v>
      </c>
      <c r="K3748">
        <v>47.3</v>
      </c>
      <c r="L3748">
        <v>37</v>
      </c>
      <c r="M3748">
        <v>215</v>
      </c>
      <c r="N3748">
        <v>19</v>
      </c>
      <c r="O3748">
        <v>9</v>
      </c>
    </row>
    <row r="3749" spans="1:16" x14ac:dyDescent="0.25">
      <c r="A3749" s="4">
        <v>44991</v>
      </c>
      <c r="B3749" t="s">
        <v>9</v>
      </c>
      <c r="C3749">
        <v>1</v>
      </c>
      <c r="F3749">
        <v>39</v>
      </c>
      <c r="J3749">
        <v>1.002</v>
      </c>
      <c r="K3749">
        <v>43.3</v>
      </c>
      <c r="L3749">
        <v>43.2</v>
      </c>
      <c r="M3749">
        <v>27</v>
      </c>
      <c r="N3749">
        <v>3</v>
      </c>
      <c r="O3749">
        <v>2</v>
      </c>
    </row>
    <row r="3750" spans="1:16" x14ac:dyDescent="0.25">
      <c r="A3750" s="4">
        <v>44992</v>
      </c>
      <c r="B3750" t="s">
        <v>10</v>
      </c>
      <c r="C3750">
        <v>1</v>
      </c>
      <c r="F3750">
        <v>424</v>
      </c>
      <c r="J3750">
        <v>1.3280000000000001</v>
      </c>
      <c r="K3750">
        <v>49.9</v>
      </c>
      <c r="L3750">
        <v>37.6</v>
      </c>
      <c r="M3750">
        <v>281</v>
      </c>
      <c r="N3750">
        <v>37</v>
      </c>
      <c r="O3750">
        <v>10</v>
      </c>
      <c r="P3750">
        <v>2</v>
      </c>
    </row>
    <row r="3751" spans="1:16" x14ac:dyDescent="0.25">
      <c r="A3751" s="4">
        <v>44992</v>
      </c>
      <c r="B3751" t="s">
        <v>9</v>
      </c>
      <c r="C3751">
        <v>1</v>
      </c>
      <c r="F3751">
        <v>49</v>
      </c>
      <c r="J3751">
        <v>1.155</v>
      </c>
      <c r="K3751">
        <v>44.6</v>
      </c>
      <c r="L3751">
        <v>38.6</v>
      </c>
      <c r="M3751">
        <v>45</v>
      </c>
      <c r="N3751">
        <v>2</v>
      </c>
    </row>
    <row r="3752" spans="1:16" x14ac:dyDescent="0.25">
      <c r="A3752" s="4">
        <v>44993</v>
      </c>
      <c r="B3752" t="s">
        <v>10</v>
      </c>
      <c r="C3752">
        <v>1</v>
      </c>
      <c r="F3752">
        <v>415</v>
      </c>
      <c r="J3752">
        <v>1.3009999999999999</v>
      </c>
      <c r="K3752">
        <v>48.3</v>
      </c>
      <c r="L3752">
        <v>37.1</v>
      </c>
      <c r="M3752">
        <v>276</v>
      </c>
      <c r="N3752">
        <v>41</v>
      </c>
      <c r="O3752">
        <v>9</v>
      </c>
      <c r="P3752">
        <v>1</v>
      </c>
    </row>
    <row r="3753" spans="1:16" x14ac:dyDescent="0.25">
      <c r="A3753" s="4">
        <v>44993</v>
      </c>
      <c r="B3753" t="s">
        <v>9</v>
      </c>
      <c r="C3753">
        <v>1</v>
      </c>
      <c r="F3753">
        <v>75</v>
      </c>
      <c r="J3753">
        <v>1.077</v>
      </c>
      <c r="K3753">
        <v>41.7</v>
      </c>
      <c r="L3753">
        <v>38.700000000000003</v>
      </c>
      <c r="M3753">
        <v>62</v>
      </c>
      <c r="N3753">
        <v>5</v>
      </c>
      <c r="O3753">
        <v>1</v>
      </c>
    </row>
    <row r="3754" spans="1:16" x14ac:dyDescent="0.25">
      <c r="A3754" s="4">
        <v>44994</v>
      </c>
      <c r="B3754" t="s">
        <v>10</v>
      </c>
      <c r="C3754">
        <v>1</v>
      </c>
      <c r="F3754">
        <v>390</v>
      </c>
      <c r="J3754">
        <v>1.256</v>
      </c>
      <c r="K3754">
        <v>47</v>
      </c>
      <c r="L3754">
        <v>37.4</v>
      </c>
      <c r="M3754">
        <v>283</v>
      </c>
      <c r="N3754">
        <v>30</v>
      </c>
      <c r="O3754">
        <v>6</v>
      </c>
      <c r="P3754">
        <v>1</v>
      </c>
    </row>
    <row r="3755" spans="1:16" x14ac:dyDescent="0.25">
      <c r="A3755" s="4">
        <v>44994</v>
      </c>
      <c r="B3755" t="s">
        <v>9</v>
      </c>
      <c r="C3755">
        <v>1</v>
      </c>
      <c r="F3755">
        <v>67</v>
      </c>
      <c r="J3755">
        <v>1.1100000000000001</v>
      </c>
      <c r="K3755">
        <v>41.9</v>
      </c>
      <c r="L3755">
        <v>37.700000000000003</v>
      </c>
      <c r="M3755">
        <v>61</v>
      </c>
      <c r="N3755">
        <v>3</v>
      </c>
    </row>
    <row r="3756" spans="1:16" x14ac:dyDescent="0.25">
      <c r="A3756" s="4">
        <v>44995</v>
      </c>
      <c r="B3756" t="s">
        <v>10</v>
      </c>
      <c r="C3756">
        <v>1</v>
      </c>
      <c r="F3756">
        <v>405</v>
      </c>
      <c r="J3756">
        <v>1.31</v>
      </c>
      <c r="K3756">
        <v>47.1</v>
      </c>
      <c r="L3756">
        <v>36</v>
      </c>
      <c r="M3756">
        <v>306</v>
      </c>
      <c r="N3756">
        <v>33</v>
      </c>
      <c r="O3756">
        <v>4</v>
      </c>
    </row>
    <row r="3757" spans="1:16" x14ac:dyDescent="0.25">
      <c r="A3757" s="4">
        <v>44995</v>
      </c>
      <c r="B3757" t="s">
        <v>9</v>
      </c>
      <c r="C3757">
        <v>1</v>
      </c>
      <c r="F3757">
        <v>100</v>
      </c>
      <c r="J3757">
        <v>1.2050000000000001</v>
      </c>
      <c r="K3757">
        <v>45.5</v>
      </c>
      <c r="L3757">
        <v>37.700000000000003</v>
      </c>
      <c r="M3757">
        <v>82</v>
      </c>
      <c r="N3757">
        <v>9</v>
      </c>
    </row>
    <row r="3758" spans="1:16" x14ac:dyDescent="0.25">
      <c r="A3758" s="4">
        <v>44996</v>
      </c>
      <c r="B3758" t="s">
        <v>10</v>
      </c>
      <c r="C3758">
        <v>1</v>
      </c>
      <c r="F3758">
        <v>315</v>
      </c>
      <c r="J3758">
        <v>1.194</v>
      </c>
      <c r="K3758">
        <v>45</v>
      </c>
      <c r="L3758">
        <v>37.700000000000003</v>
      </c>
      <c r="M3758">
        <v>282</v>
      </c>
      <c r="N3758">
        <v>8</v>
      </c>
      <c r="O3758">
        <v>1</v>
      </c>
    </row>
    <row r="3759" spans="1:16" x14ac:dyDescent="0.25">
      <c r="A3759" s="4">
        <v>44996</v>
      </c>
      <c r="B3759" t="s">
        <v>9</v>
      </c>
      <c r="C3759">
        <v>1</v>
      </c>
      <c r="F3759">
        <v>80</v>
      </c>
      <c r="J3759">
        <v>1.206</v>
      </c>
      <c r="K3759">
        <v>44.4</v>
      </c>
      <c r="L3759">
        <v>36.799999999999997</v>
      </c>
      <c r="M3759">
        <v>74</v>
      </c>
      <c r="N3759">
        <v>3</v>
      </c>
    </row>
    <row r="3760" spans="1:16" x14ac:dyDescent="0.25">
      <c r="A3760" s="4">
        <v>44998</v>
      </c>
      <c r="B3760" t="s">
        <v>10</v>
      </c>
      <c r="C3760">
        <v>1</v>
      </c>
      <c r="F3760">
        <v>400</v>
      </c>
      <c r="J3760">
        <v>1.2549999999999999</v>
      </c>
      <c r="K3760">
        <v>46.5</v>
      </c>
      <c r="L3760">
        <v>37.1</v>
      </c>
      <c r="M3760">
        <v>301</v>
      </c>
      <c r="N3760">
        <v>28</v>
      </c>
      <c r="O3760">
        <v>9</v>
      </c>
    </row>
    <row r="3761" spans="1:16" x14ac:dyDescent="0.25">
      <c r="A3761" s="4">
        <v>44998</v>
      </c>
      <c r="B3761" t="s">
        <v>9</v>
      </c>
      <c r="C3761">
        <v>1</v>
      </c>
      <c r="F3761">
        <v>76</v>
      </c>
      <c r="J3761">
        <v>1.111</v>
      </c>
      <c r="K3761">
        <v>42.2</v>
      </c>
      <c r="L3761">
        <v>38</v>
      </c>
      <c r="M3761">
        <v>66</v>
      </c>
      <c r="N3761">
        <v>5</v>
      </c>
    </row>
    <row r="3762" spans="1:16" x14ac:dyDescent="0.25">
      <c r="A3762" s="4">
        <v>44999</v>
      </c>
      <c r="B3762" t="s">
        <v>10</v>
      </c>
      <c r="C3762">
        <v>1</v>
      </c>
      <c r="F3762">
        <v>434</v>
      </c>
      <c r="J3762">
        <v>1.2669999999999999</v>
      </c>
      <c r="K3762">
        <v>51.1</v>
      </c>
      <c r="L3762">
        <v>40.299999999999997</v>
      </c>
      <c r="M3762">
        <v>239</v>
      </c>
      <c r="N3762">
        <v>45</v>
      </c>
      <c r="O3762">
        <v>21</v>
      </c>
      <c r="P3762">
        <v>2</v>
      </c>
    </row>
    <row r="3763" spans="1:16" x14ac:dyDescent="0.25">
      <c r="A3763" s="4">
        <v>44999</v>
      </c>
      <c r="B3763" t="s">
        <v>9</v>
      </c>
      <c r="C3763">
        <v>1</v>
      </c>
      <c r="F3763">
        <v>64</v>
      </c>
      <c r="J3763">
        <v>1.0640000000000001</v>
      </c>
      <c r="K3763">
        <v>42.7</v>
      </c>
      <c r="L3763">
        <v>40.1</v>
      </c>
      <c r="M3763">
        <v>52</v>
      </c>
      <c r="N3763">
        <v>6</v>
      </c>
    </row>
    <row r="3764" spans="1:16" x14ac:dyDescent="0.25">
      <c r="A3764" s="4">
        <v>45000</v>
      </c>
      <c r="B3764" t="s">
        <v>10</v>
      </c>
      <c r="C3764">
        <v>1</v>
      </c>
      <c r="F3764">
        <v>433</v>
      </c>
      <c r="J3764">
        <v>1.4019999999999999</v>
      </c>
      <c r="K3764">
        <v>49.8</v>
      </c>
      <c r="L3764">
        <v>35.5</v>
      </c>
      <c r="M3764">
        <v>304</v>
      </c>
      <c r="N3764">
        <v>40</v>
      </c>
      <c r="O3764">
        <v>7</v>
      </c>
      <c r="P3764">
        <v>2</v>
      </c>
    </row>
    <row r="3765" spans="1:16" x14ac:dyDescent="0.25">
      <c r="A3765" s="4">
        <v>45000</v>
      </c>
      <c r="B3765" t="s">
        <v>9</v>
      </c>
      <c r="C3765">
        <v>1</v>
      </c>
      <c r="F3765">
        <v>78</v>
      </c>
      <c r="J3765">
        <v>1.103</v>
      </c>
      <c r="K3765">
        <v>43.3</v>
      </c>
      <c r="L3765">
        <v>39.299999999999997</v>
      </c>
      <c r="M3765">
        <v>58</v>
      </c>
      <c r="N3765">
        <v>7</v>
      </c>
      <c r="O3765">
        <v>2</v>
      </c>
    </row>
    <row r="3766" spans="1:16" x14ac:dyDescent="0.25">
      <c r="A3766" s="4">
        <v>45001</v>
      </c>
      <c r="B3766" t="s">
        <v>10</v>
      </c>
      <c r="C3766">
        <v>1</v>
      </c>
      <c r="F3766">
        <v>429</v>
      </c>
      <c r="J3766">
        <v>1.3280000000000001</v>
      </c>
      <c r="K3766">
        <v>49.9</v>
      </c>
      <c r="L3766">
        <v>37.6</v>
      </c>
      <c r="M3766">
        <v>294</v>
      </c>
      <c r="N3766">
        <v>35</v>
      </c>
      <c r="O3766">
        <v>11</v>
      </c>
      <c r="P3766">
        <v>2</v>
      </c>
    </row>
    <row r="3767" spans="1:16" x14ac:dyDescent="0.25">
      <c r="A3767" s="4">
        <v>45001</v>
      </c>
      <c r="B3767" t="s">
        <v>9</v>
      </c>
      <c r="C3767">
        <v>1</v>
      </c>
      <c r="F3767">
        <v>92</v>
      </c>
      <c r="J3767">
        <v>1.024</v>
      </c>
      <c r="K3767">
        <v>43.8</v>
      </c>
      <c r="L3767">
        <v>42.8</v>
      </c>
      <c r="M3767">
        <v>56</v>
      </c>
      <c r="N3767">
        <v>13</v>
      </c>
      <c r="P3767">
        <v>1</v>
      </c>
    </row>
    <row r="3768" spans="1:16" x14ac:dyDescent="0.25">
      <c r="A3768" s="4">
        <v>45002</v>
      </c>
      <c r="B3768" t="s">
        <v>10</v>
      </c>
      <c r="C3768">
        <v>1</v>
      </c>
      <c r="F3768">
        <v>466</v>
      </c>
      <c r="J3768">
        <v>1.3759999999999999</v>
      </c>
      <c r="K3768">
        <v>51.8</v>
      </c>
      <c r="L3768">
        <v>37.6</v>
      </c>
      <c r="M3768">
        <v>327</v>
      </c>
      <c r="N3768">
        <v>41</v>
      </c>
      <c r="O3768">
        <v>10</v>
      </c>
      <c r="P3768">
        <v>1</v>
      </c>
    </row>
    <row r="3769" spans="1:16" x14ac:dyDescent="0.25">
      <c r="A3769" s="4">
        <v>45002</v>
      </c>
      <c r="B3769" t="s">
        <v>9</v>
      </c>
      <c r="C3769">
        <v>1</v>
      </c>
      <c r="F3769">
        <v>61</v>
      </c>
      <c r="J3769">
        <v>1.1040000000000001</v>
      </c>
      <c r="K3769">
        <v>43.3</v>
      </c>
      <c r="L3769">
        <v>39.200000000000003</v>
      </c>
      <c r="M3769">
        <v>47</v>
      </c>
      <c r="N3769">
        <v>7</v>
      </c>
    </row>
    <row r="3770" spans="1:16" x14ac:dyDescent="0.25">
      <c r="A3770" s="4">
        <v>45003</v>
      </c>
      <c r="B3770" t="s">
        <v>10</v>
      </c>
      <c r="C3770">
        <v>1</v>
      </c>
      <c r="F3770">
        <v>227</v>
      </c>
      <c r="J3770">
        <v>1.1439999999999999</v>
      </c>
      <c r="K3770">
        <v>44.5</v>
      </c>
      <c r="L3770">
        <v>38.9</v>
      </c>
      <c r="M3770">
        <v>178</v>
      </c>
      <c r="N3770">
        <v>19</v>
      </c>
      <c r="O3770">
        <v>3</v>
      </c>
    </row>
    <row r="3771" spans="1:16" x14ac:dyDescent="0.25">
      <c r="A3771" s="4">
        <v>45003</v>
      </c>
      <c r="B3771" t="s">
        <v>9</v>
      </c>
      <c r="C3771">
        <v>1</v>
      </c>
      <c r="F3771">
        <v>114</v>
      </c>
      <c r="J3771">
        <v>1.103</v>
      </c>
      <c r="K3771">
        <v>43.9</v>
      </c>
      <c r="L3771">
        <v>39.799999999999997</v>
      </c>
      <c r="M3771">
        <v>100</v>
      </c>
      <c r="N3771">
        <v>7</v>
      </c>
    </row>
    <row r="3772" spans="1:16" x14ac:dyDescent="0.25">
      <c r="A3772" s="4">
        <v>45005</v>
      </c>
      <c r="B3772" t="s">
        <v>10</v>
      </c>
      <c r="C3772">
        <v>1</v>
      </c>
      <c r="F3772">
        <v>429</v>
      </c>
      <c r="J3772">
        <v>1.3080000000000001</v>
      </c>
      <c r="K3772">
        <v>49.3</v>
      </c>
      <c r="L3772">
        <v>37.700000000000003</v>
      </c>
      <c r="M3772">
        <v>295</v>
      </c>
      <c r="N3772">
        <v>35</v>
      </c>
      <c r="O3772">
        <v>11</v>
      </c>
      <c r="P3772">
        <v>2</v>
      </c>
    </row>
    <row r="3773" spans="1:16" x14ac:dyDescent="0.25">
      <c r="A3773" s="4">
        <v>45005</v>
      </c>
      <c r="B3773" t="s">
        <v>9</v>
      </c>
      <c r="C3773">
        <v>1</v>
      </c>
      <c r="F3773">
        <v>108</v>
      </c>
      <c r="J3773">
        <v>1.087</v>
      </c>
      <c r="K3773">
        <v>43.2</v>
      </c>
      <c r="L3773">
        <v>39.700000000000003</v>
      </c>
      <c r="M3773">
        <v>90</v>
      </c>
      <c r="N3773">
        <v>6</v>
      </c>
      <c r="O3773">
        <v>2</v>
      </c>
    </row>
    <row r="3774" spans="1:16" x14ac:dyDescent="0.25">
      <c r="A3774" s="4">
        <v>45006</v>
      </c>
      <c r="B3774" t="s">
        <v>10</v>
      </c>
      <c r="C3774">
        <v>1</v>
      </c>
      <c r="F3774">
        <v>391</v>
      </c>
      <c r="J3774">
        <v>1.2090000000000001</v>
      </c>
      <c r="K3774">
        <v>46</v>
      </c>
      <c r="L3774">
        <v>38.1</v>
      </c>
      <c r="M3774">
        <v>243</v>
      </c>
      <c r="N3774">
        <v>38</v>
      </c>
      <c r="O3774">
        <v>15</v>
      </c>
      <c r="P3774">
        <v>2</v>
      </c>
    </row>
    <row r="3775" spans="1:16" x14ac:dyDescent="0.25">
      <c r="A3775" s="4">
        <v>45006</v>
      </c>
      <c r="B3775" t="s">
        <v>9</v>
      </c>
      <c r="C3775">
        <v>1</v>
      </c>
      <c r="F3775">
        <v>44</v>
      </c>
      <c r="J3775">
        <v>1.143</v>
      </c>
      <c r="K3775">
        <v>41.5</v>
      </c>
      <c r="L3775">
        <v>36.299999999999997</v>
      </c>
      <c r="M3775">
        <v>37</v>
      </c>
      <c r="N3775">
        <v>2</v>
      </c>
      <c r="O3775">
        <v>1</v>
      </c>
    </row>
    <row r="3776" spans="1:16" x14ac:dyDescent="0.25">
      <c r="A3776" s="4">
        <v>45007</v>
      </c>
      <c r="B3776" t="s">
        <v>10</v>
      </c>
      <c r="C3776">
        <v>1</v>
      </c>
      <c r="F3776">
        <v>322</v>
      </c>
      <c r="J3776">
        <v>1.073</v>
      </c>
      <c r="K3776">
        <v>44.7</v>
      </c>
      <c r="L3776">
        <v>41.7</v>
      </c>
      <c r="M3776">
        <v>158</v>
      </c>
      <c r="N3776">
        <v>32</v>
      </c>
      <c r="O3776">
        <v>22</v>
      </c>
      <c r="P3776">
        <v>2</v>
      </c>
    </row>
    <row r="3777" spans="1:16" x14ac:dyDescent="0.25">
      <c r="A3777" s="4">
        <v>45007</v>
      </c>
      <c r="B3777" t="s">
        <v>9</v>
      </c>
      <c r="C3777">
        <v>1</v>
      </c>
      <c r="F3777">
        <v>197</v>
      </c>
      <c r="J3777">
        <v>1.165</v>
      </c>
      <c r="K3777">
        <v>42.8</v>
      </c>
      <c r="L3777">
        <v>36.799999999999997</v>
      </c>
      <c r="M3777">
        <v>154</v>
      </c>
      <c r="N3777">
        <v>15</v>
      </c>
      <c r="O3777">
        <v>4</v>
      </c>
    </row>
    <row r="3778" spans="1:16" x14ac:dyDescent="0.25">
      <c r="A3778" s="4">
        <v>45008</v>
      </c>
      <c r="B3778" t="s">
        <v>10</v>
      </c>
      <c r="C3778">
        <v>1</v>
      </c>
      <c r="F3778">
        <v>335</v>
      </c>
      <c r="J3778">
        <v>1.274</v>
      </c>
      <c r="K3778">
        <v>45.9</v>
      </c>
      <c r="L3778">
        <v>36</v>
      </c>
      <c r="M3778">
        <v>252</v>
      </c>
      <c r="N3778">
        <v>22</v>
      </c>
      <c r="O3778">
        <v>5</v>
      </c>
      <c r="P3778">
        <v>2</v>
      </c>
    </row>
    <row r="3779" spans="1:16" x14ac:dyDescent="0.25">
      <c r="A3779" s="4">
        <v>45008</v>
      </c>
      <c r="B3779" t="s">
        <v>9</v>
      </c>
      <c r="C3779">
        <v>1</v>
      </c>
      <c r="F3779">
        <v>130</v>
      </c>
      <c r="J3779">
        <v>1.169</v>
      </c>
      <c r="K3779">
        <v>43.3</v>
      </c>
      <c r="L3779">
        <v>37.1</v>
      </c>
      <c r="M3779">
        <v>104</v>
      </c>
      <c r="N3779">
        <v>8</v>
      </c>
      <c r="O3779">
        <v>1</v>
      </c>
      <c r="P3779">
        <v>1</v>
      </c>
    </row>
    <row r="3780" spans="1:16" x14ac:dyDescent="0.25">
      <c r="A3780" s="4">
        <v>45009</v>
      </c>
      <c r="B3780" t="s">
        <v>10</v>
      </c>
      <c r="C3780">
        <v>1</v>
      </c>
      <c r="F3780">
        <v>284</v>
      </c>
      <c r="J3780">
        <v>1.2110000000000001</v>
      </c>
      <c r="K3780">
        <v>44.4</v>
      </c>
      <c r="L3780">
        <v>36.6</v>
      </c>
      <c r="M3780">
        <v>206</v>
      </c>
      <c r="N3780">
        <v>22</v>
      </c>
      <c r="O3780">
        <v>8</v>
      </c>
      <c r="P3780">
        <v>1</v>
      </c>
    </row>
    <row r="3781" spans="1:16" x14ac:dyDescent="0.25">
      <c r="A3781" s="4">
        <v>45009</v>
      </c>
      <c r="B3781" t="s">
        <v>9</v>
      </c>
      <c r="C3781">
        <v>1</v>
      </c>
      <c r="F3781">
        <v>159</v>
      </c>
      <c r="J3781">
        <v>1.163</v>
      </c>
      <c r="K3781">
        <v>43</v>
      </c>
      <c r="L3781">
        <v>37</v>
      </c>
      <c r="M3781">
        <v>115</v>
      </c>
      <c r="N3781">
        <v>15</v>
      </c>
      <c r="O3781">
        <v>4</v>
      </c>
    </row>
    <row r="3782" spans="1:16" x14ac:dyDescent="0.25">
      <c r="A3782" s="4">
        <v>45010</v>
      </c>
      <c r="B3782" t="s">
        <v>10</v>
      </c>
      <c r="C3782">
        <v>1</v>
      </c>
      <c r="F3782">
        <v>162</v>
      </c>
      <c r="J3782">
        <v>1.2170000000000001</v>
      </c>
      <c r="K3782">
        <v>45.5</v>
      </c>
      <c r="L3782">
        <v>37.4</v>
      </c>
      <c r="M3782">
        <v>143</v>
      </c>
      <c r="N3782">
        <v>18</v>
      </c>
      <c r="O3782">
        <v>1</v>
      </c>
    </row>
    <row r="3783" spans="1:16" x14ac:dyDescent="0.25">
      <c r="A3783" s="4">
        <v>45010</v>
      </c>
      <c r="B3783" t="s">
        <v>9</v>
      </c>
      <c r="C3783">
        <v>1</v>
      </c>
      <c r="F3783">
        <v>119</v>
      </c>
      <c r="J3783">
        <v>1.1020000000000001</v>
      </c>
      <c r="K3783">
        <v>41</v>
      </c>
      <c r="L3783">
        <v>37.299999999999997</v>
      </c>
      <c r="M3783">
        <v>99</v>
      </c>
      <c r="N3783">
        <v>10</v>
      </c>
    </row>
    <row r="3784" spans="1:16" x14ac:dyDescent="0.25">
      <c r="A3784" s="4">
        <v>45012</v>
      </c>
      <c r="B3784" t="s">
        <v>10</v>
      </c>
      <c r="C3784">
        <v>1</v>
      </c>
      <c r="F3784">
        <v>305</v>
      </c>
      <c r="J3784">
        <v>1.2490000000000001</v>
      </c>
      <c r="K3784">
        <v>45.5</v>
      </c>
      <c r="L3784">
        <v>36.4</v>
      </c>
      <c r="M3784">
        <v>224</v>
      </c>
      <c r="N3784">
        <v>24</v>
      </c>
      <c r="O3784">
        <v>5</v>
      </c>
    </row>
    <row r="3785" spans="1:16" x14ac:dyDescent="0.25">
      <c r="A3785" s="4">
        <v>45012</v>
      </c>
      <c r="B3785" t="s">
        <v>9</v>
      </c>
      <c r="C3785">
        <v>1</v>
      </c>
      <c r="F3785">
        <v>110</v>
      </c>
      <c r="J3785">
        <v>1.141</v>
      </c>
      <c r="K3785">
        <v>43.1</v>
      </c>
      <c r="L3785">
        <v>37.799999999999997</v>
      </c>
      <c r="M3785">
        <v>88</v>
      </c>
      <c r="N3785">
        <v>7</v>
      </c>
      <c r="O3785">
        <v>2</v>
      </c>
    </row>
    <row r="3786" spans="1:16" x14ac:dyDescent="0.25">
      <c r="A3786" s="4">
        <v>45013</v>
      </c>
      <c r="B3786" t="s">
        <v>10</v>
      </c>
      <c r="C3786">
        <v>1</v>
      </c>
      <c r="F3786">
        <v>338</v>
      </c>
      <c r="J3786">
        <v>1.327</v>
      </c>
      <c r="K3786">
        <v>49</v>
      </c>
      <c r="L3786">
        <v>36.9</v>
      </c>
      <c r="M3786">
        <v>239</v>
      </c>
      <c r="N3786">
        <v>31</v>
      </c>
      <c r="O3786">
        <v>8</v>
      </c>
    </row>
    <row r="3787" spans="1:16" x14ac:dyDescent="0.25">
      <c r="A3787" s="4">
        <v>45013</v>
      </c>
      <c r="B3787" t="s">
        <v>9</v>
      </c>
      <c r="C3787">
        <v>1</v>
      </c>
      <c r="F3787">
        <v>113</v>
      </c>
      <c r="J3787">
        <v>1.159</v>
      </c>
      <c r="K3787">
        <v>43.5</v>
      </c>
      <c r="L3787">
        <v>37.5</v>
      </c>
      <c r="M3787">
        <v>87</v>
      </c>
      <c r="N3787">
        <v>9</v>
      </c>
      <c r="O3787">
        <v>2</v>
      </c>
    </row>
    <row r="3788" spans="1:16" x14ac:dyDescent="0.25">
      <c r="A3788" s="4">
        <v>45014</v>
      </c>
      <c r="B3788" t="s">
        <v>10</v>
      </c>
      <c r="C3788">
        <v>1</v>
      </c>
      <c r="F3788">
        <v>301</v>
      </c>
      <c r="J3788">
        <v>1.2270000000000001</v>
      </c>
      <c r="K3788">
        <v>47.8</v>
      </c>
      <c r="L3788">
        <v>38.9</v>
      </c>
      <c r="M3788">
        <v>177</v>
      </c>
      <c r="N3788">
        <v>29</v>
      </c>
      <c r="O3788">
        <v>12</v>
      </c>
      <c r="P3788">
        <v>1</v>
      </c>
    </row>
    <row r="3789" spans="1:16" x14ac:dyDescent="0.25">
      <c r="A3789" s="4">
        <v>45014</v>
      </c>
      <c r="B3789" t="s">
        <v>9</v>
      </c>
      <c r="C3789">
        <v>1</v>
      </c>
      <c r="F3789">
        <v>125</v>
      </c>
      <c r="J3789">
        <v>1.206</v>
      </c>
      <c r="K3789">
        <v>43.1</v>
      </c>
      <c r="L3789">
        <v>35.700000000000003</v>
      </c>
      <c r="M3789">
        <v>105</v>
      </c>
      <c r="N3789">
        <v>8</v>
      </c>
      <c r="O3789">
        <v>1</v>
      </c>
    </row>
    <row r="3790" spans="1:16" x14ac:dyDescent="0.25">
      <c r="A3790" s="4">
        <v>45015</v>
      </c>
      <c r="B3790" t="s">
        <v>10</v>
      </c>
      <c r="C3790">
        <v>1</v>
      </c>
      <c r="F3790">
        <v>398</v>
      </c>
      <c r="J3790">
        <v>1.2629999999999999</v>
      </c>
      <c r="K3790">
        <v>47.4</v>
      </c>
      <c r="L3790">
        <v>37.5</v>
      </c>
      <c r="M3790">
        <v>250</v>
      </c>
      <c r="N3790">
        <v>40</v>
      </c>
      <c r="O3790">
        <v>13</v>
      </c>
      <c r="P3790">
        <v>1</v>
      </c>
    </row>
    <row r="3791" spans="1:16" x14ac:dyDescent="0.25">
      <c r="A3791" s="4">
        <v>45015</v>
      </c>
      <c r="B3791" t="s">
        <v>9</v>
      </c>
      <c r="C3791">
        <v>1</v>
      </c>
      <c r="F3791">
        <v>170</v>
      </c>
      <c r="J3791">
        <v>1.123</v>
      </c>
      <c r="K3791">
        <v>43.6</v>
      </c>
      <c r="L3791">
        <v>38.799999999999997</v>
      </c>
      <c r="M3791">
        <v>128</v>
      </c>
      <c r="N3791">
        <v>13</v>
      </c>
      <c r="O3791">
        <v>2</v>
      </c>
      <c r="P3791">
        <v>1</v>
      </c>
    </row>
    <row r="3792" spans="1:16" x14ac:dyDescent="0.25">
      <c r="A3792" s="4">
        <v>45016</v>
      </c>
      <c r="B3792" t="s">
        <v>10</v>
      </c>
      <c r="C3792">
        <v>1</v>
      </c>
      <c r="F3792">
        <v>411</v>
      </c>
      <c r="J3792">
        <v>1.3480000000000001</v>
      </c>
      <c r="K3792">
        <v>48.4</v>
      </c>
      <c r="L3792">
        <v>35.9</v>
      </c>
      <c r="M3792">
        <v>312</v>
      </c>
      <c r="N3792">
        <v>24</v>
      </c>
      <c r="O3792">
        <v>11</v>
      </c>
    </row>
    <row r="3793" spans="1:16" x14ac:dyDescent="0.25">
      <c r="A3793" s="4">
        <v>45016</v>
      </c>
      <c r="B3793" t="s">
        <v>9</v>
      </c>
      <c r="C3793">
        <v>1</v>
      </c>
      <c r="F3793">
        <v>153</v>
      </c>
      <c r="J3793">
        <v>1.198</v>
      </c>
      <c r="K3793">
        <v>42.5</v>
      </c>
      <c r="L3793">
        <v>35.5</v>
      </c>
      <c r="M3793">
        <v>129</v>
      </c>
      <c r="N3793">
        <v>9</v>
      </c>
      <c r="O3793">
        <v>1</v>
      </c>
    </row>
    <row r="3794" spans="1:16" x14ac:dyDescent="0.25">
      <c r="A3794" s="4">
        <v>45017</v>
      </c>
      <c r="B3794" t="s">
        <v>10</v>
      </c>
      <c r="C3794">
        <v>1</v>
      </c>
      <c r="F3794">
        <v>203</v>
      </c>
      <c r="J3794">
        <v>1.2470000000000001</v>
      </c>
      <c r="K3794">
        <v>44.1</v>
      </c>
      <c r="L3794">
        <v>35.4</v>
      </c>
      <c r="M3794">
        <v>175</v>
      </c>
      <c r="N3794">
        <v>10</v>
      </c>
      <c r="O3794">
        <v>1</v>
      </c>
    </row>
    <row r="3795" spans="1:16" x14ac:dyDescent="0.25">
      <c r="A3795" s="4">
        <v>45017</v>
      </c>
      <c r="B3795" t="s">
        <v>9</v>
      </c>
      <c r="C3795">
        <v>1</v>
      </c>
      <c r="F3795">
        <v>122</v>
      </c>
      <c r="J3795">
        <v>1.246</v>
      </c>
      <c r="K3795">
        <v>43.6</v>
      </c>
      <c r="L3795">
        <v>35</v>
      </c>
      <c r="M3795">
        <v>115</v>
      </c>
      <c r="N3795">
        <v>3</v>
      </c>
    </row>
    <row r="3796" spans="1:16" x14ac:dyDescent="0.25">
      <c r="A3796" s="4">
        <v>45019</v>
      </c>
      <c r="B3796" t="s">
        <v>10</v>
      </c>
      <c r="C3796">
        <v>1</v>
      </c>
      <c r="F3796">
        <v>286</v>
      </c>
      <c r="J3796">
        <v>1.0237113402061857</v>
      </c>
      <c r="K3796">
        <v>39.72</v>
      </c>
      <c r="L3796">
        <v>38.799999999999997</v>
      </c>
      <c r="M3796">
        <v>202</v>
      </c>
      <c r="N3796">
        <v>22</v>
      </c>
      <c r="O3796">
        <v>5</v>
      </c>
      <c r="P3796">
        <v>2</v>
      </c>
    </row>
    <row r="3797" spans="1:16" x14ac:dyDescent="0.25">
      <c r="A3797" s="4">
        <v>45019</v>
      </c>
      <c r="B3797" t="s">
        <v>9</v>
      </c>
      <c r="C3797">
        <v>1</v>
      </c>
      <c r="F3797">
        <v>24</v>
      </c>
      <c r="J3797">
        <v>0.24863387978142074</v>
      </c>
      <c r="K3797">
        <v>9.1</v>
      </c>
      <c r="L3797">
        <v>36.6</v>
      </c>
      <c r="M3797">
        <v>22</v>
      </c>
      <c r="N3797">
        <v>1</v>
      </c>
    </row>
    <row r="3798" spans="1:16" x14ac:dyDescent="0.25">
      <c r="A3798" s="4">
        <v>45020</v>
      </c>
      <c r="B3798" t="s">
        <v>10</v>
      </c>
      <c r="C3798">
        <v>1</v>
      </c>
      <c r="F3798">
        <v>394</v>
      </c>
      <c r="J3798">
        <v>1.1902173913043479</v>
      </c>
      <c r="K3798">
        <v>43.8</v>
      </c>
      <c r="L3798">
        <v>36.799999999999997</v>
      </c>
      <c r="M3798">
        <v>277</v>
      </c>
      <c r="N3798">
        <v>24</v>
      </c>
      <c r="O3798">
        <v>13</v>
      </c>
      <c r="P3798">
        <v>2</v>
      </c>
    </row>
    <row r="3799" spans="1:16" x14ac:dyDescent="0.25">
      <c r="A3799" s="4">
        <v>45020</v>
      </c>
      <c r="B3799" t="s">
        <v>9</v>
      </c>
      <c r="C3799">
        <v>1</v>
      </c>
      <c r="F3799">
        <v>118</v>
      </c>
      <c r="J3799">
        <v>0.36694677871148457</v>
      </c>
      <c r="K3799">
        <v>13.1</v>
      </c>
      <c r="L3799">
        <v>35.700000000000003</v>
      </c>
      <c r="M3799">
        <v>99</v>
      </c>
      <c r="N3799">
        <v>8</v>
      </c>
      <c r="O3799">
        <v>1</v>
      </c>
    </row>
    <row r="3800" spans="1:16" x14ac:dyDescent="0.25">
      <c r="A3800" s="4">
        <v>45021</v>
      </c>
      <c r="B3800" t="s">
        <v>10</v>
      </c>
      <c r="C3800">
        <v>1</v>
      </c>
      <c r="F3800">
        <v>409</v>
      </c>
      <c r="J3800">
        <v>1.2657381615598886</v>
      </c>
      <c r="K3800">
        <v>45.44</v>
      </c>
      <c r="L3800">
        <v>35.9</v>
      </c>
      <c r="M3800">
        <v>298</v>
      </c>
      <c r="N3800">
        <v>34</v>
      </c>
      <c r="O3800">
        <v>4</v>
      </c>
      <c r="P3800">
        <v>3</v>
      </c>
    </row>
    <row r="3801" spans="1:16" x14ac:dyDescent="0.25">
      <c r="A3801" s="4">
        <v>45021</v>
      </c>
      <c r="B3801" t="s">
        <v>9</v>
      </c>
      <c r="C3801">
        <v>1</v>
      </c>
      <c r="F3801">
        <v>75</v>
      </c>
      <c r="J3801">
        <v>0.22432432432432434</v>
      </c>
      <c r="K3801">
        <v>8.3000000000000007</v>
      </c>
      <c r="L3801">
        <v>37</v>
      </c>
      <c r="M3801">
        <v>62</v>
      </c>
      <c r="N3801">
        <v>4</v>
      </c>
      <c r="O3801">
        <v>1</v>
      </c>
    </row>
    <row r="3802" spans="1:16" x14ac:dyDescent="0.25">
      <c r="A3802" s="4">
        <v>45022</v>
      </c>
      <c r="B3802" t="s">
        <v>10</v>
      </c>
      <c r="C3802">
        <v>1</v>
      </c>
      <c r="F3802">
        <v>409</v>
      </c>
      <c r="J3802">
        <v>1.2764044943820223</v>
      </c>
      <c r="K3802">
        <v>45.44</v>
      </c>
      <c r="L3802">
        <v>35.6</v>
      </c>
      <c r="M3802">
        <v>313</v>
      </c>
      <c r="N3802">
        <v>27</v>
      </c>
      <c r="O3802">
        <v>7</v>
      </c>
      <c r="P3802">
        <v>2</v>
      </c>
    </row>
    <row r="3803" spans="1:16" x14ac:dyDescent="0.25">
      <c r="A3803" s="4">
        <v>45022</v>
      </c>
      <c r="B3803" t="s">
        <v>9</v>
      </c>
      <c r="C3803">
        <v>1</v>
      </c>
      <c r="F3803">
        <v>72</v>
      </c>
      <c r="J3803">
        <v>0.22099447513812154</v>
      </c>
      <c r="K3803">
        <v>8</v>
      </c>
      <c r="L3803">
        <v>36.200000000000003</v>
      </c>
      <c r="M3803">
        <v>72</v>
      </c>
    </row>
    <row r="3804" spans="1:16" x14ac:dyDescent="0.25">
      <c r="A3804" s="4">
        <v>45026</v>
      </c>
      <c r="B3804" t="s">
        <v>10</v>
      </c>
      <c r="C3804">
        <v>1</v>
      </c>
      <c r="F3804">
        <v>435</v>
      </c>
      <c r="J3804">
        <v>1.2604166666666667</v>
      </c>
      <c r="K3804">
        <v>48.4</v>
      </c>
      <c r="L3804">
        <v>38.4</v>
      </c>
      <c r="M3804">
        <v>295</v>
      </c>
      <c r="N3804">
        <v>28</v>
      </c>
      <c r="O3804">
        <v>13</v>
      </c>
      <c r="P3804">
        <v>3</v>
      </c>
    </row>
    <row r="3805" spans="1:16" x14ac:dyDescent="0.25">
      <c r="A3805" s="4">
        <v>45026</v>
      </c>
      <c r="B3805" t="s">
        <v>9</v>
      </c>
      <c r="C3805">
        <v>1</v>
      </c>
      <c r="F3805">
        <v>49</v>
      </c>
      <c r="J3805">
        <v>0.12887828162291171</v>
      </c>
      <c r="K3805">
        <v>5.4</v>
      </c>
      <c r="L3805">
        <v>41.9</v>
      </c>
      <c r="M3805">
        <v>36</v>
      </c>
      <c r="N3805">
        <v>4</v>
      </c>
      <c r="O3805">
        <v>1</v>
      </c>
    </row>
    <row r="3806" spans="1:16" x14ac:dyDescent="0.25">
      <c r="A3806" s="4">
        <v>45027</v>
      </c>
      <c r="B3806" t="s">
        <v>10</v>
      </c>
      <c r="C3806">
        <v>1</v>
      </c>
      <c r="F3806">
        <v>432</v>
      </c>
      <c r="J3806">
        <v>1.1111111111111112</v>
      </c>
      <c r="K3806">
        <v>41</v>
      </c>
      <c r="L3806">
        <v>36.9</v>
      </c>
      <c r="M3806">
        <v>316</v>
      </c>
      <c r="N3806">
        <v>30</v>
      </c>
      <c r="O3806">
        <v>9</v>
      </c>
      <c r="P3806">
        <v>1</v>
      </c>
    </row>
    <row r="3807" spans="1:16" x14ac:dyDescent="0.25">
      <c r="A3807" s="4">
        <v>45027</v>
      </c>
      <c r="B3807" t="s">
        <v>9</v>
      </c>
      <c r="C3807">
        <v>1</v>
      </c>
      <c r="F3807">
        <v>129</v>
      </c>
      <c r="J3807">
        <v>0.28826530612244899</v>
      </c>
      <c r="K3807">
        <v>11.3</v>
      </c>
      <c r="L3807">
        <v>39.200000000000003</v>
      </c>
      <c r="M3807">
        <v>111</v>
      </c>
      <c r="N3807">
        <v>9</v>
      </c>
    </row>
    <row r="3808" spans="1:16" x14ac:dyDescent="0.25">
      <c r="A3808" s="4">
        <v>45028</v>
      </c>
      <c r="B3808" t="s">
        <v>10</v>
      </c>
      <c r="C3808">
        <v>1</v>
      </c>
      <c r="F3808">
        <v>432</v>
      </c>
      <c r="J3808">
        <v>1.3223140495867769</v>
      </c>
      <c r="K3808">
        <v>48</v>
      </c>
      <c r="L3808">
        <v>36.299999999999997</v>
      </c>
      <c r="M3808">
        <v>319</v>
      </c>
      <c r="N3808">
        <v>32</v>
      </c>
      <c r="O3808">
        <v>8</v>
      </c>
    </row>
    <row r="3809" spans="1:16" x14ac:dyDescent="0.25">
      <c r="A3809" s="4">
        <v>45028</v>
      </c>
      <c r="B3809" t="s">
        <v>9</v>
      </c>
      <c r="C3809">
        <v>1</v>
      </c>
      <c r="F3809">
        <v>75</v>
      </c>
      <c r="J3809">
        <v>0.36386768447837153</v>
      </c>
      <c r="K3809">
        <v>14.3</v>
      </c>
      <c r="L3809">
        <v>39.299999999999997</v>
      </c>
      <c r="M3809">
        <v>63</v>
      </c>
      <c r="N3809">
        <v>4</v>
      </c>
      <c r="O3809">
        <v>1</v>
      </c>
    </row>
    <row r="3810" spans="1:16" x14ac:dyDescent="0.25">
      <c r="A3810" s="4">
        <v>45029</v>
      </c>
      <c r="B3810" t="s">
        <v>10</v>
      </c>
      <c r="C3810">
        <v>1</v>
      </c>
      <c r="F3810">
        <v>438</v>
      </c>
      <c r="J3810">
        <v>1.3370473537604457</v>
      </c>
      <c r="K3810">
        <v>48</v>
      </c>
      <c r="L3810">
        <v>35.9</v>
      </c>
      <c r="M3810">
        <v>320</v>
      </c>
      <c r="N3810">
        <v>36</v>
      </c>
      <c r="O3810">
        <v>10</v>
      </c>
    </row>
    <row r="3811" spans="1:16" x14ac:dyDescent="0.25">
      <c r="A3811" s="4">
        <v>45029</v>
      </c>
      <c r="B3811" t="s">
        <v>9</v>
      </c>
      <c r="C3811">
        <v>1</v>
      </c>
      <c r="F3811">
        <v>167</v>
      </c>
      <c r="J3811">
        <v>0.22802197802197804</v>
      </c>
      <c r="K3811">
        <v>8.3000000000000007</v>
      </c>
      <c r="L3811">
        <v>36.4</v>
      </c>
      <c r="M3811">
        <v>141</v>
      </c>
      <c r="N3811">
        <v>9</v>
      </c>
      <c r="O3811">
        <v>2</v>
      </c>
    </row>
    <row r="3812" spans="1:16" x14ac:dyDescent="0.25">
      <c r="A3812" s="4">
        <v>45030</v>
      </c>
      <c r="B3812" t="s">
        <v>10</v>
      </c>
      <c r="C3812">
        <v>1</v>
      </c>
      <c r="F3812">
        <v>303</v>
      </c>
      <c r="J3812">
        <v>1.9402390438247012</v>
      </c>
      <c r="K3812">
        <v>48.7</v>
      </c>
      <c r="L3812">
        <v>25.1</v>
      </c>
      <c r="M3812">
        <v>18</v>
      </c>
      <c r="N3812">
        <v>3</v>
      </c>
    </row>
    <row r="3813" spans="1:16" x14ac:dyDescent="0.25">
      <c r="A3813" s="4">
        <v>45030</v>
      </c>
      <c r="B3813" t="s">
        <v>9</v>
      </c>
      <c r="C3813">
        <v>1</v>
      </c>
      <c r="F3813">
        <v>193</v>
      </c>
      <c r="J3813">
        <v>0.47570332480818417</v>
      </c>
      <c r="K3813">
        <v>18.600000000000001</v>
      </c>
      <c r="L3813">
        <v>39.1</v>
      </c>
      <c r="M3813">
        <v>168</v>
      </c>
      <c r="N3813">
        <v>11</v>
      </c>
      <c r="O3813">
        <v>1</v>
      </c>
    </row>
    <row r="3814" spans="1:16" x14ac:dyDescent="0.25">
      <c r="A3814" s="4">
        <v>45031</v>
      </c>
      <c r="B3814" t="s">
        <v>10</v>
      </c>
      <c r="C3814">
        <v>1</v>
      </c>
      <c r="F3814">
        <v>369</v>
      </c>
      <c r="J3814">
        <v>1.1226666666666667</v>
      </c>
      <c r="K3814">
        <v>42.1</v>
      </c>
      <c r="L3814">
        <v>37.5</v>
      </c>
      <c r="M3814">
        <v>258</v>
      </c>
      <c r="N3814">
        <v>35</v>
      </c>
      <c r="O3814">
        <v>7</v>
      </c>
    </row>
    <row r="3815" spans="1:16" x14ac:dyDescent="0.25">
      <c r="A3815" s="4">
        <v>45031</v>
      </c>
      <c r="B3815" t="s">
        <v>9</v>
      </c>
      <c r="C3815">
        <v>1</v>
      </c>
      <c r="F3815">
        <v>102</v>
      </c>
      <c r="J3815">
        <v>0.70899470899470907</v>
      </c>
      <c r="K3815">
        <v>26.8</v>
      </c>
      <c r="L3815">
        <v>37.799999999999997</v>
      </c>
      <c r="M3815">
        <v>96</v>
      </c>
      <c r="N3815">
        <v>3</v>
      </c>
    </row>
    <row r="3816" spans="1:16" x14ac:dyDescent="0.25">
      <c r="A3816" s="4">
        <v>45033</v>
      </c>
      <c r="B3816" t="s">
        <v>10</v>
      </c>
      <c r="C3816">
        <v>1</v>
      </c>
      <c r="F3816">
        <v>353</v>
      </c>
      <c r="J3816">
        <v>1.0769230769230771</v>
      </c>
      <c r="K3816">
        <v>39.200000000000003</v>
      </c>
      <c r="L3816">
        <v>36.4</v>
      </c>
      <c r="M3816">
        <v>242</v>
      </c>
      <c r="N3816">
        <v>32</v>
      </c>
      <c r="O3816">
        <v>5</v>
      </c>
      <c r="P3816">
        <v>2</v>
      </c>
    </row>
    <row r="3817" spans="1:16" x14ac:dyDescent="0.25">
      <c r="A3817" s="4">
        <v>45033</v>
      </c>
      <c r="B3817" t="s">
        <v>9</v>
      </c>
      <c r="C3817">
        <v>1</v>
      </c>
      <c r="F3817">
        <v>138</v>
      </c>
      <c r="J3817">
        <v>0.40583554376657821</v>
      </c>
      <c r="K3817">
        <v>15.3</v>
      </c>
      <c r="L3817">
        <v>37.700000000000003</v>
      </c>
      <c r="M3817">
        <v>110</v>
      </c>
      <c r="N3817">
        <v>8</v>
      </c>
      <c r="O3817">
        <v>4</v>
      </c>
    </row>
    <row r="3818" spans="1:16" x14ac:dyDescent="0.25">
      <c r="A3818" s="4">
        <v>45034</v>
      </c>
      <c r="B3818" t="s">
        <v>10</v>
      </c>
      <c r="C3818">
        <v>1</v>
      </c>
      <c r="F3818">
        <v>444</v>
      </c>
      <c r="J3818">
        <v>1.2805194805194804</v>
      </c>
      <c r="K3818">
        <v>49.3</v>
      </c>
      <c r="L3818">
        <v>38.5</v>
      </c>
      <c r="M3818">
        <v>295</v>
      </c>
      <c r="N3818">
        <v>30</v>
      </c>
      <c r="O3818">
        <v>12</v>
      </c>
      <c r="P3818">
        <v>4</v>
      </c>
    </row>
    <row r="3819" spans="1:16" x14ac:dyDescent="0.25">
      <c r="A3819" s="4">
        <v>45034</v>
      </c>
      <c r="B3819" t="s">
        <v>9</v>
      </c>
      <c r="C3819">
        <v>1</v>
      </c>
      <c r="F3819">
        <v>9</v>
      </c>
      <c r="J3819">
        <v>0</v>
      </c>
      <c r="K3819">
        <v>0</v>
      </c>
      <c r="L3819">
        <v>40.1</v>
      </c>
      <c r="M3819">
        <v>7</v>
      </c>
      <c r="N3819">
        <v>1</v>
      </c>
    </row>
    <row r="3820" spans="1:16" x14ac:dyDescent="0.25">
      <c r="A3820" s="4">
        <v>45035</v>
      </c>
      <c r="B3820" t="s">
        <v>10</v>
      </c>
      <c r="C3820">
        <v>1</v>
      </c>
      <c r="F3820">
        <v>366</v>
      </c>
      <c r="J3820">
        <v>1.1368715083798884</v>
      </c>
      <c r="K3820">
        <v>40.700000000000003</v>
      </c>
      <c r="L3820">
        <v>35.799999999999997</v>
      </c>
      <c r="M3820">
        <v>276</v>
      </c>
      <c r="N3820">
        <v>30</v>
      </c>
      <c r="O3820">
        <v>3</v>
      </c>
      <c r="P3820">
        <v>1</v>
      </c>
    </row>
    <row r="3821" spans="1:16" x14ac:dyDescent="0.25">
      <c r="A3821" s="4">
        <v>45035</v>
      </c>
      <c r="B3821" t="s">
        <v>9</v>
      </c>
      <c r="C3821">
        <v>1</v>
      </c>
      <c r="F3821">
        <v>148</v>
      </c>
      <c r="J3821">
        <v>0.416243654822335</v>
      </c>
      <c r="K3821">
        <v>16.399999999999999</v>
      </c>
      <c r="L3821">
        <v>39.4</v>
      </c>
      <c r="M3821">
        <v>114</v>
      </c>
      <c r="N3821">
        <v>12</v>
      </c>
      <c r="O3821">
        <v>3</v>
      </c>
    </row>
    <row r="3822" spans="1:16" x14ac:dyDescent="0.25">
      <c r="A3822" s="4">
        <v>45036</v>
      </c>
      <c r="B3822" t="s">
        <v>10</v>
      </c>
      <c r="C3822">
        <v>1</v>
      </c>
      <c r="F3822">
        <v>404</v>
      </c>
      <c r="J3822">
        <v>1.2069892473118278</v>
      </c>
      <c r="K3822">
        <v>44.9</v>
      </c>
      <c r="L3822">
        <v>37.200000000000003</v>
      </c>
      <c r="M3822">
        <v>270</v>
      </c>
      <c r="N3822">
        <v>35</v>
      </c>
      <c r="O3822">
        <v>11</v>
      </c>
      <c r="P3822">
        <v>1</v>
      </c>
    </row>
    <row r="3823" spans="1:16" x14ac:dyDescent="0.25">
      <c r="A3823" s="4">
        <v>45036</v>
      </c>
      <c r="B3823" t="s">
        <v>9</v>
      </c>
      <c r="C3823">
        <v>1</v>
      </c>
      <c r="F3823">
        <v>97</v>
      </c>
      <c r="J3823">
        <v>0.27341772151898736</v>
      </c>
      <c r="K3823">
        <v>10.8</v>
      </c>
      <c r="L3823">
        <v>39.5</v>
      </c>
      <c r="M3823">
        <v>86</v>
      </c>
      <c r="N3823">
        <v>4</v>
      </c>
      <c r="O3823">
        <v>1</v>
      </c>
    </row>
    <row r="3824" spans="1:16" x14ac:dyDescent="0.25">
      <c r="A3824" s="4">
        <v>45037</v>
      </c>
      <c r="B3824" t="s">
        <v>10</v>
      </c>
      <c r="C3824">
        <v>1</v>
      </c>
      <c r="F3824">
        <v>420</v>
      </c>
      <c r="J3824">
        <v>1.2724795640326976</v>
      </c>
      <c r="K3824">
        <v>46.7</v>
      </c>
      <c r="L3824">
        <v>36.700000000000003</v>
      </c>
      <c r="M3824">
        <v>299</v>
      </c>
      <c r="N3824">
        <v>30</v>
      </c>
      <c r="O3824">
        <v>10</v>
      </c>
      <c r="P3824">
        <v>1</v>
      </c>
    </row>
    <row r="3825" spans="1:16" x14ac:dyDescent="0.25">
      <c r="A3825" s="4">
        <v>45037</v>
      </c>
      <c r="B3825" t="s">
        <v>9</v>
      </c>
      <c r="C3825">
        <v>1</v>
      </c>
      <c r="F3825">
        <v>163</v>
      </c>
      <c r="J3825">
        <v>0.46649484536082481</v>
      </c>
      <c r="K3825">
        <v>18.100000000000001</v>
      </c>
      <c r="L3825">
        <v>38.799999999999997</v>
      </c>
      <c r="M3825">
        <v>139</v>
      </c>
      <c r="N3825">
        <v>12</v>
      </c>
    </row>
    <row r="3826" spans="1:16" x14ac:dyDescent="0.25">
      <c r="A3826" s="4">
        <v>45038</v>
      </c>
      <c r="B3826" t="s">
        <v>10</v>
      </c>
      <c r="C3826">
        <v>1</v>
      </c>
      <c r="F3826">
        <v>269</v>
      </c>
      <c r="J3826">
        <v>0.98680738786279687</v>
      </c>
      <c r="K3826">
        <v>37.4</v>
      </c>
      <c r="L3826">
        <v>37.9</v>
      </c>
      <c r="M3826">
        <v>215</v>
      </c>
      <c r="N3826">
        <v>18</v>
      </c>
      <c r="O3826">
        <v>2</v>
      </c>
    </row>
    <row r="3827" spans="1:16" x14ac:dyDescent="0.25">
      <c r="A3827" s="4">
        <v>45038</v>
      </c>
      <c r="B3827" t="s">
        <v>9</v>
      </c>
      <c r="C3827">
        <v>1</v>
      </c>
      <c r="F3827">
        <v>140</v>
      </c>
      <c r="J3827">
        <v>0.50918635170603666</v>
      </c>
      <c r="K3827">
        <v>19.399999999999999</v>
      </c>
      <c r="L3827">
        <v>38.1</v>
      </c>
      <c r="M3827">
        <v>128</v>
      </c>
      <c r="N3827">
        <v>6</v>
      </c>
    </row>
    <row r="3828" spans="1:16" x14ac:dyDescent="0.25">
      <c r="A3828" s="4">
        <v>45040</v>
      </c>
      <c r="B3828" t="s">
        <v>10</v>
      </c>
      <c r="C3828">
        <v>1</v>
      </c>
      <c r="F3828">
        <v>330</v>
      </c>
      <c r="J3828">
        <v>1.275766016713092</v>
      </c>
      <c r="K3828">
        <v>45.8</v>
      </c>
      <c r="L3828">
        <v>35.9</v>
      </c>
      <c r="M3828">
        <v>242</v>
      </c>
      <c r="N3828">
        <v>16</v>
      </c>
      <c r="O3828">
        <v>13</v>
      </c>
      <c r="P3828">
        <v>1</v>
      </c>
    </row>
    <row r="3829" spans="1:16" x14ac:dyDescent="0.25">
      <c r="A3829" s="4">
        <v>45040</v>
      </c>
      <c r="B3829" t="s">
        <v>9</v>
      </c>
      <c r="C3829">
        <v>1</v>
      </c>
      <c r="F3829">
        <v>117</v>
      </c>
      <c r="J3829">
        <v>0.43236074270557029</v>
      </c>
      <c r="K3829">
        <v>16.3</v>
      </c>
      <c r="L3829">
        <v>37.700000000000003</v>
      </c>
      <c r="M3829">
        <v>86</v>
      </c>
      <c r="N3829">
        <v>11</v>
      </c>
      <c r="O3829">
        <v>2</v>
      </c>
    </row>
    <row r="3830" spans="1:16" x14ac:dyDescent="0.25">
      <c r="A3830" s="4">
        <v>45041</v>
      </c>
      <c r="B3830" t="s">
        <v>10</v>
      </c>
      <c r="C3830">
        <v>1</v>
      </c>
      <c r="F3830">
        <v>335</v>
      </c>
      <c r="J3830">
        <v>1.23342175066313</v>
      </c>
      <c r="K3830">
        <v>46.5</v>
      </c>
      <c r="L3830">
        <v>37.700000000000003</v>
      </c>
      <c r="M3830">
        <v>229</v>
      </c>
      <c r="N3830">
        <v>21</v>
      </c>
      <c r="O3830">
        <v>11</v>
      </c>
      <c r="P3830">
        <v>1</v>
      </c>
    </row>
    <row r="3831" spans="1:16" x14ac:dyDescent="0.25">
      <c r="A3831" s="4">
        <v>45041</v>
      </c>
      <c r="B3831" t="s">
        <v>9</v>
      </c>
      <c r="C3831">
        <v>1</v>
      </c>
      <c r="F3831">
        <v>103</v>
      </c>
      <c r="J3831">
        <v>1.0984042553191489</v>
      </c>
      <c r="K3831">
        <v>41.3</v>
      </c>
      <c r="L3831">
        <v>37.6</v>
      </c>
      <c r="M3831">
        <v>94</v>
      </c>
      <c r="N3831">
        <v>3</v>
      </c>
      <c r="O3831">
        <v>1</v>
      </c>
    </row>
    <row r="3832" spans="1:16" x14ac:dyDescent="0.25">
      <c r="A3832" s="4">
        <v>45042</v>
      </c>
      <c r="B3832" t="s">
        <v>10</v>
      </c>
      <c r="C3832">
        <v>1</v>
      </c>
      <c r="F3832">
        <v>339</v>
      </c>
      <c r="J3832">
        <v>1.2729729729729731</v>
      </c>
      <c r="K3832">
        <v>47.1</v>
      </c>
      <c r="L3832">
        <v>37</v>
      </c>
      <c r="M3832">
        <v>237</v>
      </c>
      <c r="N3832">
        <v>27</v>
      </c>
      <c r="O3832">
        <v>11</v>
      </c>
      <c r="P3832">
        <v>1</v>
      </c>
    </row>
    <row r="3833" spans="1:16" x14ac:dyDescent="0.25">
      <c r="A3833" s="4">
        <v>45042</v>
      </c>
      <c r="B3833" t="s">
        <v>9</v>
      </c>
      <c r="C3833">
        <v>1</v>
      </c>
      <c r="F3833">
        <v>120</v>
      </c>
      <c r="J3833">
        <v>0.45013477088948783</v>
      </c>
      <c r="K3833">
        <v>16.7</v>
      </c>
      <c r="L3833">
        <v>37.1</v>
      </c>
      <c r="M3833">
        <v>103</v>
      </c>
      <c r="N3833">
        <v>7</v>
      </c>
      <c r="O3833">
        <v>1</v>
      </c>
    </row>
    <row r="3834" spans="1:16" x14ac:dyDescent="0.25">
      <c r="A3834" s="4">
        <v>45043</v>
      </c>
      <c r="B3834" t="s">
        <v>10</v>
      </c>
      <c r="C3834">
        <v>1</v>
      </c>
      <c r="F3834">
        <v>421</v>
      </c>
      <c r="J3834">
        <v>1.2061855670103092</v>
      </c>
      <c r="K3834">
        <v>46.8</v>
      </c>
      <c r="L3834">
        <v>38.799999999999997</v>
      </c>
      <c r="M3834">
        <v>271</v>
      </c>
      <c r="N3834">
        <v>34</v>
      </c>
      <c r="O3834">
        <v>10</v>
      </c>
      <c r="P3834">
        <v>4</v>
      </c>
    </row>
    <row r="3835" spans="1:16" x14ac:dyDescent="0.25">
      <c r="A3835" s="4">
        <v>45043</v>
      </c>
      <c r="B3835" t="s">
        <v>9</v>
      </c>
      <c r="C3835">
        <v>1</v>
      </c>
      <c r="F3835">
        <v>53</v>
      </c>
      <c r="J3835">
        <v>0.14824120603015079</v>
      </c>
      <c r="K3835">
        <v>5.9</v>
      </c>
      <c r="L3835">
        <v>39.799999999999997</v>
      </c>
      <c r="M3835">
        <v>40</v>
      </c>
      <c r="N3835">
        <v>5</v>
      </c>
      <c r="O3835">
        <v>1</v>
      </c>
    </row>
    <row r="3836" spans="1:16" x14ac:dyDescent="0.25">
      <c r="A3836" s="4">
        <v>45044</v>
      </c>
      <c r="B3836" t="s">
        <v>10</v>
      </c>
      <c r="C3836">
        <v>1</v>
      </c>
      <c r="F3836">
        <v>239</v>
      </c>
      <c r="J3836">
        <v>0.89247311827956988</v>
      </c>
      <c r="K3836">
        <v>33.200000000000003</v>
      </c>
      <c r="L3836">
        <v>37.200000000000003</v>
      </c>
      <c r="M3836">
        <v>149</v>
      </c>
      <c r="N3836">
        <v>17</v>
      </c>
      <c r="O3836">
        <v>12</v>
      </c>
      <c r="P3836">
        <v>2</v>
      </c>
    </row>
    <row r="3837" spans="1:16" x14ac:dyDescent="0.25">
      <c r="A3837" s="4">
        <v>45044</v>
      </c>
      <c r="B3837" t="s">
        <v>9</v>
      </c>
      <c r="C3837">
        <v>1</v>
      </c>
      <c r="F3837">
        <v>269</v>
      </c>
      <c r="J3837">
        <v>0.86774941995359622</v>
      </c>
      <c r="K3837">
        <v>37.4</v>
      </c>
      <c r="L3837">
        <v>43.1</v>
      </c>
      <c r="M3837">
        <v>160</v>
      </c>
      <c r="N3837">
        <v>18</v>
      </c>
      <c r="O3837">
        <v>10</v>
      </c>
      <c r="P3837">
        <v>5</v>
      </c>
    </row>
    <row r="3838" spans="1:16" x14ac:dyDescent="0.25">
      <c r="A3838" s="4">
        <v>45045</v>
      </c>
      <c r="B3838" t="s">
        <v>10</v>
      </c>
      <c r="C3838">
        <v>1</v>
      </c>
      <c r="F3838">
        <v>150</v>
      </c>
      <c r="J3838">
        <v>0.79130434782608694</v>
      </c>
      <c r="K3838">
        <v>27.3</v>
      </c>
      <c r="L3838">
        <v>34.5</v>
      </c>
      <c r="M3838">
        <v>115</v>
      </c>
      <c r="N3838">
        <v>16</v>
      </c>
      <c r="O3838">
        <v>1</v>
      </c>
    </row>
    <row r="3839" spans="1:16" x14ac:dyDescent="0.25">
      <c r="A3839" s="4">
        <v>45045</v>
      </c>
      <c r="B3839" t="s">
        <v>9</v>
      </c>
      <c r="C3839">
        <v>1</v>
      </c>
    </row>
    <row r="3840" spans="1:16" x14ac:dyDescent="0.25">
      <c r="A3840" s="4">
        <v>45047</v>
      </c>
      <c r="B3840" t="s">
        <v>10</v>
      </c>
      <c r="C3840">
        <v>1</v>
      </c>
      <c r="F3840">
        <v>332</v>
      </c>
      <c r="J3840">
        <v>1.0137362637362637</v>
      </c>
      <c r="K3840">
        <v>36.9</v>
      </c>
      <c r="L3840">
        <v>36.4</v>
      </c>
      <c r="M3840">
        <v>224</v>
      </c>
      <c r="N3840">
        <v>34</v>
      </c>
      <c r="O3840">
        <v>10</v>
      </c>
    </row>
    <row r="3841" spans="1:16" x14ac:dyDescent="0.25">
      <c r="A3841" s="4">
        <v>45047</v>
      </c>
      <c r="B3841" t="s">
        <v>9</v>
      </c>
      <c r="C3841">
        <v>1</v>
      </c>
      <c r="F3841">
        <v>134</v>
      </c>
      <c r="J3841">
        <v>0.39627659574468083</v>
      </c>
      <c r="K3841">
        <v>14.9</v>
      </c>
      <c r="L3841">
        <v>37.6</v>
      </c>
      <c r="M3841">
        <v>119</v>
      </c>
      <c r="N3841">
        <v>6</v>
      </c>
      <c r="O3841">
        <v>1</v>
      </c>
    </row>
    <row r="3842" spans="1:16" x14ac:dyDescent="0.25">
      <c r="A3842" s="4">
        <v>45048</v>
      </c>
      <c r="B3842" t="s">
        <v>10</v>
      </c>
      <c r="C3842">
        <v>1</v>
      </c>
      <c r="F3842">
        <v>369</v>
      </c>
      <c r="J3842">
        <v>1.0594315245478036</v>
      </c>
      <c r="K3842">
        <v>41</v>
      </c>
      <c r="L3842">
        <v>38.700000000000003</v>
      </c>
      <c r="M3842">
        <v>237</v>
      </c>
      <c r="N3842">
        <v>20</v>
      </c>
      <c r="O3842">
        <v>16</v>
      </c>
      <c r="P3842">
        <v>4</v>
      </c>
    </row>
    <row r="3843" spans="1:16" x14ac:dyDescent="0.25">
      <c r="A3843" s="4">
        <v>45048</v>
      </c>
      <c r="B3843" t="s">
        <v>9</v>
      </c>
      <c r="C3843">
        <v>1</v>
      </c>
      <c r="F3843">
        <v>108</v>
      </c>
      <c r="J3843">
        <v>0.3133159268929504</v>
      </c>
      <c r="K3843">
        <v>12</v>
      </c>
      <c r="L3843">
        <v>38.299999999999997</v>
      </c>
      <c r="M3843">
        <v>94</v>
      </c>
      <c r="N3843">
        <v>4</v>
      </c>
      <c r="O3843">
        <v>2</v>
      </c>
    </row>
    <row r="3844" spans="1:16" x14ac:dyDescent="0.25">
      <c r="A3844" s="4">
        <v>45049</v>
      </c>
      <c r="B3844" t="s">
        <v>10</v>
      </c>
      <c r="C3844">
        <v>1</v>
      </c>
      <c r="F3844">
        <v>419</v>
      </c>
      <c r="J3844">
        <v>1.2360742705570291</v>
      </c>
      <c r="K3844">
        <v>46.6</v>
      </c>
      <c r="L3844">
        <v>37.700000000000003</v>
      </c>
      <c r="M3844">
        <v>283</v>
      </c>
      <c r="N3844">
        <v>31</v>
      </c>
      <c r="O3844">
        <v>12</v>
      </c>
      <c r="P3844">
        <v>2</v>
      </c>
    </row>
    <row r="3845" spans="1:16" x14ac:dyDescent="0.25">
      <c r="A3845" s="4">
        <v>45049</v>
      </c>
      <c r="B3845" t="s">
        <v>9</v>
      </c>
      <c r="C3845">
        <v>1</v>
      </c>
      <c r="F3845">
        <v>155</v>
      </c>
      <c r="J3845">
        <v>0.47252747252747251</v>
      </c>
      <c r="K3845">
        <v>17.2</v>
      </c>
      <c r="L3845">
        <v>36.4</v>
      </c>
      <c r="M3845">
        <v>124</v>
      </c>
      <c r="N3845">
        <v>14</v>
      </c>
      <c r="O3845">
        <v>1</v>
      </c>
    </row>
    <row r="3846" spans="1:16" x14ac:dyDescent="0.25">
      <c r="A3846" s="4">
        <v>45050</v>
      </c>
      <c r="B3846" t="s">
        <v>10</v>
      </c>
      <c r="C3846">
        <v>1</v>
      </c>
      <c r="F3846">
        <v>372</v>
      </c>
      <c r="J3846">
        <v>1.1192411924119241</v>
      </c>
      <c r="K3846">
        <v>41.3</v>
      </c>
      <c r="L3846">
        <v>36.9</v>
      </c>
      <c r="M3846">
        <v>277</v>
      </c>
      <c r="N3846">
        <v>28</v>
      </c>
      <c r="O3846">
        <v>7</v>
      </c>
    </row>
    <row r="3847" spans="1:16" x14ac:dyDescent="0.25">
      <c r="A3847" s="4">
        <v>45050</v>
      </c>
      <c r="B3847" t="s">
        <v>9</v>
      </c>
      <c r="C3847">
        <v>1</v>
      </c>
      <c r="F3847">
        <v>107</v>
      </c>
      <c r="J3847">
        <v>0.32075471698113206</v>
      </c>
      <c r="K3847">
        <v>11.9</v>
      </c>
      <c r="L3847">
        <v>37.1</v>
      </c>
      <c r="M3847">
        <v>83</v>
      </c>
      <c r="N3847">
        <v>8</v>
      </c>
      <c r="O3847">
        <v>2</v>
      </c>
    </row>
    <row r="3848" spans="1:16" x14ac:dyDescent="0.25">
      <c r="A3848" s="4">
        <v>45051</v>
      </c>
      <c r="B3848" t="s">
        <v>10</v>
      </c>
      <c r="C3848">
        <v>1</v>
      </c>
      <c r="F3848">
        <v>423</v>
      </c>
      <c r="J3848">
        <v>1.2737127371273713</v>
      </c>
      <c r="K3848">
        <v>47</v>
      </c>
      <c r="L3848">
        <v>36.9</v>
      </c>
      <c r="M3848">
        <v>297</v>
      </c>
      <c r="N3848">
        <v>32</v>
      </c>
      <c r="O3848">
        <v>11</v>
      </c>
      <c r="P3848">
        <v>1</v>
      </c>
    </row>
    <row r="3849" spans="1:16" x14ac:dyDescent="0.25">
      <c r="A3849" s="4">
        <v>45051</v>
      </c>
      <c r="B3849" t="s">
        <v>9</v>
      </c>
      <c r="C3849">
        <v>1</v>
      </c>
      <c r="F3849">
        <v>199</v>
      </c>
      <c r="J3849">
        <v>0.57702349869451708</v>
      </c>
      <c r="K3849">
        <v>22.1</v>
      </c>
      <c r="L3849">
        <v>38.299999999999997</v>
      </c>
      <c r="M3849">
        <v>149</v>
      </c>
      <c r="N3849">
        <v>13</v>
      </c>
      <c r="O3849">
        <v>7</v>
      </c>
    </row>
    <row r="3850" spans="1:16" x14ac:dyDescent="0.25">
      <c r="A3850" s="4">
        <v>45052</v>
      </c>
      <c r="B3850" t="s">
        <v>10</v>
      </c>
      <c r="C3850">
        <v>1</v>
      </c>
      <c r="F3850">
        <v>256</v>
      </c>
      <c r="J3850">
        <v>1</v>
      </c>
      <c r="K3850">
        <v>35.6</v>
      </c>
      <c r="L3850">
        <v>35.6</v>
      </c>
      <c r="M3850">
        <v>211</v>
      </c>
      <c r="N3850">
        <v>11</v>
      </c>
      <c r="O3850">
        <v>4</v>
      </c>
    </row>
    <row r="3851" spans="1:16" x14ac:dyDescent="0.25">
      <c r="A3851" s="4">
        <v>45052</v>
      </c>
      <c r="B3851" t="s">
        <v>9</v>
      </c>
      <c r="C3851">
        <v>1</v>
      </c>
      <c r="F3851">
        <v>127</v>
      </c>
      <c r="J3851">
        <v>0.51162790697674421</v>
      </c>
      <c r="K3851">
        <v>17.600000000000001</v>
      </c>
      <c r="L3851">
        <v>34.4</v>
      </c>
      <c r="M3851">
        <v>113</v>
      </c>
      <c r="N3851">
        <v>7</v>
      </c>
    </row>
    <row r="3852" spans="1:16" x14ac:dyDescent="0.25">
      <c r="A3852" s="4">
        <v>45054</v>
      </c>
      <c r="B3852" t="s">
        <v>10</v>
      </c>
      <c r="C3852">
        <v>1</v>
      </c>
      <c r="F3852">
        <v>113</v>
      </c>
      <c r="J3852">
        <v>0.82028985507246377</v>
      </c>
      <c r="K3852">
        <v>28.3</v>
      </c>
      <c r="L3852">
        <v>34.5</v>
      </c>
      <c r="M3852">
        <v>85</v>
      </c>
      <c r="N3852">
        <v>10</v>
      </c>
    </row>
    <row r="3853" spans="1:16" x14ac:dyDescent="0.25">
      <c r="A3853" s="4">
        <v>45054</v>
      </c>
      <c r="B3853" t="s">
        <v>9</v>
      </c>
      <c r="C3853">
        <v>1</v>
      </c>
      <c r="F3853">
        <v>48</v>
      </c>
      <c r="J3853">
        <v>0.33898305084745767</v>
      </c>
      <c r="K3853">
        <v>12</v>
      </c>
      <c r="L3853">
        <v>35.4</v>
      </c>
      <c r="M3853">
        <v>43</v>
      </c>
      <c r="N3853">
        <v>1</v>
      </c>
      <c r="O3853">
        <v>1</v>
      </c>
    </row>
    <row r="3854" spans="1:16" x14ac:dyDescent="0.25">
      <c r="A3854" s="4">
        <v>45055</v>
      </c>
      <c r="B3854" t="s">
        <v>10</v>
      </c>
      <c r="C3854">
        <v>1</v>
      </c>
      <c r="F3854">
        <v>369</v>
      </c>
      <c r="J3854">
        <v>1.3298701298701299</v>
      </c>
      <c r="K3854">
        <v>51.2</v>
      </c>
      <c r="L3854">
        <v>38.5</v>
      </c>
      <c r="M3854">
        <v>223</v>
      </c>
      <c r="N3854">
        <v>33</v>
      </c>
      <c r="O3854">
        <v>11</v>
      </c>
      <c r="P3854">
        <v>4</v>
      </c>
    </row>
    <row r="3855" spans="1:16" x14ac:dyDescent="0.25">
      <c r="A3855" s="4">
        <v>45055</v>
      </c>
      <c r="B3855" t="s">
        <v>9</v>
      </c>
      <c r="C3855">
        <v>1</v>
      </c>
      <c r="F3855">
        <v>138</v>
      </c>
      <c r="J3855">
        <v>0.49612403100775188</v>
      </c>
      <c r="K3855">
        <v>19.2</v>
      </c>
      <c r="L3855">
        <v>38.700000000000003</v>
      </c>
      <c r="M3855">
        <v>106</v>
      </c>
      <c r="N3855">
        <v>11</v>
      </c>
      <c r="O3855">
        <v>3</v>
      </c>
    </row>
    <row r="3856" spans="1:16" x14ac:dyDescent="0.25">
      <c r="A3856" s="4">
        <v>45056</v>
      </c>
      <c r="B3856" t="s">
        <v>10</v>
      </c>
      <c r="C3856">
        <v>1</v>
      </c>
      <c r="F3856">
        <v>422</v>
      </c>
      <c r="J3856">
        <v>1.2440318302387268</v>
      </c>
      <c r="K3856">
        <v>46.9</v>
      </c>
      <c r="L3856">
        <v>37.700000000000003</v>
      </c>
      <c r="M3856">
        <v>268</v>
      </c>
      <c r="N3856">
        <v>36</v>
      </c>
      <c r="O3856">
        <v>20</v>
      </c>
      <c r="P3856">
        <v>1</v>
      </c>
    </row>
    <row r="3857" spans="1:16" x14ac:dyDescent="0.25">
      <c r="A3857" s="4">
        <v>45056</v>
      </c>
      <c r="B3857" t="s">
        <v>9</v>
      </c>
      <c r="C3857">
        <v>1</v>
      </c>
      <c r="F3857">
        <v>201</v>
      </c>
      <c r="J3857">
        <v>0.62290502793296099</v>
      </c>
      <c r="K3857">
        <v>22.3</v>
      </c>
      <c r="L3857">
        <v>35.799999999999997</v>
      </c>
      <c r="M3857">
        <v>167</v>
      </c>
      <c r="N3857">
        <v>14</v>
      </c>
      <c r="O3857">
        <v>2</v>
      </c>
    </row>
    <row r="3858" spans="1:16" x14ac:dyDescent="0.25">
      <c r="A3858" s="4">
        <v>45057</v>
      </c>
      <c r="B3858" t="s">
        <v>10</v>
      </c>
      <c r="C3858">
        <v>1</v>
      </c>
      <c r="F3858">
        <v>326</v>
      </c>
      <c r="J3858">
        <v>1.3017241379310345</v>
      </c>
      <c r="K3858">
        <v>45.3</v>
      </c>
      <c r="L3858">
        <v>34.799999999999997</v>
      </c>
      <c r="M3858">
        <v>259</v>
      </c>
      <c r="N3858">
        <v>23</v>
      </c>
      <c r="O3858">
        <v>2</v>
      </c>
    </row>
    <row r="3859" spans="1:16" x14ac:dyDescent="0.25">
      <c r="A3859" s="4">
        <v>45057</v>
      </c>
      <c r="B3859" t="s">
        <v>9</v>
      </c>
      <c r="C3859">
        <v>1</v>
      </c>
      <c r="F3859">
        <v>154</v>
      </c>
      <c r="J3859">
        <v>0.57066666666666666</v>
      </c>
      <c r="K3859">
        <v>21.4</v>
      </c>
      <c r="L3859">
        <v>37.5</v>
      </c>
      <c r="M3859">
        <v>136</v>
      </c>
      <c r="N3859">
        <v>6</v>
      </c>
      <c r="P3859">
        <v>1</v>
      </c>
    </row>
    <row r="3860" spans="1:16" x14ac:dyDescent="0.25">
      <c r="A3860" s="4">
        <v>45058</v>
      </c>
      <c r="B3860" t="s">
        <v>10</v>
      </c>
      <c r="C3860">
        <v>1</v>
      </c>
      <c r="F3860">
        <v>382</v>
      </c>
      <c r="J3860">
        <v>1.2837465564738293</v>
      </c>
      <c r="K3860">
        <v>46.6</v>
      </c>
      <c r="L3860">
        <v>36.299999999999997</v>
      </c>
      <c r="M3860">
        <v>292</v>
      </c>
      <c r="N3860">
        <v>19</v>
      </c>
      <c r="O3860">
        <v>7</v>
      </c>
      <c r="P3860">
        <v>2</v>
      </c>
    </row>
    <row r="3861" spans="1:16" x14ac:dyDescent="0.25">
      <c r="A3861" s="4">
        <v>45058</v>
      </c>
      <c r="B3861" t="s">
        <v>9</v>
      </c>
      <c r="C3861">
        <v>1</v>
      </c>
      <c r="F3861">
        <v>52</v>
      </c>
      <c r="J3861">
        <v>0.15441176470588236</v>
      </c>
      <c r="K3861">
        <v>6.3</v>
      </c>
      <c r="L3861">
        <v>40.799999999999997</v>
      </c>
      <c r="M3861">
        <v>39</v>
      </c>
      <c r="N3861">
        <v>2</v>
      </c>
      <c r="O3861">
        <v>2</v>
      </c>
    </row>
    <row r="3862" spans="1:16" x14ac:dyDescent="0.25">
      <c r="A3862" s="4">
        <v>45061</v>
      </c>
      <c r="B3862" t="s">
        <v>10</v>
      </c>
      <c r="C3862">
        <v>1</v>
      </c>
      <c r="F3862">
        <v>306</v>
      </c>
      <c r="J3862">
        <v>1.2108262108262107</v>
      </c>
      <c r="K3862">
        <v>42.5</v>
      </c>
      <c r="L3862">
        <v>35.1</v>
      </c>
      <c r="M3862">
        <v>244</v>
      </c>
      <c r="N3862">
        <v>14</v>
      </c>
      <c r="O3862">
        <v>5</v>
      </c>
      <c r="P3862">
        <v>1</v>
      </c>
    </row>
    <row r="3863" spans="1:16" x14ac:dyDescent="0.25">
      <c r="A3863" s="4">
        <v>45061</v>
      </c>
      <c r="B3863" t="s">
        <v>9</v>
      </c>
      <c r="C3863">
        <v>1</v>
      </c>
      <c r="F3863">
        <v>109</v>
      </c>
      <c r="J3863">
        <v>0.40159574468085102</v>
      </c>
      <c r="K3863">
        <v>15.1</v>
      </c>
      <c r="L3863">
        <v>37.6</v>
      </c>
      <c r="M3863">
        <v>98</v>
      </c>
      <c r="N3863">
        <v>4</v>
      </c>
      <c r="O3863">
        <v>1</v>
      </c>
    </row>
    <row r="3864" spans="1:16" x14ac:dyDescent="0.25">
      <c r="A3864" s="4">
        <v>45062</v>
      </c>
      <c r="B3864" t="s">
        <v>10</v>
      </c>
      <c r="C3864">
        <v>1</v>
      </c>
      <c r="F3864">
        <v>364</v>
      </c>
      <c r="J3864">
        <v>1.3493333333333333</v>
      </c>
      <c r="K3864">
        <v>50.6</v>
      </c>
      <c r="L3864">
        <v>37.5</v>
      </c>
      <c r="M3864">
        <v>246</v>
      </c>
      <c r="N3864">
        <v>32</v>
      </c>
      <c r="O3864">
        <v>7</v>
      </c>
      <c r="P3864">
        <v>2</v>
      </c>
    </row>
    <row r="3865" spans="1:16" x14ac:dyDescent="0.25">
      <c r="A3865" s="4">
        <v>45062</v>
      </c>
      <c r="B3865" t="s">
        <v>9</v>
      </c>
      <c r="C3865">
        <v>1</v>
      </c>
      <c r="F3865">
        <v>134</v>
      </c>
      <c r="J3865">
        <v>0.52542372881355937</v>
      </c>
      <c r="K3865">
        <v>18.600000000000001</v>
      </c>
      <c r="L3865">
        <v>35.4</v>
      </c>
      <c r="M3865">
        <v>111</v>
      </c>
      <c r="N3865">
        <v>6</v>
      </c>
      <c r="O3865">
        <v>3</v>
      </c>
    </row>
    <row r="3866" spans="1:16" x14ac:dyDescent="0.25">
      <c r="A3866" s="4">
        <v>45063</v>
      </c>
      <c r="B3866" t="s">
        <v>10</v>
      </c>
      <c r="C3866">
        <v>1</v>
      </c>
      <c r="F3866">
        <v>382</v>
      </c>
      <c r="J3866">
        <v>1.3511450381679391</v>
      </c>
      <c r="K3866">
        <v>53.1</v>
      </c>
      <c r="L3866">
        <v>39.299999999999997</v>
      </c>
      <c r="M3866">
        <v>227</v>
      </c>
      <c r="N3866">
        <v>23</v>
      </c>
      <c r="O3866">
        <v>27</v>
      </c>
    </row>
    <row r="3867" spans="1:16" x14ac:dyDescent="0.25">
      <c r="A3867" s="4">
        <v>45063</v>
      </c>
      <c r="B3867" t="s">
        <v>9</v>
      </c>
      <c r="C3867">
        <v>1</v>
      </c>
      <c r="F3867">
        <v>114</v>
      </c>
      <c r="J3867">
        <v>0.43646408839779005</v>
      </c>
      <c r="K3867">
        <v>15.8</v>
      </c>
      <c r="L3867">
        <v>36.200000000000003</v>
      </c>
      <c r="M3867">
        <v>94</v>
      </c>
      <c r="N3867">
        <v>4</v>
      </c>
      <c r="O3867">
        <v>4</v>
      </c>
    </row>
    <row r="3868" spans="1:16" x14ac:dyDescent="0.25">
      <c r="A3868" s="4">
        <v>45064</v>
      </c>
      <c r="B3868" t="s">
        <v>10</v>
      </c>
      <c r="C3868">
        <v>1</v>
      </c>
      <c r="F3868">
        <v>346</v>
      </c>
      <c r="J3868">
        <v>1.3142076502732241</v>
      </c>
      <c r="K3868">
        <v>48.1</v>
      </c>
      <c r="L3868">
        <v>36.6</v>
      </c>
      <c r="M3868">
        <v>244</v>
      </c>
      <c r="N3868">
        <v>27</v>
      </c>
      <c r="O3868">
        <v>9</v>
      </c>
      <c r="P3868">
        <v>1</v>
      </c>
    </row>
    <row r="3869" spans="1:16" x14ac:dyDescent="0.25">
      <c r="A3869" s="4">
        <v>45064</v>
      </c>
      <c r="B3869" t="s">
        <v>9</v>
      </c>
      <c r="C3869">
        <v>1</v>
      </c>
      <c r="F3869">
        <v>140</v>
      </c>
      <c r="J3869">
        <v>0.52291105121293791</v>
      </c>
      <c r="K3869">
        <v>19.399999999999999</v>
      </c>
      <c r="L3869">
        <v>37.1</v>
      </c>
      <c r="M3869">
        <v>120</v>
      </c>
      <c r="N3869">
        <v>4</v>
      </c>
      <c r="O3869">
        <v>4</v>
      </c>
    </row>
    <row r="3870" spans="1:16" x14ac:dyDescent="0.25">
      <c r="A3870" s="4">
        <v>45065</v>
      </c>
      <c r="B3870" t="s">
        <v>10</v>
      </c>
      <c r="C3870">
        <v>1</v>
      </c>
      <c r="F3870">
        <v>373</v>
      </c>
      <c r="J3870">
        <v>1.3489583333333333</v>
      </c>
      <c r="K3870">
        <v>51.8</v>
      </c>
      <c r="L3870">
        <v>38.4</v>
      </c>
      <c r="M3870">
        <v>250</v>
      </c>
      <c r="N3870">
        <v>18</v>
      </c>
      <c r="O3870">
        <v>11</v>
      </c>
      <c r="P3870">
        <v>5</v>
      </c>
    </row>
    <row r="3871" spans="1:16" x14ac:dyDescent="0.25">
      <c r="A3871" s="4">
        <v>45065</v>
      </c>
      <c r="B3871" t="s">
        <v>9</v>
      </c>
      <c r="C3871">
        <v>1</v>
      </c>
      <c r="F3871">
        <v>109</v>
      </c>
      <c r="J3871">
        <v>0.41944444444444445</v>
      </c>
      <c r="K3871">
        <v>15.1</v>
      </c>
      <c r="L3871">
        <v>36</v>
      </c>
      <c r="M3871">
        <v>96</v>
      </c>
      <c r="N3871">
        <v>5</v>
      </c>
      <c r="O3871">
        <v>1</v>
      </c>
    </row>
    <row r="3872" spans="1:16" x14ac:dyDescent="0.25">
      <c r="A3872" s="4">
        <v>45068</v>
      </c>
      <c r="B3872" t="s">
        <v>10</v>
      </c>
      <c r="C3872">
        <v>1</v>
      </c>
      <c r="F3872">
        <v>369</v>
      </c>
      <c r="J3872">
        <v>1.3324675324675324</v>
      </c>
      <c r="K3872">
        <v>51.3</v>
      </c>
      <c r="L3872">
        <v>38.5</v>
      </c>
      <c r="M3872">
        <v>252</v>
      </c>
      <c r="N3872">
        <v>26</v>
      </c>
      <c r="O3872">
        <v>9</v>
      </c>
      <c r="P3872">
        <v>1</v>
      </c>
    </row>
    <row r="3873" spans="1:16" x14ac:dyDescent="0.25">
      <c r="A3873" s="4">
        <v>45068</v>
      </c>
      <c r="B3873" t="s">
        <v>9</v>
      </c>
      <c r="C3873">
        <v>1</v>
      </c>
      <c r="F3873">
        <v>100</v>
      </c>
      <c r="J3873">
        <v>0.33656174334140437</v>
      </c>
      <c r="K3873">
        <v>13.9</v>
      </c>
      <c r="L3873">
        <v>41.3</v>
      </c>
      <c r="M3873">
        <v>67</v>
      </c>
      <c r="N3873">
        <v>7</v>
      </c>
      <c r="O3873">
        <v>3</v>
      </c>
      <c r="P3873">
        <v>1</v>
      </c>
    </row>
    <row r="3874" spans="1:16" x14ac:dyDescent="0.25">
      <c r="A3874" s="4">
        <v>45069</v>
      </c>
      <c r="B3874" t="s">
        <v>10</v>
      </c>
      <c r="C3874">
        <v>1</v>
      </c>
      <c r="F3874">
        <v>400</v>
      </c>
      <c r="J3874">
        <v>1.3736263736263736</v>
      </c>
      <c r="K3874">
        <v>50</v>
      </c>
      <c r="L3874">
        <v>36.4</v>
      </c>
      <c r="M3874">
        <v>289</v>
      </c>
      <c r="N3874">
        <v>37</v>
      </c>
      <c r="O3874">
        <v>7</v>
      </c>
    </row>
    <row r="3875" spans="1:16" x14ac:dyDescent="0.25">
      <c r="A3875" s="4">
        <v>45069</v>
      </c>
      <c r="B3875" t="s">
        <v>9</v>
      </c>
      <c r="C3875">
        <v>1</v>
      </c>
      <c r="F3875">
        <v>90</v>
      </c>
      <c r="J3875">
        <v>0.29503916449086165</v>
      </c>
      <c r="K3875">
        <v>11.3</v>
      </c>
      <c r="L3875">
        <v>38.299999999999997</v>
      </c>
      <c r="M3875">
        <v>76</v>
      </c>
      <c r="N3875">
        <v>7</v>
      </c>
    </row>
    <row r="3876" spans="1:16" x14ac:dyDescent="0.25">
      <c r="A3876" s="4">
        <v>45070</v>
      </c>
      <c r="B3876" t="s">
        <v>10</v>
      </c>
      <c r="C3876">
        <v>1</v>
      </c>
      <c r="F3876">
        <v>436</v>
      </c>
      <c r="J3876">
        <v>1.2975871313672922</v>
      </c>
      <c r="K3876">
        <v>48.4</v>
      </c>
      <c r="L3876">
        <v>37.299999999999997</v>
      </c>
      <c r="M3876">
        <v>311</v>
      </c>
      <c r="N3876">
        <v>28</v>
      </c>
      <c r="O3876">
        <v>9</v>
      </c>
      <c r="P3876">
        <v>3</v>
      </c>
    </row>
    <row r="3877" spans="1:16" x14ac:dyDescent="0.25">
      <c r="A3877" s="4">
        <v>45070</v>
      </c>
      <c r="B3877" t="s">
        <v>9</v>
      </c>
      <c r="C3877">
        <v>1</v>
      </c>
      <c r="F3877">
        <v>98</v>
      </c>
      <c r="J3877">
        <v>0.29380053908355797</v>
      </c>
      <c r="K3877">
        <v>10.9</v>
      </c>
      <c r="L3877">
        <v>37.1</v>
      </c>
      <c r="M3877">
        <v>78</v>
      </c>
      <c r="N3877">
        <v>8</v>
      </c>
      <c r="O3877">
        <v>1</v>
      </c>
    </row>
    <row r="3878" spans="1:16" x14ac:dyDescent="0.25">
      <c r="A3878" s="4">
        <v>45071</v>
      </c>
      <c r="B3878" t="s">
        <v>10</v>
      </c>
      <c r="C3878">
        <v>1</v>
      </c>
      <c r="F3878">
        <v>359</v>
      </c>
      <c r="J3878">
        <v>1.2506963788300836</v>
      </c>
      <c r="K3878">
        <v>44.9</v>
      </c>
      <c r="L3878">
        <v>35.9</v>
      </c>
      <c r="M3878">
        <v>258</v>
      </c>
      <c r="N3878">
        <v>25</v>
      </c>
      <c r="O3878">
        <v>7</v>
      </c>
      <c r="P3878">
        <v>2</v>
      </c>
    </row>
    <row r="3879" spans="1:16" x14ac:dyDescent="0.25">
      <c r="A3879" s="4">
        <v>45071</v>
      </c>
      <c r="B3879" t="s">
        <v>9</v>
      </c>
      <c r="C3879">
        <v>1</v>
      </c>
      <c r="F3879">
        <v>87</v>
      </c>
      <c r="J3879">
        <v>0.28835978835978837</v>
      </c>
      <c r="K3879">
        <v>10.9</v>
      </c>
      <c r="L3879">
        <v>37.799999999999997</v>
      </c>
      <c r="M3879">
        <v>71</v>
      </c>
      <c r="N3879">
        <v>8</v>
      </c>
    </row>
    <row r="3880" spans="1:16" x14ac:dyDescent="0.25">
      <c r="A3880" s="4">
        <v>45072</v>
      </c>
      <c r="B3880" t="s">
        <v>10</v>
      </c>
      <c r="C3880">
        <v>1</v>
      </c>
      <c r="F3880">
        <v>314</v>
      </c>
      <c r="J3880">
        <v>1.0977653631284916</v>
      </c>
      <c r="K3880">
        <v>39.299999999999997</v>
      </c>
      <c r="L3880">
        <v>35.799999999999997</v>
      </c>
      <c r="M3880">
        <v>241</v>
      </c>
      <c r="N3880">
        <v>17</v>
      </c>
      <c r="O3880">
        <v>4</v>
      </c>
    </row>
    <row r="3881" spans="1:16" x14ac:dyDescent="0.25">
      <c r="A3881" s="4">
        <v>45072</v>
      </c>
      <c r="B3881" t="s">
        <v>9</v>
      </c>
      <c r="C3881">
        <v>1</v>
      </c>
      <c r="F3881">
        <v>136</v>
      </c>
      <c r="J3881">
        <v>0.46831955922865015</v>
      </c>
      <c r="K3881">
        <v>17</v>
      </c>
      <c r="L3881">
        <v>36.299999999999997</v>
      </c>
      <c r="M3881">
        <v>122</v>
      </c>
      <c r="N3881">
        <v>7</v>
      </c>
    </row>
    <row r="3882" spans="1:16" x14ac:dyDescent="0.25">
      <c r="A3882" s="4">
        <v>45076</v>
      </c>
      <c r="B3882" t="s">
        <v>10</v>
      </c>
      <c r="C3882">
        <v>1</v>
      </c>
      <c r="F3882">
        <v>331</v>
      </c>
      <c r="J3882">
        <v>1.1342465753424658</v>
      </c>
      <c r="K3882">
        <v>41.4</v>
      </c>
      <c r="L3882">
        <v>36.5</v>
      </c>
      <c r="M3882">
        <v>250</v>
      </c>
      <c r="N3882">
        <v>24</v>
      </c>
      <c r="O3882">
        <v>2</v>
      </c>
      <c r="P3882">
        <v>1</v>
      </c>
    </row>
    <row r="3883" spans="1:16" x14ac:dyDescent="0.25">
      <c r="A3883" s="4">
        <v>45076</v>
      </c>
      <c r="B3883" t="s">
        <v>9</v>
      </c>
      <c r="C3883">
        <v>1</v>
      </c>
      <c r="F3883">
        <v>94</v>
      </c>
      <c r="J3883">
        <v>0.31550802139037437</v>
      </c>
      <c r="K3883">
        <v>11.8</v>
      </c>
      <c r="L3883">
        <v>37.4</v>
      </c>
      <c r="M3883">
        <v>77</v>
      </c>
      <c r="N3883">
        <v>5</v>
      </c>
      <c r="O3883">
        <v>2</v>
      </c>
    </row>
    <row r="3884" spans="1:16" x14ac:dyDescent="0.25">
      <c r="A3884" s="4">
        <v>45077</v>
      </c>
      <c r="B3884" t="s">
        <v>10</v>
      </c>
      <c r="C3884">
        <v>1</v>
      </c>
      <c r="F3884">
        <v>270</v>
      </c>
      <c r="J3884">
        <v>1.2386363636363635</v>
      </c>
      <c r="K3884">
        <v>43.6</v>
      </c>
      <c r="L3884">
        <v>35.200000000000003</v>
      </c>
      <c r="M3884">
        <v>212</v>
      </c>
      <c r="N3884">
        <v>18</v>
      </c>
      <c r="O3884">
        <v>4</v>
      </c>
    </row>
    <row r="3885" spans="1:16" x14ac:dyDescent="0.25">
      <c r="A3885" s="4">
        <v>45077</v>
      </c>
      <c r="B3885" t="s">
        <v>9</v>
      </c>
      <c r="C3885">
        <v>1</v>
      </c>
      <c r="F3885">
        <v>91</v>
      </c>
      <c r="J3885">
        <v>0.41504178272980502</v>
      </c>
      <c r="K3885">
        <v>14.9</v>
      </c>
      <c r="L3885">
        <v>35.9</v>
      </c>
      <c r="M3885">
        <v>80</v>
      </c>
      <c r="N3885">
        <v>4</v>
      </c>
      <c r="O3885">
        <v>1</v>
      </c>
    </row>
    <row r="3886" spans="1:16" x14ac:dyDescent="0.25">
      <c r="A3886" s="4">
        <v>45078</v>
      </c>
      <c r="B3886" t="s">
        <v>10</v>
      </c>
      <c r="C3886">
        <v>1</v>
      </c>
      <c r="F3886">
        <v>381</v>
      </c>
      <c r="J3886">
        <v>1.3522727272727273</v>
      </c>
      <c r="K3886">
        <v>47.6</v>
      </c>
      <c r="L3886">
        <v>35.200000000000003</v>
      </c>
      <c r="M3886">
        <v>302</v>
      </c>
      <c r="N3886">
        <v>20</v>
      </c>
      <c r="O3886">
        <v>6</v>
      </c>
      <c r="P3886">
        <v>1</v>
      </c>
    </row>
    <row r="3887" spans="1:16" x14ac:dyDescent="0.25">
      <c r="A3887" s="4">
        <v>45078</v>
      </c>
      <c r="B3887" t="s">
        <v>9</v>
      </c>
      <c r="C3887">
        <v>1</v>
      </c>
      <c r="F3887">
        <v>96</v>
      </c>
      <c r="J3887">
        <v>0.3174603174603175</v>
      </c>
      <c r="K3887">
        <v>12</v>
      </c>
      <c r="L3887">
        <v>37.799999999999997</v>
      </c>
      <c r="M3887">
        <v>87</v>
      </c>
      <c r="N3887">
        <v>2</v>
      </c>
      <c r="O3887">
        <v>1</v>
      </c>
    </row>
    <row r="3888" spans="1:16" x14ac:dyDescent="0.25">
      <c r="A3888" s="4">
        <v>45079</v>
      </c>
      <c r="B3888" t="s">
        <v>10</v>
      </c>
      <c r="C3888">
        <v>1</v>
      </c>
      <c r="F3888">
        <v>379</v>
      </c>
      <c r="J3888">
        <v>1.1662049861495845</v>
      </c>
      <c r="K3888">
        <v>42.1</v>
      </c>
      <c r="L3888">
        <v>36.1</v>
      </c>
      <c r="M3888">
        <v>276</v>
      </c>
      <c r="N3888">
        <v>28</v>
      </c>
      <c r="O3888">
        <v>8</v>
      </c>
      <c r="P3888">
        <v>1</v>
      </c>
    </row>
    <row r="3889" spans="1:16" x14ac:dyDescent="0.25">
      <c r="A3889" s="4">
        <v>45079</v>
      </c>
      <c r="B3889" t="s">
        <v>9</v>
      </c>
      <c r="C3889">
        <v>1</v>
      </c>
      <c r="F3889">
        <v>192</v>
      </c>
      <c r="J3889">
        <v>0.56951871657754016</v>
      </c>
      <c r="K3889">
        <v>21.3</v>
      </c>
      <c r="L3889">
        <v>37.4</v>
      </c>
      <c r="M3889">
        <v>162</v>
      </c>
      <c r="N3889">
        <v>5</v>
      </c>
      <c r="O3889">
        <v>6</v>
      </c>
    </row>
    <row r="3890" spans="1:16" x14ac:dyDescent="0.25">
      <c r="A3890" s="4">
        <v>45082</v>
      </c>
      <c r="B3890" t="s">
        <v>10</v>
      </c>
      <c r="C3890">
        <v>1</v>
      </c>
      <c r="F3890">
        <v>96</v>
      </c>
      <c r="J3890">
        <v>0.36944444444444446</v>
      </c>
      <c r="K3890">
        <v>13.3</v>
      </c>
      <c r="L3890">
        <v>36</v>
      </c>
      <c r="M3890">
        <v>70</v>
      </c>
      <c r="N3890">
        <v>8</v>
      </c>
      <c r="O3890">
        <v>3</v>
      </c>
    </row>
    <row r="3891" spans="1:16" x14ac:dyDescent="0.25">
      <c r="A3891" s="4">
        <v>45082</v>
      </c>
      <c r="B3891" t="s">
        <v>9</v>
      </c>
      <c r="C3891">
        <v>1</v>
      </c>
      <c r="F3891">
        <v>154</v>
      </c>
      <c r="J3891">
        <v>0.65271084337349394</v>
      </c>
      <c r="K3891">
        <v>21.67</v>
      </c>
      <c r="L3891">
        <v>33.200000000000003</v>
      </c>
      <c r="M3891">
        <v>126</v>
      </c>
      <c r="N3891">
        <v>9</v>
      </c>
      <c r="O3891">
        <v>3</v>
      </c>
    </row>
    <row r="3892" spans="1:16" x14ac:dyDescent="0.25">
      <c r="A3892" s="4">
        <v>45083</v>
      </c>
      <c r="B3892" t="s">
        <v>10</v>
      </c>
      <c r="C3892">
        <v>1</v>
      </c>
      <c r="F3892">
        <v>372</v>
      </c>
      <c r="J3892">
        <v>1.1323287671232876</v>
      </c>
      <c r="K3892">
        <v>41.33</v>
      </c>
      <c r="L3892">
        <v>36.5</v>
      </c>
      <c r="M3892">
        <v>274</v>
      </c>
      <c r="N3892">
        <v>23</v>
      </c>
      <c r="O3892">
        <v>8</v>
      </c>
      <c r="P3892">
        <v>1</v>
      </c>
    </row>
    <row r="3893" spans="1:16" x14ac:dyDescent="0.25">
      <c r="A3893" s="4">
        <v>45083</v>
      </c>
      <c r="B3893" t="s">
        <v>9</v>
      </c>
      <c r="C3893">
        <v>1</v>
      </c>
      <c r="F3893">
        <v>170</v>
      </c>
      <c r="J3893">
        <v>0.51331521739130437</v>
      </c>
      <c r="K3893">
        <v>18.89</v>
      </c>
      <c r="L3893">
        <v>36.799999999999997</v>
      </c>
      <c r="M3893">
        <v>153</v>
      </c>
      <c r="N3893">
        <v>5</v>
      </c>
      <c r="O3893">
        <v>2</v>
      </c>
    </row>
    <row r="3894" spans="1:16" x14ac:dyDescent="0.25">
      <c r="A3894" s="4">
        <v>45084</v>
      </c>
      <c r="B3894" t="s">
        <v>10</v>
      </c>
      <c r="C3894">
        <v>1</v>
      </c>
      <c r="F3894">
        <v>330</v>
      </c>
      <c r="J3894">
        <v>1.2353099730458219</v>
      </c>
      <c r="K3894">
        <v>45.83</v>
      </c>
      <c r="L3894">
        <v>37.1</v>
      </c>
      <c r="M3894">
        <v>232</v>
      </c>
      <c r="N3894">
        <v>14</v>
      </c>
      <c r="O3894">
        <v>12</v>
      </c>
      <c r="P3894">
        <v>1</v>
      </c>
    </row>
    <row r="3895" spans="1:16" x14ac:dyDescent="0.25">
      <c r="A3895" s="4">
        <v>45084</v>
      </c>
      <c r="B3895" t="s">
        <v>9</v>
      </c>
      <c r="C3895">
        <v>1</v>
      </c>
      <c r="F3895">
        <v>164</v>
      </c>
      <c r="J3895">
        <v>0.62410958904109592</v>
      </c>
      <c r="K3895">
        <v>22.78</v>
      </c>
      <c r="L3895">
        <v>36.5</v>
      </c>
      <c r="M3895">
        <v>130</v>
      </c>
      <c r="N3895">
        <v>13</v>
      </c>
      <c r="O3895">
        <v>2</v>
      </c>
    </row>
    <row r="3896" spans="1:16" x14ac:dyDescent="0.25">
      <c r="A3896" s="4">
        <v>45085</v>
      </c>
      <c r="B3896" t="s">
        <v>10</v>
      </c>
      <c r="C3896">
        <v>1</v>
      </c>
      <c r="F3896">
        <v>302</v>
      </c>
      <c r="J3896">
        <v>1.2051724137931035</v>
      </c>
      <c r="K3896">
        <v>41.94</v>
      </c>
      <c r="L3896">
        <v>34.799999999999997</v>
      </c>
      <c r="M3896">
        <v>231</v>
      </c>
      <c r="N3896">
        <v>24</v>
      </c>
      <c r="O3896">
        <v>2</v>
      </c>
    </row>
    <row r="3897" spans="1:16" x14ac:dyDescent="0.25">
      <c r="A3897" s="4">
        <v>45085</v>
      </c>
      <c r="B3897" t="s">
        <v>9</v>
      </c>
      <c r="C3897">
        <v>1</v>
      </c>
      <c r="F3897">
        <v>150</v>
      </c>
      <c r="J3897">
        <v>0.58511235955056173</v>
      </c>
      <c r="K3897">
        <v>20.83</v>
      </c>
      <c r="L3897">
        <v>35.6</v>
      </c>
      <c r="M3897">
        <v>136</v>
      </c>
      <c r="N3897">
        <v>7</v>
      </c>
    </row>
    <row r="3898" spans="1:16" x14ac:dyDescent="0.25">
      <c r="A3898" s="4">
        <v>45086</v>
      </c>
      <c r="B3898" t="s">
        <v>10</v>
      </c>
      <c r="C3898">
        <v>1</v>
      </c>
      <c r="F3898">
        <v>305</v>
      </c>
      <c r="J3898">
        <v>1.1701657458563535</v>
      </c>
      <c r="K3898">
        <v>42.36</v>
      </c>
      <c r="L3898">
        <v>36.200000000000003</v>
      </c>
      <c r="M3898">
        <v>240</v>
      </c>
      <c r="N3898">
        <v>13</v>
      </c>
      <c r="O3898">
        <v>6</v>
      </c>
      <c r="P3898">
        <v>1</v>
      </c>
    </row>
    <row r="3899" spans="1:16" x14ac:dyDescent="0.25">
      <c r="A3899" s="4">
        <v>45086</v>
      </c>
      <c r="B3899" t="s">
        <v>9</v>
      </c>
      <c r="C3899">
        <v>1</v>
      </c>
      <c r="F3899">
        <v>135</v>
      </c>
      <c r="J3899">
        <v>0.48701298701298701</v>
      </c>
      <c r="K3899">
        <v>18.75</v>
      </c>
      <c r="L3899">
        <v>38.5</v>
      </c>
      <c r="M3899">
        <v>109</v>
      </c>
      <c r="N3899">
        <v>6</v>
      </c>
      <c r="O3899">
        <v>3</v>
      </c>
    </row>
    <row r="3900" spans="1:16" x14ac:dyDescent="0.25">
      <c r="A3900" s="4">
        <v>45089</v>
      </c>
      <c r="B3900" t="s">
        <v>10</v>
      </c>
      <c r="C3900">
        <v>1</v>
      </c>
      <c r="F3900">
        <v>323</v>
      </c>
      <c r="J3900">
        <v>1.2223433242506812</v>
      </c>
      <c r="K3900">
        <v>44.86</v>
      </c>
      <c r="L3900">
        <v>36.700000000000003</v>
      </c>
      <c r="M3900">
        <v>226</v>
      </c>
      <c r="N3900">
        <v>18</v>
      </c>
      <c r="O3900">
        <v>8</v>
      </c>
      <c r="P3900">
        <v>2</v>
      </c>
    </row>
    <row r="3901" spans="1:16" x14ac:dyDescent="0.25">
      <c r="A3901" s="4">
        <v>45089</v>
      </c>
      <c r="B3901" t="s">
        <v>9</v>
      </c>
      <c r="C3901">
        <v>1</v>
      </c>
      <c r="F3901">
        <v>135</v>
      </c>
      <c r="J3901">
        <v>0.52966101694915257</v>
      </c>
      <c r="K3901">
        <v>18.75</v>
      </c>
      <c r="L3901">
        <v>35.4</v>
      </c>
      <c r="M3901">
        <v>129</v>
      </c>
      <c r="N3901">
        <v>3</v>
      </c>
    </row>
    <row r="3902" spans="1:16" x14ac:dyDescent="0.25">
      <c r="A3902" s="4">
        <v>45090</v>
      </c>
      <c r="B3902" t="s">
        <v>10</v>
      </c>
      <c r="C3902">
        <v>1</v>
      </c>
      <c r="F3902">
        <v>316</v>
      </c>
      <c r="J3902">
        <v>1.2249999999999999</v>
      </c>
      <c r="K3902">
        <v>43.61</v>
      </c>
      <c r="L3902">
        <v>35.6</v>
      </c>
      <c r="M3902">
        <v>249</v>
      </c>
      <c r="N3902">
        <v>17</v>
      </c>
      <c r="O3902">
        <v>3</v>
      </c>
    </row>
    <row r="3903" spans="1:16" x14ac:dyDescent="0.25">
      <c r="A3903" s="4">
        <v>45090</v>
      </c>
      <c r="B3903" t="s">
        <v>9</v>
      </c>
      <c r="C3903">
        <v>1</v>
      </c>
      <c r="F3903">
        <v>125</v>
      </c>
      <c r="J3903">
        <v>0.49718670076726346</v>
      </c>
      <c r="K3903">
        <v>19.440000000000001</v>
      </c>
      <c r="L3903">
        <v>39.1</v>
      </c>
      <c r="M3903">
        <v>104</v>
      </c>
      <c r="N3903">
        <v>5</v>
      </c>
      <c r="O3903">
        <v>3</v>
      </c>
    </row>
    <row r="3904" spans="1:16" x14ac:dyDescent="0.25">
      <c r="A3904" s="4">
        <v>45091</v>
      </c>
      <c r="B3904" t="s">
        <v>10</v>
      </c>
      <c r="C3904">
        <v>1</v>
      </c>
      <c r="F3904">
        <v>314</v>
      </c>
      <c r="J3904">
        <v>1.2157894736842105</v>
      </c>
      <c r="K3904">
        <v>43.89</v>
      </c>
      <c r="L3904">
        <v>36.1</v>
      </c>
      <c r="M3904">
        <v>242</v>
      </c>
      <c r="N3904">
        <v>13</v>
      </c>
      <c r="O3904">
        <v>8</v>
      </c>
    </row>
    <row r="3905" spans="1:16" x14ac:dyDescent="0.25">
      <c r="A3905" s="4">
        <v>45091</v>
      </c>
      <c r="B3905" t="s">
        <v>9</v>
      </c>
      <c r="C3905">
        <v>1</v>
      </c>
      <c r="F3905">
        <v>119</v>
      </c>
      <c r="J3905">
        <v>0.46666666666666662</v>
      </c>
      <c r="K3905">
        <v>17.36</v>
      </c>
      <c r="L3905">
        <v>37.200000000000003</v>
      </c>
      <c r="M3905">
        <v>109</v>
      </c>
      <c r="N3905">
        <v>5</v>
      </c>
    </row>
    <row r="3906" spans="1:16" x14ac:dyDescent="0.25">
      <c r="A3906" s="4">
        <v>45092</v>
      </c>
      <c r="B3906" t="s">
        <v>10</v>
      </c>
      <c r="C3906">
        <v>1</v>
      </c>
      <c r="F3906">
        <v>309</v>
      </c>
      <c r="J3906">
        <v>1.2113888888888888</v>
      </c>
      <c r="K3906">
        <v>43.61</v>
      </c>
      <c r="L3906">
        <v>36</v>
      </c>
      <c r="M3906">
        <v>221</v>
      </c>
      <c r="N3906">
        <v>23</v>
      </c>
      <c r="O3906">
        <v>7</v>
      </c>
      <c r="P3906">
        <v>1</v>
      </c>
    </row>
    <row r="3907" spans="1:16" x14ac:dyDescent="0.25">
      <c r="A3907" s="4">
        <v>45092</v>
      </c>
      <c r="B3907" t="s">
        <v>9</v>
      </c>
      <c r="C3907">
        <v>1</v>
      </c>
      <c r="F3907">
        <v>166</v>
      </c>
      <c r="J3907">
        <v>0.46563380281690142</v>
      </c>
      <c r="K3907">
        <v>16.53</v>
      </c>
      <c r="L3907">
        <v>35.5</v>
      </c>
      <c r="M3907">
        <v>152</v>
      </c>
      <c r="N3907">
        <v>7</v>
      </c>
    </row>
    <row r="3908" spans="1:16" x14ac:dyDescent="0.25">
      <c r="A3908" s="4">
        <v>45093</v>
      </c>
      <c r="B3908" t="s">
        <v>10</v>
      </c>
      <c r="C3908">
        <v>1</v>
      </c>
      <c r="F3908">
        <v>314</v>
      </c>
      <c r="J3908">
        <v>0.98933717579250713</v>
      </c>
      <c r="K3908">
        <v>34.33</v>
      </c>
      <c r="L3908">
        <v>34.700000000000003</v>
      </c>
      <c r="M3908">
        <v>239</v>
      </c>
      <c r="N3908">
        <v>25</v>
      </c>
      <c r="O3908">
        <v>2</v>
      </c>
    </row>
    <row r="3909" spans="1:16" x14ac:dyDescent="0.25">
      <c r="A3909" s="4">
        <v>45093</v>
      </c>
      <c r="B3909" t="s">
        <v>9</v>
      </c>
      <c r="C3909">
        <v>1</v>
      </c>
      <c r="F3909">
        <v>140</v>
      </c>
      <c r="J3909">
        <v>0.49837837837837839</v>
      </c>
      <c r="K3909">
        <v>18.440000000000001</v>
      </c>
      <c r="L3909">
        <v>37</v>
      </c>
      <c r="M3909">
        <v>114</v>
      </c>
      <c r="N3909">
        <v>13</v>
      </c>
    </row>
    <row r="3910" spans="1:16" x14ac:dyDescent="0.25">
      <c r="A3910" s="4">
        <v>45096</v>
      </c>
      <c r="B3910" t="s">
        <v>10</v>
      </c>
      <c r="C3910">
        <v>1</v>
      </c>
      <c r="F3910">
        <v>308</v>
      </c>
      <c r="J3910">
        <v>1.2436046511627907</v>
      </c>
      <c r="K3910">
        <v>42.78</v>
      </c>
      <c r="L3910">
        <v>34.4</v>
      </c>
      <c r="M3910">
        <v>244</v>
      </c>
      <c r="N3910">
        <v>13</v>
      </c>
      <c r="O3910">
        <v>7</v>
      </c>
    </row>
    <row r="3911" spans="1:16" x14ac:dyDescent="0.25">
      <c r="A3911" s="4">
        <v>45096</v>
      </c>
      <c r="B3911" t="s">
        <v>9</v>
      </c>
      <c r="C3911">
        <v>1</v>
      </c>
      <c r="F3911">
        <v>115</v>
      </c>
      <c r="J3911">
        <v>0.44116022099447511</v>
      </c>
      <c r="K3911">
        <v>15.97</v>
      </c>
      <c r="L3911">
        <v>36.200000000000003</v>
      </c>
      <c r="M3911">
        <v>101</v>
      </c>
      <c r="N3911">
        <v>7</v>
      </c>
    </row>
    <row r="3912" spans="1:16" x14ac:dyDescent="0.25">
      <c r="A3912" s="4">
        <v>45097</v>
      </c>
      <c r="B3912" t="s">
        <v>10</v>
      </c>
      <c r="C3912">
        <v>1</v>
      </c>
      <c r="F3912">
        <v>373</v>
      </c>
      <c r="J3912">
        <v>1.102127659574468</v>
      </c>
      <c r="K3912">
        <v>41.44</v>
      </c>
      <c r="L3912">
        <v>37.6</v>
      </c>
      <c r="M3912">
        <v>260</v>
      </c>
      <c r="N3912">
        <v>25</v>
      </c>
      <c r="O3912">
        <v>8</v>
      </c>
      <c r="P3912">
        <v>2</v>
      </c>
    </row>
    <row r="3913" spans="1:16" x14ac:dyDescent="0.25">
      <c r="A3913" s="4">
        <v>45097</v>
      </c>
      <c r="B3913" t="s">
        <v>9</v>
      </c>
      <c r="C3913">
        <v>1</v>
      </c>
      <c r="F3913">
        <v>185</v>
      </c>
      <c r="J3913">
        <v>0.56639118457300275</v>
      </c>
      <c r="K3913">
        <v>20.56</v>
      </c>
      <c r="L3913">
        <v>36.299999999999997</v>
      </c>
      <c r="M3913">
        <v>159</v>
      </c>
      <c r="N3913">
        <v>7</v>
      </c>
      <c r="O3913">
        <v>1</v>
      </c>
      <c r="P3913">
        <v>1</v>
      </c>
    </row>
    <row r="3914" spans="1:16" x14ac:dyDescent="0.25">
      <c r="A3914" s="4">
        <v>45098</v>
      </c>
      <c r="B3914" t="s">
        <v>10</v>
      </c>
      <c r="C3914">
        <v>1</v>
      </c>
      <c r="F3914">
        <v>419</v>
      </c>
      <c r="J3914">
        <v>1.2252631578947368</v>
      </c>
      <c r="K3914">
        <v>46.56</v>
      </c>
      <c r="L3914">
        <v>38</v>
      </c>
      <c r="M3914">
        <v>260</v>
      </c>
      <c r="N3914">
        <v>25</v>
      </c>
      <c r="O3914">
        <v>22</v>
      </c>
      <c r="P3914">
        <v>2</v>
      </c>
    </row>
    <row r="3915" spans="1:16" x14ac:dyDescent="0.25">
      <c r="A3915" s="4">
        <v>45098</v>
      </c>
      <c r="B3915" t="s">
        <v>9</v>
      </c>
      <c r="C3915">
        <v>1</v>
      </c>
      <c r="F3915">
        <v>183</v>
      </c>
      <c r="J3915">
        <v>0.50698254364089768</v>
      </c>
      <c r="K3915">
        <v>20.329999999999998</v>
      </c>
      <c r="L3915">
        <v>40.1</v>
      </c>
      <c r="M3915">
        <v>136</v>
      </c>
      <c r="N3915">
        <v>7</v>
      </c>
      <c r="O3915">
        <v>3</v>
      </c>
      <c r="P3915">
        <v>3</v>
      </c>
    </row>
    <row r="3916" spans="1:16" x14ac:dyDescent="0.25">
      <c r="A3916" s="4">
        <v>45099</v>
      </c>
      <c r="B3916" t="s">
        <v>10</v>
      </c>
      <c r="C3916">
        <v>1</v>
      </c>
      <c r="F3916">
        <v>285</v>
      </c>
      <c r="J3916">
        <v>1.0933701657458563</v>
      </c>
      <c r="K3916">
        <v>39.58</v>
      </c>
      <c r="L3916">
        <v>36.200000000000003</v>
      </c>
      <c r="M3916">
        <v>207</v>
      </c>
      <c r="N3916">
        <v>17</v>
      </c>
      <c r="O3916">
        <v>9</v>
      </c>
    </row>
    <row r="3917" spans="1:16" x14ac:dyDescent="0.25">
      <c r="A3917" s="4">
        <v>45099</v>
      </c>
      <c r="B3917" t="s">
        <v>9</v>
      </c>
      <c r="C3917">
        <v>1</v>
      </c>
      <c r="F3917">
        <v>128</v>
      </c>
      <c r="J3917">
        <v>0.50655270655270657</v>
      </c>
      <c r="K3917">
        <v>17.78</v>
      </c>
      <c r="L3917">
        <v>35.1</v>
      </c>
      <c r="M3917">
        <v>106</v>
      </c>
      <c r="N3917">
        <v>8</v>
      </c>
      <c r="P3917">
        <v>1</v>
      </c>
    </row>
    <row r="3918" spans="1:16" x14ac:dyDescent="0.25">
      <c r="A3918" s="4">
        <v>45100</v>
      </c>
      <c r="B3918" t="s">
        <v>10</v>
      </c>
      <c r="C3918">
        <v>1</v>
      </c>
      <c r="F3918">
        <v>313</v>
      </c>
      <c r="J3918">
        <v>1.2455587392550143</v>
      </c>
      <c r="K3918">
        <v>43.47</v>
      </c>
      <c r="L3918">
        <v>34.9</v>
      </c>
      <c r="M3918">
        <v>255</v>
      </c>
      <c r="N3918">
        <v>16</v>
      </c>
      <c r="O3918">
        <v>3</v>
      </c>
    </row>
    <row r="3919" spans="1:16" x14ac:dyDescent="0.25">
      <c r="A3919" s="4">
        <v>45100</v>
      </c>
      <c r="B3919" t="s">
        <v>9</v>
      </c>
      <c r="C3919">
        <v>1</v>
      </c>
      <c r="F3919">
        <v>75</v>
      </c>
      <c r="J3919">
        <v>0.27135416666666667</v>
      </c>
      <c r="K3919">
        <v>10.42</v>
      </c>
      <c r="L3919">
        <v>38.4</v>
      </c>
      <c r="M3919">
        <v>71</v>
      </c>
      <c r="N3919">
        <v>2</v>
      </c>
    </row>
    <row r="3920" spans="1:16" x14ac:dyDescent="0.25">
      <c r="A3920" s="4">
        <v>45103</v>
      </c>
      <c r="B3920" t="s">
        <v>10</v>
      </c>
      <c r="C3920">
        <v>1</v>
      </c>
      <c r="F3920">
        <v>414</v>
      </c>
      <c r="J3920">
        <v>1.1979166666666667</v>
      </c>
      <c r="K3920">
        <v>46</v>
      </c>
      <c r="L3920">
        <v>38.4</v>
      </c>
      <c r="M3920">
        <v>254</v>
      </c>
      <c r="N3920">
        <v>26</v>
      </c>
      <c r="O3920">
        <v>17</v>
      </c>
      <c r="P3920">
        <v>4</v>
      </c>
    </row>
    <row r="3921" spans="1:16" x14ac:dyDescent="0.25">
      <c r="A3921" s="4">
        <v>45103</v>
      </c>
      <c r="B3921" t="s">
        <v>9</v>
      </c>
      <c r="C3921">
        <v>1</v>
      </c>
      <c r="F3921">
        <v>206</v>
      </c>
      <c r="J3921">
        <v>0.61040000000000005</v>
      </c>
      <c r="K3921">
        <v>22.89</v>
      </c>
      <c r="L3921">
        <v>37.5</v>
      </c>
      <c r="M3921">
        <v>161</v>
      </c>
      <c r="N3921">
        <v>11</v>
      </c>
      <c r="O3921">
        <v>4</v>
      </c>
      <c r="P3921">
        <v>1</v>
      </c>
    </row>
    <row r="3922" spans="1:16" x14ac:dyDescent="0.25">
      <c r="A3922" s="4">
        <v>45104</v>
      </c>
      <c r="B3922" t="s">
        <v>10</v>
      </c>
      <c r="C3922">
        <v>1</v>
      </c>
      <c r="F3922">
        <v>265</v>
      </c>
      <c r="J3922">
        <v>1.2105263157894735</v>
      </c>
      <c r="K3922">
        <v>41.4</v>
      </c>
      <c r="L3922">
        <v>34.200000000000003</v>
      </c>
      <c r="M3922">
        <v>223</v>
      </c>
      <c r="N3922">
        <v>11</v>
      </c>
      <c r="O3922">
        <v>1</v>
      </c>
      <c r="P3922">
        <v>1</v>
      </c>
    </row>
    <row r="3923" spans="1:16" x14ac:dyDescent="0.25">
      <c r="A3923" s="4">
        <v>45104</v>
      </c>
      <c r="B3923" t="s">
        <v>9</v>
      </c>
      <c r="C3923">
        <v>1</v>
      </c>
      <c r="F3923">
        <v>111</v>
      </c>
      <c r="J3923">
        <v>0.54447439353099725</v>
      </c>
      <c r="K3923">
        <v>20.2</v>
      </c>
      <c r="L3923">
        <v>37.1</v>
      </c>
      <c r="M3923">
        <v>94</v>
      </c>
      <c r="N3923">
        <v>4</v>
      </c>
      <c r="O3923">
        <v>3</v>
      </c>
    </row>
    <row r="3924" spans="1:16" x14ac:dyDescent="0.25">
      <c r="A3924" s="4">
        <v>45105</v>
      </c>
      <c r="B3924" t="s">
        <v>10</v>
      </c>
      <c r="C3924">
        <v>1</v>
      </c>
      <c r="F3924">
        <v>294</v>
      </c>
      <c r="J3924">
        <v>1.2110817941952507</v>
      </c>
      <c r="K3924">
        <v>45.9</v>
      </c>
      <c r="L3924">
        <v>37.9</v>
      </c>
      <c r="M3924">
        <v>201</v>
      </c>
      <c r="N3924">
        <v>18</v>
      </c>
      <c r="O3924">
        <v>13</v>
      </c>
    </row>
    <row r="3925" spans="1:16" x14ac:dyDescent="0.25">
      <c r="A3925" s="4">
        <v>45105</v>
      </c>
      <c r="B3925" t="s">
        <v>9</v>
      </c>
      <c r="C3925">
        <v>1</v>
      </c>
      <c r="F3925">
        <v>112</v>
      </c>
      <c r="J3925">
        <v>0.47297297297297297</v>
      </c>
      <c r="K3925">
        <v>17.5</v>
      </c>
      <c r="L3925">
        <v>37</v>
      </c>
      <c r="M3925">
        <v>92</v>
      </c>
      <c r="N3925">
        <v>6</v>
      </c>
      <c r="O3925">
        <v>2</v>
      </c>
    </row>
    <row r="3926" spans="1:16" x14ac:dyDescent="0.25">
      <c r="A3926" s="4">
        <v>45106</v>
      </c>
      <c r="B3926" t="s">
        <v>10</v>
      </c>
      <c r="C3926">
        <v>1</v>
      </c>
      <c r="F3926">
        <v>381</v>
      </c>
      <c r="J3926">
        <v>1.1525885558583104</v>
      </c>
      <c r="K3926">
        <v>42.3</v>
      </c>
      <c r="L3926">
        <v>36.700000000000003</v>
      </c>
      <c r="M3926">
        <v>281</v>
      </c>
      <c r="N3926">
        <v>27</v>
      </c>
      <c r="O3926">
        <v>4</v>
      </c>
      <c r="P3926">
        <v>1</v>
      </c>
    </row>
    <row r="3927" spans="1:16" x14ac:dyDescent="0.25">
      <c r="A3927" s="4">
        <v>45106</v>
      </c>
      <c r="B3927" t="s">
        <v>9</v>
      </c>
      <c r="C3927">
        <v>1</v>
      </c>
      <c r="F3927">
        <v>202</v>
      </c>
      <c r="J3927">
        <v>0.62049861495844871</v>
      </c>
      <c r="K3927">
        <v>22.4</v>
      </c>
      <c r="L3927">
        <v>36.1</v>
      </c>
      <c r="M3927">
        <v>166</v>
      </c>
      <c r="N3927">
        <v>10</v>
      </c>
      <c r="O3927">
        <v>1</v>
      </c>
      <c r="P3927">
        <v>2</v>
      </c>
    </row>
    <row r="3928" spans="1:16" x14ac:dyDescent="0.25">
      <c r="A3928" s="4">
        <v>45107</v>
      </c>
      <c r="B3928" t="s">
        <v>10</v>
      </c>
      <c r="C3928">
        <v>1</v>
      </c>
      <c r="F3928">
        <v>254</v>
      </c>
      <c r="J3928">
        <v>1.0114613180515759</v>
      </c>
      <c r="K3928">
        <v>35.299999999999997</v>
      </c>
      <c r="L3928">
        <v>34.9</v>
      </c>
      <c r="M3928">
        <v>192</v>
      </c>
      <c r="N3928">
        <v>22</v>
      </c>
      <c r="P3928">
        <v>2</v>
      </c>
    </row>
    <row r="3929" spans="1:16" x14ac:dyDescent="0.25">
      <c r="A3929" s="4">
        <v>45107</v>
      </c>
      <c r="B3929" t="s">
        <v>9</v>
      </c>
      <c r="C3929">
        <v>1</v>
      </c>
      <c r="F3929">
        <v>145</v>
      </c>
      <c r="J3929">
        <v>0.55068493150684938</v>
      </c>
      <c r="K3929">
        <v>20.100000000000001</v>
      </c>
      <c r="L3929">
        <v>36.5</v>
      </c>
      <c r="M3929">
        <v>116</v>
      </c>
      <c r="N3929">
        <v>8</v>
      </c>
      <c r="O3929">
        <v>2</v>
      </c>
      <c r="P3929">
        <v>1</v>
      </c>
    </row>
    <row r="3930" spans="1:16" x14ac:dyDescent="0.25">
      <c r="A3930" s="4">
        <v>45112</v>
      </c>
      <c r="B3930" t="s">
        <v>10</v>
      </c>
      <c r="C3930">
        <v>1</v>
      </c>
      <c r="F3930">
        <v>356</v>
      </c>
      <c r="J3930">
        <v>1.0849315068493151</v>
      </c>
      <c r="K3930">
        <v>39.6</v>
      </c>
      <c r="L3930">
        <v>36.5</v>
      </c>
      <c r="M3930">
        <v>251</v>
      </c>
      <c r="N3930">
        <v>30</v>
      </c>
      <c r="O3930">
        <v>4</v>
      </c>
      <c r="P3930">
        <v>1</v>
      </c>
    </row>
    <row r="3931" spans="1:16" x14ac:dyDescent="0.25">
      <c r="A3931" s="4">
        <v>45112</v>
      </c>
      <c r="B3931" t="s">
        <v>9</v>
      </c>
      <c r="C3931">
        <v>1</v>
      </c>
      <c r="F3931">
        <v>157</v>
      </c>
      <c r="J3931">
        <v>0.47671232876712327</v>
      </c>
      <c r="K3931">
        <v>17.399999999999999</v>
      </c>
      <c r="L3931">
        <v>36.5</v>
      </c>
      <c r="M3931">
        <v>131</v>
      </c>
      <c r="N3931">
        <v>6</v>
      </c>
      <c r="O3931">
        <v>4</v>
      </c>
    </row>
    <row r="3932" spans="1:16" x14ac:dyDescent="0.25">
      <c r="A3932" s="4">
        <v>45113</v>
      </c>
      <c r="B3932" t="s">
        <v>10</v>
      </c>
      <c r="C3932">
        <v>1</v>
      </c>
      <c r="F3932">
        <v>279</v>
      </c>
      <c r="J3932">
        <v>1.074792243767313</v>
      </c>
      <c r="K3932">
        <v>38.799999999999997</v>
      </c>
      <c r="L3932">
        <v>36.1</v>
      </c>
      <c r="M3932">
        <v>210</v>
      </c>
      <c r="N3932">
        <v>17</v>
      </c>
      <c r="O3932">
        <v>6</v>
      </c>
    </row>
    <row r="3933" spans="1:16" x14ac:dyDescent="0.25">
      <c r="A3933" s="4">
        <v>45113</v>
      </c>
      <c r="B3933" t="s">
        <v>9</v>
      </c>
      <c r="C3933">
        <v>1</v>
      </c>
      <c r="F3933">
        <v>112</v>
      </c>
      <c r="J3933">
        <v>0.49002849002848997</v>
      </c>
      <c r="K3933">
        <v>17.2</v>
      </c>
      <c r="L3933">
        <v>35.1</v>
      </c>
      <c r="M3933">
        <v>98</v>
      </c>
      <c r="N3933">
        <v>7</v>
      </c>
    </row>
    <row r="3934" spans="1:16" x14ac:dyDescent="0.25">
      <c r="A3934" s="4">
        <v>45114</v>
      </c>
      <c r="B3934" t="s">
        <v>10</v>
      </c>
      <c r="C3934">
        <v>1</v>
      </c>
      <c r="F3934">
        <v>300</v>
      </c>
      <c r="J3934">
        <v>1.2086956521739132</v>
      </c>
      <c r="K3934">
        <v>41.7</v>
      </c>
      <c r="L3934">
        <v>34.5</v>
      </c>
      <c r="M3934">
        <v>236</v>
      </c>
      <c r="N3934">
        <v>19</v>
      </c>
      <c r="O3934">
        <v>1</v>
      </c>
    </row>
    <row r="3935" spans="1:16" x14ac:dyDescent="0.25">
      <c r="A3935" s="4">
        <v>45114</v>
      </c>
      <c r="B3935" t="s">
        <v>9</v>
      </c>
      <c r="C3935">
        <v>1</v>
      </c>
      <c r="F3935">
        <v>120</v>
      </c>
      <c r="J3935">
        <v>0.46132596685082866</v>
      </c>
      <c r="K3935">
        <v>16.7</v>
      </c>
      <c r="L3935">
        <v>36.200000000000003</v>
      </c>
      <c r="M3935">
        <v>96</v>
      </c>
      <c r="N3935">
        <v>12</v>
      </c>
    </row>
    <row r="3936" spans="1:16" x14ac:dyDescent="0.25">
      <c r="A3936" s="4">
        <v>45117</v>
      </c>
      <c r="B3936" t="s">
        <v>10</v>
      </c>
      <c r="C3936">
        <v>1</v>
      </c>
      <c r="F3936">
        <v>325</v>
      </c>
      <c r="J3936">
        <v>1.2123655913978495</v>
      </c>
      <c r="K3936">
        <v>45.1</v>
      </c>
      <c r="L3936">
        <v>37.200000000000003</v>
      </c>
      <c r="M3936">
        <v>228</v>
      </c>
      <c r="N3936">
        <v>24</v>
      </c>
      <c r="O3936">
        <v>3</v>
      </c>
      <c r="P3936">
        <v>3</v>
      </c>
    </row>
    <row r="3937" spans="1:16" x14ac:dyDescent="0.25">
      <c r="A3937" s="4">
        <v>45117</v>
      </c>
      <c r="B3937" t="s">
        <v>9</v>
      </c>
      <c r="C3937">
        <v>1</v>
      </c>
      <c r="F3937">
        <v>107</v>
      </c>
      <c r="J3937">
        <v>0.40489130434782611</v>
      </c>
      <c r="K3937">
        <v>14.9</v>
      </c>
      <c r="L3937">
        <v>36.799999999999997</v>
      </c>
      <c r="M3937">
        <v>96</v>
      </c>
      <c r="N3937">
        <v>4</v>
      </c>
      <c r="O3937">
        <v>1</v>
      </c>
    </row>
    <row r="3938" spans="1:16" x14ac:dyDescent="0.25">
      <c r="A3938" s="4">
        <v>45118</v>
      </c>
      <c r="B3938" t="s">
        <v>10</v>
      </c>
      <c r="C3938">
        <v>1</v>
      </c>
      <c r="F3938">
        <v>392</v>
      </c>
      <c r="J3938">
        <v>1.1945205479452055</v>
      </c>
      <c r="K3938">
        <v>43.6</v>
      </c>
      <c r="L3938">
        <v>36.5</v>
      </c>
      <c r="M3938">
        <v>297</v>
      </c>
      <c r="N3938">
        <v>23</v>
      </c>
      <c r="O3938">
        <v>9</v>
      </c>
    </row>
    <row r="3939" spans="1:16" x14ac:dyDescent="0.25">
      <c r="A3939" s="4">
        <v>45118</v>
      </c>
      <c r="B3939" t="s">
        <v>9</v>
      </c>
      <c r="C3939">
        <v>1</v>
      </c>
      <c r="F3939">
        <v>143</v>
      </c>
      <c r="J3939">
        <v>0.42513368983957223</v>
      </c>
      <c r="K3939">
        <v>15.9</v>
      </c>
      <c r="L3939">
        <v>37.4</v>
      </c>
      <c r="M3939">
        <v>119</v>
      </c>
      <c r="N3939">
        <v>6</v>
      </c>
      <c r="O3939">
        <v>4</v>
      </c>
    </row>
    <row r="3940" spans="1:16" x14ac:dyDescent="0.25">
      <c r="A3940" s="4">
        <v>45119</v>
      </c>
      <c r="B3940" t="s">
        <v>10</v>
      </c>
      <c r="C3940">
        <v>1</v>
      </c>
      <c r="F3940">
        <v>312</v>
      </c>
      <c r="J3940">
        <v>1.1863013698630136</v>
      </c>
      <c r="K3940">
        <v>43.3</v>
      </c>
      <c r="L3940">
        <v>36.5</v>
      </c>
      <c r="M3940">
        <v>242</v>
      </c>
      <c r="N3940">
        <v>19</v>
      </c>
      <c r="O3940">
        <v>3</v>
      </c>
    </row>
    <row r="3941" spans="1:16" x14ac:dyDescent="0.25">
      <c r="A3941" s="4">
        <v>45119</v>
      </c>
      <c r="B3941" t="s">
        <v>9</v>
      </c>
      <c r="C3941">
        <v>1</v>
      </c>
      <c r="F3941">
        <v>104</v>
      </c>
      <c r="J3941">
        <v>0.39779005524861877</v>
      </c>
      <c r="K3941">
        <v>14.4</v>
      </c>
      <c r="L3941">
        <v>36.200000000000003</v>
      </c>
      <c r="M3941">
        <v>88</v>
      </c>
      <c r="N3941">
        <v>8</v>
      </c>
    </row>
    <row r="3942" spans="1:16" x14ac:dyDescent="0.25">
      <c r="A3942" s="4">
        <v>45120</v>
      </c>
      <c r="B3942" t="s">
        <v>10</v>
      </c>
      <c r="C3942">
        <v>1</v>
      </c>
      <c r="F3942">
        <v>407</v>
      </c>
      <c r="J3942">
        <v>1.2117962466487937</v>
      </c>
      <c r="K3942">
        <v>45.2</v>
      </c>
      <c r="L3942">
        <v>37.299999999999997</v>
      </c>
      <c r="M3942">
        <v>269</v>
      </c>
      <c r="N3942">
        <v>34</v>
      </c>
      <c r="O3942">
        <v>9</v>
      </c>
      <c r="P3942">
        <v>2</v>
      </c>
    </row>
    <row r="3943" spans="1:16" x14ac:dyDescent="0.25">
      <c r="A3943" s="4">
        <v>45120</v>
      </c>
      <c r="B3943" t="s">
        <v>9</v>
      </c>
      <c r="C3943">
        <v>1</v>
      </c>
      <c r="F3943">
        <v>94</v>
      </c>
      <c r="J3943">
        <v>0.28260869565217395</v>
      </c>
      <c r="K3943">
        <v>10.4</v>
      </c>
      <c r="L3943">
        <v>36.799999999999997</v>
      </c>
      <c r="M3943">
        <v>79</v>
      </c>
      <c r="N3943">
        <v>6</v>
      </c>
      <c r="O3943">
        <v>1</v>
      </c>
    </row>
    <row r="3944" spans="1:16" x14ac:dyDescent="0.25">
      <c r="A3944" s="4">
        <v>45121</v>
      </c>
      <c r="B3944" t="s">
        <v>10</v>
      </c>
      <c r="C3944">
        <v>1</v>
      </c>
      <c r="F3944">
        <v>244</v>
      </c>
      <c r="J3944">
        <v>0.71883289124668437</v>
      </c>
      <c r="K3944">
        <v>27.1</v>
      </c>
      <c r="L3944">
        <v>37.700000000000003</v>
      </c>
      <c r="M3944">
        <v>167</v>
      </c>
      <c r="N3944">
        <v>20</v>
      </c>
      <c r="O3944">
        <v>6</v>
      </c>
    </row>
    <row r="3945" spans="1:16" x14ac:dyDescent="0.25">
      <c r="A3945" s="4">
        <v>45121</v>
      </c>
      <c r="B3945" t="s">
        <v>9</v>
      </c>
      <c r="C3945">
        <v>1</v>
      </c>
      <c r="F3945">
        <v>150</v>
      </c>
      <c r="J3945">
        <v>0.446524064171123</v>
      </c>
      <c r="K3945">
        <v>16.7</v>
      </c>
      <c r="L3945">
        <v>37.4</v>
      </c>
      <c r="M3945">
        <v>119</v>
      </c>
      <c r="N3945">
        <v>7</v>
      </c>
      <c r="O3945">
        <v>5</v>
      </c>
    </row>
    <row r="3946" spans="1:16" x14ac:dyDescent="0.25">
      <c r="A3946" s="4">
        <v>45124</v>
      </c>
      <c r="B3946" t="s">
        <v>10</v>
      </c>
      <c r="C3946">
        <v>1</v>
      </c>
      <c r="F3946">
        <v>370</v>
      </c>
      <c r="J3946">
        <v>1.081</v>
      </c>
      <c r="K3946">
        <v>41.1</v>
      </c>
      <c r="L3946">
        <v>38.1</v>
      </c>
      <c r="M3946">
        <v>231</v>
      </c>
      <c r="N3946">
        <v>34</v>
      </c>
      <c r="O3946">
        <v>13</v>
      </c>
      <c r="P3946">
        <v>1</v>
      </c>
    </row>
    <row r="3947" spans="1:16" x14ac:dyDescent="0.25">
      <c r="A3947" s="4">
        <v>45124</v>
      </c>
      <c r="B3947" t="s">
        <v>9</v>
      </c>
      <c r="C3947">
        <v>1</v>
      </c>
      <c r="F3947">
        <v>108</v>
      </c>
      <c r="J3947">
        <v>0.32600000000000001</v>
      </c>
      <c r="K3947">
        <v>12</v>
      </c>
      <c r="L3947">
        <v>36.799999999999997</v>
      </c>
      <c r="M3947">
        <v>97</v>
      </c>
      <c r="O3947">
        <v>1</v>
      </c>
      <c r="P3947">
        <v>1</v>
      </c>
    </row>
    <row r="3948" spans="1:16" x14ac:dyDescent="0.25">
      <c r="A3948" s="4">
        <v>45125</v>
      </c>
      <c r="B3948" t="s">
        <v>10</v>
      </c>
      <c r="C3948">
        <v>1</v>
      </c>
      <c r="F3948">
        <v>281</v>
      </c>
      <c r="J3948">
        <v>0.83299999999999996</v>
      </c>
      <c r="K3948">
        <v>32.299999999999997</v>
      </c>
      <c r="L3948">
        <v>38.799999999999997</v>
      </c>
      <c r="M3948">
        <v>181</v>
      </c>
      <c r="N3948">
        <v>26</v>
      </c>
      <c r="O3948">
        <v>6</v>
      </c>
      <c r="P3948">
        <v>1</v>
      </c>
    </row>
    <row r="3949" spans="1:16" x14ac:dyDescent="0.25">
      <c r="A3949" s="4">
        <v>45125</v>
      </c>
      <c r="B3949" t="s">
        <v>9</v>
      </c>
      <c r="C3949">
        <v>1</v>
      </c>
      <c r="F3949">
        <v>141</v>
      </c>
      <c r="J3949">
        <v>0.46100000000000002</v>
      </c>
      <c r="K3949">
        <v>16.2</v>
      </c>
      <c r="L3949">
        <v>35.1</v>
      </c>
      <c r="M3949">
        <v>125</v>
      </c>
      <c r="N3949">
        <v>6</v>
      </c>
      <c r="O3949">
        <v>1</v>
      </c>
    </row>
    <row r="3950" spans="1:16" x14ac:dyDescent="0.25">
      <c r="A3950" s="4">
        <v>45126</v>
      </c>
      <c r="B3950" t="s">
        <v>10</v>
      </c>
      <c r="C3950">
        <v>1</v>
      </c>
      <c r="F3950">
        <v>421</v>
      </c>
      <c r="J3950">
        <v>1.335</v>
      </c>
      <c r="K3950">
        <v>48.4</v>
      </c>
      <c r="L3950">
        <v>36.299999999999997</v>
      </c>
      <c r="M3950">
        <v>302</v>
      </c>
      <c r="N3950">
        <v>35</v>
      </c>
      <c r="O3950">
        <v>5</v>
      </c>
      <c r="P3950">
        <v>1</v>
      </c>
    </row>
    <row r="3951" spans="1:16" x14ac:dyDescent="0.25">
      <c r="A3951" s="4">
        <v>45126</v>
      </c>
      <c r="B3951" t="s">
        <v>9</v>
      </c>
      <c r="C3951">
        <v>1</v>
      </c>
      <c r="F3951">
        <v>122</v>
      </c>
      <c r="J3951">
        <v>0.379</v>
      </c>
      <c r="K3951">
        <v>14</v>
      </c>
      <c r="L3951">
        <v>37</v>
      </c>
      <c r="M3951">
        <v>89</v>
      </c>
      <c r="N3951">
        <v>10</v>
      </c>
      <c r="O3951">
        <v>4</v>
      </c>
    </row>
    <row r="3952" spans="1:16" x14ac:dyDescent="0.25">
      <c r="A3952" s="4">
        <v>45127</v>
      </c>
      <c r="B3952" t="s">
        <v>10</v>
      </c>
      <c r="C3952">
        <v>1</v>
      </c>
      <c r="F3952">
        <v>356</v>
      </c>
      <c r="J3952">
        <v>1.0760000000000001</v>
      </c>
      <c r="K3952">
        <v>40.9</v>
      </c>
      <c r="L3952">
        <v>38</v>
      </c>
      <c r="M3952">
        <v>246</v>
      </c>
      <c r="N3952">
        <v>26</v>
      </c>
      <c r="O3952">
        <v>12</v>
      </c>
    </row>
    <row r="3953" spans="1:16" x14ac:dyDescent="0.25">
      <c r="A3953" s="4">
        <v>45127</v>
      </c>
      <c r="B3953" t="s">
        <v>9</v>
      </c>
      <c r="C3953">
        <v>1</v>
      </c>
      <c r="F3953">
        <v>130</v>
      </c>
      <c r="J3953">
        <v>0.39500000000000002</v>
      </c>
      <c r="K3953">
        <v>14.9</v>
      </c>
      <c r="L3953">
        <v>37.799999999999997</v>
      </c>
      <c r="M3953">
        <v>101</v>
      </c>
      <c r="N3953">
        <v>11</v>
      </c>
      <c r="O3953">
        <v>2</v>
      </c>
    </row>
    <row r="3954" spans="1:16" x14ac:dyDescent="0.25">
      <c r="A3954" s="4">
        <v>45128</v>
      </c>
      <c r="B3954" t="s">
        <v>10</v>
      </c>
      <c r="C3954">
        <v>1</v>
      </c>
      <c r="F3954">
        <v>320</v>
      </c>
      <c r="J3954">
        <v>1.2609999999999999</v>
      </c>
      <c r="K3954">
        <v>45.7</v>
      </c>
      <c r="L3954">
        <v>36.299999999999997</v>
      </c>
      <c r="M3954">
        <v>241</v>
      </c>
      <c r="N3954">
        <v>20</v>
      </c>
      <c r="O3954">
        <v>5</v>
      </c>
    </row>
    <row r="3955" spans="1:16" x14ac:dyDescent="0.25">
      <c r="A3955" s="4">
        <v>45128</v>
      </c>
      <c r="B3955" t="s">
        <v>9</v>
      </c>
      <c r="C3955">
        <v>1</v>
      </c>
      <c r="F3955">
        <v>74</v>
      </c>
      <c r="J3955">
        <v>0.28000000000000003</v>
      </c>
      <c r="K3955">
        <v>10.6</v>
      </c>
      <c r="L3955">
        <v>37.700000000000003</v>
      </c>
      <c r="M3955">
        <v>61</v>
      </c>
      <c r="N3955">
        <v>3</v>
      </c>
      <c r="O3955">
        <v>2</v>
      </c>
    </row>
    <row r="3956" spans="1:16" x14ac:dyDescent="0.25">
      <c r="A3956" s="4">
        <v>45129</v>
      </c>
      <c r="B3956" t="s">
        <v>10</v>
      </c>
      <c r="C3956">
        <v>1</v>
      </c>
      <c r="F3956">
        <v>181</v>
      </c>
      <c r="J3956">
        <v>1.351</v>
      </c>
      <c r="K3956">
        <v>48.9</v>
      </c>
      <c r="L3956">
        <v>36.200000000000003</v>
      </c>
      <c r="M3956">
        <v>131</v>
      </c>
      <c r="N3956">
        <v>14</v>
      </c>
      <c r="O3956">
        <v>4</v>
      </c>
    </row>
    <row r="3957" spans="1:16" x14ac:dyDescent="0.25">
      <c r="A3957" s="4">
        <v>45129</v>
      </c>
      <c r="B3957" t="s">
        <v>9</v>
      </c>
      <c r="C3957">
        <v>1</v>
      </c>
      <c r="F3957">
        <v>45</v>
      </c>
      <c r="J3957">
        <v>0.34499999999999997</v>
      </c>
      <c r="K3957">
        <v>12.2</v>
      </c>
      <c r="L3957">
        <v>35.200000000000003</v>
      </c>
      <c r="M3957">
        <v>38</v>
      </c>
      <c r="N3957">
        <v>2</v>
      </c>
      <c r="O3957">
        <v>1</v>
      </c>
    </row>
    <row r="3958" spans="1:16" x14ac:dyDescent="0.25">
      <c r="A3958" s="4">
        <v>45131</v>
      </c>
      <c r="B3958" t="s">
        <v>10</v>
      </c>
      <c r="C3958">
        <v>1</v>
      </c>
      <c r="F3958">
        <v>339</v>
      </c>
      <c r="J3958">
        <v>1.272</v>
      </c>
      <c r="K3958">
        <v>48.4</v>
      </c>
      <c r="L3958">
        <v>38.1</v>
      </c>
      <c r="M3958">
        <v>229</v>
      </c>
      <c r="N3958">
        <v>28</v>
      </c>
      <c r="O3958">
        <v>8</v>
      </c>
    </row>
    <row r="3959" spans="1:16" x14ac:dyDescent="0.25">
      <c r="A3959" s="4">
        <v>45131</v>
      </c>
      <c r="B3959" t="s">
        <v>9</v>
      </c>
      <c r="C3959">
        <v>1</v>
      </c>
      <c r="F3959">
        <v>81</v>
      </c>
      <c r="J3959">
        <v>0.312</v>
      </c>
      <c r="K3959">
        <v>11.6</v>
      </c>
      <c r="L3959">
        <v>37.1</v>
      </c>
      <c r="M3959">
        <v>69</v>
      </c>
      <c r="N3959">
        <v>6</v>
      </c>
    </row>
    <row r="3960" spans="1:16" x14ac:dyDescent="0.25">
      <c r="A3960" s="4">
        <v>45132</v>
      </c>
      <c r="B3960" t="s">
        <v>10</v>
      </c>
      <c r="C3960">
        <v>1</v>
      </c>
      <c r="F3960">
        <v>321</v>
      </c>
      <c r="J3960">
        <v>1.2310000000000001</v>
      </c>
      <c r="K3960">
        <v>45.9</v>
      </c>
      <c r="L3960">
        <v>37.299999999999997</v>
      </c>
      <c r="M3960">
        <v>215</v>
      </c>
      <c r="N3960">
        <v>31</v>
      </c>
      <c r="O3960">
        <v>1</v>
      </c>
      <c r="P3960">
        <v>4</v>
      </c>
    </row>
    <row r="3961" spans="1:16" x14ac:dyDescent="0.25">
      <c r="A3961" s="4">
        <v>45132</v>
      </c>
      <c r="B3961" t="s">
        <v>9</v>
      </c>
      <c r="C3961">
        <v>1</v>
      </c>
      <c r="F3961">
        <v>99</v>
      </c>
      <c r="J3961">
        <v>0.39200000000000002</v>
      </c>
      <c r="K3961">
        <v>14.1</v>
      </c>
      <c r="L3961">
        <v>36.1</v>
      </c>
      <c r="M3961">
        <v>85</v>
      </c>
      <c r="N3961">
        <v>7</v>
      </c>
    </row>
    <row r="3962" spans="1:16" x14ac:dyDescent="0.25">
      <c r="A3962" s="4">
        <v>45133</v>
      </c>
      <c r="B3962" t="s">
        <v>10</v>
      </c>
      <c r="C3962">
        <v>1</v>
      </c>
      <c r="F3962">
        <v>371</v>
      </c>
      <c r="J3962">
        <v>1.133</v>
      </c>
      <c r="K3962">
        <v>42.6</v>
      </c>
      <c r="L3962">
        <v>37.6</v>
      </c>
      <c r="M3962">
        <v>252</v>
      </c>
      <c r="N3962">
        <v>28</v>
      </c>
      <c r="O3962">
        <v>14</v>
      </c>
    </row>
    <row r="3963" spans="1:16" x14ac:dyDescent="0.25">
      <c r="A3963" s="4">
        <v>45133</v>
      </c>
      <c r="B3963" t="s">
        <v>9</v>
      </c>
      <c r="C3963">
        <v>1</v>
      </c>
      <c r="F3963">
        <v>78</v>
      </c>
      <c r="J3963">
        <v>0.254</v>
      </c>
      <c r="K3963">
        <v>9</v>
      </c>
      <c r="L3963">
        <v>35.299999999999997</v>
      </c>
      <c r="M3963">
        <v>64</v>
      </c>
      <c r="N3963">
        <v>7</v>
      </c>
    </row>
    <row r="3964" spans="1:16" x14ac:dyDescent="0.25">
      <c r="A3964" s="4">
        <v>45134</v>
      </c>
      <c r="B3964" t="s">
        <v>10</v>
      </c>
      <c r="C3964">
        <v>1</v>
      </c>
      <c r="F3964">
        <v>275</v>
      </c>
      <c r="J3964">
        <v>0.95</v>
      </c>
      <c r="K3964">
        <v>35.700000000000003</v>
      </c>
      <c r="L3964">
        <v>37.6</v>
      </c>
      <c r="M3964">
        <v>195</v>
      </c>
      <c r="N3964">
        <v>24</v>
      </c>
      <c r="O3964">
        <v>3</v>
      </c>
      <c r="P3964">
        <v>2</v>
      </c>
    </row>
    <row r="3965" spans="1:16" x14ac:dyDescent="0.25">
      <c r="A3965" s="4">
        <v>45134</v>
      </c>
      <c r="B3965" t="s">
        <v>9</v>
      </c>
      <c r="C3965">
        <v>1</v>
      </c>
      <c r="F3965">
        <v>110</v>
      </c>
      <c r="J3965">
        <v>0.38400000000000001</v>
      </c>
      <c r="K3965">
        <v>14.3</v>
      </c>
      <c r="L3965">
        <v>37.200000000000003</v>
      </c>
      <c r="M3965">
        <v>90</v>
      </c>
      <c r="N3965">
        <v>5</v>
      </c>
      <c r="O3965">
        <v>3</v>
      </c>
    </row>
    <row r="3966" spans="1:16" x14ac:dyDescent="0.25">
      <c r="A3966" s="4">
        <v>45135</v>
      </c>
      <c r="B3966" t="s">
        <v>10</v>
      </c>
      <c r="C3966">
        <v>1</v>
      </c>
      <c r="F3966">
        <v>380</v>
      </c>
      <c r="J3966">
        <v>1.212</v>
      </c>
      <c r="K3966">
        <v>43.7</v>
      </c>
      <c r="L3966">
        <v>36</v>
      </c>
      <c r="M3966">
        <v>280</v>
      </c>
      <c r="N3966">
        <v>25</v>
      </c>
      <c r="O3966">
        <v>8</v>
      </c>
      <c r="P3966">
        <v>1</v>
      </c>
    </row>
    <row r="3967" spans="1:16" x14ac:dyDescent="0.25">
      <c r="A3967" s="4">
        <v>45135</v>
      </c>
      <c r="B3967" t="s">
        <v>9</v>
      </c>
      <c r="C3967">
        <v>1</v>
      </c>
      <c r="F3967">
        <v>164</v>
      </c>
      <c r="J3967">
        <v>0.53900000000000003</v>
      </c>
      <c r="K3967">
        <v>18.899999999999999</v>
      </c>
      <c r="L3967">
        <v>35</v>
      </c>
      <c r="M3967">
        <v>146</v>
      </c>
      <c r="N3967">
        <v>9</v>
      </c>
    </row>
    <row r="3968" spans="1:16" x14ac:dyDescent="0.25">
      <c r="A3968" s="4">
        <v>45138</v>
      </c>
      <c r="B3968" t="s">
        <v>10</v>
      </c>
      <c r="C3968">
        <v>1</v>
      </c>
      <c r="F3968">
        <v>291</v>
      </c>
      <c r="J3968">
        <v>1.1020000000000001</v>
      </c>
      <c r="K3968">
        <v>41.6</v>
      </c>
      <c r="L3968">
        <v>37.700000000000003</v>
      </c>
      <c r="M3968">
        <v>217</v>
      </c>
      <c r="N3968">
        <v>14</v>
      </c>
      <c r="O3968">
        <v>6</v>
      </c>
      <c r="P3968">
        <v>1</v>
      </c>
    </row>
    <row r="3969" spans="1:16" x14ac:dyDescent="0.25">
      <c r="A3969" s="4">
        <v>45138</v>
      </c>
      <c r="B3969" t="s">
        <v>9</v>
      </c>
      <c r="C3969">
        <v>1</v>
      </c>
      <c r="F3969">
        <v>66</v>
      </c>
      <c r="J3969">
        <v>0.26900000000000002</v>
      </c>
      <c r="K3969">
        <v>9.4</v>
      </c>
      <c r="L3969">
        <v>35.1</v>
      </c>
      <c r="M3969">
        <v>62</v>
      </c>
      <c r="N3969">
        <v>2</v>
      </c>
    </row>
    <row r="3970" spans="1:16" x14ac:dyDescent="0.25">
      <c r="A3970" s="4">
        <v>45139</v>
      </c>
      <c r="B3970" t="s">
        <v>10</v>
      </c>
      <c r="C3970">
        <v>1</v>
      </c>
      <c r="F3970">
        <v>375</v>
      </c>
      <c r="J3970">
        <v>1.157</v>
      </c>
      <c r="K3970">
        <v>43.1</v>
      </c>
      <c r="L3970">
        <v>37.299999999999997</v>
      </c>
      <c r="M3970">
        <v>252</v>
      </c>
      <c r="N3970">
        <v>36</v>
      </c>
      <c r="O3970">
        <v>7</v>
      </c>
      <c r="P3970">
        <v>1</v>
      </c>
    </row>
    <row r="3971" spans="1:16" x14ac:dyDescent="0.25">
      <c r="A3971" s="4">
        <v>45139</v>
      </c>
      <c r="B3971" t="s">
        <v>9</v>
      </c>
      <c r="C3971">
        <v>1</v>
      </c>
      <c r="F3971">
        <v>100</v>
      </c>
      <c r="J3971">
        <v>0.30399999999999999</v>
      </c>
      <c r="K3971">
        <v>11.5</v>
      </c>
      <c r="L3971">
        <v>37.799999999999997</v>
      </c>
      <c r="M3971">
        <v>92</v>
      </c>
      <c r="N3971">
        <v>4</v>
      </c>
    </row>
    <row r="3972" spans="1:16" x14ac:dyDescent="0.25">
      <c r="A3972" s="4">
        <v>45140</v>
      </c>
      <c r="B3972" t="s">
        <v>10</v>
      </c>
      <c r="C3972">
        <v>1</v>
      </c>
      <c r="F3972">
        <v>345</v>
      </c>
      <c r="J3972">
        <v>1.103</v>
      </c>
      <c r="K3972">
        <v>39.700000000000003</v>
      </c>
      <c r="L3972">
        <v>35.9</v>
      </c>
      <c r="M3972">
        <v>254</v>
      </c>
      <c r="N3972">
        <v>29</v>
      </c>
      <c r="O3972">
        <v>4</v>
      </c>
    </row>
    <row r="3973" spans="1:16" x14ac:dyDescent="0.25">
      <c r="A3973" s="4">
        <v>45140</v>
      </c>
      <c r="B3973" t="s">
        <v>9</v>
      </c>
      <c r="C3973">
        <v>1</v>
      </c>
      <c r="F3973">
        <v>104</v>
      </c>
      <c r="J3973">
        <v>0.32900000000000001</v>
      </c>
      <c r="K3973">
        <v>12</v>
      </c>
      <c r="L3973">
        <v>36.299999999999997</v>
      </c>
      <c r="M3973">
        <v>91</v>
      </c>
      <c r="N3973">
        <v>5</v>
      </c>
      <c r="O3973">
        <v>1</v>
      </c>
    </row>
    <row r="3974" spans="1:16" x14ac:dyDescent="0.25">
      <c r="A3974" s="4">
        <v>45141</v>
      </c>
      <c r="B3974" t="s">
        <v>10</v>
      </c>
      <c r="C3974">
        <v>1</v>
      </c>
      <c r="F3974">
        <v>361</v>
      </c>
      <c r="J3974">
        <v>1.159</v>
      </c>
      <c r="K3974">
        <v>41.5</v>
      </c>
      <c r="L3974">
        <v>35.799999999999997</v>
      </c>
      <c r="M3974">
        <v>281</v>
      </c>
      <c r="N3974">
        <v>22</v>
      </c>
      <c r="O3974">
        <v>2</v>
      </c>
      <c r="P3974">
        <v>1</v>
      </c>
    </row>
    <row r="3975" spans="1:16" x14ac:dyDescent="0.25">
      <c r="A3975" s="4">
        <v>45141</v>
      </c>
      <c r="B3975" t="s">
        <v>9</v>
      </c>
      <c r="C3975">
        <v>1</v>
      </c>
      <c r="F3975">
        <v>109</v>
      </c>
      <c r="J3975">
        <v>0.32700000000000001</v>
      </c>
      <c r="K3975">
        <v>12.5</v>
      </c>
      <c r="L3975">
        <v>38.299999999999997</v>
      </c>
      <c r="M3975">
        <v>83</v>
      </c>
      <c r="N3975">
        <v>10</v>
      </c>
      <c r="O3975">
        <v>2</v>
      </c>
    </row>
    <row r="3976" spans="1:16" x14ac:dyDescent="0.25">
      <c r="A3976" s="4">
        <v>45142</v>
      </c>
      <c r="B3976" t="s">
        <v>10</v>
      </c>
      <c r="C3976">
        <v>1</v>
      </c>
      <c r="F3976">
        <v>386</v>
      </c>
      <c r="J3976">
        <v>1.212</v>
      </c>
      <c r="K3976">
        <v>44.4</v>
      </c>
      <c r="L3976">
        <v>36.6</v>
      </c>
      <c r="M3976">
        <v>278</v>
      </c>
      <c r="N3976">
        <v>22</v>
      </c>
      <c r="O3976">
        <v>12</v>
      </c>
    </row>
    <row r="3977" spans="1:16" x14ac:dyDescent="0.25">
      <c r="A3977" s="4">
        <v>45142</v>
      </c>
      <c r="B3977" t="s">
        <v>9</v>
      </c>
      <c r="C3977">
        <v>1</v>
      </c>
      <c r="F3977">
        <v>97</v>
      </c>
      <c r="J3977">
        <v>0.27300000000000002</v>
      </c>
      <c r="K3977">
        <v>11.2</v>
      </c>
      <c r="L3977">
        <v>40.799999999999997</v>
      </c>
      <c r="M3977">
        <v>77</v>
      </c>
      <c r="N3977">
        <v>4</v>
      </c>
      <c r="O3977">
        <v>2</v>
      </c>
      <c r="P3977">
        <v>1</v>
      </c>
    </row>
    <row r="3978" spans="1:16" x14ac:dyDescent="0.25">
      <c r="A3978" s="4">
        <v>45143</v>
      </c>
      <c r="B3978" t="s">
        <v>10</v>
      </c>
      <c r="C3978">
        <v>1</v>
      </c>
      <c r="F3978">
        <v>149</v>
      </c>
      <c r="J3978">
        <v>0.54400000000000004</v>
      </c>
      <c r="K3978">
        <v>19.399999999999999</v>
      </c>
      <c r="L3978">
        <v>35.6</v>
      </c>
      <c r="M3978">
        <v>111</v>
      </c>
      <c r="N3978">
        <v>10</v>
      </c>
      <c r="O3978">
        <v>4</v>
      </c>
    </row>
    <row r="3979" spans="1:16" x14ac:dyDescent="0.25">
      <c r="A3979" s="4">
        <v>45143</v>
      </c>
      <c r="B3979" t="s">
        <v>9</v>
      </c>
      <c r="C3979">
        <v>1</v>
      </c>
      <c r="F3979">
        <v>143</v>
      </c>
      <c r="J3979">
        <v>0.58899999999999997</v>
      </c>
      <c r="K3979">
        <v>20.399999999999999</v>
      </c>
      <c r="L3979">
        <v>34.700000000000003</v>
      </c>
      <c r="M3979">
        <v>115</v>
      </c>
      <c r="N3979">
        <v>9</v>
      </c>
      <c r="O3979">
        <v>3</v>
      </c>
    </row>
    <row r="3980" spans="1:16" x14ac:dyDescent="0.25">
      <c r="A3980" s="4">
        <v>45145</v>
      </c>
      <c r="B3980" t="s">
        <v>10</v>
      </c>
      <c r="C3980">
        <v>1</v>
      </c>
      <c r="F3980">
        <v>339</v>
      </c>
      <c r="J3980">
        <v>1.0760000000000001</v>
      </c>
      <c r="K3980">
        <v>39</v>
      </c>
      <c r="L3980">
        <v>36.200000000000003</v>
      </c>
      <c r="M3980">
        <v>253</v>
      </c>
      <c r="N3980">
        <v>22</v>
      </c>
      <c r="O3980">
        <v>5</v>
      </c>
    </row>
    <row r="3981" spans="1:16" x14ac:dyDescent="0.25">
      <c r="A3981" s="4">
        <v>45145</v>
      </c>
      <c r="B3981" t="s">
        <v>9</v>
      </c>
      <c r="C3981">
        <v>1</v>
      </c>
      <c r="F3981">
        <v>73</v>
      </c>
      <c r="J3981">
        <v>0.216</v>
      </c>
      <c r="K3981">
        <v>8.4</v>
      </c>
      <c r="L3981">
        <v>38.9</v>
      </c>
      <c r="M3981">
        <v>54</v>
      </c>
      <c r="N3981">
        <v>4</v>
      </c>
      <c r="O3981">
        <v>1</v>
      </c>
      <c r="P3981">
        <v>1</v>
      </c>
    </row>
    <row r="3982" spans="1:16" x14ac:dyDescent="0.25">
      <c r="A3982" s="4">
        <v>45146</v>
      </c>
      <c r="B3982" t="s">
        <v>10</v>
      </c>
      <c r="C3982">
        <v>1</v>
      </c>
      <c r="F3982">
        <v>350</v>
      </c>
      <c r="J3982">
        <v>1.103</v>
      </c>
      <c r="K3982">
        <v>40.200000000000003</v>
      </c>
      <c r="L3982">
        <v>36.5</v>
      </c>
      <c r="M3982">
        <v>255</v>
      </c>
      <c r="N3982">
        <v>19</v>
      </c>
      <c r="O3982">
        <v>7</v>
      </c>
      <c r="P3982">
        <v>1</v>
      </c>
    </row>
    <row r="3983" spans="1:16" x14ac:dyDescent="0.25">
      <c r="A3983" s="4">
        <v>45146</v>
      </c>
      <c r="B3983" t="s">
        <v>9</v>
      </c>
      <c r="C3983">
        <v>1</v>
      </c>
      <c r="F3983">
        <v>123</v>
      </c>
      <c r="J3983">
        <v>0.38700000000000001</v>
      </c>
      <c r="K3983">
        <v>14.1</v>
      </c>
      <c r="L3983">
        <v>36.5</v>
      </c>
      <c r="M3983">
        <v>110</v>
      </c>
      <c r="N3983">
        <v>5</v>
      </c>
      <c r="O3983">
        <v>1</v>
      </c>
    </row>
    <row r="3984" spans="1:16" x14ac:dyDescent="0.25">
      <c r="A3984" s="4">
        <v>45147</v>
      </c>
      <c r="B3984" t="s">
        <v>10</v>
      </c>
      <c r="C3984">
        <v>1</v>
      </c>
      <c r="F3984">
        <v>361</v>
      </c>
      <c r="J3984">
        <v>1.1839999999999999</v>
      </c>
      <c r="K3984">
        <v>41.5</v>
      </c>
      <c r="L3984">
        <v>35</v>
      </c>
      <c r="M3984">
        <v>301</v>
      </c>
      <c r="N3984">
        <v>16</v>
      </c>
      <c r="O3984">
        <v>3</v>
      </c>
    </row>
    <row r="3985" spans="1:16" x14ac:dyDescent="0.25">
      <c r="A3985" s="4">
        <v>45147</v>
      </c>
      <c r="B3985" t="s">
        <v>9</v>
      </c>
      <c r="C3985">
        <v>1</v>
      </c>
      <c r="F3985">
        <v>151</v>
      </c>
      <c r="J3985">
        <v>0.48699999999999999</v>
      </c>
      <c r="K3985">
        <v>17.399999999999999</v>
      </c>
      <c r="L3985">
        <v>35.700000000000003</v>
      </c>
      <c r="M3985">
        <v>142</v>
      </c>
      <c r="N3985">
        <v>3</v>
      </c>
      <c r="O3985">
        <v>1</v>
      </c>
    </row>
    <row r="3986" spans="1:16" x14ac:dyDescent="0.25">
      <c r="A3986" s="4">
        <v>45148</v>
      </c>
      <c r="B3986" t="s">
        <v>10</v>
      </c>
      <c r="C3986">
        <v>1</v>
      </c>
      <c r="F3986">
        <v>295</v>
      </c>
      <c r="J3986">
        <v>1.0960000000000001</v>
      </c>
      <c r="K3986">
        <v>42.1</v>
      </c>
      <c r="L3986">
        <v>38.5</v>
      </c>
      <c r="M3986">
        <v>194</v>
      </c>
      <c r="N3986">
        <v>23</v>
      </c>
      <c r="O3986">
        <v>4</v>
      </c>
      <c r="P3986">
        <v>3</v>
      </c>
    </row>
    <row r="3987" spans="1:16" x14ac:dyDescent="0.25">
      <c r="A3987" s="4">
        <v>45148</v>
      </c>
      <c r="B3987" t="s">
        <v>9</v>
      </c>
      <c r="C3987">
        <v>1</v>
      </c>
      <c r="F3987">
        <v>99</v>
      </c>
      <c r="J3987">
        <v>0.39</v>
      </c>
      <c r="K3987">
        <v>14.1</v>
      </c>
      <c r="L3987">
        <v>36.299999999999997</v>
      </c>
      <c r="M3987">
        <v>89</v>
      </c>
      <c r="N3987">
        <v>5</v>
      </c>
    </row>
    <row r="3988" spans="1:16" x14ac:dyDescent="0.25">
      <c r="A3988" s="4">
        <v>45149</v>
      </c>
      <c r="B3988" t="s">
        <v>10</v>
      </c>
      <c r="C3988">
        <v>1</v>
      </c>
      <c r="F3988">
        <v>349</v>
      </c>
      <c r="J3988">
        <v>1.0649999999999999</v>
      </c>
      <c r="K3988">
        <v>40.1</v>
      </c>
      <c r="L3988">
        <v>37.700000000000003</v>
      </c>
      <c r="M3988">
        <v>229</v>
      </c>
      <c r="N3988">
        <v>35</v>
      </c>
      <c r="O3988">
        <v>5</v>
      </c>
      <c r="P3988">
        <v>1</v>
      </c>
    </row>
    <row r="3989" spans="1:16" x14ac:dyDescent="0.25">
      <c r="A3989" s="4">
        <v>45149</v>
      </c>
      <c r="B3989" t="s">
        <v>9</v>
      </c>
      <c r="C3989">
        <v>1</v>
      </c>
      <c r="F3989">
        <v>183</v>
      </c>
      <c r="J3989">
        <v>0.58799999999999997</v>
      </c>
      <c r="K3989">
        <v>21</v>
      </c>
      <c r="L3989">
        <v>35.799999999999997</v>
      </c>
      <c r="M3989">
        <v>172</v>
      </c>
      <c r="N3989">
        <v>4</v>
      </c>
      <c r="O3989">
        <v>1</v>
      </c>
    </row>
    <row r="3990" spans="1:16" x14ac:dyDescent="0.25">
      <c r="A3990" s="4">
        <v>45152</v>
      </c>
      <c r="B3990" t="s">
        <v>10</v>
      </c>
      <c r="C3990">
        <v>1</v>
      </c>
      <c r="F3990">
        <v>347</v>
      </c>
      <c r="J3990">
        <v>1.1379999999999999</v>
      </c>
      <c r="K3990">
        <v>39.9</v>
      </c>
      <c r="L3990">
        <v>35.1</v>
      </c>
      <c r="M3990">
        <v>274</v>
      </c>
      <c r="N3990">
        <v>16</v>
      </c>
      <c r="O3990">
        <v>1</v>
      </c>
      <c r="P3990">
        <v>2</v>
      </c>
    </row>
    <row r="3991" spans="1:16" x14ac:dyDescent="0.25">
      <c r="A3991" s="4">
        <v>45152</v>
      </c>
      <c r="B3991" t="s">
        <v>9</v>
      </c>
      <c r="C3991">
        <v>1</v>
      </c>
      <c r="F3991">
        <v>101</v>
      </c>
      <c r="J3991">
        <v>0.34300000000000003</v>
      </c>
      <c r="K3991">
        <v>12.8</v>
      </c>
      <c r="L3991">
        <v>37.299999999999997</v>
      </c>
      <c r="M3991">
        <v>82</v>
      </c>
      <c r="N3991">
        <v>8</v>
      </c>
      <c r="O3991">
        <v>1</v>
      </c>
    </row>
    <row r="3992" spans="1:16" x14ac:dyDescent="0.25">
      <c r="A3992" s="4">
        <v>45153</v>
      </c>
      <c r="B3992" t="s">
        <v>10</v>
      </c>
      <c r="C3992">
        <v>1</v>
      </c>
      <c r="F3992">
        <v>376</v>
      </c>
      <c r="J3992">
        <v>1.18</v>
      </c>
      <c r="K3992">
        <v>43.2</v>
      </c>
      <c r="L3992">
        <v>36.6</v>
      </c>
      <c r="M3992">
        <v>252</v>
      </c>
      <c r="N3992">
        <v>36</v>
      </c>
      <c r="O3992">
        <v>7</v>
      </c>
      <c r="P3992">
        <v>1</v>
      </c>
    </row>
    <row r="3993" spans="1:16" x14ac:dyDescent="0.25">
      <c r="A3993" s="4">
        <v>45153</v>
      </c>
      <c r="B3993" t="s">
        <v>9</v>
      </c>
      <c r="C3993">
        <v>1</v>
      </c>
      <c r="F3993">
        <v>114</v>
      </c>
      <c r="J3993">
        <v>0.34799999999999998</v>
      </c>
      <c r="K3993">
        <v>13.1</v>
      </c>
      <c r="L3993">
        <v>37.6</v>
      </c>
      <c r="M3993">
        <v>92</v>
      </c>
      <c r="N3993">
        <v>8</v>
      </c>
      <c r="O3993">
        <v>2</v>
      </c>
    </row>
    <row r="3994" spans="1:16" x14ac:dyDescent="0.25">
      <c r="A3994" s="4">
        <v>45154</v>
      </c>
      <c r="B3994" t="s">
        <v>10</v>
      </c>
      <c r="C3994">
        <v>1</v>
      </c>
      <c r="F3994">
        <v>373</v>
      </c>
      <c r="J3994">
        <v>1.2090000000000001</v>
      </c>
      <c r="K3994">
        <v>42.8</v>
      </c>
      <c r="L3994">
        <v>35.5</v>
      </c>
      <c r="M3994">
        <v>284</v>
      </c>
      <c r="N3994">
        <v>25</v>
      </c>
      <c r="O3994">
        <v>4</v>
      </c>
    </row>
    <row r="3995" spans="1:16" x14ac:dyDescent="0.25">
      <c r="A3995" s="4">
        <v>45154</v>
      </c>
      <c r="B3995" t="s">
        <v>9</v>
      </c>
      <c r="C3995">
        <v>1</v>
      </c>
      <c r="F3995">
        <v>144</v>
      </c>
      <c r="J3995">
        <v>0.45</v>
      </c>
      <c r="K3995">
        <v>16.600000000000001</v>
      </c>
      <c r="L3995">
        <v>36.799999999999997</v>
      </c>
      <c r="M3995">
        <v>118</v>
      </c>
      <c r="N3995">
        <v>10</v>
      </c>
      <c r="O3995">
        <v>2</v>
      </c>
    </row>
    <row r="3996" spans="1:16" x14ac:dyDescent="0.25">
      <c r="A3996" s="4">
        <v>45155</v>
      </c>
      <c r="B3996" t="s">
        <v>10</v>
      </c>
      <c r="C3996">
        <v>1</v>
      </c>
      <c r="F3996">
        <v>318</v>
      </c>
      <c r="J3996">
        <v>1.2450000000000001</v>
      </c>
      <c r="K3996">
        <v>45.4</v>
      </c>
      <c r="L3996">
        <v>36.5</v>
      </c>
      <c r="M3996">
        <v>251</v>
      </c>
      <c r="N3996">
        <v>11</v>
      </c>
      <c r="O3996">
        <v>6</v>
      </c>
    </row>
    <row r="3997" spans="1:16" x14ac:dyDescent="0.25">
      <c r="A3997" s="4">
        <v>45155</v>
      </c>
      <c r="B3997" t="s">
        <v>9</v>
      </c>
      <c r="C3997">
        <v>1</v>
      </c>
      <c r="F3997">
        <v>126</v>
      </c>
      <c r="J3997">
        <v>0.48799999999999999</v>
      </c>
      <c r="K3997">
        <v>18</v>
      </c>
      <c r="L3997">
        <v>36.9</v>
      </c>
      <c r="M3997">
        <v>114</v>
      </c>
      <c r="N3997">
        <v>3</v>
      </c>
      <c r="O3997">
        <v>2</v>
      </c>
    </row>
    <row r="3998" spans="1:16" x14ac:dyDescent="0.25">
      <c r="A3998" s="4">
        <v>45156</v>
      </c>
      <c r="B3998" t="s">
        <v>10</v>
      </c>
      <c r="C3998">
        <v>1</v>
      </c>
      <c r="F3998">
        <v>336</v>
      </c>
      <c r="J3998">
        <v>1.3280000000000001</v>
      </c>
      <c r="K3998">
        <v>48</v>
      </c>
      <c r="L3998">
        <v>36.1</v>
      </c>
      <c r="M3998">
        <v>229</v>
      </c>
      <c r="N3998">
        <v>29</v>
      </c>
      <c r="O3998">
        <v>9</v>
      </c>
      <c r="P3998">
        <v>1</v>
      </c>
    </row>
    <row r="3999" spans="1:16" x14ac:dyDescent="0.25">
      <c r="A3999" s="4">
        <v>45156</v>
      </c>
      <c r="B3999" t="s">
        <v>9</v>
      </c>
      <c r="C3999">
        <v>1</v>
      </c>
      <c r="F3999">
        <v>102</v>
      </c>
      <c r="J3999">
        <v>0.38600000000000001</v>
      </c>
      <c r="K3999">
        <v>14.6</v>
      </c>
      <c r="L3999">
        <v>37.799999999999997</v>
      </c>
      <c r="M3999">
        <v>78</v>
      </c>
      <c r="N3999">
        <v>7</v>
      </c>
      <c r="O3999">
        <v>1</v>
      </c>
      <c r="P3999">
        <v>1</v>
      </c>
    </row>
    <row r="4000" spans="1:16" x14ac:dyDescent="0.25">
      <c r="A4000" s="4">
        <v>45159</v>
      </c>
      <c r="B4000" t="s">
        <v>10</v>
      </c>
      <c r="C4000">
        <v>1</v>
      </c>
      <c r="F4000">
        <v>316</v>
      </c>
      <c r="J4000">
        <v>1.2110000000000001</v>
      </c>
      <c r="K4000">
        <v>43.3</v>
      </c>
      <c r="L4000">
        <v>35.799999999999997</v>
      </c>
      <c r="M4000">
        <v>228</v>
      </c>
      <c r="N4000">
        <v>28</v>
      </c>
      <c r="O4000">
        <v>4</v>
      </c>
    </row>
    <row r="4001" spans="1:16" x14ac:dyDescent="0.25">
      <c r="A4001" s="4">
        <v>45159</v>
      </c>
      <c r="B4001" t="s">
        <v>9</v>
      </c>
      <c r="C4001">
        <v>1</v>
      </c>
      <c r="F4001">
        <v>120</v>
      </c>
      <c r="J4001">
        <v>0.44500000000000001</v>
      </c>
      <c r="K4001">
        <v>16.399999999999999</v>
      </c>
      <c r="L4001">
        <v>37</v>
      </c>
      <c r="M4001">
        <v>84</v>
      </c>
      <c r="N4001">
        <v>9</v>
      </c>
      <c r="O4001">
        <v>6</v>
      </c>
    </row>
    <row r="4002" spans="1:16" x14ac:dyDescent="0.25">
      <c r="A4002" s="4">
        <v>45160</v>
      </c>
      <c r="B4002" t="s">
        <v>10</v>
      </c>
      <c r="C4002">
        <v>1</v>
      </c>
      <c r="F4002">
        <v>401</v>
      </c>
      <c r="J4002">
        <v>1.238</v>
      </c>
      <c r="K4002">
        <v>46.1</v>
      </c>
      <c r="L4002">
        <v>37.200000000000003</v>
      </c>
      <c r="M4002">
        <v>284</v>
      </c>
      <c r="N4002">
        <v>31</v>
      </c>
      <c r="O4002">
        <v>5</v>
      </c>
      <c r="P4002">
        <v>2</v>
      </c>
    </row>
    <row r="4003" spans="1:16" x14ac:dyDescent="0.25">
      <c r="A4003" s="4">
        <v>45160</v>
      </c>
      <c r="B4003" t="s">
        <v>9</v>
      </c>
      <c r="C4003">
        <v>1</v>
      </c>
      <c r="F4003">
        <v>94</v>
      </c>
      <c r="J4003">
        <v>0.371</v>
      </c>
      <c r="K4003">
        <v>13.4</v>
      </c>
      <c r="L4003">
        <v>36.200000000000003</v>
      </c>
      <c r="M4003">
        <v>81</v>
      </c>
      <c r="N4003">
        <v>5</v>
      </c>
      <c r="O4003">
        <v>1</v>
      </c>
    </row>
    <row r="4004" spans="1:16" x14ac:dyDescent="0.25">
      <c r="A4004" s="4">
        <v>45161</v>
      </c>
      <c r="B4004" t="s">
        <v>10</v>
      </c>
      <c r="C4004">
        <v>1</v>
      </c>
      <c r="F4004">
        <v>402</v>
      </c>
      <c r="J4004">
        <v>1.286</v>
      </c>
      <c r="K4004">
        <v>46.2</v>
      </c>
      <c r="L4004">
        <v>35.9</v>
      </c>
      <c r="M4004">
        <v>298</v>
      </c>
      <c r="N4004">
        <v>23</v>
      </c>
      <c r="O4004">
        <v>5</v>
      </c>
      <c r="P4004">
        <v>2</v>
      </c>
    </row>
    <row r="4005" spans="1:16" x14ac:dyDescent="0.25">
      <c r="A4005" s="4">
        <v>45161</v>
      </c>
      <c r="B4005" t="s">
        <v>9</v>
      </c>
      <c r="C4005">
        <v>1</v>
      </c>
      <c r="F4005">
        <v>144</v>
      </c>
      <c r="J4005">
        <v>0.439</v>
      </c>
      <c r="K4005">
        <v>16.600000000000001</v>
      </c>
      <c r="L4005">
        <v>37.700000000000003</v>
      </c>
      <c r="M4005">
        <v>119</v>
      </c>
      <c r="N4005">
        <v>11</v>
      </c>
      <c r="O4005">
        <v>1</v>
      </c>
    </row>
    <row r="4006" spans="1:16" x14ac:dyDescent="0.25">
      <c r="A4006" s="4">
        <v>45162</v>
      </c>
      <c r="B4006" t="s">
        <v>10</v>
      </c>
      <c r="C4006">
        <v>1</v>
      </c>
      <c r="F4006">
        <v>306</v>
      </c>
      <c r="J4006">
        <v>1.1499999999999999</v>
      </c>
      <c r="K4006">
        <v>43.7</v>
      </c>
      <c r="L4006">
        <v>38</v>
      </c>
      <c r="M4006">
        <v>202</v>
      </c>
      <c r="N4006">
        <v>24</v>
      </c>
      <c r="O4006">
        <v>9</v>
      </c>
      <c r="P4006">
        <v>1</v>
      </c>
    </row>
    <row r="4007" spans="1:16" x14ac:dyDescent="0.25">
      <c r="A4007" s="4">
        <v>45162</v>
      </c>
      <c r="B4007" t="s">
        <v>9</v>
      </c>
      <c r="C4007">
        <v>1</v>
      </c>
      <c r="F4007">
        <v>145</v>
      </c>
      <c r="J4007">
        <v>0.55400000000000005</v>
      </c>
      <c r="K4007">
        <v>20.7</v>
      </c>
      <c r="L4007">
        <v>37.4</v>
      </c>
      <c r="M4007">
        <v>128</v>
      </c>
      <c r="N4007">
        <v>7</v>
      </c>
      <c r="O4007">
        <v>1</v>
      </c>
    </row>
    <row r="4008" spans="1:16" x14ac:dyDescent="0.25">
      <c r="A4008" s="4">
        <v>45163</v>
      </c>
      <c r="B4008" t="s">
        <v>10</v>
      </c>
      <c r="C4008">
        <v>1</v>
      </c>
      <c r="F4008">
        <v>312</v>
      </c>
      <c r="J4008">
        <v>1.181</v>
      </c>
      <c r="K4008">
        <v>44.6</v>
      </c>
      <c r="L4008">
        <v>37.700000000000003</v>
      </c>
      <c r="M4008">
        <v>210</v>
      </c>
      <c r="N4008">
        <v>28</v>
      </c>
      <c r="O4008">
        <v>5</v>
      </c>
    </row>
    <row r="4009" spans="1:16" x14ac:dyDescent="0.25">
      <c r="A4009" s="4">
        <v>45163</v>
      </c>
      <c r="B4009" t="s">
        <v>9</v>
      </c>
      <c r="C4009">
        <v>1</v>
      </c>
      <c r="F4009">
        <v>100</v>
      </c>
      <c r="J4009">
        <v>0.39400000000000002</v>
      </c>
      <c r="K4009">
        <v>14.3</v>
      </c>
      <c r="L4009">
        <v>36.200000000000003</v>
      </c>
      <c r="M4009">
        <v>96</v>
      </c>
      <c r="N4009">
        <v>2</v>
      </c>
    </row>
    <row r="4010" spans="1:16" x14ac:dyDescent="0.25">
      <c r="A4010" s="4">
        <v>45166</v>
      </c>
      <c r="B4010" t="s">
        <v>10</v>
      </c>
      <c r="C4010">
        <v>1</v>
      </c>
      <c r="F4010">
        <v>334</v>
      </c>
      <c r="J4010">
        <v>1.2929999999999999</v>
      </c>
      <c r="K4010">
        <v>47.7</v>
      </c>
      <c r="L4010">
        <v>36.9</v>
      </c>
      <c r="M4010">
        <v>231</v>
      </c>
      <c r="N4010">
        <v>22</v>
      </c>
      <c r="O4010">
        <v>9</v>
      </c>
    </row>
    <row r="4011" spans="1:16" x14ac:dyDescent="0.25">
      <c r="A4011" s="4">
        <v>45166</v>
      </c>
      <c r="B4011" t="s">
        <v>9</v>
      </c>
      <c r="C4011">
        <v>1</v>
      </c>
      <c r="F4011">
        <v>139</v>
      </c>
      <c r="J4011">
        <v>0.55600000000000005</v>
      </c>
      <c r="K4011">
        <v>19.899999999999999</v>
      </c>
      <c r="L4011">
        <v>35.700000000000003</v>
      </c>
      <c r="M4011">
        <v>117</v>
      </c>
      <c r="N4011">
        <v>11</v>
      </c>
    </row>
    <row r="4012" spans="1:16" x14ac:dyDescent="0.25">
      <c r="A4012" s="4">
        <v>45167</v>
      </c>
      <c r="B4012" t="s">
        <v>10</v>
      </c>
      <c r="C4012">
        <v>1</v>
      </c>
      <c r="F4012">
        <v>327</v>
      </c>
      <c r="J4012">
        <v>1.288</v>
      </c>
      <c r="K4012">
        <v>46.7</v>
      </c>
      <c r="L4012">
        <v>36.299999999999997</v>
      </c>
      <c r="M4012">
        <v>237</v>
      </c>
      <c r="N4012">
        <v>21</v>
      </c>
      <c r="O4012">
        <v>7</v>
      </c>
    </row>
    <row r="4013" spans="1:16" x14ac:dyDescent="0.25">
      <c r="A4013" s="4">
        <v>45167</v>
      </c>
      <c r="B4013" t="s">
        <v>9</v>
      </c>
      <c r="C4013">
        <v>1</v>
      </c>
      <c r="F4013">
        <v>161</v>
      </c>
      <c r="J4013">
        <v>0.626</v>
      </c>
      <c r="K4013">
        <v>23</v>
      </c>
      <c r="L4013">
        <v>36.700000000000003</v>
      </c>
      <c r="M4013">
        <v>132</v>
      </c>
      <c r="N4013">
        <v>11</v>
      </c>
      <c r="O4013">
        <v>2</v>
      </c>
    </row>
    <row r="4014" spans="1:16" x14ac:dyDescent="0.25">
      <c r="A4014" s="4">
        <v>45168</v>
      </c>
      <c r="B4014" t="s">
        <v>10</v>
      </c>
      <c r="C4014">
        <v>1</v>
      </c>
      <c r="F4014">
        <v>304</v>
      </c>
      <c r="J4014">
        <v>1.228</v>
      </c>
      <c r="K4014">
        <v>43.4</v>
      </c>
      <c r="L4014">
        <v>35.4</v>
      </c>
      <c r="M4014">
        <v>239</v>
      </c>
      <c r="N4014">
        <v>15</v>
      </c>
      <c r="O4014">
        <v>2</v>
      </c>
      <c r="P4014">
        <v>2</v>
      </c>
    </row>
    <row r="4015" spans="1:16" x14ac:dyDescent="0.25">
      <c r="A4015" s="4">
        <v>45168</v>
      </c>
      <c r="B4015" t="s">
        <v>9</v>
      </c>
      <c r="C4015">
        <v>1</v>
      </c>
      <c r="F4015">
        <v>163</v>
      </c>
      <c r="J4015">
        <v>0.63500000000000001</v>
      </c>
      <c r="K4015">
        <v>23.3</v>
      </c>
      <c r="L4015">
        <v>36.700000000000003</v>
      </c>
      <c r="M4015">
        <v>130</v>
      </c>
      <c r="N4015">
        <v>9</v>
      </c>
      <c r="O4015">
        <v>4</v>
      </c>
    </row>
    <row r="4016" spans="1:16" x14ac:dyDescent="0.25">
      <c r="A4016" s="4">
        <v>45169</v>
      </c>
      <c r="B4016" t="s">
        <v>10</v>
      </c>
      <c r="C4016">
        <v>1</v>
      </c>
      <c r="F4016">
        <v>346</v>
      </c>
      <c r="J4016">
        <v>1.3240000000000001</v>
      </c>
      <c r="K4016">
        <v>49.4</v>
      </c>
      <c r="L4016">
        <v>37.299999999999997</v>
      </c>
      <c r="M4016">
        <v>228</v>
      </c>
      <c r="N4016">
        <v>20</v>
      </c>
      <c r="O4016">
        <v>8</v>
      </c>
    </row>
    <row r="4017" spans="1:16" x14ac:dyDescent="0.25">
      <c r="A4017" s="4">
        <v>45169</v>
      </c>
      <c r="B4017" t="s">
        <v>9</v>
      </c>
      <c r="C4017">
        <v>1</v>
      </c>
      <c r="F4017">
        <v>155</v>
      </c>
      <c r="J4017">
        <v>0.626</v>
      </c>
      <c r="K4017">
        <v>22.1</v>
      </c>
      <c r="L4017">
        <v>35.4</v>
      </c>
      <c r="M4017">
        <v>138</v>
      </c>
      <c r="N4017">
        <v>7</v>
      </c>
      <c r="O4017">
        <v>1</v>
      </c>
    </row>
    <row r="4018" spans="1:16" x14ac:dyDescent="0.25">
      <c r="A4018" s="4">
        <v>45170</v>
      </c>
      <c r="B4018" t="s">
        <v>10</v>
      </c>
      <c r="C4018">
        <v>1</v>
      </c>
      <c r="F4018">
        <v>303</v>
      </c>
      <c r="J4018">
        <v>1.179</v>
      </c>
      <c r="K4018">
        <v>43.3</v>
      </c>
      <c r="L4018">
        <v>36.700000000000003</v>
      </c>
      <c r="M4018">
        <v>237</v>
      </c>
      <c r="N4018">
        <v>7</v>
      </c>
      <c r="O4018">
        <v>7</v>
      </c>
    </row>
    <row r="4019" spans="1:16" x14ac:dyDescent="0.25">
      <c r="A4019" s="4">
        <v>45170</v>
      </c>
      <c r="B4019" t="s">
        <v>9</v>
      </c>
      <c r="C4019">
        <v>1</v>
      </c>
      <c r="F4019">
        <v>181</v>
      </c>
      <c r="J4019">
        <v>0.73899999999999999</v>
      </c>
      <c r="K4019">
        <v>25.9</v>
      </c>
      <c r="L4019">
        <v>35</v>
      </c>
      <c r="M4019">
        <v>162</v>
      </c>
      <c r="N4019">
        <v>5</v>
      </c>
      <c r="O4019">
        <v>2</v>
      </c>
    </row>
    <row r="4020" spans="1:16" x14ac:dyDescent="0.25">
      <c r="A4020" s="4">
        <v>45174</v>
      </c>
      <c r="B4020" t="s">
        <v>10</v>
      </c>
      <c r="C4020">
        <v>1</v>
      </c>
      <c r="F4020">
        <v>327</v>
      </c>
      <c r="J4020">
        <v>1.288</v>
      </c>
      <c r="K4020">
        <v>46.7</v>
      </c>
      <c r="L4020">
        <v>36.299999999999997</v>
      </c>
      <c r="M4020">
        <v>237</v>
      </c>
      <c r="N4020">
        <v>21</v>
      </c>
      <c r="O4020">
        <v>7</v>
      </c>
    </row>
    <row r="4021" spans="1:16" x14ac:dyDescent="0.25">
      <c r="A4021" s="4">
        <v>45174</v>
      </c>
      <c r="B4021" t="s">
        <v>9</v>
      </c>
      <c r="C4021">
        <v>1</v>
      </c>
      <c r="F4021">
        <v>161</v>
      </c>
      <c r="J4021">
        <v>0.626</v>
      </c>
      <c r="K4021">
        <v>23</v>
      </c>
      <c r="L4021">
        <v>36.700000000000003</v>
      </c>
      <c r="M4021">
        <v>132</v>
      </c>
      <c r="N4021">
        <v>11</v>
      </c>
      <c r="O4021">
        <v>2</v>
      </c>
    </row>
    <row r="4022" spans="1:16" x14ac:dyDescent="0.25">
      <c r="A4022" s="4">
        <v>45175</v>
      </c>
      <c r="B4022" t="s">
        <v>10</v>
      </c>
      <c r="C4022">
        <v>1</v>
      </c>
      <c r="F4022">
        <v>304</v>
      </c>
      <c r="J4022">
        <v>1.228</v>
      </c>
      <c r="K4022">
        <v>43.4</v>
      </c>
      <c r="L4022">
        <v>35.4</v>
      </c>
      <c r="M4022">
        <v>239</v>
      </c>
      <c r="N4022">
        <v>15</v>
      </c>
      <c r="O4022">
        <v>2</v>
      </c>
      <c r="P4022">
        <v>2</v>
      </c>
    </row>
    <row r="4023" spans="1:16" x14ac:dyDescent="0.25">
      <c r="A4023" s="4">
        <v>45175</v>
      </c>
      <c r="B4023" t="s">
        <v>9</v>
      </c>
      <c r="C4023">
        <v>1</v>
      </c>
      <c r="F4023">
        <v>163</v>
      </c>
      <c r="J4023">
        <v>0.63500000000000001</v>
      </c>
      <c r="K4023">
        <v>23.3</v>
      </c>
      <c r="L4023">
        <v>36.700000000000003</v>
      </c>
      <c r="M4023">
        <v>130</v>
      </c>
      <c r="N4023">
        <v>9</v>
      </c>
      <c r="O4023">
        <v>4</v>
      </c>
    </row>
    <row r="4024" spans="1:16" x14ac:dyDescent="0.25">
      <c r="A4024" s="4">
        <v>45176</v>
      </c>
      <c r="B4024" t="s">
        <v>10</v>
      </c>
      <c r="C4024">
        <v>1</v>
      </c>
      <c r="F4024">
        <v>346</v>
      </c>
      <c r="J4024">
        <v>1.3240000000000001</v>
      </c>
      <c r="K4024">
        <v>49.4</v>
      </c>
      <c r="L4024">
        <v>37.299999999999997</v>
      </c>
      <c r="M4024">
        <v>228</v>
      </c>
      <c r="N4024">
        <v>20</v>
      </c>
      <c r="O4024">
        <v>8</v>
      </c>
      <c r="P4024">
        <v>4</v>
      </c>
    </row>
    <row r="4025" spans="1:16" x14ac:dyDescent="0.25">
      <c r="A4025" s="4">
        <v>45176</v>
      </c>
      <c r="B4025" t="s">
        <v>9</v>
      </c>
      <c r="C4025">
        <v>1</v>
      </c>
      <c r="F4025">
        <v>155</v>
      </c>
      <c r="J4025">
        <v>0.626</v>
      </c>
      <c r="K4025">
        <v>22.1</v>
      </c>
      <c r="L4025">
        <v>35.4</v>
      </c>
      <c r="M4025">
        <v>138</v>
      </c>
      <c r="N4025">
        <v>7</v>
      </c>
      <c r="O4025">
        <v>1</v>
      </c>
    </row>
    <row r="4026" spans="1:16" x14ac:dyDescent="0.25">
      <c r="A4026" s="4">
        <v>45177</v>
      </c>
      <c r="B4026" t="s">
        <v>10</v>
      </c>
      <c r="C4026">
        <v>1</v>
      </c>
      <c r="F4026">
        <v>303</v>
      </c>
      <c r="J4026">
        <v>1.179</v>
      </c>
      <c r="K4026">
        <v>43.3</v>
      </c>
      <c r="L4026">
        <v>36.700000000000003</v>
      </c>
      <c r="M4026">
        <v>237</v>
      </c>
      <c r="N4026">
        <v>7</v>
      </c>
      <c r="O4026">
        <v>7</v>
      </c>
      <c r="P4026">
        <v>1</v>
      </c>
    </row>
    <row r="4027" spans="1:16" x14ac:dyDescent="0.25">
      <c r="A4027" s="4">
        <v>45177</v>
      </c>
      <c r="B4027" t="s">
        <v>9</v>
      </c>
      <c r="C4027">
        <v>1</v>
      </c>
      <c r="F4027">
        <v>181</v>
      </c>
      <c r="J4027">
        <v>0.73899999999999999</v>
      </c>
      <c r="K4027">
        <v>25.9</v>
      </c>
      <c r="L4027">
        <v>35</v>
      </c>
      <c r="M4027">
        <v>162</v>
      </c>
      <c r="N4027">
        <v>5</v>
      </c>
      <c r="O4027">
        <v>2</v>
      </c>
    </row>
    <row r="4028" spans="1:16" x14ac:dyDescent="0.25">
      <c r="A4028" s="4">
        <v>45180</v>
      </c>
      <c r="B4028" t="s">
        <v>10</v>
      </c>
      <c r="C4028">
        <v>1</v>
      </c>
      <c r="F4028">
        <v>331</v>
      </c>
      <c r="J4028">
        <v>1.327</v>
      </c>
      <c r="K4028">
        <v>47.3</v>
      </c>
      <c r="L4028">
        <v>35.6</v>
      </c>
      <c r="M4028">
        <v>235</v>
      </c>
      <c r="N4028">
        <v>23</v>
      </c>
      <c r="O4028">
        <v>13</v>
      </c>
      <c r="P4028">
        <v>1</v>
      </c>
    </row>
    <row r="4029" spans="1:16" x14ac:dyDescent="0.25">
      <c r="A4029" s="4">
        <v>45180</v>
      </c>
      <c r="B4029" t="s">
        <v>9</v>
      </c>
      <c r="C4029">
        <v>1</v>
      </c>
      <c r="F4029">
        <v>115</v>
      </c>
      <c r="J4029">
        <v>0.44500000000000001</v>
      </c>
      <c r="K4029">
        <v>16.399999999999999</v>
      </c>
      <c r="L4029">
        <v>36.9</v>
      </c>
      <c r="M4029">
        <v>97</v>
      </c>
      <c r="N4029">
        <v>4</v>
      </c>
      <c r="O4029">
        <v>1</v>
      </c>
      <c r="P4029">
        <v>1</v>
      </c>
    </row>
    <row r="4030" spans="1:16" x14ac:dyDescent="0.25">
      <c r="A4030" s="4">
        <v>45181</v>
      </c>
      <c r="B4030" t="s">
        <v>10</v>
      </c>
      <c r="C4030">
        <v>1</v>
      </c>
      <c r="F4030">
        <v>343</v>
      </c>
      <c r="J4030">
        <v>1.2010000000000001</v>
      </c>
      <c r="K4030">
        <v>44.6</v>
      </c>
      <c r="L4030">
        <v>37.1</v>
      </c>
      <c r="M4030">
        <v>240</v>
      </c>
      <c r="N4030">
        <v>26</v>
      </c>
      <c r="O4030">
        <v>8</v>
      </c>
      <c r="P4030">
        <v>3</v>
      </c>
    </row>
    <row r="4031" spans="1:16" x14ac:dyDescent="0.25">
      <c r="A4031" s="4">
        <v>45181</v>
      </c>
      <c r="B4031" t="s">
        <v>9</v>
      </c>
      <c r="C4031">
        <v>1</v>
      </c>
      <c r="F4031">
        <v>159</v>
      </c>
      <c r="J4031">
        <v>0.53</v>
      </c>
      <c r="K4031">
        <v>20.7</v>
      </c>
      <c r="L4031">
        <v>39</v>
      </c>
      <c r="M4031">
        <v>123</v>
      </c>
      <c r="N4031">
        <v>8</v>
      </c>
      <c r="O4031">
        <v>2</v>
      </c>
      <c r="P4031">
        <v>2</v>
      </c>
    </row>
    <row r="4032" spans="1:16" x14ac:dyDescent="0.25">
      <c r="A4032" s="4">
        <v>45182</v>
      </c>
      <c r="B4032" t="s">
        <v>10</v>
      </c>
      <c r="C4032">
        <v>1</v>
      </c>
      <c r="F4032">
        <v>319</v>
      </c>
      <c r="J4032">
        <v>1.2210000000000001</v>
      </c>
      <c r="K4032">
        <v>45.6</v>
      </c>
      <c r="L4032">
        <v>37.299999999999997</v>
      </c>
      <c r="M4032">
        <v>228</v>
      </c>
      <c r="N4032">
        <v>18</v>
      </c>
      <c r="O4032">
        <v>8</v>
      </c>
      <c r="P4032">
        <v>4</v>
      </c>
    </row>
    <row r="4033" spans="1:16" x14ac:dyDescent="0.25">
      <c r="A4033" s="4">
        <v>45182</v>
      </c>
      <c r="B4033" t="s">
        <v>9</v>
      </c>
      <c r="C4033">
        <v>1</v>
      </c>
      <c r="F4033">
        <v>161</v>
      </c>
      <c r="J4033">
        <v>0.66100000000000003</v>
      </c>
      <c r="K4033">
        <v>23</v>
      </c>
      <c r="L4033">
        <v>34.799999999999997</v>
      </c>
      <c r="M4033">
        <v>139</v>
      </c>
      <c r="N4033">
        <v>8</v>
      </c>
      <c r="O4033">
        <v>2</v>
      </c>
    </row>
    <row r="4034" spans="1:16" x14ac:dyDescent="0.25">
      <c r="A4034" s="4">
        <v>45183</v>
      </c>
      <c r="B4034" t="s">
        <v>10</v>
      </c>
      <c r="C4034">
        <v>1</v>
      </c>
      <c r="F4034">
        <v>314</v>
      </c>
      <c r="J4034">
        <v>1.3180000000000001</v>
      </c>
      <c r="K4034">
        <v>44.9</v>
      </c>
      <c r="L4034">
        <v>34</v>
      </c>
      <c r="M4034">
        <v>270</v>
      </c>
      <c r="N4034">
        <v>13</v>
      </c>
      <c r="O4034">
        <v>6</v>
      </c>
    </row>
    <row r="4035" spans="1:16" x14ac:dyDescent="0.25">
      <c r="A4035" s="4">
        <v>45183</v>
      </c>
      <c r="B4035" t="s">
        <v>9</v>
      </c>
      <c r="C4035">
        <v>1</v>
      </c>
      <c r="F4035">
        <v>124</v>
      </c>
      <c r="J4035">
        <v>0.502</v>
      </c>
      <c r="K4035">
        <v>17.7</v>
      </c>
      <c r="L4035">
        <v>35.299999999999997</v>
      </c>
      <c r="M4035">
        <v>104</v>
      </c>
      <c r="N4035">
        <v>8</v>
      </c>
      <c r="O4035">
        <v>1</v>
      </c>
    </row>
    <row r="4036" spans="1:16" x14ac:dyDescent="0.25">
      <c r="A4036" s="4">
        <v>45184</v>
      </c>
      <c r="B4036" t="s">
        <v>10</v>
      </c>
      <c r="C4036">
        <v>1</v>
      </c>
      <c r="F4036">
        <v>251</v>
      </c>
      <c r="J4036">
        <v>1.411</v>
      </c>
      <c r="K4036">
        <v>50</v>
      </c>
      <c r="L4036">
        <v>35.4</v>
      </c>
      <c r="M4036">
        <v>181</v>
      </c>
      <c r="N4036">
        <v>25</v>
      </c>
      <c r="O4036">
        <v>6</v>
      </c>
    </row>
    <row r="4037" spans="1:16" x14ac:dyDescent="0.25">
      <c r="A4037" s="4">
        <v>45184</v>
      </c>
      <c r="B4037" t="s">
        <v>9</v>
      </c>
      <c r="C4037">
        <v>1</v>
      </c>
      <c r="F4037">
        <v>117</v>
      </c>
      <c r="J4037">
        <v>0.64200000000000002</v>
      </c>
      <c r="K4037">
        <v>23.3</v>
      </c>
      <c r="L4037">
        <v>36.299999999999997</v>
      </c>
      <c r="M4037">
        <v>96</v>
      </c>
      <c r="N4037">
        <v>9</v>
      </c>
      <c r="O4037">
        <v>1</v>
      </c>
    </row>
    <row r="4038" spans="1:16" x14ac:dyDescent="0.25">
      <c r="A4038" s="4">
        <v>45187</v>
      </c>
      <c r="B4038" t="s">
        <v>10</v>
      </c>
      <c r="C4038">
        <v>1</v>
      </c>
      <c r="F4038">
        <v>320</v>
      </c>
      <c r="J4038">
        <v>1.3169999999999999</v>
      </c>
      <c r="K4038">
        <v>45.7</v>
      </c>
      <c r="L4038">
        <v>34.700000000000003</v>
      </c>
      <c r="M4038">
        <v>261</v>
      </c>
      <c r="N4038">
        <v>17</v>
      </c>
      <c r="O4038">
        <v>7</v>
      </c>
    </row>
    <row r="4039" spans="1:16" x14ac:dyDescent="0.25">
      <c r="A4039" s="4">
        <v>45187</v>
      </c>
      <c r="B4039" t="s">
        <v>9</v>
      </c>
      <c r="C4039">
        <v>1</v>
      </c>
      <c r="F4039">
        <v>114</v>
      </c>
      <c r="J4039">
        <v>0.45800000000000002</v>
      </c>
      <c r="K4039">
        <v>16.3</v>
      </c>
      <c r="L4039">
        <v>35.5</v>
      </c>
      <c r="M4039">
        <v>104</v>
      </c>
      <c r="N4039">
        <v>5</v>
      </c>
    </row>
    <row r="4040" spans="1:16" x14ac:dyDescent="0.25">
      <c r="A4040" s="4">
        <v>45188</v>
      </c>
      <c r="B4040" t="s">
        <v>10</v>
      </c>
      <c r="C4040">
        <v>1</v>
      </c>
      <c r="F4040">
        <v>448</v>
      </c>
      <c r="J4040">
        <v>1.343</v>
      </c>
      <c r="K4040">
        <v>49.8</v>
      </c>
      <c r="L4040">
        <v>37.1</v>
      </c>
      <c r="M4040">
        <v>284</v>
      </c>
      <c r="N4040">
        <v>50</v>
      </c>
      <c r="O4040">
        <v>14</v>
      </c>
      <c r="P4040">
        <v>2</v>
      </c>
    </row>
    <row r="4041" spans="1:16" x14ac:dyDescent="0.25">
      <c r="A4041" s="4">
        <v>45188</v>
      </c>
      <c r="B4041" t="s">
        <v>9</v>
      </c>
      <c r="C4041">
        <v>1</v>
      </c>
      <c r="F4041">
        <v>73</v>
      </c>
      <c r="J4041">
        <v>0.20699999999999999</v>
      </c>
      <c r="K4041">
        <v>8.1</v>
      </c>
      <c r="L4041">
        <v>39.1</v>
      </c>
      <c r="M4041">
        <v>61</v>
      </c>
      <c r="N4041">
        <v>2</v>
      </c>
      <c r="O4041">
        <v>2</v>
      </c>
    </row>
    <row r="4042" spans="1:16" x14ac:dyDescent="0.25">
      <c r="A4042" s="4">
        <v>45189</v>
      </c>
      <c r="B4042" t="s">
        <v>10</v>
      </c>
      <c r="C4042">
        <v>1</v>
      </c>
      <c r="F4042">
        <v>439</v>
      </c>
      <c r="J4042">
        <v>1.3939999999999999</v>
      </c>
      <c r="K4042">
        <v>48.8</v>
      </c>
      <c r="L4042">
        <v>35</v>
      </c>
      <c r="M4042">
        <v>334</v>
      </c>
      <c r="N4042">
        <v>34</v>
      </c>
      <c r="O4042">
        <v>10</v>
      </c>
      <c r="P4042">
        <v>1</v>
      </c>
    </row>
    <row r="4043" spans="1:16" x14ac:dyDescent="0.25">
      <c r="A4043" s="4">
        <v>45189</v>
      </c>
      <c r="B4043" t="s">
        <v>9</v>
      </c>
      <c r="C4043">
        <v>1</v>
      </c>
      <c r="F4043">
        <v>101</v>
      </c>
      <c r="J4043">
        <v>0.30299999999999999</v>
      </c>
      <c r="K4043">
        <v>11.2</v>
      </c>
      <c r="L4043">
        <v>37</v>
      </c>
      <c r="M4043">
        <v>89</v>
      </c>
      <c r="N4043">
        <v>6</v>
      </c>
    </row>
    <row r="4044" spans="1:16" x14ac:dyDescent="0.25">
      <c r="A4044" s="4">
        <v>45190</v>
      </c>
      <c r="B4044" t="s">
        <v>10</v>
      </c>
      <c r="C4044">
        <v>1</v>
      </c>
      <c r="F4044">
        <v>279</v>
      </c>
      <c r="J4044">
        <v>1.1659999999999999</v>
      </c>
      <c r="K4044">
        <v>39.9</v>
      </c>
      <c r="L4044">
        <v>34.200000000000003</v>
      </c>
      <c r="M4044">
        <v>232</v>
      </c>
      <c r="N4044">
        <v>14</v>
      </c>
      <c r="O4044">
        <v>5</v>
      </c>
    </row>
    <row r="4045" spans="1:16" x14ac:dyDescent="0.25">
      <c r="A4045" s="4">
        <v>45190</v>
      </c>
      <c r="B4045" t="s">
        <v>9</v>
      </c>
      <c r="C4045">
        <v>1</v>
      </c>
      <c r="F4045">
        <v>134</v>
      </c>
      <c r="J4045">
        <v>0.53500000000000003</v>
      </c>
      <c r="K4045">
        <v>19.100000000000001</v>
      </c>
      <c r="L4045">
        <v>35.799999999999997</v>
      </c>
      <c r="M4045">
        <v>116</v>
      </c>
      <c r="N4045">
        <v>9</v>
      </c>
    </row>
    <row r="4046" spans="1:16" x14ac:dyDescent="0.25">
      <c r="A4046" s="4">
        <v>45191</v>
      </c>
      <c r="B4046" t="s">
        <v>10</v>
      </c>
      <c r="C4046">
        <v>1</v>
      </c>
      <c r="F4046">
        <v>273</v>
      </c>
      <c r="J4046">
        <v>0.877</v>
      </c>
      <c r="K4046">
        <v>30.3</v>
      </c>
      <c r="L4046">
        <v>34.6</v>
      </c>
      <c r="M4046">
        <v>228</v>
      </c>
      <c r="N4046">
        <v>13</v>
      </c>
      <c r="O4046">
        <v>4</v>
      </c>
      <c r="P4046">
        <v>1</v>
      </c>
    </row>
    <row r="4047" spans="1:16" x14ac:dyDescent="0.25">
      <c r="A4047" s="4">
        <v>45191</v>
      </c>
      <c r="B4047" t="s">
        <v>9</v>
      </c>
      <c r="C4047">
        <v>1</v>
      </c>
      <c r="F4047">
        <v>196</v>
      </c>
      <c r="J4047">
        <v>0.59</v>
      </c>
      <c r="K4047">
        <v>21.8</v>
      </c>
      <c r="L4047">
        <v>36.9</v>
      </c>
      <c r="M4047">
        <v>140</v>
      </c>
      <c r="N4047">
        <v>18</v>
      </c>
      <c r="O4047">
        <v>4</v>
      </c>
      <c r="P4047">
        <v>1</v>
      </c>
    </row>
    <row r="4048" spans="1:16" x14ac:dyDescent="0.25">
      <c r="A4048" s="4">
        <v>45194</v>
      </c>
      <c r="B4048" t="s">
        <v>10</v>
      </c>
      <c r="C4048">
        <v>1</v>
      </c>
      <c r="F4048">
        <v>355</v>
      </c>
      <c r="J4048">
        <v>1.0940000000000001</v>
      </c>
      <c r="K4048">
        <v>39.4</v>
      </c>
      <c r="L4048">
        <v>36.1</v>
      </c>
      <c r="M4048">
        <v>253</v>
      </c>
      <c r="N4048">
        <v>29</v>
      </c>
      <c r="O4048">
        <v>9</v>
      </c>
      <c r="P4048">
        <v>2</v>
      </c>
    </row>
    <row r="4049" spans="1:16" x14ac:dyDescent="0.25">
      <c r="A4049" s="4">
        <v>45194</v>
      </c>
      <c r="B4049" t="s">
        <v>9</v>
      </c>
      <c r="C4049">
        <v>1</v>
      </c>
      <c r="F4049">
        <v>155</v>
      </c>
      <c r="J4049">
        <v>0.47</v>
      </c>
      <c r="K4049">
        <v>17.2</v>
      </c>
      <c r="L4049">
        <v>36.700000000000003</v>
      </c>
      <c r="M4049">
        <v>124</v>
      </c>
      <c r="N4049">
        <v>10</v>
      </c>
      <c r="O4049">
        <v>3</v>
      </c>
    </row>
    <row r="4050" spans="1:16" x14ac:dyDescent="0.25">
      <c r="A4050" s="4">
        <v>45195</v>
      </c>
      <c r="B4050" t="s">
        <v>10</v>
      </c>
      <c r="C4050">
        <v>1</v>
      </c>
      <c r="F4050">
        <v>332</v>
      </c>
      <c r="J4050">
        <v>1.3620000000000001</v>
      </c>
      <c r="K4050">
        <v>46.1</v>
      </c>
      <c r="L4050">
        <v>33.9</v>
      </c>
      <c r="M4050">
        <v>258</v>
      </c>
      <c r="N4050">
        <v>26</v>
      </c>
      <c r="O4050">
        <v>6</v>
      </c>
    </row>
    <row r="4051" spans="1:16" x14ac:dyDescent="0.25">
      <c r="A4051" s="4">
        <v>45195</v>
      </c>
      <c r="B4051" t="s">
        <v>9</v>
      </c>
      <c r="C4051">
        <v>1</v>
      </c>
      <c r="F4051">
        <v>175</v>
      </c>
      <c r="J4051">
        <v>0.68700000000000006</v>
      </c>
      <c r="K4051">
        <v>24.3</v>
      </c>
      <c r="L4051">
        <v>35.4</v>
      </c>
      <c r="M4051">
        <v>153</v>
      </c>
      <c r="N4051">
        <v>8</v>
      </c>
      <c r="P4051">
        <v>1</v>
      </c>
    </row>
    <row r="4052" spans="1:16" x14ac:dyDescent="0.25">
      <c r="A4052" s="4">
        <v>45196</v>
      </c>
      <c r="B4052" t="s">
        <v>10</v>
      </c>
      <c r="C4052">
        <v>1</v>
      </c>
      <c r="F4052">
        <v>328</v>
      </c>
      <c r="J4052">
        <v>1.3129999999999999</v>
      </c>
      <c r="K4052">
        <v>45.6</v>
      </c>
      <c r="L4052">
        <v>34.700000000000003</v>
      </c>
      <c r="M4052">
        <v>266</v>
      </c>
      <c r="N4052">
        <v>21</v>
      </c>
      <c r="O4052">
        <v>4</v>
      </c>
      <c r="P4052">
        <v>1</v>
      </c>
    </row>
    <row r="4053" spans="1:16" x14ac:dyDescent="0.25">
      <c r="A4053" s="4">
        <v>45196</v>
      </c>
      <c r="B4053" t="s">
        <v>9</v>
      </c>
      <c r="C4053">
        <v>1</v>
      </c>
      <c r="F4053">
        <v>175</v>
      </c>
      <c r="J4053">
        <v>0.68200000000000005</v>
      </c>
      <c r="K4053">
        <v>24.3</v>
      </c>
      <c r="L4053">
        <v>35.6</v>
      </c>
      <c r="M4053">
        <v>159</v>
      </c>
      <c r="N4053">
        <v>6</v>
      </c>
      <c r="O4053">
        <v>1</v>
      </c>
    </row>
    <row r="4054" spans="1:16" x14ac:dyDescent="0.25">
      <c r="A4054" s="4">
        <v>45197</v>
      </c>
      <c r="B4054" t="s">
        <v>10</v>
      </c>
      <c r="C4054">
        <v>1</v>
      </c>
      <c r="F4054">
        <v>364</v>
      </c>
      <c r="J4054">
        <v>1.407</v>
      </c>
      <c r="K4054">
        <v>50.6</v>
      </c>
      <c r="L4054">
        <v>35.9</v>
      </c>
      <c r="M4054">
        <v>282</v>
      </c>
      <c r="N4054">
        <v>24</v>
      </c>
      <c r="O4054">
        <v>6</v>
      </c>
      <c r="P4054">
        <v>1</v>
      </c>
    </row>
    <row r="4055" spans="1:16" x14ac:dyDescent="0.25">
      <c r="A4055" s="4">
        <v>45197</v>
      </c>
      <c r="B4055" t="s">
        <v>9</v>
      </c>
      <c r="C4055">
        <v>1</v>
      </c>
      <c r="F4055">
        <v>167</v>
      </c>
      <c r="J4055">
        <v>0.66300000000000003</v>
      </c>
      <c r="K4055">
        <v>23.2</v>
      </c>
      <c r="L4055">
        <v>35</v>
      </c>
      <c r="M4055">
        <v>146</v>
      </c>
      <c r="N4055">
        <v>9</v>
      </c>
      <c r="O4055">
        <v>1</v>
      </c>
    </row>
    <row r="4056" spans="1:16" x14ac:dyDescent="0.25">
      <c r="A4056" s="4">
        <v>45198</v>
      </c>
      <c r="B4056" t="s">
        <v>10</v>
      </c>
      <c r="C4056">
        <v>1</v>
      </c>
      <c r="F4056">
        <v>358</v>
      </c>
      <c r="J4056">
        <v>1.4039999999999999</v>
      </c>
      <c r="K4056">
        <v>49</v>
      </c>
      <c r="L4056">
        <v>34.9</v>
      </c>
      <c r="M4056">
        <v>285</v>
      </c>
      <c r="N4056">
        <v>21</v>
      </c>
      <c r="O4056">
        <v>9</v>
      </c>
    </row>
    <row r="4057" spans="1:16" x14ac:dyDescent="0.25">
      <c r="A4057" s="4">
        <v>45198</v>
      </c>
      <c r="B4057" t="s">
        <v>9</v>
      </c>
      <c r="C4057">
        <v>1</v>
      </c>
      <c r="F4057">
        <v>105</v>
      </c>
      <c r="J4057">
        <v>0.42599999999999999</v>
      </c>
      <c r="K4057">
        <v>14.4</v>
      </c>
      <c r="L4057">
        <v>33.799999999999997</v>
      </c>
      <c r="M4057">
        <v>103</v>
      </c>
      <c r="N4057">
        <v>1</v>
      </c>
    </row>
    <row r="4058" spans="1:16" x14ac:dyDescent="0.25">
      <c r="A4058" s="4">
        <v>45201</v>
      </c>
      <c r="B4058" t="s">
        <v>10</v>
      </c>
      <c r="C4058">
        <v>1</v>
      </c>
      <c r="F4058">
        <v>250</v>
      </c>
      <c r="J4058">
        <v>1.2290000000000001</v>
      </c>
      <c r="K4058">
        <v>46.3</v>
      </c>
      <c r="L4058">
        <v>37.700000000000003</v>
      </c>
      <c r="M4058">
        <v>161</v>
      </c>
      <c r="N4058">
        <v>24</v>
      </c>
      <c r="O4058">
        <v>7</v>
      </c>
      <c r="P4058">
        <v>2</v>
      </c>
    </row>
    <row r="4059" spans="1:16" x14ac:dyDescent="0.25">
      <c r="A4059" s="4">
        <v>45201</v>
      </c>
      <c r="B4059" t="s">
        <v>9</v>
      </c>
      <c r="C4059">
        <v>1</v>
      </c>
      <c r="F4059">
        <v>90</v>
      </c>
      <c r="J4059">
        <v>0.442</v>
      </c>
      <c r="K4059">
        <v>16.7</v>
      </c>
      <c r="L4059">
        <v>37.700000000000003</v>
      </c>
      <c r="M4059">
        <v>62</v>
      </c>
      <c r="N4059">
        <v>11</v>
      </c>
      <c r="O4059">
        <v>2</v>
      </c>
    </row>
    <row r="4060" spans="1:16" x14ac:dyDescent="0.25">
      <c r="A4060" s="4">
        <v>45202</v>
      </c>
      <c r="B4060" t="s">
        <v>10</v>
      </c>
      <c r="C4060">
        <v>1</v>
      </c>
      <c r="F4060">
        <v>329</v>
      </c>
      <c r="J4060">
        <v>1.321</v>
      </c>
      <c r="K4060">
        <v>45.7</v>
      </c>
      <c r="L4060">
        <v>35.6</v>
      </c>
      <c r="M4060">
        <v>250</v>
      </c>
      <c r="N4060">
        <v>29</v>
      </c>
      <c r="O4060">
        <v>6</v>
      </c>
    </row>
    <row r="4061" spans="1:16" x14ac:dyDescent="0.25">
      <c r="A4061" s="4">
        <v>45202</v>
      </c>
      <c r="B4061" t="s">
        <v>9</v>
      </c>
      <c r="C4061">
        <v>1</v>
      </c>
      <c r="F4061">
        <v>102</v>
      </c>
      <c r="J4061">
        <v>0.39300000000000002</v>
      </c>
      <c r="K4061">
        <v>14.2</v>
      </c>
      <c r="L4061">
        <v>36</v>
      </c>
      <c r="M4061">
        <v>93</v>
      </c>
      <c r="N4061">
        <v>3</v>
      </c>
      <c r="O4061">
        <v>1</v>
      </c>
    </row>
    <row r="4062" spans="1:16" x14ac:dyDescent="0.25">
      <c r="A4062" s="4">
        <v>45203</v>
      </c>
      <c r="B4062" t="s">
        <v>10</v>
      </c>
      <c r="C4062">
        <v>1</v>
      </c>
      <c r="F4062">
        <v>333</v>
      </c>
      <c r="J4062">
        <v>1.298</v>
      </c>
      <c r="K4062">
        <v>46.3</v>
      </c>
      <c r="L4062">
        <v>35.6</v>
      </c>
      <c r="M4062">
        <v>253</v>
      </c>
      <c r="N4062">
        <v>31</v>
      </c>
      <c r="O4062">
        <v>4</v>
      </c>
      <c r="P4062">
        <v>1</v>
      </c>
    </row>
    <row r="4063" spans="1:16" x14ac:dyDescent="0.25">
      <c r="A4063" s="4">
        <v>45203</v>
      </c>
      <c r="B4063" t="s">
        <v>9</v>
      </c>
      <c r="C4063">
        <v>1</v>
      </c>
      <c r="F4063">
        <v>145</v>
      </c>
      <c r="J4063">
        <v>0.55300000000000005</v>
      </c>
      <c r="K4063">
        <v>20.100000000000001</v>
      </c>
      <c r="L4063">
        <v>36.4</v>
      </c>
      <c r="M4063">
        <v>129</v>
      </c>
      <c r="N4063">
        <v>8</v>
      </c>
    </row>
    <row r="4064" spans="1:16" x14ac:dyDescent="0.25">
      <c r="A4064" s="4">
        <v>45204</v>
      </c>
      <c r="B4064" t="s">
        <v>10</v>
      </c>
      <c r="C4064">
        <v>1</v>
      </c>
      <c r="F4064">
        <v>340</v>
      </c>
      <c r="J4064">
        <v>1.319</v>
      </c>
      <c r="K4064">
        <v>47.2</v>
      </c>
      <c r="L4064">
        <v>35.799999999999997</v>
      </c>
      <c r="M4064">
        <v>260</v>
      </c>
      <c r="N4064">
        <v>26</v>
      </c>
      <c r="O4064">
        <v>6</v>
      </c>
      <c r="P4064">
        <v>1</v>
      </c>
    </row>
    <row r="4065" spans="1:16" x14ac:dyDescent="0.25">
      <c r="A4065" s="4">
        <v>45204</v>
      </c>
      <c r="B4065" t="s">
        <v>9</v>
      </c>
      <c r="C4065">
        <v>1</v>
      </c>
      <c r="F4065">
        <v>112</v>
      </c>
      <c r="J4065">
        <v>0.42</v>
      </c>
      <c r="K4065">
        <v>15.6</v>
      </c>
      <c r="L4065">
        <v>37</v>
      </c>
      <c r="M4065">
        <v>98</v>
      </c>
      <c r="N4065">
        <v>7</v>
      </c>
    </row>
    <row r="4066" spans="1:16" x14ac:dyDescent="0.25">
      <c r="A4066" s="4">
        <v>45205</v>
      </c>
      <c r="B4066" t="s">
        <v>10</v>
      </c>
      <c r="C4066">
        <v>1</v>
      </c>
      <c r="F4066">
        <v>355</v>
      </c>
      <c r="J4066">
        <v>1.4119999999999999</v>
      </c>
      <c r="K4066">
        <v>49.3</v>
      </c>
      <c r="L4066">
        <v>34.9</v>
      </c>
      <c r="M4066">
        <v>274</v>
      </c>
      <c r="N4066">
        <v>31</v>
      </c>
      <c r="O4066">
        <v>5</v>
      </c>
    </row>
    <row r="4067" spans="1:16" x14ac:dyDescent="0.25">
      <c r="A4067" s="4">
        <v>45205</v>
      </c>
      <c r="B4067" t="s">
        <v>9</v>
      </c>
      <c r="C4067">
        <v>1</v>
      </c>
      <c r="F4067">
        <v>103</v>
      </c>
      <c r="J4067">
        <v>0.40799999999999997</v>
      </c>
      <c r="K4067">
        <v>14.3</v>
      </c>
      <c r="L4067">
        <v>35.1</v>
      </c>
      <c r="M4067">
        <v>97</v>
      </c>
      <c r="N4067">
        <v>3</v>
      </c>
    </row>
    <row r="4068" spans="1:16" x14ac:dyDescent="0.25">
      <c r="A4068" s="4">
        <v>45208</v>
      </c>
      <c r="B4068" t="s">
        <v>10</v>
      </c>
      <c r="C4068">
        <v>1</v>
      </c>
      <c r="F4068">
        <v>361</v>
      </c>
      <c r="J4068">
        <v>1.204</v>
      </c>
      <c r="K4068">
        <v>42.5</v>
      </c>
      <c r="L4068">
        <v>35.299999999999997</v>
      </c>
      <c r="M4068">
        <v>264</v>
      </c>
      <c r="N4068">
        <v>34</v>
      </c>
      <c r="O4068">
        <v>8</v>
      </c>
    </row>
    <row r="4069" spans="1:16" x14ac:dyDescent="0.25">
      <c r="A4069" s="4">
        <v>45208</v>
      </c>
      <c r="B4069" t="s">
        <v>9</v>
      </c>
      <c r="C4069">
        <v>1</v>
      </c>
      <c r="F4069">
        <v>141</v>
      </c>
      <c r="J4069">
        <v>0.45600000000000002</v>
      </c>
      <c r="K4069">
        <v>16.600000000000001</v>
      </c>
      <c r="L4069">
        <v>36.4</v>
      </c>
      <c r="M4069">
        <v>109</v>
      </c>
      <c r="N4069">
        <v>7</v>
      </c>
      <c r="O4069">
        <v>6</v>
      </c>
    </row>
    <row r="4070" spans="1:16" x14ac:dyDescent="0.25">
      <c r="A4070" s="4">
        <v>45209</v>
      </c>
      <c r="B4070" t="s">
        <v>10</v>
      </c>
      <c r="C4070">
        <v>1</v>
      </c>
      <c r="F4070">
        <v>346</v>
      </c>
      <c r="J4070">
        <v>1.1000000000000001</v>
      </c>
      <c r="K4070">
        <v>38.4</v>
      </c>
      <c r="L4070">
        <v>34.9</v>
      </c>
      <c r="M4070">
        <v>262</v>
      </c>
      <c r="N4070">
        <v>29</v>
      </c>
      <c r="O4070">
        <v>5</v>
      </c>
      <c r="P4070">
        <v>1</v>
      </c>
    </row>
    <row r="4071" spans="1:16" x14ac:dyDescent="0.25">
      <c r="A4071" s="4">
        <v>45209</v>
      </c>
      <c r="B4071" t="s">
        <v>9</v>
      </c>
      <c r="C4071">
        <v>1</v>
      </c>
      <c r="F4071">
        <v>148</v>
      </c>
      <c r="J4071">
        <v>0.45100000000000001</v>
      </c>
      <c r="K4071">
        <v>16.399999999999999</v>
      </c>
      <c r="L4071">
        <v>36.5</v>
      </c>
      <c r="M4071">
        <v>122</v>
      </c>
      <c r="N4071">
        <v>8</v>
      </c>
      <c r="O4071">
        <v>3</v>
      </c>
    </row>
    <row r="4072" spans="1:16" x14ac:dyDescent="0.25">
      <c r="A4072" s="4">
        <v>45210</v>
      </c>
      <c r="B4072" t="s">
        <v>10</v>
      </c>
      <c r="C4072">
        <v>1</v>
      </c>
      <c r="F4072">
        <v>462</v>
      </c>
      <c r="J4072">
        <v>1.077</v>
      </c>
      <c r="K4072">
        <v>38.4</v>
      </c>
      <c r="L4072">
        <v>35.700000000000003</v>
      </c>
      <c r="M4072">
        <v>272</v>
      </c>
      <c r="N4072">
        <v>21</v>
      </c>
      <c r="O4072">
        <v>6</v>
      </c>
      <c r="P4072">
        <v>2</v>
      </c>
    </row>
    <row r="4073" spans="1:16" x14ac:dyDescent="0.25">
      <c r="A4073" s="4">
        <v>45210</v>
      </c>
      <c r="B4073" t="s">
        <v>9</v>
      </c>
      <c r="C4073">
        <v>1</v>
      </c>
      <c r="F4073">
        <v>167</v>
      </c>
      <c r="J4073">
        <v>0.505</v>
      </c>
      <c r="K4073">
        <v>18.600000000000001</v>
      </c>
      <c r="L4073">
        <v>36.799999999999997</v>
      </c>
      <c r="M4073">
        <v>126</v>
      </c>
      <c r="N4073">
        <v>17</v>
      </c>
      <c r="O4073">
        <v>2</v>
      </c>
    </row>
    <row r="4074" spans="1:16" x14ac:dyDescent="0.25">
      <c r="A4074" s="4">
        <v>45211</v>
      </c>
      <c r="B4074" t="s">
        <v>10</v>
      </c>
      <c r="C4074">
        <v>1</v>
      </c>
      <c r="F4074">
        <v>351</v>
      </c>
      <c r="J4074">
        <v>1.361</v>
      </c>
      <c r="K4074">
        <v>48.8</v>
      </c>
      <c r="L4074">
        <v>35.799999999999997</v>
      </c>
      <c r="M4074">
        <v>279</v>
      </c>
      <c r="N4074">
        <v>24</v>
      </c>
      <c r="O4074">
        <v>5</v>
      </c>
      <c r="P4074">
        <v>1</v>
      </c>
    </row>
    <row r="4075" spans="1:16" x14ac:dyDescent="0.25">
      <c r="A4075" s="4">
        <v>45211</v>
      </c>
      <c r="B4075" t="s">
        <v>9</v>
      </c>
      <c r="C4075">
        <v>1</v>
      </c>
      <c r="F4075">
        <v>106</v>
      </c>
      <c r="J4075">
        <v>0.42</v>
      </c>
      <c r="K4075">
        <v>14.7</v>
      </c>
      <c r="L4075">
        <v>35</v>
      </c>
      <c r="M4075">
        <v>102</v>
      </c>
      <c r="N4075">
        <v>2</v>
      </c>
    </row>
    <row r="4076" spans="1:16" x14ac:dyDescent="0.25">
      <c r="A4076" s="4">
        <v>45212</v>
      </c>
      <c r="B4076" t="s">
        <v>10</v>
      </c>
      <c r="C4076">
        <v>1</v>
      </c>
      <c r="F4076">
        <v>276</v>
      </c>
      <c r="J4076">
        <v>1.272</v>
      </c>
      <c r="K4076">
        <v>43.8</v>
      </c>
      <c r="L4076">
        <v>34.4</v>
      </c>
      <c r="M4076">
        <v>221</v>
      </c>
      <c r="N4076">
        <v>15</v>
      </c>
      <c r="O4076">
        <v>6</v>
      </c>
      <c r="P4076">
        <v>1</v>
      </c>
    </row>
    <row r="4077" spans="1:16" x14ac:dyDescent="0.25">
      <c r="A4077" s="4">
        <v>45212</v>
      </c>
      <c r="B4077" t="s">
        <v>9</v>
      </c>
      <c r="C4077">
        <v>1</v>
      </c>
      <c r="F4077">
        <v>94</v>
      </c>
      <c r="J4077">
        <v>0.40300000000000002</v>
      </c>
      <c r="K4077">
        <v>14.9</v>
      </c>
      <c r="L4077">
        <v>37.1</v>
      </c>
      <c r="M4077">
        <v>83</v>
      </c>
      <c r="N4077">
        <v>4</v>
      </c>
      <c r="O4077">
        <v>1</v>
      </c>
    </row>
    <row r="4078" spans="1:16" x14ac:dyDescent="0.25">
      <c r="A4078" s="4">
        <v>45215</v>
      </c>
      <c r="B4078" t="s">
        <v>10</v>
      </c>
      <c r="C4078">
        <v>1</v>
      </c>
      <c r="F4078">
        <v>281</v>
      </c>
      <c r="J4078">
        <v>1.0720000000000001</v>
      </c>
      <c r="K4078">
        <v>39</v>
      </c>
      <c r="L4078">
        <v>36.4</v>
      </c>
      <c r="M4078">
        <v>218</v>
      </c>
      <c r="N4078">
        <v>19</v>
      </c>
      <c r="O4078">
        <v>7</v>
      </c>
    </row>
    <row r="4079" spans="1:16" x14ac:dyDescent="0.25">
      <c r="A4079" s="4">
        <v>45215</v>
      </c>
      <c r="B4079" t="s">
        <v>9</v>
      </c>
      <c r="C4079">
        <v>1</v>
      </c>
    </row>
    <row r="4080" spans="1:16" x14ac:dyDescent="0.25">
      <c r="A4080" s="4">
        <v>45216</v>
      </c>
      <c r="B4080" t="s">
        <v>10</v>
      </c>
      <c r="C4080">
        <v>1</v>
      </c>
      <c r="F4080">
        <v>435</v>
      </c>
      <c r="J4080">
        <v>1.3009999999999999</v>
      </c>
      <c r="K4080">
        <v>48.3</v>
      </c>
      <c r="L4080">
        <v>37.1</v>
      </c>
      <c r="M4080">
        <v>295</v>
      </c>
      <c r="N4080">
        <v>41</v>
      </c>
      <c r="O4080">
        <v>14</v>
      </c>
      <c r="P4080">
        <v>2</v>
      </c>
    </row>
    <row r="4081" spans="1:16" x14ac:dyDescent="0.25">
      <c r="A4081" s="4">
        <v>45216</v>
      </c>
      <c r="B4081" t="s">
        <v>9</v>
      </c>
      <c r="C4081">
        <v>1</v>
      </c>
      <c r="F4081">
        <v>108</v>
      </c>
      <c r="J4081">
        <v>0.39900000000000002</v>
      </c>
      <c r="K4081">
        <v>15</v>
      </c>
      <c r="L4081">
        <v>37.6</v>
      </c>
      <c r="M4081">
        <v>89</v>
      </c>
      <c r="N4081">
        <v>8</v>
      </c>
      <c r="O4081">
        <v>1</v>
      </c>
    </row>
    <row r="4082" spans="1:16" x14ac:dyDescent="0.25">
      <c r="A4082" s="4">
        <v>45217</v>
      </c>
      <c r="B4082" t="s">
        <v>10</v>
      </c>
      <c r="C4082">
        <v>1</v>
      </c>
      <c r="F4082">
        <v>446</v>
      </c>
      <c r="J4082">
        <v>1.2849999999999999</v>
      </c>
      <c r="K4082">
        <v>49.6</v>
      </c>
      <c r="L4082">
        <v>38.6</v>
      </c>
      <c r="M4082">
        <v>268</v>
      </c>
      <c r="N4082">
        <v>42</v>
      </c>
      <c r="O4082">
        <v>19</v>
      </c>
      <c r="P4082">
        <v>4</v>
      </c>
    </row>
    <row r="4083" spans="1:16" x14ac:dyDescent="0.25">
      <c r="A4083" s="4">
        <v>45217</v>
      </c>
      <c r="B4083" t="s">
        <v>9</v>
      </c>
      <c r="C4083">
        <v>1</v>
      </c>
      <c r="F4083">
        <v>113</v>
      </c>
      <c r="J4083">
        <v>0.33100000000000002</v>
      </c>
      <c r="K4083">
        <v>12.6</v>
      </c>
      <c r="L4083">
        <v>37.9</v>
      </c>
      <c r="M4083">
        <v>90</v>
      </c>
      <c r="N4083">
        <v>8</v>
      </c>
      <c r="P4083">
        <v>1</v>
      </c>
    </row>
    <row r="4084" spans="1:16" x14ac:dyDescent="0.25">
      <c r="A4084" s="4">
        <v>45218</v>
      </c>
      <c r="B4084" t="s">
        <v>10</v>
      </c>
      <c r="C4084">
        <v>1</v>
      </c>
      <c r="F4084">
        <v>372</v>
      </c>
      <c r="J4084">
        <v>1.129</v>
      </c>
      <c r="K4084">
        <v>41.3</v>
      </c>
      <c r="L4084">
        <v>36.6</v>
      </c>
      <c r="M4084">
        <v>259</v>
      </c>
      <c r="N4084">
        <v>23</v>
      </c>
      <c r="O4084">
        <v>12</v>
      </c>
      <c r="P4084">
        <v>4</v>
      </c>
    </row>
    <row r="4085" spans="1:16" x14ac:dyDescent="0.25">
      <c r="A4085" s="4">
        <v>45218</v>
      </c>
      <c r="B4085" t="s">
        <v>9</v>
      </c>
      <c r="C4085">
        <v>1</v>
      </c>
      <c r="F4085">
        <v>158</v>
      </c>
      <c r="J4085">
        <v>0.47099999999999997</v>
      </c>
      <c r="K4085">
        <v>17.600000000000001</v>
      </c>
      <c r="L4085">
        <v>37.299999999999997</v>
      </c>
      <c r="M4085">
        <v>131</v>
      </c>
      <c r="N4085">
        <v>9</v>
      </c>
      <c r="O4085">
        <v>2</v>
      </c>
    </row>
    <row r="4086" spans="1:16" x14ac:dyDescent="0.25">
      <c r="A4086" s="4">
        <v>45219</v>
      </c>
      <c r="B4086" t="s">
        <v>10</v>
      </c>
      <c r="C4086">
        <v>1</v>
      </c>
      <c r="F4086">
        <v>376</v>
      </c>
      <c r="J4086">
        <v>1.2010000000000001</v>
      </c>
      <c r="K4086">
        <v>41.8</v>
      </c>
      <c r="L4086">
        <v>34.799999999999997</v>
      </c>
      <c r="M4086">
        <v>317</v>
      </c>
      <c r="N4086">
        <v>26</v>
      </c>
      <c r="O4086">
        <v>2</v>
      </c>
    </row>
    <row r="4087" spans="1:16" x14ac:dyDescent="0.25">
      <c r="A4087" s="4">
        <v>45219</v>
      </c>
      <c r="B4087" t="s">
        <v>9</v>
      </c>
      <c r="C4087">
        <v>1</v>
      </c>
      <c r="F4087">
        <v>59</v>
      </c>
      <c r="J4087">
        <v>0.37</v>
      </c>
      <c r="K4087">
        <v>14.8</v>
      </c>
      <c r="L4087">
        <v>39.9</v>
      </c>
      <c r="M4087">
        <v>46</v>
      </c>
      <c r="N4087">
        <v>5</v>
      </c>
      <c r="O4087">
        <v>1</v>
      </c>
    </row>
    <row r="4088" spans="1:16" x14ac:dyDescent="0.25">
      <c r="A4088" s="4">
        <v>45222</v>
      </c>
      <c r="B4088" t="s">
        <v>10</v>
      </c>
      <c r="C4088">
        <v>1</v>
      </c>
      <c r="F4088">
        <v>406</v>
      </c>
      <c r="J4088">
        <v>1.256</v>
      </c>
      <c r="K4088">
        <v>45.11</v>
      </c>
      <c r="L4088">
        <v>35.9</v>
      </c>
      <c r="M4088">
        <v>293</v>
      </c>
      <c r="N4088">
        <v>43</v>
      </c>
      <c r="O4088">
        <v>9</v>
      </c>
    </row>
    <row r="4089" spans="1:16" x14ac:dyDescent="0.25">
      <c r="A4089" s="4">
        <v>45222</v>
      </c>
      <c r="B4089" t="s">
        <v>9</v>
      </c>
      <c r="C4089">
        <v>1</v>
      </c>
      <c r="F4089">
        <v>68</v>
      </c>
      <c r="J4089">
        <v>0.317</v>
      </c>
      <c r="K4089">
        <v>11.3</v>
      </c>
      <c r="L4089">
        <v>35.799999999999997</v>
      </c>
      <c r="M4089">
        <v>64</v>
      </c>
      <c r="N4089">
        <v>2</v>
      </c>
    </row>
    <row r="4090" spans="1:16" x14ac:dyDescent="0.25">
      <c r="A4090" s="4">
        <v>45223</v>
      </c>
      <c r="B4090" t="s">
        <v>10</v>
      </c>
      <c r="C4090">
        <v>1</v>
      </c>
      <c r="F4090">
        <v>401</v>
      </c>
      <c r="J4090">
        <v>1.2230000000000001</v>
      </c>
      <c r="K4090">
        <v>44.6</v>
      </c>
      <c r="L4090">
        <v>36.4</v>
      </c>
      <c r="M4090">
        <v>269</v>
      </c>
      <c r="N4090">
        <v>44</v>
      </c>
      <c r="O4090">
        <v>14</v>
      </c>
    </row>
    <row r="4091" spans="1:16" x14ac:dyDescent="0.25">
      <c r="A4091" s="4">
        <v>45223</v>
      </c>
      <c r="B4091" t="s">
        <v>9</v>
      </c>
      <c r="C4091">
        <v>1</v>
      </c>
      <c r="F4091">
        <v>130</v>
      </c>
      <c r="J4091">
        <v>0.378</v>
      </c>
      <c r="K4091">
        <v>14.4</v>
      </c>
      <c r="L4091">
        <v>38.200000000000003</v>
      </c>
      <c r="M4091">
        <v>110</v>
      </c>
      <c r="N4091">
        <v>7</v>
      </c>
      <c r="P4091">
        <v>1</v>
      </c>
    </row>
    <row r="4092" spans="1:16" x14ac:dyDescent="0.25">
      <c r="A4092" s="4">
        <v>45224</v>
      </c>
      <c r="B4092" t="s">
        <v>10</v>
      </c>
      <c r="C4092">
        <v>1</v>
      </c>
      <c r="F4092">
        <v>384</v>
      </c>
      <c r="J4092">
        <v>1.2769999999999999</v>
      </c>
      <c r="K4092">
        <v>48</v>
      </c>
      <c r="L4092">
        <v>37.6</v>
      </c>
      <c r="M4092">
        <v>269</v>
      </c>
      <c r="N4092">
        <v>30</v>
      </c>
      <c r="O4092">
        <v>9</v>
      </c>
      <c r="P4092">
        <v>3</v>
      </c>
    </row>
    <row r="4093" spans="1:16" x14ac:dyDescent="0.25">
      <c r="A4093" s="4">
        <v>45224</v>
      </c>
      <c r="B4093" t="s">
        <v>9</v>
      </c>
      <c r="C4093">
        <v>1</v>
      </c>
      <c r="F4093">
        <v>89</v>
      </c>
      <c r="J4093">
        <v>0.28499999999999998</v>
      </c>
      <c r="K4093">
        <v>11.1</v>
      </c>
      <c r="L4093">
        <v>39.1</v>
      </c>
      <c r="M4093">
        <v>73</v>
      </c>
      <c r="N4093">
        <v>8</v>
      </c>
    </row>
    <row r="4094" spans="1:16" x14ac:dyDescent="0.25">
      <c r="A4094" s="4">
        <v>45225</v>
      </c>
      <c r="B4094" t="s">
        <v>10</v>
      </c>
      <c r="C4094">
        <v>1</v>
      </c>
      <c r="F4094">
        <v>465</v>
      </c>
      <c r="J4094">
        <v>1.4550000000000001</v>
      </c>
      <c r="K4094">
        <v>51.7</v>
      </c>
      <c r="L4094">
        <v>35.5</v>
      </c>
      <c r="M4094">
        <v>349</v>
      </c>
      <c r="N4094">
        <v>37</v>
      </c>
      <c r="O4094">
        <v>10</v>
      </c>
      <c r="P4094">
        <v>1</v>
      </c>
    </row>
    <row r="4095" spans="1:16" x14ac:dyDescent="0.25">
      <c r="A4095" s="4">
        <v>45225</v>
      </c>
      <c r="B4095" t="s">
        <v>9</v>
      </c>
      <c r="C4095">
        <v>1</v>
      </c>
      <c r="F4095">
        <v>124</v>
      </c>
      <c r="J4095">
        <v>0.36799999999999999</v>
      </c>
      <c r="K4095">
        <v>13.8</v>
      </c>
      <c r="L4095">
        <v>37.4</v>
      </c>
      <c r="M4095">
        <v>95</v>
      </c>
      <c r="N4095">
        <v>9</v>
      </c>
      <c r="O4095">
        <v>3</v>
      </c>
    </row>
    <row r="4096" spans="1:16" x14ac:dyDescent="0.25">
      <c r="A4096" s="4">
        <v>45226</v>
      </c>
      <c r="B4096" t="s">
        <v>10</v>
      </c>
      <c r="C4096">
        <v>1</v>
      </c>
      <c r="F4096">
        <v>415</v>
      </c>
      <c r="J4096">
        <v>1.266</v>
      </c>
      <c r="K4096">
        <v>46.1</v>
      </c>
      <c r="L4096">
        <v>36.4</v>
      </c>
      <c r="M4096">
        <v>286</v>
      </c>
      <c r="N4096">
        <v>42</v>
      </c>
      <c r="O4096">
        <v>12</v>
      </c>
    </row>
    <row r="4097" spans="1:16" x14ac:dyDescent="0.25">
      <c r="A4097" s="4">
        <v>45226</v>
      </c>
      <c r="B4097" t="s">
        <v>9</v>
      </c>
      <c r="C4097">
        <v>1</v>
      </c>
      <c r="F4097">
        <v>117</v>
      </c>
      <c r="J4097">
        <v>0.35599999999999998</v>
      </c>
      <c r="K4097">
        <v>13</v>
      </c>
      <c r="L4097">
        <v>36.6</v>
      </c>
      <c r="M4097">
        <v>105</v>
      </c>
      <c r="N4097">
        <v>6</v>
      </c>
    </row>
    <row r="4098" spans="1:16" x14ac:dyDescent="0.25">
      <c r="A4098" s="4">
        <v>45229</v>
      </c>
      <c r="B4098" t="s">
        <v>10</v>
      </c>
      <c r="C4098">
        <v>1</v>
      </c>
      <c r="F4098">
        <v>408</v>
      </c>
      <c r="J4098">
        <v>1.23</v>
      </c>
      <c r="K4098">
        <v>45.3</v>
      </c>
      <c r="L4098">
        <v>36.9</v>
      </c>
      <c r="M4098">
        <v>289</v>
      </c>
      <c r="N4098">
        <v>34</v>
      </c>
      <c r="O4098">
        <v>11</v>
      </c>
      <c r="P4098">
        <v>2</v>
      </c>
    </row>
    <row r="4099" spans="1:16" x14ac:dyDescent="0.25">
      <c r="A4099" s="4">
        <v>45229</v>
      </c>
      <c r="B4099" t="s">
        <v>9</v>
      </c>
      <c r="C4099">
        <v>1</v>
      </c>
      <c r="F4099">
        <v>115</v>
      </c>
      <c r="J4099">
        <v>0.33300000000000002</v>
      </c>
      <c r="K4099">
        <v>12.8</v>
      </c>
      <c r="L4099">
        <v>38.4</v>
      </c>
      <c r="M4099">
        <v>100</v>
      </c>
      <c r="N4099">
        <v>3</v>
      </c>
      <c r="O4099">
        <v>2</v>
      </c>
    </row>
    <row r="4100" spans="1:16" x14ac:dyDescent="0.25">
      <c r="A4100" s="4">
        <v>45230</v>
      </c>
      <c r="B4100" t="s">
        <v>10</v>
      </c>
      <c r="C4100">
        <v>1</v>
      </c>
      <c r="F4100">
        <v>376</v>
      </c>
      <c r="J4100">
        <v>1.1779999999999999</v>
      </c>
      <c r="K4100">
        <v>41.8</v>
      </c>
      <c r="L4100">
        <v>35.5</v>
      </c>
      <c r="M4100">
        <v>278</v>
      </c>
      <c r="N4100">
        <v>30</v>
      </c>
      <c r="O4100">
        <v>9</v>
      </c>
      <c r="P4100">
        <v>1</v>
      </c>
    </row>
    <row r="4101" spans="1:16" x14ac:dyDescent="0.25">
      <c r="A4101" s="4">
        <v>45230</v>
      </c>
      <c r="B4101" t="s">
        <v>9</v>
      </c>
      <c r="C4101">
        <v>1</v>
      </c>
      <c r="F4101">
        <v>141</v>
      </c>
      <c r="J4101">
        <v>0.42899999999999999</v>
      </c>
      <c r="K4101">
        <v>15.7</v>
      </c>
      <c r="L4101">
        <v>36.6</v>
      </c>
      <c r="M4101">
        <v>128</v>
      </c>
      <c r="N4101">
        <v>5</v>
      </c>
      <c r="O4101">
        <v>1</v>
      </c>
    </row>
    <row r="4102" spans="1:16" x14ac:dyDescent="0.25">
      <c r="A4102" s="4">
        <v>45231</v>
      </c>
      <c r="B4102" t="s">
        <v>10</v>
      </c>
      <c r="C4102">
        <v>1</v>
      </c>
      <c r="F4102">
        <v>412</v>
      </c>
      <c r="J4102">
        <v>1.2869999999999999</v>
      </c>
      <c r="K4102">
        <v>45.8</v>
      </c>
      <c r="L4102">
        <v>35.6</v>
      </c>
      <c r="M4102">
        <v>318</v>
      </c>
      <c r="N4102">
        <v>32</v>
      </c>
      <c r="O4102">
        <v>7</v>
      </c>
      <c r="P4102">
        <v>1</v>
      </c>
    </row>
    <row r="4103" spans="1:16" x14ac:dyDescent="0.25">
      <c r="A4103" s="4">
        <v>45231</v>
      </c>
      <c r="B4103" t="s">
        <v>9</v>
      </c>
      <c r="C4103">
        <v>1</v>
      </c>
      <c r="F4103">
        <v>116</v>
      </c>
      <c r="J4103">
        <v>0.35199999999999998</v>
      </c>
      <c r="K4103">
        <v>12.9</v>
      </c>
      <c r="L4103">
        <v>36.6</v>
      </c>
      <c r="M4103">
        <v>96</v>
      </c>
      <c r="N4103">
        <v>10</v>
      </c>
    </row>
    <row r="4104" spans="1:16" x14ac:dyDescent="0.25">
      <c r="A4104" s="4">
        <v>45232</v>
      </c>
      <c r="B4104" t="s">
        <v>10</v>
      </c>
      <c r="C4104">
        <v>1</v>
      </c>
      <c r="F4104">
        <v>374</v>
      </c>
      <c r="J4104">
        <v>1.155</v>
      </c>
      <c r="K4104">
        <v>41.6</v>
      </c>
      <c r="L4104">
        <v>36</v>
      </c>
      <c r="M4104">
        <v>286</v>
      </c>
      <c r="N4104">
        <v>21</v>
      </c>
      <c r="O4104">
        <v>6</v>
      </c>
      <c r="P4104">
        <v>3</v>
      </c>
    </row>
    <row r="4105" spans="1:16" x14ac:dyDescent="0.25">
      <c r="A4105" s="4">
        <v>45232</v>
      </c>
      <c r="B4105" t="s">
        <v>9</v>
      </c>
      <c r="C4105">
        <v>1</v>
      </c>
      <c r="F4105">
        <v>126</v>
      </c>
      <c r="J4105">
        <v>0.36399999999999999</v>
      </c>
      <c r="K4105">
        <v>14</v>
      </c>
      <c r="L4105">
        <v>38.4</v>
      </c>
      <c r="M4105">
        <v>107</v>
      </c>
      <c r="N4105">
        <v>4</v>
      </c>
      <c r="O4105">
        <v>1</v>
      </c>
      <c r="P4105">
        <v>1</v>
      </c>
    </row>
    <row r="4106" spans="1:16" x14ac:dyDescent="0.25">
      <c r="A4106" s="4">
        <v>45233</v>
      </c>
      <c r="B4106" t="s">
        <v>10</v>
      </c>
      <c r="C4106">
        <v>1</v>
      </c>
      <c r="F4106">
        <v>376</v>
      </c>
      <c r="J4106">
        <v>1.2110000000000001</v>
      </c>
      <c r="K4106">
        <v>41.8</v>
      </c>
      <c r="L4106">
        <v>34.5</v>
      </c>
      <c r="M4106">
        <v>295</v>
      </c>
      <c r="N4106">
        <v>28</v>
      </c>
      <c r="O4106">
        <v>8</v>
      </c>
    </row>
    <row r="4107" spans="1:16" x14ac:dyDescent="0.25">
      <c r="A4107" s="4">
        <v>45233</v>
      </c>
      <c r="B4107" t="s">
        <v>9</v>
      </c>
      <c r="C4107">
        <v>1</v>
      </c>
      <c r="F4107">
        <v>112</v>
      </c>
      <c r="J4107">
        <v>0.33800000000000002</v>
      </c>
      <c r="K4107">
        <v>12.4</v>
      </c>
      <c r="L4107">
        <v>36.9</v>
      </c>
      <c r="M4107">
        <v>98</v>
      </c>
      <c r="N4107">
        <v>4</v>
      </c>
      <c r="O4107">
        <v>2</v>
      </c>
    </row>
    <row r="4108" spans="1:16" x14ac:dyDescent="0.25">
      <c r="A4108" s="4">
        <v>45236</v>
      </c>
      <c r="B4108" t="s">
        <v>10</v>
      </c>
      <c r="C4108">
        <v>1</v>
      </c>
      <c r="F4108">
        <v>342</v>
      </c>
      <c r="J4108">
        <v>1.304</v>
      </c>
      <c r="K4108">
        <v>47.5</v>
      </c>
      <c r="L4108">
        <v>36.4</v>
      </c>
      <c r="M4108">
        <v>239</v>
      </c>
      <c r="N4108">
        <v>25</v>
      </c>
      <c r="O4108">
        <v>11</v>
      </c>
      <c r="P4108">
        <v>2</v>
      </c>
    </row>
    <row r="4109" spans="1:16" x14ac:dyDescent="0.25">
      <c r="A4109" s="4">
        <v>45236</v>
      </c>
      <c r="B4109" t="s">
        <v>9</v>
      </c>
      <c r="C4109">
        <v>1</v>
      </c>
      <c r="F4109">
        <v>66</v>
      </c>
      <c r="J4109">
        <v>0.252</v>
      </c>
      <c r="K4109">
        <v>9.1999999999999993</v>
      </c>
      <c r="L4109">
        <v>36.4</v>
      </c>
      <c r="M4109">
        <v>53</v>
      </c>
      <c r="N4109">
        <v>5</v>
      </c>
      <c r="O4109">
        <v>1</v>
      </c>
    </row>
    <row r="4110" spans="1:16" x14ac:dyDescent="0.25">
      <c r="A4110" s="4">
        <v>45237</v>
      </c>
      <c r="B4110" t="s">
        <v>10</v>
      </c>
      <c r="C4110">
        <v>1</v>
      </c>
      <c r="F4110">
        <v>441</v>
      </c>
      <c r="J4110">
        <v>1.3129999999999999</v>
      </c>
      <c r="K4110">
        <v>49</v>
      </c>
      <c r="L4110">
        <v>37.299999999999997</v>
      </c>
      <c r="M4110">
        <v>308</v>
      </c>
      <c r="N4110">
        <v>32</v>
      </c>
      <c r="O4110">
        <v>16</v>
      </c>
      <c r="P4110">
        <v>2</v>
      </c>
    </row>
    <row r="4111" spans="1:16" x14ac:dyDescent="0.25">
      <c r="A4111" s="4">
        <v>45237</v>
      </c>
      <c r="B4111" t="s">
        <v>9</v>
      </c>
      <c r="C4111">
        <v>1</v>
      </c>
      <c r="F4111">
        <v>119</v>
      </c>
      <c r="J4111">
        <v>0.33900000000000002</v>
      </c>
      <c r="K4111">
        <v>13.2</v>
      </c>
      <c r="L4111">
        <v>39.1</v>
      </c>
      <c r="M4111">
        <v>103</v>
      </c>
      <c r="N4111">
        <v>4</v>
      </c>
      <c r="O4111">
        <v>2</v>
      </c>
    </row>
    <row r="4112" spans="1:16" x14ac:dyDescent="0.25">
      <c r="A4112" s="4">
        <v>45238</v>
      </c>
      <c r="B4112" t="s">
        <v>10</v>
      </c>
      <c r="C4112">
        <v>1</v>
      </c>
      <c r="F4112">
        <v>420</v>
      </c>
      <c r="J4112">
        <v>1.115</v>
      </c>
      <c r="K4112">
        <v>46.7</v>
      </c>
      <c r="L4112">
        <v>41.9</v>
      </c>
      <c r="M4112">
        <v>219</v>
      </c>
      <c r="N4112">
        <v>34</v>
      </c>
      <c r="O4112">
        <v>24</v>
      </c>
      <c r="P4112">
        <v>7</v>
      </c>
    </row>
    <row r="4113" spans="1:16" x14ac:dyDescent="0.25">
      <c r="A4113" s="4">
        <v>45238</v>
      </c>
      <c r="B4113" t="s">
        <v>9</v>
      </c>
      <c r="C4113">
        <v>1</v>
      </c>
      <c r="F4113">
        <v>113</v>
      </c>
      <c r="J4113">
        <v>0.33400000000000002</v>
      </c>
      <c r="K4113">
        <v>12.6</v>
      </c>
      <c r="L4113">
        <v>37.6</v>
      </c>
      <c r="M4113">
        <v>97</v>
      </c>
      <c r="N4113">
        <v>8</v>
      </c>
    </row>
    <row r="4114" spans="1:16" x14ac:dyDescent="0.25">
      <c r="A4114" s="4">
        <v>45239</v>
      </c>
      <c r="B4114" t="s">
        <v>10</v>
      </c>
      <c r="C4114">
        <v>1</v>
      </c>
      <c r="F4114">
        <v>395</v>
      </c>
      <c r="J4114">
        <v>1.2170000000000001</v>
      </c>
      <c r="K4114">
        <v>43.9</v>
      </c>
      <c r="L4114">
        <v>36.1</v>
      </c>
      <c r="M4114">
        <v>284</v>
      </c>
      <c r="N4114">
        <v>27</v>
      </c>
      <c r="O4114">
        <v>15</v>
      </c>
    </row>
    <row r="4115" spans="1:16" x14ac:dyDescent="0.25">
      <c r="A4115" s="4">
        <v>45239</v>
      </c>
      <c r="B4115" t="s">
        <v>9</v>
      </c>
      <c r="C4115">
        <v>1</v>
      </c>
      <c r="F4115">
        <v>95</v>
      </c>
      <c r="J4115">
        <v>0.3</v>
      </c>
      <c r="K4115">
        <v>10.6</v>
      </c>
      <c r="L4115">
        <v>35.200000000000003</v>
      </c>
      <c r="M4115">
        <v>80</v>
      </c>
      <c r="N4115">
        <v>5</v>
      </c>
      <c r="O4115">
        <v>1</v>
      </c>
    </row>
    <row r="4116" spans="1:16" x14ac:dyDescent="0.25">
      <c r="A4116" s="4">
        <v>45240</v>
      </c>
      <c r="B4116" t="s">
        <v>10</v>
      </c>
      <c r="C4116">
        <v>1</v>
      </c>
      <c r="F4116">
        <v>344</v>
      </c>
      <c r="J4116">
        <v>1.2529999999999999</v>
      </c>
      <c r="K4116">
        <v>44.1</v>
      </c>
      <c r="L4116">
        <v>35.200000000000003</v>
      </c>
      <c r="M4116">
        <v>253</v>
      </c>
      <c r="N4116">
        <v>31</v>
      </c>
      <c r="O4116">
        <v>7</v>
      </c>
      <c r="P4116">
        <v>1</v>
      </c>
    </row>
    <row r="4117" spans="1:16" x14ac:dyDescent="0.25">
      <c r="A4117" s="4">
        <v>45240</v>
      </c>
      <c r="B4117" t="s">
        <v>9</v>
      </c>
      <c r="C4117">
        <v>1</v>
      </c>
      <c r="F4117">
        <v>93</v>
      </c>
      <c r="J4117">
        <v>0.32500000000000001</v>
      </c>
      <c r="K4117">
        <v>11.9</v>
      </c>
      <c r="L4117">
        <v>36.700000000000003</v>
      </c>
      <c r="M4117">
        <v>73</v>
      </c>
      <c r="N4117">
        <v>10</v>
      </c>
    </row>
    <row r="4118" spans="1:16" x14ac:dyDescent="0.25">
      <c r="A4118" s="4">
        <v>45243</v>
      </c>
      <c r="B4118" t="s">
        <v>10</v>
      </c>
      <c r="C4118">
        <v>1</v>
      </c>
      <c r="F4118">
        <v>322</v>
      </c>
      <c r="J4118">
        <v>1.2669999999999999</v>
      </c>
      <c r="K4118">
        <v>44.7</v>
      </c>
      <c r="L4118">
        <v>35.299999999999997</v>
      </c>
      <c r="M4118">
        <v>264</v>
      </c>
      <c r="N4118">
        <v>17</v>
      </c>
      <c r="O4118">
        <v>5</v>
      </c>
      <c r="P4118">
        <v>1</v>
      </c>
    </row>
    <row r="4119" spans="1:16" x14ac:dyDescent="0.25">
      <c r="A4119" s="4">
        <v>45243</v>
      </c>
      <c r="B4119" t="s">
        <v>9</v>
      </c>
      <c r="C4119">
        <v>1</v>
      </c>
      <c r="F4119">
        <v>90</v>
      </c>
      <c r="J4119">
        <v>0.32500000000000001</v>
      </c>
      <c r="K4119">
        <v>12.5</v>
      </c>
      <c r="L4119">
        <v>38.5</v>
      </c>
      <c r="M4119">
        <v>68</v>
      </c>
      <c r="N4119">
        <v>5</v>
      </c>
      <c r="O4119">
        <v>3</v>
      </c>
    </row>
    <row r="4120" spans="1:16" x14ac:dyDescent="0.25">
      <c r="A4120" s="4">
        <v>45244</v>
      </c>
      <c r="B4120" t="s">
        <v>10</v>
      </c>
      <c r="C4120">
        <v>1</v>
      </c>
      <c r="F4120">
        <v>384</v>
      </c>
      <c r="J4120">
        <v>1.1879999999999999</v>
      </c>
      <c r="K4120">
        <v>42.7</v>
      </c>
      <c r="L4120">
        <v>35.9</v>
      </c>
      <c r="M4120">
        <v>290</v>
      </c>
      <c r="N4120">
        <v>34</v>
      </c>
      <c r="O4120">
        <v>8</v>
      </c>
    </row>
    <row r="4121" spans="1:16" x14ac:dyDescent="0.25">
      <c r="A4121" s="4">
        <v>45244</v>
      </c>
      <c r="B4121" t="s">
        <v>9</v>
      </c>
      <c r="C4121">
        <v>1</v>
      </c>
      <c r="F4121">
        <v>116</v>
      </c>
      <c r="J4121">
        <v>0.35</v>
      </c>
      <c r="K4121">
        <v>12.9</v>
      </c>
      <c r="L4121">
        <v>36.799999999999997</v>
      </c>
      <c r="M4121">
        <v>88</v>
      </c>
      <c r="N4121">
        <v>12</v>
      </c>
      <c r="O4121">
        <v>1</v>
      </c>
    </row>
    <row r="4122" spans="1:16" x14ac:dyDescent="0.25">
      <c r="A4122" s="4">
        <v>45245</v>
      </c>
      <c r="B4122" t="s">
        <v>10</v>
      </c>
      <c r="C4122">
        <v>1</v>
      </c>
      <c r="F4122">
        <v>358</v>
      </c>
      <c r="J4122">
        <v>1.2150000000000001</v>
      </c>
      <c r="K4122">
        <v>43.7</v>
      </c>
      <c r="L4122">
        <v>35.9</v>
      </c>
      <c r="M4122">
        <v>281</v>
      </c>
      <c r="N4122">
        <v>26</v>
      </c>
      <c r="O4122">
        <v>7</v>
      </c>
    </row>
    <row r="4123" spans="1:16" x14ac:dyDescent="0.25">
      <c r="A4123" s="4">
        <v>45245</v>
      </c>
      <c r="B4123" t="s">
        <v>9</v>
      </c>
      <c r="C4123">
        <v>1</v>
      </c>
      <c r="F4123">
        <v>121</v>
      </c>
      <c r="J4123">
        <v>0.39500000000000002</v>
      </c>
      <c r="K4123">
        <v>14.8</v>
      </c>
      <c r="L4123">
        <v>37.299999999999997</v>
      </c>
      <c r="M4123">
        <v>100</v>
      </c>
      <c r="N4123">
        <v>9</v>
      </c>
      <c r="O4123">
        <v>1</v>
      </c>
    </row>
    <row r="4124" spans="1:16" x14ac:dyDescent="0.25">
      <c r="A4124" s="4">
        <v>45246</v>
      </c>
      <c r="B4124" t="s">
        <v>10</v>
      </c>
      <c r="C4124">
        <v>1</v>
      </c>
      <c r="F4124">
        <v>395</v>
      </c>
      <c r="J4124">
        <v>1.1970000000000001</v>
      </c>
      <c r="K4124">
        <v>45.9</v>
      </c>
      <c r="L4124">
        <v>38.4</v>
      </c>
      <c r="M4124">
        <v>263</v>
      </c>
      <c r="N4124">
        <v>32</v>
      </c>
      <c r="O4124">
        <v>12</v>
      </c>
      <c r="P4124">
        <v>3</v>
      </c>
    </row>
    <row r="4125" spans="1:16" x14ac:dyDescent="0.25">
      <c r="A4125" s="4">
        <v>45246</v>
      </c>
      <c r="B4125" t="s">
        <v>9</v>
      </c>
      <c r="C4125">
        <v>1</v>
      </c>
      <c r="F4125">
        <v>122</v>
      </c>
      <c r="J4125">
        <v>0.38400000000000001</v>
      </c>
      <c r="K4125">
        <v>14.2</v>
      </c>
      <c r="L4125">
        <v>36.9</v>
      </c>
      <c r="M4125">
        <v>94</v>
      </c>
      <c r="N4125">
        <v>10</v>
      </c>
      <c r="O4125">
        <v>2</v>
      </c>
    </row>
    <row r="4126" spans="1:16" x14ac:dyDescent="0.25">
      <c r="A4126" s="4">
        <v>45247</v>
      </c>
      <c r="B4126" t="s">
        <v>10</v>
      </c>
      <c r="C4126">
        <v>1</v>
      </c>
      <c r="F4126">
        <v>407</v>
      </c>
      <c r="J4126">
        <v>1.27</v>
      </c>
      <c r="K4126">
        <v>45.2</v>
      </c>
      <c r="L4126">
        <v>35.6</v>
      </c>
      <c r="M4126">
        <v>296</v>
      </c>
      <c r="N4126">
        <v>37</v>
      </c>
      <c r="O4126">
        <v>10</v>
      </c>
    </row>
    <row r="4127" spans="1:16" x14ac:dyDescent="0.25">
      <c r="A4127" s="4">
        <v>45247</v>
      </c>
      <c r="B4127" t="s">
        <v>9</v>
      </c>
      <c r="C4127">
        <v>1</v>
      </c>
      <c r="F4127">
        <v>119</v>
      </c>
      <c r="J4127">
        <v>0.35399999999999998</v>
      </c>
      <c r="K4127">
        <v>13.2</v>
      </c>
      <c r="L4127">
        <v>37.299999999999997</v>
      </c>
      <c r="M4127">
        <v>109</v>
      </c>
      <c r="N4127">
        <v>5</v>
      </c>
    </row>
    <row r="4128" spans="1:16" x14ac:dyDescent="0.25">
      <c r="A4128" s="4">
        <v>45250</v>
      </c>
      <c r="B4128" t="s">
        <v>10</v>
      </c>
      <c r="C4128">
        <v>1</v>
      </c>
      <c r="F4128">
        <v>389</v>
      </c>
      <c r="J4128">
        <v>1.22</v>
      </c>
      <c r="K4128">
        <v>43.2</v>
      </c>
      <c r="L4128">
        <v>35.4</v>
      </c>
      <c r="M4128">
        <v>281</v>
      </c>
      <c r="N4128">
        <v>36</v>
      </c>
      <c r="O4128">
        <v>10</v>
      </c>
    </row>
    <row r="4129" spans="1:16" x14ac:dyDescent="0.25">
      <c r="A4129" s="4">
        <v>45250</v>
      </c>
      <c r="B4129" t="s">
        <v>9</v>
      </c>
      <c r="C4129">
        <v>1</v>
      </c>
      <c r="F4129">
        <v>127</v>
      </c>
      <c r="J4129">
        <v>0.39400000000000002</v>
      </c>
      <c r="K4129">
        <v>14.1</v>
      </c>
      <c r="L4129">
        <v>35.799999999999997</v>
      </c>
      <c r="M4129">
        <v>106</v>
      </c>
      <c r="N4129">
        <v>9</v>
      </c>
      <c r="O4129">
        <v>1</v>
      </c>
    </row>
    <row r="4130" spans="1:16" x14ac:dyDescent="0.25">
      <c r="A4130" s="4">
        <v>45251</v>
      </c>
      <c r="B4130" t="s">
        <v>10</v>
      </c>
      <c r="C4130">
        <v>1</v>
      </c>
      <c r="F4130">
        <v>406</v>
      </c>
      <c r="J4130">
        <v>1.3120000000000001</v>
      </c>
      <c r="K4130">
        <v>45.1</v>
      </c>
      <c r="L4130">
        <v>34.4</v>
      </c>
      <c r="M4130">
        <v>332</v>
      </c>
      <c r="N4130">
        <v>31</v>
      </c>
      <c r="O4130">
        <v>4</v>
      </c>
    </row>
    <row r="4131" spans="1:16" x14ac:dyDescent="0.25">
      <c r="A4131" s="4">
        <v>45251</v>
      </c>
      <c r="B4131" t="s">
        <v>9</v>
      </c>
      <c r="C4131">
        <v>1</v>
      </c>
      <c r="F4131">
        <v>105</v>
      </c>
      <c r="J4131">
        <v>0.311</v>
      </c>
      <c r="K4131">
        <v>11.7</v>
      </c>
      <c r="L4131">
        <v>37.5</v>
      </c>
      <c r="M4131">
        <v>95</v>
      </c>
      <c r="N4131">
        <v>3</v>
      </c>
      <c r="O4131">
        <v>1</v>
      </c>
    </row>
    <row r="4132" spans="1:16" x14ac:dyDescent="0.25">
      <c r="A4132" s="4">
        <v>45252</v>
      </c>
      <c r="B4132" t="s">
        <v>10</v>
      </c>
      <c r="C4132">
        <v>1</v>
      </c>
      <c r="F4132">
        <v>338</v>
      </c>
      <c r="J4132">
        <v>1.323</v>
      </c>
      <c r="K4132">
        <v>46.9</v>
      </c>
      <c r="L4132">
        <v>35.5</v>
      </c>
      <c r="M4132">
        <v>262</v>
      </c>
      <c r="N4132">
        <v>25</v>
      </c>
      <c r="O4132">
        <v>6</v>
      </c>
      <c r="P4132">
        <v>1</v>
      </c>
    </row>
    <row r="4133" spans="1:16" x14ac:dyDescent="0.25">
      <c r="A4133" s="4">
        <v>45252</v>
      </c>
      <c r="B4133" t="s">
        <v>9</v>
      </c>
      <c r="C4133">
        <v>1</v>
      </c>
      <c r="F4133">
        <v>93</v>
      </c>
      <c r="J4133">
        <v>0.36399999999999999</v>
      </c>
      <c r="K4133">
        <v>12.9</v>
      </c>
      <c r="L4133">
        <v>35.5</v>
      </c>
      <c r="M4133">
        <v>85</v>
      </c>
      <c r="N4133">
        <v>4</v>
      </c>
    </row>
    <row r="4134" spans="1:16" x14ac:dyDescent="0.25">
      <c r="A4134" s="4">
        <v>45257</v>
      </c>
      <c r="B4134" t="s">
        <v>10</v>
      </c>
      <c r="C4134">
        <v>1</v>
      </c>
      <c r="F4134">
        <v>291</v>
      </c>
      <c r="J4134">
        <v>1.111</v>
      </c>
      <c r="K4134">
        <v>40.4</v>
      </c>
      <c r="L4134">
        <v>36.4</v>
      </c>
      <c r="M4134">
        <v>217</v>
      </c>
      <c r="N4134">
        <v>21</v>
      </c>
      <c r="O4134">
        <v>9</v>
      </c>
    </row>
    <row r="4135" spans="1:16" x14ac:dyDescent="0.25">
      <c r="A4135" s="4">
        <v>45257</v>
      </c>
      <c r="B4135" t="s">
        <v>9</v>
      </c>
      <c r="C4135">
        <v>1</v>
      </c>
      <c r="F4135">
        <v>104</v>
      </c>
      <c r="J4135">
        <v>0.38100000000000001</v>
      </c>
      <c r="K4135">
        <v>14.4</v>
      </c>
      <c r="L4135">
        <v>38</v>
      </c>
      <c r="M4135">
        <v>80</v>
      </c>
      <c r="N4135">
        <v>6</v>
      </c>
      <c r="O4135">
        <v>3</v>
      </c>
    </row>
    <row r="4136" spans="1:16" x14ac:dyDescent="0.25">
      <c r="A4136" s="4">
        <v>45258</v>
      </c>
      <c r="B4136" t="s">
        <v>10</v>
      </c>
      <c r="C4136">
        <v>1</v>
      </c>
      <c r="F4136">
        <v>375</v>
      </c>
      <c r="J4136">
        <v>1.167</v>
      </c>
      <c r="K4136">
        <v>41.7</v>
      </c>
      <c r="L4136">
        <v>35.700000000000003</v>
      </c>
      <c r="M4136">
        <v>297</v>
      </c>
      <c r="N4136">
        <v>26</v>
      </c>
      <c r="O4136">
        <v>4</v>
      </c>
      <c r="P4136">
        <v>2</v>
      </c>
    </row>
    <row r="4137" spans="1:16" x14ac:dyDescent="0.25">
      <c r="A4137" s="4">
        <v>45258</v>
      </c>
      <c r="B4137" t="s">
        <v>9</v>
      </c>
      <c r="C4137">
        <v>1</v>
      </c>
      <c r="F4137">
        <v>96</v>
      </c>
      <c r="J4137">
        <v>0.29499999999999998</v>
      </c>
      <c r="K4137">
        <v>10.7</v>
      </c>
      <c r="L4137">
        <v>36.200000000000003</v>
      </c>
      <c r="M4137">
        <v>86</v>
      </c>
      <c r="N4137">
        <v>3</v>
      </c>
      <c r="O4137">
        <v>1</v>
      </c>
    </row>
    <row r="4138" spans="1:16" x14ac:dyDescent="0.25">
      <c r="A4138" s="4">
        <v>45259</v>
      </c>
      <c r="B4138" t="s">
        <v>10</v>
      </c>
      <c r="C4138">
        <v>1</v>
      </c>
      <c r="F4138">
        <v>301</v>
      </c>
      <c r="J4138">
        <v>1.353</v>
      </c>
      <c r="K4138">
        <v>47</v>
      </c>
      <c r="L4138">
        <v>34.799999999999997</v>
      </c>
      <c r="M4138">
        <v>234</v>
      </c>
      <c r="N4138">
        <v>23</v>
      </c>
      <c r="O4138">
        <v>3</v>
      </c>
      <c r="P4138">
        <v>1</v>
      </c>
    </row>
    <row r="4139" spans="1:16" x14ac:dyDescent="0.25">
      <c r="A4139" s="4">
        <v>45259</v>
      </c>
      <c r="B4139" t="s">
        <v>9</v>
      </c>
      <c r="C4139">
        <v>1</v>
      </c>
      <c r="F4139">
        <v>105</v>
      </c>
      <c r="J4139">
        <v>0.46300000000000002</v>
      </c>
      <c r="K4139">
        <v>16.399999999999999</v>
      </c>
      <c r="L4139">
        <v>35.6</v>
      </c>
      <c r="M4139">
        <v>90</v>
      </c>
      <c r="N4139">
        <v>6</v>
      </c>
      <c r="O4139">
        <v>1</v>
      </c>
    </row>
    <row r="4140" spans="1:16" x14ac:dyDescent="0.25">
      <c r="A4140" s="4">
        <v>45260</v>
      </c>
      <c r="B4140" t="s">
        <v>10</v>
      </c>
      <c r="C4140">
        <v>1</v>
      </c>
      <c r="F4140">
        <v>287</v>
      </c>
      <c r="J4140">
        <v>1.139</v>
      </c>
      <c r="K4140">
        <v>39.9</v>
      </c>
      <c r="L4140">
        <v>35</v>
      </c>
      <c r="M4140">
        <v>230</v>
      </c>
      <c r="N4140">
        <v>22</v>
      </c>
      <c r="O4140">
        <v>2</v>
      </c>
      <c r="P4140">
        <v>1</v>
      </c>
    </row>
    <row r="4141" spans="1:16" x14ac:dyDescent="0.25">
      <c r="A4141" s="4">
        <v>45260</v>
      </c>
      <c r="B4141" t="s">
        <v>9</v>
      </c>
      <c r="C4141">
        <v>1</v>
      </c>
      <c r="F4141">
        <v>116</v>
      </c>
      <c r="J4141">
        <v>0.45200000000000001</v>
      </c>
      <c r="K4141">
        <v>16.100000000000001</v>
      </c>
      <c r="L4141">
        <v>35.700000000000003</v>
      </c>
      <c r="M4141">
        <v>101</v>
      </c>
      <c r="N4141">
        <v>6</v>
      </c>
      <c r="O4141">
        <v>1</v>
      </c>
    </row>
    <row r="4142" spans="1:16" x14ac:dyDescent="0.25">
      <c r="A4142" s="4">
        <v>45261</v>
      </c>
      <c r="B4142" t="s">
        <v>10</v>
      </c>
      <c r="C4142">
        <v>1</v>
      </c>
      <c r="F4142">
        <v>280</v>
      </c>
      <c r="J4142">
        <v>0.93700000000000006</v>
      </c>
      <c r="K4142">
        <v>35.9</v>
      </c>
      <c r="L4142">
        <v>38.299999999999997</v>
      </c>
      <c r="M4142">
        <v>174</v>
      </c>
      <c r="N4142">
        <v>28</v>
      </c>
      <c r="O4142">
        <v>10</v>
      </c>
      <c r="P4142">
        <v>2</v>
      </c>
    </row>
    <row r="4143" spans="1:16" x14ac:dyDescent="0.25">
      <c r="A4143" s="4">
        <v>45261</v>
      </c>
      <c r="B4143" t="s">
        <v>9</v>
      </c>
      <c r="C4143">
        <v>1</v>
      </c>
      <c r="F4143">
        <v>181</v>
      </c>
      <c r="J4143">
        <v>0.65900000000000003</v>
      </c>
      <c r="K4143">
        <v>23.2</v>
      </c>
      <c r="L4143">
        <v>35.200000000000003</v>
      </c>
      <c r="M4143">
        <v>156</v>
      </c>
      <c r="N4143">
        <v>9</v>
      </c>
      <c r="O4143">
        <v>2</v>
      </c>
    </row>
    <row r="4144" spans="1:16" x14ac:dyDescent="0.25">
      <c r="A4144" s="4">
        <v>45264</v>
      </c>
      <c r="B4144" t="s">
        <v>10</v>
      </c>
      <c r="C4144">
        <v>1</v>
      </c>
      <c r="F4144">
        <v>307</v>
      </c>
      <c r="J4144">
        <v>1.1879999999999999</v>
      </c>
      <c r="K4144">
        <v>42.6</v>
      </c>
      <c r="L4144">
        <v>35.9</v>
      </c>
      <c r="M4144">
        <v>223</v>
      </c>
      <c r="N4144">
        <v>24</v>
      </c>
      <c r="O4144">
        <v>10</v>
      </c>
      <c r="P4144">
        <v>1</v>
      </c>
    </row>
    <row r="4145" spans="1:16" x14ac:dyDescent="0.25">
      <c r="A4145" s="4">
        <v>45264</v>
      </c>
      <c r="B4145" t="s">
        <v>9</v>
      </c>
      <c r="C4145">
        <v>1</v>
      </c>
      <c r="F4145">
        <v>88</v>
      </c>
      <c r="J4145">
        <v>0.34899999999999998</v>
      </c>
      <c r="K4145">
        <v>12.2</v>
      </c>
      <c r="L4145">
        <v>35</v>
      </c>
      <c r="M4145">
        <v>76</v>
      </c>
      <c r="N4145">
        <v>6</v>
      </c>
    </row>
    <row r="4146" spans="1:16" x14ac:dyDescent="0.25">
      <c r="A4146" s="4">
        <v>45265</v>
      </c>
      <c r="B4146" t="s">
        <v>10</v>
      </c>
      <c r="C4146">
        <v>1</v>
      </c>
      <c r="F4146">
        <v>336</v>
      </c>
      <c r="J4146">
        <v>1.2769999999999999</v>
      </c>
      <c r="K4146">
        <v>46.7</v>
      </c>
      <c r="L4146">
        <v>36.6</v>
      </c>
      <c r="M4146">
        <v>227</v>
      </c>
      <c r="N4146">
        <v>26</v>
      </c>
      <c r="O4146">
        <v>16</v>
      </c>
      <c r="P4146">
        <v>1</v>
      </c>
    </row>
    <row r="4147" spans="1:16" x14ac:dyDescent="0.25">
      <c r="A4147" s="4">
        <v>45265</v>
      </c>
      <c r="B4147" t="s">
        <v>9</v>
      </c>
      <c r="C4147">
        <v>1</v>
      </c>
      <c r="F4147">
        <v>107</v>
      </c>
      <c r="J4147">
        <v>0.39200000000000002</v>
      </c>
      <c r="K4147">
        <v>14.9</v>
      </c>
      <c r="L4147">
        <v>37.9</v>
      </c>
      <c r="M4147">
        <v>69</v>
      </c>
      <c r="N4147">
        <v>10</v>
      </c>
      <c r="O4147">
        <v>3</v>
      </c>
      <c r="P4147">
        <v>1</v>
      </c>
    </row>
    <row r="4148" spans="1:16" x14ac:dyDescent="0.25">
      <c r="A4148" s="4">
        <v>45266</v>
      </c>
      <c r="B4148" t="s">
        <v>10</v>
      </c>
      <c r="C4148">
        <v>1</v>
      </c>
      <c r="F4148">
        <v>413</v>
      </c>
      <c r="J4148">
        <v>1.22</v>
      </c>
      <c r="K4148">
        <v>45.9</v>
      </c>
      <c r="L4148">
        <v>37.6</v>
      </c>
      <c r="M4148">
        <v>288</v>
      </c>
      <c r="N4148">
        <v>35</v>
      </c>
      <c r="O4148">
        <v>7</v>
      </c>
      <c r="P4148">
        <v>3</v>
      </c>
    </row>
    <row r="4149" spans="1:16" x14ac:dyDescent="0.25">
      <c r="A4149" s="4">
        <v>45266</v>
      </c>
      <c r="B4149" t="s">
        <v>9</v>
      </c>
      <c r="C4149">
        <v>1</v>
      </c>
      <c r="F4149">
        <v>120</v>
      </c>
      <c r="J4149">
        <v>0.39200000000000002</v>
      </c>
      <c r="K4149">
        <v>13.3</v>
      </c>
      <c r="L4149">
        <v>34</v>
      </c>
      <c r="M4149">
        <v>110</v>
      </c>
      <c r="N4149">
        <v>5</v>
      </c>
    </row>
    <row r="4150" spans="1:16" x14ac:dyDescent="0.25">
      <c r="A4150" s="4">
        <v>45267</v>
      </c>
      <c r="B4150" t="s">
        <v>10</v>
      </c>
      <c r="C4150">
        <v>1</v>
      </c>
      <c r="F4150">
        <v>276</v>
      </c>
      <c r="J4150">
        <v>1.0760000000000001</v>
      </c>
      <c r="K4150">
        <v>38.299999999999997</v>
      </c>
      <c r="L4150">
        <v>35.6</v>
      </c>
      <c r="M4150">
        <v>206</v>
      </c>
      <c r="N4150">
        <v>16</v>
      </c>
      <c r="O4150">
        <v>9</v>
      </c>
      <c r="P4150">
        <v>1</v>
      </c>
    </row>
    <row r="4151" spans="1:16" x14ac:dyDescent="0.25">
      <c r="A4151" s="4">
        <v>45267</v>
      </c>
      <c r="B4151" t="s">
        <v>9</v>
      </c>
      <c r="C4151">
        <v>1</v>
      </c>
      <c r="F4151">
        <v>112</v>
      </c>
      <c r="J4151">
        <v>0.441</v>
      </c>
      <c r="K4151">
        <v>15.6</v>
      </c>
      <c r="L4151">
        <v>35.299999999999997</v>
      </c>
      <c r="M4151">
        <v>97</v>
      </c>
      <c r="N4151">
        <v>6</v>
      </c>
      <c r="O4151">
        <v>1</v>
      </c>
    </row>
    <row r="4152" spans="1:16" x14ac:dyDescent="0.25">
      <c r="A4152" s="4">
        <v>45268</v>
      </c>
      <c r="B4152" t="s">
        <v>10</v>
      </c>
      <c r="C4152">
        <v>1</v>
      </c>
      <c r="F4152">
        <v>260</v>
      </c>
      <c r="J4152">
        <v>1.2090000000000001</v>
      </c>
      <c r="K4152">
        <v>43.3</v>
      </c>
      <c r="L4152">
        <v>35.799999999999997</v>
      </c>
      <c r="M4152">
        <v>194</v>
      </c>
      <c r="N4152">
        <v>19</v>
      </c>
      <c r="O4152">
        <v>8</v>
      </c>
    </row>
    <row r="4153" spans="1:16" x14ac:dyDescent="0.25">
      <c r="A4153" s="4">
        <v>45268</v>
      </c>
      <c r="B4153" t="s">
        <v>9</v>
      </c>
      <c r="C4153">
        <v>1</v>
      </c>
      <c r="F4153">
        <v>66</v>
      </c>
      <c r="J4153">
        <v>0.33900000000000002</v>
      </c>
      <c r="K4153">
        <v>12</v>
      </c>
      <c r="L4153">
        <v>35.4</v>
      </c>
      <c r="M4153">
        <v>52</v>
      </c>
      <c r="N4153">
        <v>5</v>
      </c>
      <c r="O4153">
        <v>1</v>
      </c>
    </row>
    <row r="4154" spans="1:16" x14ac:dyDescent="0.25">
      <c r="A4154" s="4">
        <v>45271</v>
      </c>
      <c r="B4154" t="s">
        <v>10</v>
      </c>
      <c r="C4154">
        <v>1</v>
      </c>
      <c r="F4154">
        <v>273</v>
      </c>
      <c r="J4154">
        <v>1.117</v>
      </c>
      <c r="K4154">
        <v>37.9</v>
      </c>
      <c r="L4154">
        <v>34</v>
      </c>
      <c r="M4154">
        <v>225</v>
      </c>
      <c r="N4154">
        <v>18</v>
      </c>
      <c r="O4154">
        <v>4</v>
      </c>
    </row>
    <row r="4155" spans="1:16" x14ac:dyDescent="0.25">
      <c r="A4155" s="4">
        <v>45271</v>
      </c>
      <c r="B4155" t="s">
        <v>9</v>
      </c>
      <c r="C4155">
        <v>1</v>
      </c>
      <c r="F4155">
        <v>100</v>
      </c>
      <c r="J4155">
        <v>0.38100000000000001</v>
      </c>
      <c r="K4155">
        <v>13.9</v>
      </c>
      <c r="L4155">
        <v>36.5</v>
      </c>
      <c r="M4155">
        <v>96</v>
      </c>
      <c r="N4155">
        <v>2</v>
      </c>
    </row>
    <row r="4156" spans="1:16" x14ac:dyDescent="0.25">
      <c r="A4156" s="4">
        <v>45272</v>
      </c>
      <c r="B4156" t="s">
        <v>10</v>
      </c>
      <c r="C4156">
        <v>1</v>
      </c>
      <c r="F4156">
        <v>305</v>
      </c>
      <c r="J4156">
        <v>1.2030000000000001</v>
      </c>
      <c r="K4156">
        <v>42.4</v>
      </c>
      <c r="L4156">
        <v>35.200000000000003</v>
      </c>
      <c r="M4156">
        <v>239</v>
      </c>
      <c r="N4156">
        <v>23</v>
      </c>
      <c r="O4156">
        <v>6</v>
      </c>
    </row>
    <row r="4157" spans="1:16" x14ac:dyDescent="0.25">
      <c r="A4157" s="4">
        <v>45272</v>
      </c>
      <c r="B4157" t="s">
        <v>9</v>
      </c>
      <c r="C4157">
        <v>1</v>
      </c>
      <c r="F4157">
        <v>113</v>
      </c>
      <c r="J4157">
        <v>0.45</v>
      </c>
      <c r="K4157">
        <v>15.7</v>
      </c>
      <c r="L4157">
        <v>34.9</v>
      </c>
      <c r="M4157">
        <v>97</v>
      </c>
      <c r="N4157">
        <v>5</v>
      </c>
      <c r="O4157">
        <v>2</v>
      </c>
    </row>
    <row r="4158" spans="1:16" x14ac:dyDescent="0.25">
      <c r="A4158" s="4">
        <v>45273</v>
      </c>
      <c r="B4158" t="s">
        <v>10</v>
      </c>
      <c r="C4158">
        <v>1</v>
      </c>
      <c r="F4158">
        <v>318</v>
      </c>
      <c r="J4158">
        <v>1.2529999999999999</v>
      </c>
      <c r="K4158">
        <v>44.2</v>
      </c>
      <c r="L4158">
        <v>35.200000000000003</v>
      </c>
      <c r="M4158">
        <v>257</v>
      </c>
      <c r="N4158">
        <v>19</v>
      </c>
      <c r="O4158">
        <v>5</v>
      </c>
      <c r="P4158">
        <v>1</v>
      </c>
    </row>
    <row r="4159" spans="1:16" x14ac:dyDescent="0.25">
      <c r="A4159" s="4">
        <v>45273</v>
      </c>
      <c r="B4159" t="s">
        <v>9</v>
      </c>
      <c r="C4159">
        <v>1</v>
      </c>
      <c r="F4159">
        <v>56</v>
      </c>
      <c r="J4159">
        <v>0.25700000000000001</v>
      </c>
      <c r="K4159">
        <v>10.199999999999999</v>
      </c>
      <c r="L4159">
        <v>39.700000000000003</v>
      </c>
      <c r="M4159">
        <v>46</v>
      </c>
      <c r="N4159">
        <v>5</v>
      </c>
    </row>
    <row r="4160" spans="1:16" x14ac:dyDescent="0.25">
      <c r="A4160" s="4">
        <v>45274</v>
      </c>
      <c r="B4160" t="s">
        <v>10</v>
      </c>
      <c r="C4160">
        <v>1</v>
      </c>
      <c r="F4160">
        <v>285</v>
      </c>
      <c r="J4160">
        <v>1.179</v>
      </c>
      <c r="K4160">
        <v>40.700000000000003</v>
      </c>
      <c r="L4160">
        <v>34.5</v>
      </c>
      <c r="M4160">
        <v>241</v>
      </c>
      <c r="N4160">
        <v>17</v>
      </c>
      <c r="O4160">
        <v>3</v>
      </c>
    </row>
    <row r="4161" spans="1:16" x14ac:dyDescent="0.25">
      <c r="A4161" s="4">
        <v>45274</v>
      </c>
      <c r="B4161" t="s">
        <v>9</v>
      </c>
      <c r="C4161">
        <v>1</v>
      </c>
      <c r="F4161">
        <v>100</v>
      </c>
      <c r="J4161">
        <v>0.40600000000000003</v>
      </c>
      <c r="K4161">
        <v>14.3</v>
      </c>
      <c r="L4161">
        <v>35.200000000000003</v>
      </c>
      <c r="M4161">
        <v>90</v>
      </c>
      <c r="N4161">
        <v>5</v>
      </c>
    </row>
    <row r="4162" spans="1:16" x14ac:dyDescent="0.25">
      <c r="A4162" s="4">
        <v>45275</v>
      </c>
      <c r="B4162" t="s">
        <v>10</v>
      </c>
      <c r="C4162">
        <v>1</v>
      </c>
      <c r="F4162">
        <v>229</v>
      </c>
      <c r="J4162">
        <v>1.1739999999999999</v>
      </c>
      <c r="K4162">
        <v>41.6</v>
      </c>
      <c r="L4162">
        <v>35.5</v>
      </c>
      <c r="M4162">
        <v>180</v>
      </c>
      <c r="N4162">
        <v>15</v>
      </c>
      <c r="O4162">
        <v>5</v>
      </c>
    </row>
    <row r="4163" spans="1:16" x14ac:dyDescent="0.25">
      <c r="A4163" s="4">
        <v>45275</v>
      </c>
      <c r="B4163" t="s">
        <v>9</v>
      </c>
      <c r="C4163">
        <v>1</v>
      </c>
      <c r="F4163">
        <v>81</v>
      </c>
      <c r="J4163">
        <v>0.434</v>
      </c>
      <c r="K4163">
        <v>14.7</v>
      </c>
      <c r="L4163">
        <v>34</v>
      </c>
      <c r="M4163">
        <v>67</v>
      </c>
      <c r="N4163">
        <v>7</v>
      </c>
    </row>
    <row r="4164" spans="1:16" x14ac:dyDescent="0.25">
      <c r="A4164" s="4">
        <v>45278</v>
      </c>
      <c r="B4164" t="s">
        <v>10</v>
      </c>
      <c r="C4164">
        <v>1</v>
      </c>
      <c r="F4164">
        <v>231</v>
      </c>
      <c r="J4164">
        <v>1.2170000000000001</v>
      </c>
      <c r="K4164">
        <v>42</v>
      </c>
      <c r="L4164">
        <v>34.5</v>
      </c>
      <c r="M4164">
        <v>202</v>
      </c>
      <c r="N4164">
        <v>5</v>
      </c>
      <c r="O4164">
        <v>3</v>
      </c>
      <c r="P4164">
        <v>1</v>
      </c>
    </row>
    <row r="4165" spans="1:16" x14ac:dyDescent="0.25">
      <c r="A4165" s="4">
        <v>45278</v>
      </c>
      <c r="B4165" t="s">
        <v>9</v>
      </c>
      <c r="C4165">
        <v>1</v>
      </c>
      <c r="F4165">
        <v>57</v>
      </c>
      <c r="J4165">
        <v>0.28699999999999998</v>
      </c>
      <c r="K4165">
        <v>10.4</v>
      </c>
      <c r="L4165">
        <v>36.1</v>
      </c>
      <c r="M4165">
        <v>51</v>
      </c>
      <c r="N4165">
        <v>3</v>
      </c>
    </row>
    <row r="4166" spans="1:16" x14ac:dyDescent="0.25">
      <c r="A4166" s="4">
        <v>45279</v>
      </c>
      <c r="B4166" t="s">
        <v>10</v>
      </c>
      <c r="C4166">
        <v>1</v>
      </c>
      <c r="F4166">
        <v>254</v>
      </c>
      <c r="J4166">
        <v>1.1040000000000001</v>
      </c>
      <c r="K4166">
        <v>40.299999999999997</v>
      </c>
      <c r="L4166">
        <v>36.5</v>
      </c>
      <c r="M4166">
        <v>166</v>
      </c>
      <c r="N4166">
        <v>28</v>
      </c>
      <c r="O4166">
        <v>3</v>
      </c>
      <c r="P4166">
        <v>3</v>
      </c>
    </row>
    <row r="4167" spans="1:16" x14ac:dyDescent="0.25">
      <c r="A4167" s="4">
        <v>45279</v>
      </c>
      <c r="B4167" t="s">
        <v>9</v>
      </c>
      <c r="C4167">
        <v>1</v>
      </c>
      <c r="F4167">
        <v>90</v>
      </c>
      <c r="J4167">
        <v>0.42299999999999999</v>
      </c>
      <c r="K4167">
        <v>15.5</v>
      </c>
      <c r="L4167">
        <v>36.700000000000003</v>
      </c>
      <c r="M4167">
        <v>74</v>
      </c>
      <c r="N4167">
        <v>5</v>
      </c>
      <c r="O4167">
        <v>2</v>
      </c>
    </row>
    <row r="4168" spans="1:16" x14ac:dyDescent="0.25">
      <c r="A4168" s="4">
        <v>45280</v>
      </c>
      <c r="B4168" t="s">
        <v>10</v>
      </c>
      <c r="C4168">
        <v>1</v>
      </c>
      <c r="F4168">
        <v>207</v>
      </c>
      <c r="J4168">
        <v>1.083</v>
      </c>
      <c r="K4168">
        <v>37.6</v>
      </c>
      <c r="L4168">
        <v>34.700000000000003</v>
      </c>
      <c r="M4168">
        <v>180</v>
      </c>
      <c r="N4168">
        <v>7</v>
      </c>
      <c r="O4168">
        <v>4</v>
      </c>
    </row>
    <row r="4169" spans="1:16" x14ac:dyDescent="0.25">
      <c r="A4169" s="4">
        <v>45280</v>
      </c>
      <c r="B4169" t="s">
        <v>9</v>
      </c>
      <c r="C4169">
        <v>1</v>
      </c>
      <c r="F4169">
        <v>92</v>
      </c>
      <c r="J4169">
        <v>0.47299999999999998</v>
      </c>
      <c r="K4169">
        <v>16.7</v>
      </c>
      <c r="L4169">
        <v>35.4</v>
      </c>
      <c r="M4169">
        <v>76</v>
      </c>
      <c r="N4169">
        <v>6</v>
      </c>
      <c r="O4169">
        <v>1</v>
      </c>
    </row>
    <row r="4170" spans="1:16" x14ac:dyDescent="0.25">
      <c r="A4170" s="4">
        <v>45281</v>
      </c>
      <c r="B4170" t="s">
        <v>10</v>
      </c>
      <c r="C4170">
        <v>1</v>
      </c>
      <c r="F4170">
        <v>257</v>
      </c>
      <c r="J4170">
        <v>1.0329999999999999</v>
      </c>
      <c r="K4170">
        <v>35.700000000000003</v>
      </c>
      <c r="L4170">
        <v>34.5</v>
      </c>
      <c r="M4170">
        <v>194</v>
      </c>
      <c r="N4170">
        <v>25</v>
      </c>
      <c r="O4170">
        <v>4</v>
      </c>
    </row>
    <row r="4171" spans="1:16" x14ac:dyDescent="0.25">
      <c r="A4171" s="4">
        <v>45281</v>
      </c>
      <c r="B4171" t="s">
        <v>9</v>
      </c>
      <c r="C4171">
        <v>1</v>
      </c>
      <c r="F4171">
        <v>94</v>
      </c>
      <c r="J4171">
        <v>0.46200000000000002</v>
      </c>
      <c r="K4171">
        <v>17.100000000000001</v>
      </c>
      <c r="L4171">
        <v>37</v>
      </c>
      <c r="M4171">
        <v>79</v>
      </c>
      <c r="N4171">
        <v>6</v>
      </c>
      <c r="O4171">
        <v>1</v>
      </c>
    </row>
    <row r="4172" spans="1:16" x14ac:dyDescent="0.25">
      <c r="A4172" s="4">
        <v>45282</v>
      </c>
      <c r="B4172" t="s">
        <v>10</v>
      </c>
      <c r="C4172">
        <v>1</v>
      </c>
      <c r="F4172">
        <v>310</v>
      </c>
      <c r="J4172">
        <v>1.075</v>
      </c>
      <c r="K4172">
        <v>38.299999999999997</v>
      </c>
      <c r="L4172">
        <v>35.6</v>
      </c>
      <c r="M4172">
        <v>253</v>
      </c>
      <c r="N4172">
        <v>22</v>
      </c>
      <c r="O4172">
        <v>4</v>
      </c>
    </row>
    <row r="4173" spans="1:16" x14ac:dyDescent="0.25">
      <c r="A4173" s="4">
        <v>45282</v>
      </c>
      <c r="B4173" t="s">
        <v>9</v>
      </c>
      <c r="C4173">
        <v>1</v>
      </c>
    </row>
    <row r="4174" spans="1:16" x14ac:dyDescent="0.25">
      <c r="A4174" s="4">
        <v>45287</v>
      </c>
      <c r="B4174" t="s">
        <v>10</v>
      </c>
      <c r="C4174">
        <v>1</v>
      </c>
      <c r="F4174">
        <v>297</v>
      </c>
      <c r="J4174">
        <v>1.1850000000000001</v>
      </c>
      <c r="K4174">
        <v>41.3</v>
      </c>
      <c r="L4174">
        <v>34.799999999999997</v>
      </c>
      <c r="M4174">
        <v>252</v>
      </c>
      <c r="N4174">
        <v>18</v>
      </c>
      <c r="O4174">
        <v>3</v>
      </c>
    </row>
    <row r="4175" spans="1:16" x14ac:dyDescent="0.25">
      <c r="A4175" s="4">
        <v>45287</v>
      </c>
      <c r="B4175" t="s">
        <v>9</v>
      </c>
      <c r="C4175">
        <v>1</v>
      </c>
      <c r="F4175">
        <v>103</v>
      </c>
      <c r="J4175">
        <v>0.41499999999999998</v>
      </c>
      <c r="K4175">
        <v>14.3</v>
      </c>
      <c r="L4175">
        <v>34.5</v>
      </c>
      <c r="M4175">
        <v>95</v>
      </c>
      <c r="N4175">
        <v>4</v>
      </c>
    </row>
    <row r="4176" spans="1:16" x14ac:dyDescent="0.25">
      <c r="A4176" s="4">
        <v>45288</v>
      </c>
      <c r="B4176" t="s">
        <v>10</v>
      </c>
      <c r="C4176">
        <v>1</v>
      </c>
      <c r="F4176">
        <v>304</v>
      </c>
      <c r="J4176">
        <v>1.222</v>
      </c>
      <c r="K4176">
        <v>42.2</v>
      </c>
      <c r="L4176">
        <v>34.5</v>
      </c>
      <c r="M4176">
        <v>242</v>
      </c>
      <c r="N4176">
        <v>19</v>
      </c>
      <c r="O4176">
        <v>8</v>
      </c>
    </row>
    <row r="4177" spans="1:16" x14ac:dyDescent="0.25">
      <c r="A4177" s="4">
        <v>45288</v>
      </c>
      <c r="B4177" t="s">
        <v>9</v>
      </c>
      <c r="C4177">
        <v>1</v>
      </c>
      <c r="F4177">
        <v>81</v>
      </c>
      <c r="J4177">
        <v>0.30599999999999999</v>
      </c>
      <c r="K4177">
        <v>11.3</v>
      </c>
      <c r="L4177">
        <v>36.799999999999997</v>
      </c>
      <c r="M4177">
        <v>71</v>
      </c>
      <c r="N4177">
        <v>5</v>
      </c>
    </row>
    <row r="4178" spans="1:16" x14ac:dyDescent="0.25">
      <c r="A4178" s="4">
        <v>45289</v>
      </c>
      <c r="B4178" t="s">
        <v>10</v>
      </c>
      <c r="C4178">
        <v>1</v>
      </c>
      <c r="F4178">
        <v>248</v>
      </c>
      <c r="J4178">
        <v>1.2370000000000001</v>
      </c>
      <c r="K4178">
        <v>42.8</v>
      </c>
      <c r="L4178">
        <v>34.6</v>
      </c>
      <c r="M4178">
        <v>202</v>
      </c>
      <c r="N4178">
        <v>10</v>
      </c>
      <c r="O4178">
        <v>8</v>
      </c>
    </row>
    <row r="4179" spans="1:16" x14ac:dyDescent="0.25">
      <c r="A4179" s="4">
        <v>45289</v>
      </c>
      <c r="B4179" t="s">
        <v>9</v>
      </c>
      <c r="C4179">
        <v>1</v>
      </c>
      <c r="F4179">
        <v>82</v>
      </c>
      <c r="J4179">
        <v>0.37</v>
      </c>
      <c r="K4179">
        <v>13.2</v>
      </c>
      <c r="L4179">
        <v>35.700000000000003</v>
      </c>
      <c r="M4179">
        <v>72</v>
      </c>
      <c r="N4179">
        <v>3</v>
      </c>
      <c r="O4179">
        <v>1</v>
      </c>
    </row>
    <row r="4180" spans="1:16" x14ac:dyDescent="0.25">
      <c r="A4180" s="4">
        <v>45293</v>
      </c>
      <c r="B4180" t="s">
        <v>9</v>
      </c>
      <c r="C4180">
        <v>1</v>
      </c>
      <c r="F4180">
        <v>120</v>
      </c>
      <c r="J4180">
        <v>0.45200000000000001</v>
      </c>
      <c r="K4180">
        <v>16.7</v>
      </c>
      <c r="L4180">
        <v>34.700000000000003</v>
      </c>
      <c r="M4180">
        <v>105</v>
      </c>
      <c r="N4180">
        <v>5</v>
      </c>
      <c r="O4180">
        <v>1</v>
      </c>
    </row>
    <row r="4181" spans="1:16" x14ac:dyDescent="0.25">
      <c r="A4181" s="4">
        <v>45294</v>
      </c>
      <c r="B4181" t="s">
        <v>10</v>
      </c>
      <c r="C4181">
        <v>1</v>
      </c>
      <c r="F4181">
        <v>288</v>
      </c>
      <c r="J4181">
        <v>1.157</v>
      </c>
      <c r="K4181">
        <v>40</v>
      </c>
      <c r="L4181">
        <v>34.6</v>
      </c>
      <c r="M4181">
        <v>237</v>
      </c>
      <c r="N4181">
        <v>21</v>
      </c>
      <c r="O4181">
        <v>3</v>
      </c>
    </row>
    <row r="4182" spans="1:16" x14ac:dyDescent="0.25">
      <c r="A4182" s="4">
        <v>45294</v>
      </c>
      <c r="B4182" t="s">
        <v>9</v>
      </c>
      <c r="C4182">
        <v>1</v>
      </c>
      <c r="F4182">
        <v>101</v>
      </c>
      <c r="J4182">
        <v>0.40300000000000002</v>
      </c>
      <c r="K4182">
        <v>14</v>
      </c>
      <c r="L4182">
        <v>34.799999999999997</v>
      </c>
      <c r="M4182">
        <v>95</v>
      </c>
      <c r="N4182">
        <v>3</v>
      </c>
    </row>
    <row r="4183" spans="1:16" x14ac:dyDescent="0.25">
      <c r="A4183" s="4">
        <v>45295</v>
      </c>
      <c r="B4183" t="s">
        <v>10</v>
      </c>
      <c r="C4183">
        <v>1</v>
      </c>
      <c r="F4183">
        <v>273</v>
      </c>
      <c r="J4183">
        <v>1.129</v>
      </c>
      <c r="K4183">
        <v>37.9</v>
      </c>
      <c r="L4183">
        <v>33.6</v>
      </c>
      <c r="M4183">
        <v>244</v>
      </c>
      <c r="N4183">
        <v>7</v>
      </c>
      <c r="O4183">
        <v>5</v>
      </c>
    </row>
    <row r="4184" spans="1:16" x14ac:dyDescent="0.25">
      <c r="A4184" s="4">
        <v>45295</v>
      </c>
      <c r="B4184" t="s">
        <v>9</v>
      </c>
      <c r="C4184">
        <v>1</v>
      </c>
      <c r="F4184">
        <v>92</v>
      </c>
      <c r="J4184">
        <v>0.35699999999999998</v>
      </c>
      <c r="K4184">
        <v>12.8</v>
      </c>
      <c r="L4184">
        <v>35.799999999999997</v>
      </c>
      <c r="M4184">
        <v>82</v>
      </c>
      <c r="N4184">
        <v>5</v>
      </c>
    </row>
    <row r="4185" spans="1:16" x14ac:dyDescent="0.25">
      <c r="A4185" s="4">
        <v>45296</v>
      </c>
      <c r="B4185" t="s">
        <v>10</v>
      </c>
      <c r="C4185">
        <v>1</v>
      </c>
      <c r="F4185">
        <v>275</v>
      </c>
      <c r="J4185">
        <v>1.099</v>
      </c>
      <c r="K4185">
        <v>38.200000000000003</v>
      </c>
      <c r="L4185">
        <v>34.700000000000003</v>
      </c>
      <c r="M4185">
        <v>238</v>
      </c>
      <c r="N4185">
        <v>17</v>
      </c>
      <c r="O4185">
        <v>1</v>
      </c>
    </row>
    <row r="4186" spans="1:16" x14ac:dyDescent="0.25">
      <c r="A4186" s="4">
        <v>45296</v>
      </c>
      <c r="B4186" t="s">
        <v>9</v>
      </c>
      <c r="C4186">
        <v>1</v>
      </c>
      <c r="F4186">
        <v>75</v>
      </c>
      <c r="J4186">
        <v>0.29099999999999998</v>
      </c>
      <c r="K4186">
        <v>10.4</v>
      </c>
      <c r="L4186">
        <v>35.799999999999997</v>
      </c>
      <c r="M4186">
        <v>71</v>
      </c>
      <c r="N4186">
        <v>2</v>
      </c>
    </row>
    <row r="4187" spans="1:16" x14ac:dyDescent="0.25">
      <c r="A4187" s="4">
        <v>45297</v>
      </c>
      <c r="B4187" t="s">
        <v>10</v>
      </c>
      <c r="C4187">
        <v>1</v>
      </c>
      <c r="F4187">
        <v>248</v>
      </c>
      <c r="J4187">
        <v>0.91800000000000004</v>
      </c>
      <c r="K4187">
        <v>34.4</v>
      </c>
      <c r="L4187">
        <v>37.5</v>
      </c>
      <c r="M4187">
        <v>216</v>
      </c>
      <c r="N4187">
        <v>7</v>
      </c>
      <c r="O4187">
        <v>1</v>
      </c>
      <c r="P4187">
        <v>2</v>
      </c>
    </row>
    <row r="4188" spans="1:16" x14ac:dyDescent="0.25">
      <c r="A4188" s="4">
        <v>45297</v>
      </c>
      <c r="B4188" t="s">
        <v>9</v>
      </c>
      <c r="C4188">
        <v>1</v>
      </c>
    </row>
    <row r="4189" spans="1:16" x14ac:dyDescent="0.25">
      <c r="A4189" s="4">
        <v>45299</v>
      </c>
      <c r="B4189" t="s">
        <v>10</v>
      </c>
      <c r="C4189">
        <v>1</v>
      </c>
      <c r="F4189">
        <v>302</v>
      </c>
      <c r="J4189">
        <v>1.169</v>
      </c>
      <c r="K4189">
        <v>41.9</v>
      </c>
      <c r="L4189">
        <v>35.9</v>
      </c>
      <c r="M4189">
        <v>235</v>
      </c>
      <c r="N4189">
        <v>18</v>
      </c>
      <c r="O4189">
        <v>6</v>
      </c>
      <c r="P4189">
        <v>1</v>
      </c>
    </row>
    <row r="4190" spans="1:16" x14ac:dyDescent="0.25">
      <c r="A4190" s="4">
        <v>45299</v>
      </c>
      <c r="B4190" t="s">
        <v>9</v>
      </c>
      <c r="C4190">
        <v>1</v>
      </c>
      <c r="F4190">
        <v>72</v>
      </c>
      <c r="J4190">
        <v>0.27900000000000003</v>
      </c>
      <c r="K4190">
        <v>10</v>
      </c>
      <c r="L4190">
        <v>35.9</v>
      </c>
      <c r="M4190">
        <v>64</v>
      </c>
      <c r="N4190">
        <v>4</v>
      </c>
    </row>
    <row r="4191" spans="1:16" x14ac:dyDescent="0.25">
      <c r="A4191" s="4">
        <v>45300</v>
      </c>
      <c r="B4191" t="s">
        <v>10</v>
      </c>
      <c r="C4191">
        <v>1</v>
      </c>
      <c r="F4191">
        <v>288</v>
      </c>
      <c r="J4191">
        <v>1.093</v>
      </c>
      <c r="K4191">
        <v>40</v>
      </c>
      <c r="L4191">
        <v>36.6</v>
      </c>
      <c r="M4191">
        <v>190</v>
      </c>
      <c r="N4191">
        <v>23</v>
      </c>
      <c r="O4191">
        <v>9</v>
      </c>
      <c r="P4191">
        <v>2</v>
      </c>
    </row>
    <row r="4192" spans="1:16" x14ac:dyDescent="0.25">
      <c r="A4192" s="4">
        <v>45300</v>
      </c>
      <c r="B4192" t="s">
        <v>9</v>
      </c>
      <c r="C4192">
        <v>1</v>
      </c>
      <c r="F4192">
        <v>105</v>
      </c>
      <c r="J4192">
        <v>0.40100000000000002</v>
      </c>
      <c r="K4192">
        <v>14.6</v>
      </c>
      <c r="L4192">
        <v>36.4</v>
      </c>
      <c r="M4192">
        <v>92</v>
      </c>
      <c r="N4192">
        <v>5</v>
      </c>
      <c r="O4192">
        <v>1</v>
      </c>
    </row>
    <row r="4193" spans="1:16" x14ac:dyDescent="0.25">
      <c r="A4193" s="4">
        <v>45301</v>
      </c>
      <c r="B4193" t="s">
        <v>10</v>
      </c>
      <c r="C4193">
        <v>1</v>
      </c>
      <c r="F4193">
        <v>273</v>
      </c>
      <c r="J4193">
        <v>1.1120000000000001</v>
      </c>
      <c r="K4193">
        <v>37.9</v>
      </c>
      <c r="L4193">
        <v>34.1</v>
      </c>
      <c r="M4193">
        <v>243</v>
      </c>
      <c r="N4193">
        <v>10</v>
      </c>
      <c r="O4193">
        <v>1</v>
      </c>
      <c r="P4193">
        <v>1</v>
      </c>
    </row>
    <row r="4194" spans="1:16" x14ac:dyDescent="0.25">
      <c r="A4194" s="4">
        <v>45301</v>
      </c>
      <c r="B4194" t="s">
        <v>9</v>
      </c>
      <c r="C4194">
        <v>1</v>
      </c>
      <c r="F4194">
        <v>69</v>
      </c>
      <c r="J4194">
        <v>0.27600000000000002</v>
      </c>
      <c r="K4194">
        <v>9.6</v>
      </c>
      <c r="L4194">
        <v>34.799999999999997</v>
      </c>
      <c r="M4194">
        <v>69</v>
      </c>
    </row>
    <row r="4195" spans="1:16" x14ac:dyDescent="0.25">
      <c r="A4195" s="4">
        <v>45302</v>
      </c>
      <c r="B4195" t="s">
        <v>10</v>
      </c>
      <c r="C4195">
        <v>1</v>
      </c>
      <c r="F4195">
        <v>346</v>
      </c>
      <c r="J4195">
        <v>1.0780000000000001</v>
      </c>
      <c r="K4195">
        <v>38.4</v>
      </c>
      <c r="L4195">
        <v>35.700000000000003</v>
      </c>
      <c r="M4195">
        <v>276</v>
      </c>
      <c r="N4195">
        <v>24</v>
      </c>
      <c r="O4195">
        <v>3</v>
      </c>
      <c r="P4195">
        <v>2</v>
      </c>
    </row>
    <row r="4196" spans="1:16" x14ac:dyDescent="0.25">
      <c r="A4196" s="4">
        <v>45302</v>
      </c>
      <c r="B4196" t="s">
        <v>9</v>
      </c>
      <c r="C4196">
        <v>1</v>
      </c>
    </row>
    <row r="4197" spans="1:16" x14ac:dyDescent="0.25">
      <c r="A4197" s="4">
        <v>45303</v>
      </c>
      <c r="B4197" t="s">
        <v>10</v>
      </c>
      <c r="C4197">
        <v>1</v>
      </c>
      <c r="F4197">
        <v>356</v>
      </c>
      <c r="J4197">
        <v>1.097</v>
      </c>
      <c r="K4197">
        <v>39.6</v>
      </c>
      <c r="L4197">
        <v>36.1</v>
      </c>
      <c r="M4197">
        <v>262</v>
      </c>
      <c r="N4197">
        <v>22</v>
      </c>
      <c r="O4197">
        <v>11</v>
      </c>
      <c r="P4197">
        <v>2</v>
      </c>
    </row>
    <row r="4198" spans="1:16" x14ac:dyDescent="0.25">
      <c r="A4198" s="4">
        <v>45303</v>
      </c>
      <c r="B4198" t="s">
        <v>9</v>
      </c>
      <c r="C4198">
        <v>1</v>
      </c>
      <c r="F4198">
        <v>112</v>
      </c>
      <c r="J4198">
        <v>0.318</v>
      </c>
      <c r="K4198">
        <v>12.4</v>
      </c>
      <c r="L4198">
        <v>39.1</v>
      </c>
      <c r="M4198">
        <v>88</v>
      </c>
      <c r="N4198">
        <v>5</v>
      </c>
      <c r="O4198">
        <v>2</v>
      </c>
      <c r="P4198">
        <v>1</v>
      </c>
    </row>
    <row r="4199" spans="1:16" x14ac:dyDescent="0.25">
      <c r="A4199" s="4">
        <v>45304</v>
      </c>
      <c r="B4199" t="s">
        <v>10</v>
      </c>
      <c r="C4199">
        <v>1</v>
      </c>
      <c r="F4199">
        <v>256</v>
      </c>
      <c r="J4199">
        <v>0.97299999999999998</v>
      </c>
      <c r="K4199">
        <v>35.6</v>
      </c>
      <c r="L4199">
        <v>36.6</v>
      </c>
      <c r="M4199">
        <v>244</v>
      </c>
      <c r="N4199">
        <v>6</v>
      </c>
    </row>
    <row r="4200" spans="1:16" x14ac:dyDescent="0.25">
      <c r="A4200" s="4">
        <v>45304</v>
      </c>
      <c r="B4200" t="s">
        <v>9</v>
      </c>
      <c r="C4200">
        <v>1</v>
      </c>
      <c r="F4200">
        <v>37</v>
      </c>
      <c r="J4200">
        <v>0.29099999999999998</v>
      </c>
      <c r="K4200">
        <v>10.6</v>
      </c>
      <c r="L4200">
        <v>36.4</v>
      </c>
      <c r="M4200">
        <v>35</v>
      </c>
      <c r="N4200">
        <v>1</v>
      </c>
    </row>
    <row r="4201" spans="1:16" x14ac:dyDescent="0.25">
      <c r="A4201" s="4">
        <v>45306</v>
      </c>
      <c r="B4201" t="s">
        <v>10</v>
      </c>
      <c r="C4201">
        <v>1</v>
      </c>
      <c r="F4201">
        <v>291</v>
      </c>
      <c r="J4201">
        <v>1.1299999999999999</v>
      </c>
      <c r="K4201">
        <v>40.4</v>
      </c>
      <c r="L4201">
        <v>35.799999999999997</v>
      </c>
      <c r="M4201">
        <v>217</v>
      </c>
      <c r="N4201">
        <v>21</v>
      </c>
      <c r="O4201">
        <v>3</v>
      </c>
      <c r="P4201">
        <v>3</v>
      </c>
    </row>
    <row r="4202" spans="1:16" x14ac:dyDescent="0.25">
      <c r="A4202" s="4">
        <v>45306</v>
      </c>
      <c r="B4202" t="s">
        <v>9</v>
      </c>
      <c r="C4202">
        <v>1</v>
      </c>
      <c r="F4202">
        <v>63</v>
      </c>
      <c r="J4202">
        <v>0.253</v>
      </c>
      <c r="K4202">
        <v>8.8000000000000007</v>
      </c>
      <c r="L4202">
        <v>34.6</v>
      </c>
      <c r="M4202">
        <v>57</v>
      </c>
      <c r="N4202">
        <v>3</v>
      </c>
    </row>
    <row r="4203" spans="1:16" x14ac:dyDescent="0.25">
      <c r="A4203" s="4">
        <v>45307</v>
      </c>
      <c r="B4203" t="s">
        <v>10</v>
      </c>
      <c r="C4203">
        <v>1</v>
      </c>
      <c r="F4203">
        <v>360</v>
      </c>
      <c r="J4203">
        <v>1.169</v>
      </c>
      <c r="K4203">
        <v>40</v>
      </c>
      <c r="L4203">
        <v>34.200000000000003</v>
      </c>
      <c r="M4203">
        <v>292</v>
      </c>
      <c r="N4203">
        <v>18</v>
      </c>
      <c r="O4203">
        <v>8</v>
      </c>
      <c r="P4203">
        <v>1</v>
      </c>
    </row>
    <row r="4204" spans="1:16" x14ac:dyDescent="0.25">
      <c r="A4204" s="4">
        <v>45307</v>
      </c>
      <c r="B4204" t="s">
        <v>9</v>
      </c>
      <c r="C4204">
        <v>1</v>
      </c>
      <c r="F4204">
        <v>76</v>
      </c>
      <c r="J4204">
        <v>0.23200000000000001</v>
      </c>
      <c r="K4204">
        <v>8.4</v>
      </c>
      <c r="L4204">
        <v>36.4</v>
      </c>
      <c r="M4204">
        <v>65</v>
      </c>
      <c r="N4204">
        <v>4</v>
      </c>
      <c r="O4204">
        <v>1</v>
      </c>
    </row>
    <row r="4205" spans="1:16" x14ac:dyDescent="0.25">
      <c r="A4205" s="4">
        <v>45308</v>
      </c>
      <c r="B4205" t="s">
        <v>10</v>
      </c>
      <c r="C4205">
        <v>1</v>
      </c>
      <c r="F4205">
        <v>266</v>
      </c>
      <c r="J4205">
        <v>1.0660000000000001</v>
      </c>
      <c r="K4205">
        <v>36.9</v>
      </c>
      <c r="L4205">
        <v>34.6</v>
      </c>
      <c r="M4205">
        <v>222</v>
      </c>
      <c r="N4205">
        <v>14</v>
      </c>
      <c r="O4205">
        <v>3</v>
      </c>
      <c r="P4205">
        <v>1</v>
      </c>
    </row>
    <row r="4206" spans="1:16" x14ac:dyDescent="0.25">
      <c r="A4206" s="4">
        <v>45308</v>
      </c>
      <c r="B4206" t="s">
        <v>9</v>
      </c>
      <c r="C4206">
        <v>1</v>
      </c>
      <c r="F4206">
        <v>52</v>
      </c>
      <c r="J4206">
        <v>0.19900000000000001</v>
      </c>
      <c r="K4206">
        <v>7.2</v>
      </c>
      <c r="L4206">
        <v>36.299999999999997</v>
      </c>
      <c r="M4206">
        <v>49</v>
      </c>
      <c r="O4206">
        <v>1</v>
      </c>
    </row>
    <row r="4207" spans="1:16" x14ac:dyDescent="0.25">
      <c r="A4207" s="4">
        <v>45309</v>
      </c>
      <c r="B4207" t="s">
        <v>10</v>
      </c>
      <c r="C4207">
        <v>1</v>
      </c>
      <c r="F4207">
        <v>289</v>
      </c>
      <c r="J4207">
        <v>1.147</v>
      </c>
      <c r="K4207">
        <v>40.1</v>
      </c>
      <c r="L4207">
        <v>35</v>
      </c>
      <c r="M4207">
        <v>229</v>
      </c>
      <c r="N4207">
        <v>18</v>
      </c>
      <c r="O4207">
        <v>5</v>
      </c>
      <c r="P4207">
        <v>1</v>
      </c>
    </row>
    <row r="4208" spans="1:16" x14ac:dyDescent="0.25">
      <c r="A4208" s="4">
        <v>45309</v>
      </c>
      <c r="B4208" t="s">
        <v>9</v>
      </c>
      <c r="C4208">
        <v>1</v>
      </c>
      <c r="F4208">
        <v>77</v>
      </c>
      <c r="J4208">
        <v>0.19800000000000001</v>
      </c>
      <c r="K4208">
        <v>10.7</v>
      </c>
      <c r="L4208">
        <v>54.1</v>
      </c>
      <c r="M4208">
        <v>27</v>
      </c>
      <c r="N4208">
        <v>4</v>
      </c>
      <c r="O4208">
        <v>7</v>
      </c>
      <c r="P4208">
        <v>2</v>
      </c>
    </row>
    <row r="4209" spans="1:16" x14ac:dyDescent="0.25">
      <c r="A4209" s="4">
        <v>45310</v>
      </c>
      <c r="B4209" t="s">
        <v>10</v>
      </c>
      <c r="C4209">
        <v>1</v>
      </c>
      <c r="F4209">
        <v>296</v>
      </c>
      <c r="J4209">
        <v>1.1759999999999999</v>
      </c>
      <c r="K4209">
        <v>41.1</v>
      </c>
      <c r="L4209">
        <v>35</v>
      </c>
      <c r="M4209">
        <v>226</v>
      </c>
      <c r="N4209">
        <v>25</v>
      </c>
      <c r="O4209">
        <v>4</v>
      </c>
      <c r="P4209">
        <v>1</v>
      </c>
    </row>
    <row r="4210" spans="1:16" x14ac:dyDescent="0.25">
      <c r="A4210" s="4">
        <v>45310</v>
      </c>
      <c r="B4210" t="s">
        <v>9</v>
      </c>
      <c r="C4210">
        <v>1</v>
      </c>
      <c r="F4210">
        <v>67</v>
      </c>
      <c r="J4210">
        <v>0.27200000000000002</v>
      </c>
      <c r="K4210">
        <v>9.3000000000000007</v>
      </c>
      <c r="L4210">
        <v>34.299999999999997</v>
      </c>
      <c r="M4210">
        <v>56</v>
      </c>
      <c r="N4210">
        <v>3</v>
      </c>
      <c r="O4210">
        <v>1</v>
      </c>
    </row>
    <row r="4211" spans="1:16" x14ac:dyDescent="0.25">
      <c r="A4211" s="4">
        <v>45313</v>
      </c>
      <c r="B4211" t="s">
        <v>10</v>
      </c>
      <c r="C4211">
        <v>1</v>
      </c>
      <c r="F4211">
        <v>405</v>
      </c>
      <c r="J4211">
        <v>1.25</v>
      </c>
      <c r="K4211">
        <v>45</v>
      </c>
      <c r="L4211">
        <v>36</v>
      </c>
      <c r="M4211">
        <v>289</v>
      </c>
      <c r="N4211">
        <v>31</v>
      </c>
      <c r="O4211">
        <v>11</v>
      </c>
      <c r="P4211">
        <v>2</v>
      </c>
    </row>
    <row r="4212" spans="1:16" x14ac:dyDescent="0.25">
      <c r="A4212" s="4">
        <v>45313</v>
      </c>
      <c r="B4212" t="s">
        <v>9</v>
      </c>
      <c r="C4212">
        <v>1</v>
      </c>
      <c r="F4212">
        <v>87</v>
      </c>
      <c r="J4212">
        <v>0.251</v>
      </c>
      <c r="K4212">
        <v>9.6999999999999993</v>
      </c>
      <c r="L4212">
        <v>38.6</v>
      </c>
      <c r="M4212">
        <v>66</v>
      </c>
      <c r="N4212">
        <v>9</v>
      </c>
      <c r="O4212">
        <v>1</v>
      </c>
    </row>
    <row r="4213" spans="1:16" x14ac:dyDescent="0.25">
      <c r="A4213" s="4">
        <v>45314</v>
      </c>
      <c r="B4213" t="s">
        <v>10</v>
      </c>
      <c r="C4213">
        <v>1</v>
      </c>
      <c r="F4213">
        <v>373</v>
      </c>
      <c r="J4213">
        <v>1.179</v>
      </c>
      <c r="K4213">
        <v>41.4</v>
      </c>
      <c r="L4213">
        <v>35.1</v>
      </c>
      <c r="M4213">
        <v>288</v>
      </c>
      <c r="N4213">
        <v>28</v>
      </c>
      <c r="O4213">
        <v>9</v>
      </c>
    </row>
    <row r="4214" spans="1:16" x14ac:dyDescent="0.25">
      <c r="A4214" s="4">
        <v>45314</v>
      </c>
      <c r="B4214" t="s">
        <v>9</v>
      </c>
      <c r="C4214">
        <v>1</v>
      </c>
      <c r="F4214">
        <v>102</v>
      </c>
      <c r="J4214">
        <v>0.30299999999999999</v>
      </c>
      <c r="K4214">
        <v>11.3</v>
      </c>
      <c r="L4214">
        <v>37.4</v>
      </c>
      <c r="M4214">
        <v>90</v>
      </c>
      <c r="N4214">
        <v>6</v>
      </c>
    </row>
    <row r="4215" spans="1:16" x14ac:dyDescent="0.25">
      <c r="A4215" s="4">
        <v>45315</v>
      </c>
      <c r="B4215" t="s">
        <v>10</v>
      </c>
      <c r="C4215">
        <v>1</v>
      </c>
      <c r="F4215">
        <v>285</v>
      </c>
      <c r="J4215">
        <v>1.17</v>
      </c>
      <c r="K4215">
        <v>39.6</v>
      </c>
      <c r="L4215">
        <v>33.799999999999997</v>
      </c>
      <c r="M4215">
        <v>247</v>
      </c>
      <c r="N4215">
        <v>14</v>
      </c>
      <c r="O4215">
        <v>3</v>
      </c>
    </row>
    <row r="4216" spans="1:16" x14ac:dyDescent="0.25">
      <c r="A4216" s="4">
        <v>45315</v>
      </c>
      <c r="B4216" t="s">
        <v>9</v>
      </c>
      <c r="C4216">
        <v>1</v>
      </c>
      <c r="F4216">
        <v>101</v>
      </c>
      <c r="J4216">
        <v>0.39400000000000002</v>
      </c>
      <c r="K4216">
        <v>14</v>
      </c>
      <c r="L4216">
        <v>35.6</v>
      </c>
      <c r="M4216">
        <v>95</v>
      </c>
      <c r="N4216">
        <v>3</v>
      </c>
    </row>
    <row r="4217" spans="1:16" x14ac:dyDescent="0.25">
      <c r="A4217" s="4">
        <v>45316</v>
      </c>
      <c r="B4217" t="s">
        <v>10</v>
      </c>
      <c r="C4217">
        <v>1</v>
      </c>
      <c r="F4217">
        <v>417</v>
      </c>
      <c r="J4217">
        <v>0.46300000000000002</v>
      </c>
      <c r="K4217">
        <v>38.200000000000003</v>
      </c>
      <c r="L4217">
        <v>258</v>
      </c>
      <c r="M4217">
        <v>49</v>
      </c>
      <c r="N4217">
        <v>11</v>
      </c>
      <c r="O4217">
        <v>3</v>
      </c>
    </row>
    <row r="4218" spans="1:16" x14ac:dyDescent="0.25">
      <c r="A4218" s="4">
        <v>45316</v>
      </c>
      <c r="B4218" t="s">
        <v>9</v>
      </c>
      <c r="C4218">
        <v>1</v>
      </c>
    </row>
    <row r="4219" spans="1:16" x14ac:dyDescent="0.25">
      <c r="A4219" s="4">
        <v>45317</v>
      </c>
      <c r="B4219" t="s">
        <v>10</v>
      </c>
      <c r="C4219">
        <v>1</v>
      </c>
      <c r="F4219">
        <v>320</v>
      </c>
      <c r="J4219">
        <v>1.278</v>
      </c>
      <c r="K4219">
        <v>44.4</v>
      </c>
      <c r="L4219">
        <v>34.799999999999997</v>
      </c>
      <c r="M4219">
        <v>246</v>
      </c>
      <c r="N4219">
        <v>32</v>
      </c>
      <c r="O4219">
        <v>3</v>
      </c>
    </row>
    <row r="4220" spans="1:16" x14ac:dyDescent="0.25">
      <c r="A4220" s="4">
        <v>45317</v>
      </c>
      <c r="B4220" t="s">
        <v>9</v>
      </c>
      <c r="C4220">
        <v>1</v>
      </c>
      <c r="F4220">
        <v>30</v>
      </c>
      <c r="J4220">
        <v>0.14000000000000001</v>
      </c>
      <c r="K4220">
        <v>5.5</v>
      </c>
      <c r="L4220">
        <v>39.1</v>
      </c>
      <c r="M4220">
        <v>20</v>
      </c>
      <c r="N4220">
        <v>5</v>
      </c>
    </row>
    <row r="4221" spans="1:16" x14ac:dyDescent="0.25">
      <c r="A4221" s="4">
        <v>45318</v>
      </c>
      <c r="B4221" t="s">
        <v>10</v>
      </c>
      <c r="C4221">
        <v>1</v>
      </c>
      <c r="F4221">
        <v>178</v>
      </c>
      <c r="J4221">
        <v>1.105</v>
      </c>
      <c r="K4221">
        <v>39.6</v>
      </c>
      <c r="L4221">
        <v>35.799999999999997</v>
      </c>
      <c r="M4221">
        <v>161</v>
      </c>
      <c r="N4221">
        <v>7</v>
      </c>
      <c r="O4221">
        <v>1</v>
      </c>
    </row>
    <row r="4222" spans="1:16" x14ac:dyDescent="0.25">
      <c r="A4222" s="4">
        <v>45318</v>
      </c>
      <c r="B4222" t="s">
        <v>9</v>
      </c>
      <c r="C4222">
        <v>1</v>
      </c>
      <c r="F4222">
        <v>42</v>
      </c>
      <c r="J4222">
        <v>0.23400000000000001</v>
      </c>
      <c r="K4222">
        <v>9.3000000000000007</v>
      </c>
      <c r="L4222">
        <v>39.9</v>
      </c>
      <c r="M4222">
        <v>28</v>
      </c>
      <c r="N4222">
        <v>7</v>
      </c>
    </row>
    <row r="4223" spans="1:16" x14ac:dyDescent="0.25">
      <c r="A4223" s="4">
        <v>45320</v>
      </c>
      <c r="B4223" t="s">
        <v>10</v>
      </c>
      <c r="C4223">
        <v>1</v>
      </c>
      <c r="F4223">
        <v>287</v>
      </c>
      <c r="J4223">
        <v>1.1859999999999999</v>
      </c>
      <c r="K4223">
        <v>39.9</v>
      </c>
      <c r="L4223">
        <v>33.6</v>
      </c>
      <c r="M4223">
        <v>227</v>
      </c>
      <c r="N4223">
        <v>22</v>
      </c>
      <c r="O4223">
        <v>5</v>
      </c>
    </row>
    <row r="4224" spans="1:16" x14ac:dyDescent="0.25">
      <c r="A4224" s="4">
        <v>45320</v>
      </c>
      <c r="B4224" t="s">
        <v>9</v>
      </c>
      <c r="C4224">
        <v>1</v>
      </c>
      <c r="F4224">
        <v>72</v>
      </c>
      <c r="J4224">
        <v>0.27500000000000002</v>
      </c>
      <c r="K4224">
        <v>10</v>
      </c>
      <c r="L4224">
        <v>36.4</v>
      </c>
      <c r="M4224">
        <v>70</v>
      </c>
      <c r="N4224">
        <v>1</v>
      </c>
    </row>
    <row r="4225" spans="1:16" x14ac:dyDescent="0.25">
      <c r="A4225" s="4">
        <v>45321</v>
      </c>
      <c r="B4225" t="s">
        <v>10</v>
      </c>
      <c r="C4225">
        <v>1</v>
      </c>
      <c r="F4225">
        <v>400</v>
      </c>
      <c r="J4225">
        <v>1.2789999999999999</v>
      </c>
      <c r="K4225">
        <v>44.4</v>
      </c>
      <c r="L4225">
        <v>34.799999999999997</v>
      </c>
      <c r="M4225">
        <v>312</v>
      </c>
      <c r="N4225">
        <v>34</v>
      </c>
      <c r="O4225">
        <v>6</v>
      </c>
    </row>
    <row r="4226" spans="1:16" x14ac:dyDescent="0.25">
      <c r="A4226" s="4">
        <v>45321</v>
      </c>
      <c r="B4226" t="s">
        <v>9</v>
      </c>
      <c r="C4226">
        <v>1</v>
      </c>
      <c r="F4226">
        <v>91</v>
      </c>
      <c r="J4226">
        <v>0.27400000000000002</v>
      </c>
      <c r="K4226">
        <v>10.1</v>
      </c>
      <c r="L4226">
        <v>37</v>
      </c>
      <c r="M4226">
        <v>81</v>
      </c>
      <c r="N4226">
        <v>5</v>
      </c>
    </row>
    <row r="4227" spans="1:16" x14ac:dyDescent="0.25">
      <c r="A4227" s="4">
        <v>45322</v>
      </c>
      <c r="B4227" t="s">
        <v>10</v>
      </c>
      <c r="C4227">
        <v>1</v>
      </c>
      <c r="F4227">
        <v>366</v>
      </c>
      <c r="J4227">
        <v>1.206</v>
      </c>
      <c r="K4227">
        <v>40.700000000000003</v>
      </c>
      <c r="L4227">
        <v>33.700000000000003</v>
      </c>
      <c r="M4227">
        <v>297</v>
      </c>
      <c r="N4227">
        <v>23</v>
      </c>
      <c r="O4227">
        <v>4</v>
      </c>
      <c r="P4227">
        <v>1</v>
      </c>
    </row>
    <row r="4228" spans="1:16" x14ac:dyDescent="0.25">
      <c r="A4228" s="4">
        <v>45322</v>
      </c>
      <c r="B4228" t="s">
        <v>9</v>
      </c>
      <c r="C4228">
        <v>1</v>
      </c>
      <c r="F4228">
        <v>71</v>
      </c>
      <c r="J4228">
        <v>0.223</v>
      </c>
      <c r="K4228">
        <v>7.9</v>
      </c>
      <c r="L4228">
        <v>35.4</v>
      </c>
      <c r="M4228">
        <v>59</v>
      </c>
      <c r="N4228">
        <v>3</v>
      </c>
      <c r="O4228">
        <v>2</v>
      </c>
    </row>
    <row r="4229" spans="1:16" x14ac:dyDescent="0.25">
      <c r="A4229" s="4">
        <v>45323</v>
      </c>
      <c r="B4229" t="s">
        <v>10</v>
      </c>
      <c r="C4229">
        <v>1</v>
      </c>
      <c r="F4229">
        <v>387</v>
      </c>
      <c r="J4229">
        <v>1.1950000000000001</v>
      </c>
      <c r="K4229">
        <v>43</v>
      </c>
      <c r="L4229">
        <v>36</v>
      </c>
      <c r="M4229">
        <v>297</v>
      </c>
      <c r="N4229">
        <v>25</v>
      </c>
      <c r="O4229">
        <v>10</v>
      </c>
      <c r="P4229">
        <v>1</v>
      </c>
    </row>
    <row r="4230" spans="1:16" x14ac:dyDescent="0.25">
      <c r="A4230" s="4">
        <v>45323</v>
      </c>
      <c r="B4230" t="s">
        <v>9</v>
      </c>
      <c r="C4230">
        <v>1</v>
      </c>
      <c r="F4230">
        <v>57</v>
      </c>
      <c r="J4230">
        <v>0.215</v>
      </c>
      <c r="K4230">
        <v>7.9</v>
      </c>
      <c r="L4230">
        <v>36.9</v>
      </c>
      <c r="M4230">
        <v>44</v>
      </c>
      <c r="N4230">
        <v>5</v>
      </c>
      <c r="O4230">
        <v>1</v>
      </c>
    </row>
    <row r="4231" spans="1:16" x14ac:dyDescent="0.25">
      <c r="A4231" s="4">
        <v>45324</v>
      </c>
      <c r="B4231" t="s">
        <v>10</v>
      </c>
      <c r="C4231">
        <v>1</v>
      </c>
      <c r="F4231">
        <v>366</v>
      </c>
      <c r="J4231">
        <v>1.282</v>
      </c>
      <c r="K4231">
        <v>45.2</v>
      </c>
      <c r="L4231">
        <v>35.200000000000003</v>
      </c>
      <c r="M4231">
        <v>284</v>
      </c>
      <c r="N4231">
        <v>26</v>
      </c>
      <c r="O4231">
        <v>7</v>
      </c>
      <c r="P4231">
        <v>1</v>
      </c>
    </row>
    <row r="4232" spans="1:16" x14ac:dyDescent="0.25">
      <c r="A4232" s="4">
        <v>45324</v>
      </c>
      <c r="B4232" t="s">
        <v>9</v>
      </c>
      <c r="C4232">
        <v>1</v>
      </c>
      <c r="F4232">
        <v>72</v>
      </c>
      <c r="J4232">
        <v>0.23599999999999999</v>
      </c>
      <c r="K4232">
        <v>8.9</v>
      </c>
      <c r="L4232">
        <v>37.700000000000003</v>
      </c>
      <c r="M4232">
        <v>65</v>
      </c>
      <c r="N4232">
        <v>2</v>
      </c>
      <c r="O4232">
        <v>1</v>
      </c>
    </row>
    <row r="4233" spans="1:16" x14ac:dyDescent="0.25">
      <c r="A4233" s="4">
        <v>45325</v>
      </c>
      <c r="B4233" t="s">
        <v>10</v>
      </c>
      <c r="C4233">
        <v>1</v>
      </c>
      <c r="F4233">
        <v>155</v>
      </c>
      <c r="J4233">
        <v>1.121</v>
      </c>
      <c r="K4233">
        <v>40.799999999999997</v>
      </c>
      <c r="L4233">
        <v>36.4</v>
      </c>
      <c r="M4233">
        <v>143</v>
      </c>
      <c r="N4233">
        <v>6</v>
      </c>
    </row>
    <row r="4234" spans="1:16" x14ac:dyDescent="0.25">
      <c r="A4234" s="4">
        <v>45325</v>
      </c>
      <c r="B4234" t="s">
        <v>9</v>
      </c>
      <c r="C4234">
        <v>1</v>
      </c>
    </row>
    <row r="4235" spans="1:16" x14ac:dyDescent="0.25">
      <c r="A4235" s="4">
        <v>45327</v>
      </c>
      <c r="B4235" t="s">
        <v>10</v>
      </c>
      <c r="C4235">
        <v>1</v>
      </c>
      <c r="F4235">
        <v>300</v>
      </c>
      <c r="J4235">
        <v>1.206</v>
      </c>
      <c r="K4235">
        <v>41.7</v>
      </c>
      <c r="L4235">
        <v>34.6</v>
      </c>
      <c r="M4235">
        <v>215</v>
      </c>
      <c r="N4235">
        <v>29</v>
      </c>
      <c r="O4235">
        <v>5</v>
      </c>
      <c r="P4235">
        <v>1</v>
      </c>
    </row>
    <row r="4236" spans="1:16" x14ac:dyDescent="0.25">
      <c r="A4236" s="4">
        <v>45327</v>
      </c>
      <c r="B4236" t="s">
        <v>9</v>
      </c>
      <c r="C4236">
        <v>1</v>
      </c>
      <c r="F4236">
        <v>74</v>
      </c>
      <c r="J4236">
        <v>0.28100000000000003</v>
      </c>
      <c r="K4236">
        <v>10.3</v>
      </c>
      <c r="L4236">
        <v>36.5</v>
      </c>
      <c r="M4236">
        <v>72</v>
      </c>
      <c r="N4236">
        <v>1</v>
      </c>
    </row>
    <row r="4237" spans="1:16" x14ac:dyDescent="0.25">
      <c r="A4237" s="4">
        <v>45328</v>
      </c>
      <c r="B4237" t="s">
        <v>10</v>
      </c>
      <c r="C4237">
        <v>1</v>
      </c>
      <c r="F4237">
        <v>407</v>
      </c>
      <c r="J4237">
        <v>1.2589999999999999</v>
      </c>
      <c r="K4237">
        <v>45.2</v>
      </c>
      <c r="L4237">
        <v>35.9</v>
      </c>
      <c r="M4237">
        <v>285</v>
      </c>
      <c r="N4237">
        <v>45</v>
      </c>
      <c r="O4237">
        <v>5</v>
      </c>
      <c r="P4237">
        <v>2</v>
      </c>
    </row>
    <row r="4238" spans="1:16" x14ac:dyDescent="0.25">
      <c r="A4238" s="4">
        <v>45328</v>
      </c>
      <c r="B4238" t="s">
        <v>9</v>
      </c>
      <c r="C4238">
        <v>1</v>
      </c>
      <c r="F4238">
        <v>120</v>
      </c>
      <c r="J4238">
        <v>0.36299999999999999</v>
      </c>
      <c r="K4238">
        <v>13.3</v>
      </c>
      <c r="L4238">
        <v>36.700000000000003</v>
      </c>
      <c r="M4238">
        <v>102</v>
      </c>
      <c r="N4238">
        <v>9</v>
      </c>
    </row>
    <row r="4239" spans="1:16" x14ac:dyDescent="0.25">
      <c r="A4239" s="4">
        <v>45329</v>
      </c>
      <c r="B4239" t="s">
        <v>10</v>
      </c>
      <c r="C4239">
        <v>1</v>
      </c>
      <c r="F4239">
        <v>390</v>
      </c>
      <c r="J4239">
        <v>1.24</v>
      </c>
      <c r="K4239">
        <v>43.3</v>
      </c>
      <c r="L4239">
        <v>34.9</v>
      </c>
      <c r="M4239">
        <v>306</v>
      </c>
      <c r="N4239">
        <v>32</v>
      </c>
      <c r="O4239">
        <v>2</v>
      </c>
      <c r="P4239">
        <v>2</v>
      </c>
    </row>
    <row r="4240" spans="1:16" x14ac:dyDescent="0.25">
      <c r="A4240" s="4">
        <v>45329</v>
      </c>
      <c r="B4240" t="s">
        <v>9</v>
      </c>
      <c r="C4240">
        <v>1</v>
      </c>
      <c r="F4240">
        <v>96</v>
      </c>
      <c r="J4240">
        <v>0.308</v>
      </c>
      <c r="K4240">
        <v>10.7</v>
      </c>
      <c r="L4240">
        <v>34.6</v>
      </c>
      <c r="M4240">
        <v>92</v>
      </c>
      <c r="N4240">
        <v>2</v>
      </c>
    </row>
    <row r="4241" spans="1:16" x14ac:dyDescent="0.25">
      <c r="A4241" s="4">
        <v>45330</v>
      </c>
      <c r="B4241" t="s">
        <v>10</v>
      </c>
      <c r="C4241">
        <v>1</v>
      </c>
      <c r="F4241">
        <v>378</v>
      </c>
      <c r="J4241">
        <v>1.1759999999999999</v>
      </c>
      <c r="K4241">
        <v>41.4</v>
      </c>
      <c r="L4241">
        <v>35.200000000000003</v>
      </c>
      <c r="M4241">
        <v>310</v>
      </c>
      <c r="N4241">
        <v>26</v>
      </c>
      <c r="O4241">
        <v>5</v>
      </c>
    </row>
    <row r="4242" spans="1:16" x14ac:dyDescent="0.25">
      <c r="A4242" s="4">
        <v>45330</v>
      </c>
      <c r="B4242" t="s">
        <v>9</v>
      </c>
      <c r="C4242">
        <v>1</v>
      </c>
    </row>
    <row r="4243" spans="1:16" x14ac:dyDescent="0.25">
      <c r="A4243" s="4">
        <v>45331</v>
      </c>
      <c r="B4243" t="s">
        <v>10</v>
      </c>
      <c r="C4243">
        <v>1</v>
      </c>
      <c r="F4243">
        <v>372</v>
      </c>
      <c r="J4243">
        <v>1.1839999999999999</v>
      </c>
      <c r="K4243">
        <v>41.3</v>
      </c>
      <c r="L4243">
        <v>34.9</v>
      </c>
      <c r="M4243">
        <v>287</v>
      </c>
      <c r="N4243">
        <v>29</v>
      </c>
      <c r="O4243">
        <v>8</v>
      </c>
    </row>
    <row r="4244" spans="1:16" x14ac:dyDescent="0.25">
      <c r="A4244" s="4">
        <v>45331</v>
      </c>
      <c r="B4244" t="s">
        <v>9</v>
      </c>
      <c r="C4244">
        <v>1</v>
      </c>
      <c r="F4244">
        <v>93</v>
      </c>
      <c r="J4244">
        <v>0.29899999999999999</v>
      </c>
      <c r="K4244">
        <v>10.3</v>
      </c>
      <c r="L4244">
        <v>34.6</v>
      </c>
      <c r="M4244">
        <v>78</v>
      </c>
      <c r="N4244">
        <v>6</v>
      </c>
      <c r="O4244">
        <v>1</v>
      </c>
    </row>
    <row r="4245" spans="1:16" x14ac:dyDescent="0.25">
      <c r="A4245" s="4">
        <v>45332</v>
      </c>
      <c r="B4245" t="s">
        <v>10</v>
      </c>
      <c r="C4245">
        <v>1</v>
      </c>
      <c r="F4245">
        <v>240</v>
      </c>
      <c r="J4245">
        <v>0.94299999999999995</v>
      </c>
      <c r="K4245">
        <v>33.299999999999997</v>
      </c>
      <c r="L4245">
        <v>35.299999999999997</v>
      </c>
      <c r="M4245">
        <v>218</v>
      </c>
      <c r="N4245">
        <v>8</v>
      </c>
      <c r="O4245">
        <v>2</v>
      </c>
    </row>
    <row r="4246" spans="1:16" x14ac:dyDescent="0.25">
      <c r="A4246" s="4">
        <v>45332</v>
      </c>
      <c r="B4246" t="s">
        <v>9</v>
      </c>
      <c r="C4246">
        <v>1</v>
      </c>
      <c r="F4246">
        <v>66</v>
      </c>
      <c r="J4246">
        <v>0.23</v>
      </c>
      <c r="K4246">
        <v>9.1999999999999993</v>
      </c>
      <c r="L4246">
        <v>39.799999999999997</v>
      </c>
      <c r="M4246">
        <v>51</v>
      </c>
      <c r="N4246">
        <v>6</v>
      </c>
      <c r="O4246">
        <v>1</v>
      </c>
    </row>
    <row r="4247" spans="1:16" x14ac:dyDescent="0.25">
      <c r="A4247" s="4">
        <v>45334</v>
      </c>
      <c r="B4247" t="s">
        <v>10</v>
      </c>
      <c r="C4247">
        <v>1</v>
      </c>
      <c r="F4247">
        <v>289</v>
      </c>
      <c r="J4247">
        <v>1.1459999999999999</v>
      </c>
      <c r="K4247">
        <v>40.1</v>
      </c>
      <c r="L4247">
        <v>35</v>
      </c>
      <c r="M4247">
        <v>234</v>
      </c>
      <c r="N4247">
        <v>12</v>
      </c>
      <c r="O4247">
        <v>5</v>
      </c>
      <c r="P4247">
        <v>2</v>
      </c>
    </row>
    <row r="4248" spans="1:16" x14ac:dyDescent="0.25">
      <c r="A4248" s="4">
        <v>45334</v>
      </c>
      <c r="B4248" t="s">
        <v>9</v>
      </c>
      <c r="C4248">
        <v>1</v>
      </c>
      <c r="F4248">
        <v>53</v>
      </c>
      <c r="J4248">
        <v>0.20499999999999999</v>
      </c>
      <c r="K4248">
        <v>7.4</v>
      </c>
      <c r="L4248">
        <v>35.799999999999997</v>
      </c>
      <c r="M4248">
        <v>47</v>
      </c>
      <c r="N4248">
        <v>3</v>
      </c>
    </row>
    <row r="4249" spans="1:16" x14ac:dyDescent="0.25">
      <c r="A4249" s="4">
        <v>45335</v>
      </c>
      <c r="B4249" t="s">
        <v>10</v>
      </c>
      <c r="C4249">
        <v>1</v>
      </c>
      <c r="F4249">
        <v>370</v>
      </c>
      <c r="J4249">
        <v>1.101</v>
      </c>
      <c r="K4249">
        <v>41.1</v>
      </c>
      <c r="L4249">
        <v>37.299999999999997</v>
      </c>
      <c r="M4249">
        <v>245</v>
      </c>
      <c r="N4249">
        <v>31</v>
      </c>
      <c r="O4249">
        <v>12</v>
      </c>
      <c r="P4249">
        <v>3</v>
      </c>
    </row>
    <row r="4250" spans="1:16" x14ac:dyDescent="0.25">
      <c r="A4250" s="4">
        <v>45335</v>
      </c>
      <c r="B4250" t="s">
        <v>9</v>
      </c>
      <c r="C4250">
        <v>1</v>
      </c>
      <c r="F4250">
        <v>70</v>
      </c>
      <c r="J4250">
        <v>0.27100000000000002</v>
      </c>
      <c r="K4250">
        <v>9.6999999999999993</v>
      </c>
      <c r="L4250">
        <v>35.799999999999997</v>
      </c>
      <c r="M4250">
        <v>68</v>
      </c>
      <c r="N4250">
        <v>1</v>
      </c>
    </row>
    <row r="4251" spans="1:16" x14ac:dyDescent="0.25">
      <c r="A4251" s="4">
        <v>45336</v>
      </c>
      <c r="B4251" t="s">
        <v>10</v>
      </c>
      <c r="C4251">
        <v>1</v>
      </c>
      <c r="F4251">
        <v>35</v>
      </c>
      <c r="J4251">
        <v>1.1639999999999999</v>
      </c>
      <c r="K4251">
        <v>41.6</v>
      </c>
      <c r="L4251">
        <v>35.700000000000003</v>
      </c>
      <c r="M4251">
        <v>290</v>
      </c>
      <c r="N4251">
        <v>29</v>
      </c>
      <c r="O4251">
        <v>8</v>
      </c>
    </row>
    <row r="4252" spans="1:16" x14ac:dyDescent="0.25">
      <c r="A4252" s="4">
        <v>45336</v>
      </c>
      <c r="B4252" t="s">
        <v>9</v>
      </c>
      <c r="C4252">
        <v>1</v>
      </c>
    </row>
    <row r="4253" spans="1:16" x14ac:dyDescent="0.25">
      <c r="A4253" s="4">
        <v>45337</v>
      </c>
      <c r="B4253" t="s">
        <v>10</v>
      </c>
      <c r="C4253">
        <v>1</v>
      </c>
      <c r="F4253">
        <v>334</v>
      </c>
      <c r="J4253">
        <v>1.0649999999999999</v>
      </c>
      <c r="K4253">
        <v>37.1</v>
      </c>
      <c r="L4253">
        <v>34.9</v>
      </c>
      <c r="M4253">
        <v>266</v>
      </c>
      <c r="N4253">
        <v>26</v>
      </c>
      <c r="O4253">
        <v>4</v>
      </c>
    </row>
    <row r="4254" spans="1:16" x14ac:dyDescent="0.25">
      <c r="A4254" s="4">
        <v>45337</v>
      </c>
      <c r="B4254" t="s">
        <v>9</v>
      </c>
      <c r="C4254">
        <v>1</v>
      </c>
      <c r="F4254">
        <v>70</v>
      </c>
      <c r="J4254">
        <v>0.24199999999999999</v>
      </c>
      <c r="K4254">
        <v>9</v>
      </c>
      <c r="L4254">
        <v>37.1</v>
      </c>
      <c r="M4254">
        <v>64</v>
      </c>
      <c r="N4254">
        <v>3</v>
      </c>
    </row>
    <row r="4255" spans="1:16" x14ac:dyDescent="0.25">
      <c r="A4255" s="4">
        <v>45338</v>
      </c>
      <c r="B4255" t="s">
        <v>10</v>
      </c>
      <c r="C4255">
        <v>1</v>
      </c>
      <c r="F4255">
        <v>340</v>
      </c>
      <c r="J4255">
        <v>1.091</v>
      </c>
      <c r="K4255">
        <v>37.799999999999997</v>
      </c>
      <c r="L4255">
        <v>34.6</v>
      </c>
      <c r="M4255">
        <v>274</v>
      </c>
      <c r="N4255">
        <v>28</v>
      </c>
      <c r="O4255">
        <v>3</v>
      </c>
    </row>
    <row r="4256" spans="1:16" x14ac:dyDescent="0.25">
      <c r="A4256" s="4">
        <v>45338</v>
      </c>
      <c r="B4256" t="s">
        <v>9</v>
      </c>
      <c r="C4256">
        <v>1</v>
      </c>
      <c r="F4256">
        <v>98</v>
      </c>
      <c r="J4256">
        <v>0.33100000000000002</v>
      </c>
      <c r="K4256">
        <v>10.9</v>
      </c>
      <c r="L4256">
        <v>32.9</v>
      </c>
      <c r="M4256">
        <v>92</v>
      </c>
      <c r="N4256">
        <v>3</v>
      </c>
    </row>
    <row r="4257" spans="1:16" x14ac:dyDescent="0.25">
      <c r="A4257" s="4">
        <v>45339</v>
      </c>
      <c r="B4257" t="s">
        <v>10</v>
      </c>
      <c r="C4257">
        <v>1</v>
      </c>
      <c r="F4257">
        <v>163</v>
      </c>
      <c r="J4257">
        <v>0.80800000000000005</v>
      </c>
      <c r="K4257">
        <v>29.6</v>
      </c>
      <c r="L4257">
        <v>36.700000000000003</v>
      </c>
      <c r="M4257">
        <v>163</v>
      </c>
    </row>
    <row r="4258" spans="1:16" x14ac:dyDescent="0.25">
      <c r="A4258" s="4">
        <v>45339</v>
      </c>
      <c r="B4258" t="s">
        <v>9</v>
      </c>
      <c r="C4258">
        <v>1</v>
      </c>
      <c r="F4258">
        <v>69</v>
      </c>
      <c r="J4258">
        <v>0.34</v>
      </c>
      <c r="K4258">
        <v>12.6</v>
      </c>
      <c r="L4258">
        <v>36.9</v>
      </c>
      <c r="M4258">
        <v>65</v>
      </c>
      <c r="N4258">
        <v>2</v>
      </c>
    </row>
    <row r="4259" spans="1:16" x14ac:dyDescent="0.25">
      <c r="A4259" s="4">
        <v>45341</v>
      </c>
      <c r="B4259" t="s">
        <v>10</v>
      </c>
      <c r="C4259">
        <v>1</v>
      </c>
      <c r="F4259">
        <v>347</v>
      </c>
      <c r="J4259">
        <v>1.113</v>
      </c>
      <c r="K4259">
        <v>38.6</v>
      </c>
      <c r="L4259">
        <v>34.700000000000003</v>
      </c>
      <c r="M4259">
        <v>277</v>
      </c>
      <c r="N4259">
        <v>29</v>
      </c>
      <c r="O4259">
        <v>3</v>
      </c>
    </row>
    <row r="4260" spans="1:16" x14ac:dyDescent="0.25">
      <c r="A4260" s="4">
        <v>45341</v>
      </c>
      <c r="B4260" t="s">
        <v>9</v>
      </c>
      <c r="C4260">
        <v>1</v>
      </c>
      <c r="F4260">
        <v>25</v>
      </c>
      <c r="J4260">
        <v>0.189</v>
      </c>
      <c r="K4260">
        <v>6.6</v>
      </c>
      <c r="L4260">
        <v>34.9</v>
      </c>
      <c r="M4260">
        <v>23</v>
      </c>
      <c r="N4260">
        <v>1</v>
      </c>
    </row>
    <row r="4261" spans="1:16" x14ac:dyDescent="0.25">
      <c r="A4261" s="4">
        <v>45342</v>
      </c>
      <c r="B4261" t="s">
        <v>10</v>
      </c>
      <c r="C4261">
        <v>1</v>
      </c>
      <c r="F4261">
        <v>411</v>
      </c>
      <c r="J4261">
        <v>1.169</v>
      </c>
      <c r="K4261">
        <v>45.7</v>
      </c>
      <c r="L4261">
        <v>39.1</v>
      </c>
      <c r="M4261">
        <v>240</v>
      </c>
      <c r="N4261">
        <v>33</v>
      </c>
      <c r="O4261">
        <v>21</v>
      </c>
      <c r="P4261">
        <v>5</v>
      </c>
    </row>
    <row r="4262" spans="1:16" x14ac:dyDescent="0.25">
      <c r="A4262" s="4">
        <v>45342</v>
      </c>
      <c r="B4262" t="s">
        <v>9</v>
      </c>
      <c r="C4262">
        <v>1</v>
      </c>
      <c r="F4262">
        <v>127</v>
      </c>
      <c r="J4262">
        <v>0.39600000000000002</v>
      </c>
      <c r="K4262">
        <v>14.1</v>
      </c>
      <c r="L4262">
        <v>35.6</v>
      </c>
      <c r="M4262">
        <v>55</v>
      </c>
      <c r="N4262">
        <v>36</v>
      </c>
    </row>
    <row r="4263" spans="1:16" x14ac:dyDescent="0.25">
      <c r="A4263" s="4">
        <v>45343</v>
      </c>
      <c r="B4263" t="s">
        <v>10</v>
      </c>
      <c r="C4263">
        <v>1</v>
      </c>
      <c r="F4263">
        <v>368</v>
      </c>
      <c r="J4263">
        <v>1.1439999999999999</v>
      </c>
      <c r="K4263">
        <v>40.9</v>
      </c>
      <c r="L4263">
        <v>35.700000000000003</v>
      </c>
      <c r="M4263">
        <v>279</v>
      </c>
      <c r="N4263">
        <v>28</v>
      </c>
      <c r="O4263">
        <v>9</v>
      </c>
    </row>
    <row r="4264" spans="1:16" x14ac:dyDescent="0.25">
      <c r="A4264" s="4">
        <v>45343</v>
      </c>
      <c r="B4264" t="s">
        <v>9</v>
      </c>
      <c r="C4264">
        <v>1</v>
      </c>
      <c r="F4264">
        <v>129</v>
      </c>
      <c r="J4264">
        <v>0.39600000000000002</v>
      </c>
      <c r="K4264">
        <v>14.3</v>
      </c>
      <c r="L4264">
        <v>36.200000000000003</v>
      </c>
      <c r="M4264">
        <v>106</v>
      </c>
      <c r="N4264">
        <v>10</v>
      </c>
      <c r="O4264">
        <v>1</v>
      </c>
    </row>
    <row r="4265" spans="1:16" x14ac:dyDescent="0.25">
      <c r="A4265" s="4">
        <v>45344</v>
      </c>
      <c r="B4265" t="s">
        <v>10</v>
      </c>
      <c r="C4265">
        <v>1</v>
      </c>
      <c r="F4265">
        <v>377</v>
      </c>
      <c r="J4265">
        <v>1.1870000000000001</v>
      </c>
      <c r="K4265">
        <v>41.9</v>
      </c>
      <c r="L4265">
        <v>35.299999999999997</v>
      </c>
      <c r="M4265">
        <v>298</v>
      </c>
      <c r="N4265">
        <v>26</v>
      </c>
      <c r="O4265">
        <v>7</v>
      </c>
    </row>
    <row r="4266" spans="1:16" x14ac:dyDescent="0.25">
      <c r="A4266" s="4">
        <v>45344</v>
      </c>
      <c r="B4266" t="s">
        <v>9</v>
      </c>
      <c r="C4266">
        <v>1</v>
      </c>
      <c r="F4266">
        <v>103</v>
      </c>
      <c r="J4266">
        <v>0.311</v>
      </c>
      <c r="K4266">
        <v>11.4</v>
      </c>
      <c r="L4266">
        <v>36.799999999999997</v>
      </c>
      <c r="M4266">
        <v>86</v>
      </c>
      <c r="N4266">
        <v>7</v>
      </c>
      <c r="O4266">
        <v>1</v>
      </c>
    </row>
    <row r="4267" spans="1:16" x14ac:dyDescent="0.25">
      <c r="A4267" s="4">
        <v>45345</v>
      </c>
      <c r="B4267" t="s">
        <v>10</v>
      </c>
      <c r="C4267">
        <v>1</v>
      </c>
      <c r="F4267">
        <v>380</v>
      </c>
      <c r="J4267">
        <v>1.19</v>
      </c>
      <c r="K4267">
        <v>42.2</v>
      </c>
      <c r="L4267">
        <v>35.5</v>
      </c>
      <c r="M4267">
        <v>283</v>
      </c>
      <c r="N4267">
        <v>37</v>
      </c>
      <c r="O4267">
        <v>7</v>
      </c>
    </row>
    <row r="4268" spans="1:16" x14ac:dyDescent="0.25">
      <c r="A4268" s="4">
        <v>45345</v>
      </c>
      <c r="B4268" t="s">
        <v>9</v>
      </c>
      <c r="C4268">
        <v>1</v>
      </c>
      <c r="F4268">
        <v>102</v>
      </c>
      <c r="J4268">
        <v>0.30099999999999999</v>
      </c>
      <c r="K4268">
        <v>11.3</v>
      </c>
      <c r="L4268">
        <v>37.700000000000003</v>
      </c>
      <c r="M4268">
        <v>100</v>
      </c>
      <c r="N4268">
        <v>1</v>
      </c>
    </row>
    <row r="4269" spans="1:16" x14ac:dyDescent="0.25">
      <c r="A4269" s="4">
        <v>45346</v>
      </c>
      <c r="B4269" t="s">
        <v>10</v>
      </c>
      <c r="C4269">
        <v>1</v>
      </c>
      <c r="F4269">
        <v>131</v>
      </c>
      <c r="J4269">
        <v>0.92900000000000005</v>
      </c>
      <c r="K4269">
        <v>34.5</v>
      </c>
      <c r="L4269">
        <v>37.1</v>
      </c>
      <c r="M4269">
        <v>123</v>
      </c>
      <c r="N4269">
        <v>4</v>
      </c>
    </row>
    <row r="4270" spans="1:16" x14ac:dyDescent="0.25">
      <c r="A4270" s="4">
        <v>45346</v>
      </c>
      <c r="B4270" t="s">
        <v>9</v>
      </c>
      <c r="C4270">
        <v>1</v>
      </c>
    </row>
    <row r="4271" spans="1:16" x14ac:dyDescent="0.25">
      <c r="A4271" s="4">
        <v>45348</v>
      </c>
      <c r="B4271" t="s">
        <v>10</v>
      </c>
      <c r="C4271">
        <v>1</v>
      </c>
      <c r="F4271">
        <v>368</v>
      </c>
      <c r="J4271">
        <v>1.1479999999999999</v>
      </c>
      <c r="K4271">
        <v>40.9</v>
      </c>
      <c r="L4271">
        <v>35.6</v>
      </c>
      <c r="M4271">
        <v>285</v>
      </c>
      <c r="N4271">
        <v>24</v>
      </c>
      <c r="O4271">
        <v>7</v>
      </c>
      <c r="P4271">
        <v>2</v>
      </c>
    </row>
    <row r="4272" spans="1:16" x14ac:dyDescent="0.25">
      <c r="A4272" s="4">
        <v>45348</v>
      </c>
      <c r="B4272" t="s">
        <v>9</v>
      </c>
      <c r="C4272">
        <v>1</v>
      </c>
      <c r="F4272">
        <v>113</v>
      </c>
      <c r="J4272">
        <v>0.33500000000000002</v>
      </c>
      <c r="K4272">
        <v>12.6</v>
      </c>
      <c r="L4272">
        <v>37.5</v>
      </c>
      <c r="M4272">
        <v>100</v>
      </c>
      <c r="N4272">
        <v>4</v>
      </c>
      <c r="O4272">
        <v>1</v>
      </c>
    </row>
    <row r="4273" spans="1:16" x14ac:dyDescent="0.25">
      <c r="A4273" s="4">
        <v>45349</v>
      </c>
      <c r="B4273" t="s">
        <v>10</v>
      </c>
      <c r="C4273">
        <v>1</v>
      </c>
      <c r="F4273">
        <v>369</v>
      </c>
      <c r="J4273">
        <v>1.1719999999999999</v>
      </c>
      <c r="K4273">
        <v>41</v>
      </c>
      <c r="L4273">
        <v>35</v>
      </c>
      <c r="M4273">
        <v>281</v>
      </c>
      <c r="N4273">
        <v>29</v>
      </c>
      <c r="O4273">
        <v>9</v>
      </c>
    </row>
    <row r="4274" spans="1:16" x14ac:dyDescent="0.25">
      <c r="A4274" s="4">
        <v>45349</v>
      </c>
      <c r="B4274" t="s">
        <v>9</v>
      </c>
      <c r="C4274">
        <v>1</v>
      </c>
      <c r="F4274">
        <v>100</v>
      </c>
      <c r="J4274">
        <v>0.307</v>
      </c>
      <c r="K4274">
        <v>11.1</v>
      </c>
      <c r="L4274">
        <v>36.200000000000003</v>
      </c>
      <c r="M4274">
        <v>94</v>
      </c>
      <c r="N4274">
        <v>3</v>
      </c>
    </row>
    <row r="4275" spans="1:16" x14ac:dyDescent="0.25">
      <c r="A4275" s="4">
        <v>45350</v>
      </c>
      <c r="B4275" t="s">
        <v>10</v>
      </c>
      <c r="C4275">
        <v>1</v>
      </c>
      <c r="F4275">
        <v>363</v>
      </c>
      <c r="J4275">
        <v>1.1140000000000001</v>
      </c>
      <c r="K4275">
        <v>40.299999999999997</v>
      </c>
      <c r="L4275">
        <v>36.200000000000003</v>
      </c>
      <c r="M4275">
        <v>276</v>
      </c>
      <c r="N4275">
        <v>25</v>
      </c>
      <c r="O4275">
        <v>6</v>
      </c>
      <c r="P4275">
        <v>2</v>
      </c>
    </row>
    <row r="4276" spans="1:16" x14ac:dyDescent="0.25">
      <c r="A4276" s="4">
        <v>45350</v>
      </c>
      <c r="B4276" t="s">
        <v>9</v>
      </c>
      <c r="C4276">
        <v>1</v>
      </c>
      <c r="F4276">
        <v>102</v>
      </c>
      <c r="J4276">
        <v>0.316</v>
      </c>
      <c r="K4276">
        <v>11.3</v>
      </c>
      <c r="L4276">
        <v>35.799999999999997</v>
      </c>
      <c r="M4276">
        <v>87</v>
      </c>
      <c r="N4276">
        <v>6</v>
      </c>
      <c r="O4276">
        <v>1</v>
      </c>
    </row>
    <row r="4277" spans="1:16" x14ac:dyDescent="0.25">
      <c r="A4277" s="4">
        <v>45351</v>
      </c>
      <c r="B4277" t="s">
        <v>10</v>
      </c>
      <c r="C4277">
        <v>1</v>
      </c>
      <c r="F4277">
        <v>413</v>
      </c>
      <c r="J4277">
        <v>1.206</v>
      </c>
      <c r="K4277">
        <v>45.9</v>
      </c>
      <c r="L4277">
        <v>38.1</v>
      </c>
      <c r="M4277">
        <v>271</v>
      </c>
      <c r="N4277">
        <v>42</v>
      </c>
      <c r="O4277">
        <v>8</v>
      </c>
      <c r="P4277">
        <v>4</v>
      </c>
    </row>
    <row r="4278" spans="1:16" x14ac:dyDescent="0.25">
      <c r="A4278" s="4">
        <v>45351</v>
      </c>
      <c r="B4278" t="s">
        <v>9</v>
      </c>
      <c r="C4278">
        <v>1</v>
      </c>
      <c r="F4278">
        <v>116</v>
      </c>
      <c r="J4278">
        <v>0.36399999999999999</v>
      </c>
      <c r="K4278">
        <v>12.9</v>
      </c>
      <c r="L4278">
        <v>34.5</v>
      </c>
      <c r="M4278">
        <v>105</v>
      </c>
      <c r="N4278">
        <v>4</v>
      </c>
      <c r="O4278">
        <v>1</v>
      </c>
    </row>
    <row r="4279" spans="1:16" x14ac:dyDescent="0.25">
      <c r="A4279" s="4">
        <v>45352</v>
      </c>
      <c r="B4279" t="s">
        <v>10</v>
      </c>
      <c r="C4279">
        <v>1</v>
      </c>
      <c r="F4279">
        <v>372</v>
      </c>
      <c r="J4279">
        <v>1.2030000000000001</v>
      </c>
      <c r="K4279">
        <v>41.3</v>
      </c>
      <c r="L4279">
        <v>34.5</v>
      </c>
      <c r="M4279">
        <v>297</v>
      </c>
      <c r="N4279">
        <v>25</v>
      </c>
      <c r="O4279">
        <v>6</v>
      </c>
      <c r="P4279">
        <v>1</v>
      </c>
    </row>
    <row r="4280" spans="1:16" x14ac:dyDescent="0.25">
      <c r="A4280" s="4">
        <v>45352</v>
      </c>
      <c r="B4280" t="s">
        <v>9</v>
      </c>
      <c r="C4280">
        <v>1</v>
      </c>
      <c r="F4280">
        <v>135</v>
      </c>
      <c r="J4280">
        <v>0.42599999999999999</v>
      </c>
      <c r="K4280">
        <v>15</v>
      </c>
      <c r="L4280">
        <v>35.200000000000003</v>
      </c>
      <c r="M4280">
        <v>117</v>
      </c>
      <c r="N4280">
        <v>9</v>
      </c>
    </row>
    <row r="4281" spans="1:16" x14ac:dyDescent="0.25">
      <c r="A4281" s="4">
        <v>45353</v>
      </c>
      <c r="B4281" t="s">
        <v>10</v>
      </c>
      <c r="C4281">
        <v>1</v>
      </c>
      <c r="F4281">
        <v>236</v>
      </c>
      <c r="J4281">
        <v>1.2569999999999999</v>
      </c>
      <c r="K4281">
        <v>42.9</v>
      </c>
      <c r="L4281">
        <v>34.1</v>
      </c>
      <c r="M4281">
        <v>201</v>
      </c>
      <c r="N4281">
        <v>14</v>
      </c>
      <c r="P4281">
        <v>1</v>
      </c>
    </row>
    <row r="4282" spans="1:16" x14ac:dyDescent="0.25">
      <c r="A4282" s="4">
        <v>45353</v>
      </c>
      <c r="B4282" t="s">
        <v>9</v>
      </c>
      <c r="C4282">
        <v>1</v>
      </c>
      <c r="F4282">
        <v>139</v>
      </c>
      <c r="J4282">
        <v>0.72299999999999998</v>
      </c>
      <c r="K4282">
        <v>25.3</v>
      </c>
      <c r="L4282">
        <v>35</v>
      </c>
      <c r="M4282">
        <v>127</v>
      </c>
      <c r="N4282">
        <v>6</v>
      </c>
    </row>
    <row r="4283" spans="1:16" x14ac:dyDescent="0.25">
      <c r="A4283" s="4">
        <v>45355</v>
      </c>
      <c r="B4283" t="s">
        <v>10</v>
      </c>
      <c r="C4283">
        <v>1</v>
      </c>
      <c r="F4283">
        <v>287</v>
      </c>
      <c r="J4283">
        <v>0.94799999999999995</v>
      </c>
      <c r="K4283">
        <v>31.9</v>
      </c>
      <c r="L4283">
        <v>33.700000000000003</v>
      </c>
      <c r="M4283">
        <v>241</v>
      </c>
      <c r="N4283">
        <v>16</v>
      </c>
      <c r="O4283">
        <v>2</v>
      </c>
      <c r="P4283">
        <v>1</v>
      </c>
    </row>
    <row r="4284" spans="1:16" x14ac:dyDescent="0.25">
      <c r="A4284" s="4">
        <v>45355</v>
      </c>
      <c r="B4284" t="s">
        <v>9</v>
      </c>
      <c r="C4284">
        <v>1</v>
      </c>
      <c r="F4284">
        <v>113</v>
      </c>
      <c r="J4284">
        <v>0.33800000000000002</v>
      </c>
      <c r="K4284">
        <v>12.6</v>
      </c>
      <c r="L4284">
        <v>37.200000000000003</v>
      </c>
      <c r="M4284">
        <v>100</v>
      </c>
      <c r="N4284">
        <v>5</v>
      </c>
      <c r="O4284">
        <v>1</v>
      </c>
    </row>
    <row r="4285" spans="1:16" x14ac:dyDescent="0.25">
      <c r="A4285" s="4">
        <v>45356</v>
      </c>
      <c r="B4285" t="s">
        <v>10</v>
      </c>
      <c r="C4285">
        <v>1</v>
      </c>
      <c r="F4285">
        <v>359</v>
      </c>
      <c r="J4285">
        <v>1.1240000000000001</v>
      </c>
      <c r="K4285">
        <v>39.9</v>
      </c>
      <c r="L4285">
        <v>35.5</v>
      </c>
      <c r="M4285">
        <v>267</v>
      </c>
      <c r="N4285">
        <v>37</v>
      </c>
      <c r="O4285">
        <v>5</v>
      </c>
    </row>
    <row r="4286" spans="1:16" x14ac:dyDescent="0.25">
      <c r="A4286" s="4">
        <v>45356</v>
      </c>
      <c r="B4286" t="s">
        <v>9</v>
      </c>
      <c r="C4286">
        <v>1</v>
      </c>
      <c r="F4286">
        <v>94</v>
      </c>
      <c r="J4286">
        <v>0.46</v>
      </c>
      <c r="K4286">
        <v>17.100000000000001</v>
      </c>
      <c r="L4286">
        <v>37.1</v>
      </c>
      <c r="M4286">
        <v>81</v>
      </c>
      <c r="N4286">
        <v>2</v>
      </c>
      <c r="O4286">
        <v>3</v>
      </c>
    </row>
    <row r="4287" spans="1:16" x14ac:dyDescent="0.25">
      <c r="A4287" s="4">
        <v>45357</v>
      </c>
      <c r="B4287" t="s">
        <v>10</v>
      </c>
      <c r="C4287">
        <v>1</v>
      </c>
      <c r="F4287">
        <v>357</v>
      </c>
      <c r="J4287">
        <v>1.095</v>
      </c>
      <c r="K4287">
        <v>39.700000000000003</v>
      </c>
      <c r="L4287">
        <v>36.200000000000003</v>
      </c>
      <c r="M4287">
        <v>266</v>
      </c>
      <c r="N4287">
        <v>36</v>
      </c>
      <c r="O4287">
        <v>5</v>
      </c>
    </row>
    <row r="4288" spans="1:16" x14ac:dyDescent="0.25">
      <c r="A4288" s="4">
        <v>45357</v>
      </c>
      <c r="B4288" t="s">
        <v>9</v>
      </c>
      <c r="C4288">
        <v>1</v>
      </c>
      <c r="F4288">
        <v>205</v>
      </c>
      <c r="J4288">
        <v>0.55800000000000005</v>
      </c>
      <c r="K4288">
        <v>22.8</v>
      </c>
      <c r="L4288">
        <v>40.799999999999997</v>
      </c>
      <c r="M4288">
        <v>141</v>
      </c>
      <c r="N4288">
        <v>12</v>
      </c>
      <c r="O4288">
        <v>10</v>
      </c>
    </row>
    <row r="4289" spans="1:16" x14ac:dyDescent="0.25">
      <c r="A4289" s="4">
        <v>45358</v>
      </c>
      <c r="B4289" t="s">
        <v>10</v>
      </c>
      <c r="C4289">
        <v>1</v>
      </c>
      <c r="F4289">
        <v>315</v>
      </c>
      <c r="J4289">
        <v>1.0740000000000001</v>
      </c>
      <c r="K4289">
        <v>38.200000000000003</v>
      </c>
      <c r="L4289">
        <v>35.6</v>
      </c>
      <c r="M4289">
        <v>247</v>
      </c>
      <c r="N4289">
        <v>25</v>
      </c>
      <c r="O4289">
        <v>2</v>
      </c>
      <c r="P4289">
        <v>2</v>
      </c>
    </row>
    <row r="4290" spans="1:16" x14ac:dyDescent="0.25">
      <c r="A4290" s="4">
        <v>45358</v>
      </c>
      <c r="B4290" t="s">
        <v>9</v>
      </c>
      <c r="C4290">
        <v>1</v>
      </c>
      <c r="F4290">
        <v>118</v>
      </c>
      <c r="J4290">
        <v>0.36799999999999999</v>
      </c>
      <c r="K4290">
        <v>13.1</v>
      </c>
      <c r="L4290">
        <v>35.6</v>
      </c>
      <c r="M4290">
        <v>76</v>
      </c>
      <c r="N4290">
        <v>21</v>
      </c>
    </row>
    <row r="4291" spans="1:16" x14ac:dyDescent="0.25">
      <c r="A4291" s="4">
        <v>45359</v>
      </c>
      <c r="B4291" t="s">
        <v>10</v>
      </c>
      <c r="C4291">
        <v>1</v>
      </c>
      <c r="F4291">
        <v>338</v>
      </c>
      <c r="J4291">
        <v>1.024</v>
      </c>
      <c r="K4291">
        <v>37.6</v>
      </c>
      <c r="L4291">
        <v>36.700000000000003</v>
      </c>
      <c r="M4291">
        <v>247</v>
      </c>
      <c r="N4291">
        <v>27</v>
      </c>
      <c r="O4291">
        <v>8</v>
      </c>
      <c r="P4291">
        <v>1</v>
      </c>
    </row>
    <row r="4292" spans="1:16" x14ac:dyDescent="0.25">
      <c r="A4292" s="4">
        <v>45359</v>
      </c>
      <c r="B4292" t="s">
        <v>9</v>
      </c>
      <c r="C4292">
        <v>1</v>
      </c>
      <c r="F4292">
        <v>162</v>
      </c>
      <c r="J4292">
        <v>0.44800000000000001</v>
      </c>
      <c r="K4292">
        <v>18</v>
      </c>
      <c r="L4292">
        <v>40.200000000000003</v>
      </c>
      <c r="M4292">
        <v>92</v>
      </c>
      <c r="N4292">
        <v>24</v>
      </c>
      <c r="O4292">
        <v>4</v>
      </c>
      <c r="P4292">
        <v>1</v>
      </c>
    </row>
    <row r="4293" spans="1:16" x14ac:dyDescent="0.25">
      <c r="A4293" s="4">
        <v>45362</v>
      </c>
      <c r="B4293" t="s">
        <v>10</v>
      </c>
      <c r="C4293">
        <v>1</v>
      </c>
      <c r="F4293">
        <v>321</v>
      </c>
      <c r="J4293">
        <v>1.046</v>
      </c>
      <c r="K4293">
        <v>37.799999999999997</v>
      </c>
      <c r="L4293">
        <v>36.1</v>
      </c>
      <c r="M4293">
        <v>245</v>
      </c>
      <c r="N4293">
        <v>22</v>
      </c>
      <c r="O4293">
        <v>10</v>
      </c>
    </row>
    <row r="4294" spans="1:16" x14ac:dyDescent="0.25">
      <c r="A4294" s="4">
        <v>45362</v>
      </c>
      <c r="B4294" t="s">
        <v>9</v>
      </c>
      <c r="C4294">
        <v>1</v>
      </c>
      <c r="F4294">
        <v>123</v>
      </c>
      <c r="J4294">
        <v>0.38700000000000001</v>
      </c>
      <c r="K4294">
        <v>14.5</v>
      </c>
      <c r="L4294">
        <v>37.4</v>
      </c>
      <c r="M4294">
        <v>103</v>
      </c>
      <c r="N4294">
        <v>6</v>
      </c>
      <c r="O4294">
        <v>2</v>
      </c>
    </row>
    <row r="4295" spans="1:16" x14ac:dyDescent="0.25">
      <c r="A4295" s="4">
        <v>45363</v>
      </c>
      <c r="B4295" t="s">
        <v>10</v>
      </c>
      <c r="C4295">
        <v>1</v>
      </c>
      <c r="F4295">
        <v>365</v>
      </c>
      <c r="J4295">
        <v>1.1060000000000001</v>
      </c>
      <c r="K4295">
        <v>40.6</v>
      </c>
      <c r="L4295">
        <v>36.700000000000003</v>
      </c>
      <c r="M4295">
        <v>259</v>
      </c>
      <c r="N4295">
        <v>33</v>
      </c>
      <c r="O4295">
        <v>7</v>
      </c>
      <c r="P4295">
        <v>2</v>
      </c>
    </row>
    <row r="4296" spans="1:16" x14ac:dyDescent="0.25">
      <c r="A4296" s="4">
        <v>45363</v>
      </c>
      <c r="B4296" t="s">
        <v>9</v>
      </c>
      <c r="C4296">
        <v>1</v>
      </c>
      <c r="F4296">
        <v>142</v>
      </c>
      <c r="J4296">
        <v>0.41599999999999998</v>
      </c>
      <c r="K4296">
        <v>15.8</v>
      </c>
      <c r="L4296">
        <v>37.9</v>
      </c>
      <c r="M4296">
        <v>113</v>
      </c>
      <c r="N4296">
        <v>7</v>
      </c>
      <c r="O4296">
        <v>2</v>
      </c>
      <c r="P4296">
        <v>1</v>
      </c>
    </row>
    <row r="4297" spans="1:16" x14ac:dyDescent="0.25">
      <c r="A4297" s="4">
        <v>45364</v>
      </c>
      <c r="B4297" t="s">
        <v>10</v>
      </c>
      <c r="C4297">
        <v>1</v>
      </c>
      <c r="F4297">
        <v>315</v>
      </c>
      <c r="J4297">
        <v>0.97099999999999997</v>
      </c>
      <c r="K4297">
        <v>35</v>
      </c>
      <c r="L4297">
        <v>36.1</v>
      </c>
      <c r="M4297">
        <v>233</v>
      </c>
      <c r="N4297">
        <v>28</v>
      </c>
      <c r="O4297">
        <v>7</v>
      </c>
    </row>
    <row r="4298" spans="1:16" x14ac:dyDescent="0.25">
      <c r="A4298" s="4">
        <v>45364</v>
      </c>
      <c r="B4298" t="s">
        <v>9</v>
      </c>
      <c r="C4298">
        <v>1</v>
      </c>
      <c r="F4298">
        <v>143</v>
      </c>
      <c r="J4298">
        <v>0.41</v>
      </c>
      <c r="K4298">
        <v>15.9</v>
      </c>
      <c r="L4298">
        <v>38.799999999999997</v>
      </c>
      <c r="M4298">
        <v>112</v>
      </c>
      <c r="N4298">
        <v>7</v>
      </c>
      <c r="O4298">
        <v>2</v>
      </c>
      <c r="P4298">
        <v>1</v>
      </c>
    </row>
    <row r="4299" spans="1:16" x14ac:dyDescent="0.25">
      <c r="A4299" s="4">
        <v>45365</v>
      </c>
      <c r="B4299" t="s">
        <v>10</v>
      </c>
      <c r="C4299">
        <v>1</v>
      </c>
      <c r="F4299">
        <v>331</v>
      </c>
      <c r="J4299">
        <v>1.002</v>
      </c>
      <c r="K4299">
        <v>36.799999999999997</v>
      </c>
      <c r="L4299">
        <v>36.700000000000003</v>
      </c>
      <c r="M4299">
        <v>232</v>
      </c>
      <c r="N4299">
        <v>23</v>
      </c>
      <c r="O4299">
        <v>11</v>
      </c>
      <c r="P4299">
        <v>2</v>
      </c>
    </row>
    <row r="4300" spans="1:16" x14ac:dyDescent="0.25">
      <c r="A4300" s="4">
        <v>45365</v>
      </c>
      <c r="B4300" t="s">
        <v>9</v>
      </c>
      <c r="C4300">
        <v>1</v>
      </c>
      <c r="F4300">
        <v>129</v>
      </c>
      <c r="J4300">
        <v>0.372</v>
      </c>
      <c r="K4300">
        <v>14.3</v>
      </c>
      <c r="L4300">
        <v>38.6</v>
      </c>
      <c r="M4300">
        <v>103</v>
      </c>
      <c r="N4300">
        <v>5</v>
      </c>
      <c r="O4300">
        <v>2</v>
      </c>
      <c r="P4300">
        <v>1</v>
      </c>
    </row>
    <row r="4301" spans="1:16" x14ac:dyDescent="0.25">
      <c r="A4301" s="4">
        <v>45366</v>
      </c>
      <c r="B4301" t="s">
        <v>10</v>
      </c>
      <c r="C4301">
        <v>1</v>
      </c>
      <c r="F4301">
        <v>400</v>
      </c>
      <c r="J4301">
        <v>1.26</v>
      </c>
      <c r="K4301">
        <v>44.4</v>
      </c>
      <c r="L4301">
        <v>35.299999999999997</v>
      </c>
      <c r="M4301">
        <v>300</v>
      </c>
      <c r="N4301">
        <v>44</v>
      </c>
      <c r="O4301">
        <v>2</v>
      </c>
      <c r="P4301">
        <v>1</v>
      </c>
    </row>
    <row r="4302" spans="1:16" x14ac:dyDescent="0.25">
      <c r="A4302" s="4">
        <v>45366</v>
      </c>
      <c r="B4302" t="s">
        <v>9</v>
      </c>
      <c r="C4302">
        <v>1</v>
      </c>
      <c r="F4302">
        <v>260</v>
      </c>
      <c r="J4302">
        <v>0.76500000000000001</v>
      </c>
      <c r="K4302">
        <v>28.9</v>
      </c>
      <c r="L4302">
        <v>37.799999999999997</v>
      </c>
      <c r="M4302">
        <v>185</v>
      </c>
      <c r="N4302">
        <v>24</v>
      </c>
      <c r="O4302">
        <v>6</v>
      </c>
      <c r="P4302">
        <v>1</v>
      </c>
    </row>
    <row r="4303" spans="1:16" x14ac:dyDescent="0.25">
      <c r="A4303" s="4">
        <v>45367</v>
      </c>
      <c r="B4303" t="s">
        <v>10</v>
      </c>
      <c r="C4303">
        <v>1</v>
      </c>
      <c r="F4303">
        <v>191</v>
      </c>
      <c r="J4303">
        <v>1.0209999999999999</v>
      </c>
      <c r="K4303">
        <v>34.700000000000003</v>
      </c>
      <c r="L4303">
        <v>34</v>
      </c>
      <c r="M4303">
        <v>155</v>
      </c>
      <c r="N4303">
        <v>15</v>
      </c>
      <c r="O4303">
        <v>2</v>
      </c>
    </row>
    <row r="4304" spans="1:16" x14ac:dyDescent="0.25">
      <c r="A4304" s="4">
        <v>45367</v>
      </c>
      <c r="B4304" t="s">
        <v>9</v>
      </c>
      <c r="C4304">
        <v>1</v>
      </c>
      <c r="F4304">
        <v>124</v>
      </c>
      <c r="J4304">
        <v>0.65500000000000003</v>
      </c>
      <c r="K4304">
        <v>22.6</v>
      </c>
      <c r="L4304">
        <v>34.4</v>
      </c>
      <c r="M4304">
        <v>115</v>
      </c>
      <c r="N4304">
        <v>3</v>
      </c>
      <c r="O4304">
        <v>1</v>
      </c>
    </row>
    <row r="4305" spans="1:16" x14ac:dyDescent="0.25">
      <c r="A4305" s="4">
        <v>45369</v>
      </c>
      <c r="B4305" t="s">
        <v>10</v>
      </c>
      <c r="C4305">
        <v>1</v>
      </c>
      <c r="F4305">
        <v>366</v>
      </c>
      <c r="J4305">
        <v>1.121</v>
      </c>
      <c r="K4305">
        <v>40.700000000000003</v>
      </c>
      <c r="L4305">
        <v>36.299999999999997</v>
      </c>
      <c r="M4305">
        <v>256</v>
      </c>
      <c r="N4305">
        <v>28</v>
      </c>
      <c r="O4305">
        <v>13</v>
      </c>
      <c r="P4305">
        <v>2</v>
      </c>
    </row>
    <row r="4306" spans="1:16" x14ac:dyDescent="0.25">
      <c r="A4306" s="4">
        <v>45369</v>
      </c>
      <c r="B4306" t="s">
        <v>9</v>
      </c>
      <c r="C4306">
        <v>1</v>
      </c>
      <c r="F4306">
        <v>144</v>
      </c>
      <c r="J4306">
        <v>0.46500000000000002</v>
      </c>
      <c r="K4306">
        <v>16</v>
      </c>
      <c r="L4306">
        <v>34.4</v>
      </c>
      <c r="M4306">
        <v>132</v>
      </c>
      <c r="N4306">
        <v>3</v>
      </c>
      <c r="O4306">
        <v>2</v>
      </c>
    </row>
    <row r="4307" spans="1:16" x14ac:dyDescent="0.25">
      <c r="A4307" s="4">
        <v>45370</v>
      </c>
      <c r="B4307" t="s">
        <v>10</v>
      </c>
      <c r="C4307">
        <v>1</v>
      </c>
      <c r="F4307">
        <v>341</v>
      </c>
      <c r="J4307">
        <v>1.06</v>
      </c>
      <c r="K4307">
        <v>37.9</v>
      </c>
      <c r="L4307">
        <v>35.700000000000003</v>
      </c>
      <c r="M4307">
        <v>247</v>
      </c>
      <c r="N4307">
        <v>27</v>
      </c>
      <c r="O4307">
        <v>11</v>
      </c>
    </row>
    <row r="4308" spans="1:16" x14ac:dyDescent="0.25">
      <c r="A4308" s="4">
        <v>45370</v>
      </c>
      <c r="B4308" t="s">
        <v>9</v>
      </c>
      <c r="C4308">
        <v>1</v>
      </c>
      <c r="F4308">
        <v>140</v>
      </c>
      <c r="J4308">
        <v>0.44</v>
      </c>
      <c r="K4308">
        <v>15.6</v>
      </c>
      <c r="L4308">
        <v>35.299999999999997</v>
      </c>
      <c r="M4308">
        <v>121</v>
      </c>
      <c r="N4308">
        <v>8</v>
      </c>
      <c r="O4308">
        <v>1</v>
      </c>
    </row>
    <row r="4309" spans="1:16" x14ac:dyDescent="0.25">
      <c r="A4309" s="4">
        <v>45371</v>
      </c>
      <c r="B4309" t="s">
        <v>10</v>
      </c>
      <c r="C4309">
        <v>1</v>
      </c>
      <c r="F4309">
        <v>374</v>
      </c>
      <c r="J4309">
        <v>1.1719999999999999</v>
      </c>
      <c r="K4309">
        <v>41.6</v>
      </c>
      <c r="L4309">
        <v>35.5</v>
      </c>
      <c r="M4309">
        <v>276</v>
      </c>
      <c r="N4309">
        <v>39</v>
      </c>
      <c r="O4309">
        <v>4</v>
      </c>
      <c r="P4309">
        <v>1</v>
      </c>
    </row>
    <row r="4310" spans="1:16" x14ac:dyDescent="0.25">
      <c r="A4310" s="4">
        <v>45371</v>
      </c>
      <c r="B4310" t="s">
        <v>9</v>
      </c>
      <c r="C4310">
        <v>1</v>
      </c>
      <c r="F4310">
        <v>113</v>
      </c>
      <c r="J4310">
        <v>0.33500000000000002</v>
      </c>
      <c r="K4310">
        <v>12.6</v>
      </c>
      <c r="L4310">
        <v>37.4</v>
      </c>
      <c r="M4310">
        <v>90</v>
      </c>
      <c r="N4310">
        <v>10</v>
      </c>
      <c r="O4310">
        <v>1</v>
      </c>
    </row>
    <row r="4311" spans="1:16" x14ac:dyDescent="0.25">
      <c r="A4311" s="4">
        <v>45372</v>
      </c>
      <c r="B4311" t="s">
        <v>10</v>
      </c>
      <c r="C4311">
        <v>1</v>
      </c>
      <c r="F4311">
        <v>397</v>
      </c>
      <c r="J4311">
        <v>1.2170000000000001</v>
      </c>
      <c r="K4311">
        <v>44.1</v>
      </c>
      <c r="L4311">
        <v>36.200000000000003</v>
      </c>
      <c r="M4311">
        <v>294</v>
      </c>
      <c r="N4311">
        <v>31</v>
      </c>
      <c r="O4311">
        <v>10</v>
      </c>
      <c r="P4311">
        <v>1</v>
      </c>
    </row>
    <row r="4312" spans="1:16" x14ac:dyDescent="0.25">
      <c r="A4312" s="4">
        <v>45372</v>
      </c>
      <c r="B4312" t="s">
        <v>9</v>
      </c>
      <c r="C4312">
        <v>1</v>
      </c>
      <c r="F4312">
        <v>151</v>
      </c>
      <c r="J4312">
        <v>0.45400000000000001</v>
      </c>
      <c r="K4312">
        <v>16.8</v>
      </c>
      <c r="L4312">
        <v>36.9</v>
      </c>
      <c r="M4312">
        <v>124</v>
      </c>
      <c r="N4312">
        <v>12</v>
      </c>
      <c r="O4312">
        <v>1</v>
      </c>
    </row>
    <row r="4313" spans="1:16" x14ac:dyDescent="0.25">
      <c r="A4313" s="4">
        <v>45373</v>
      </c>
      <c r="B4313" t="s">
        <v>10</v>
      </c>
      <c r="C4313">
        <v>1</v>
      </c>
      <c r="F4313">
        <v>424</v>
      </c>
      <c r="J4313">
        <v>1.34</v>
      </c>
      <c r="K4313">
        <v>47.1</v>
      </c>
      <c r="L4313">
        <v>35.200000000000003</v>
      </c>
      <c r="M4313">
        <v>325</v>
      </c>
      <c r="N4313">
        <v>37</v>
      </c>
      <c r="O4313">
        <v>7</v>
      </c>
    </row>
    <row r="4314" spans="1:16" x14ac:dyDescent="0.25">
      <c r="A4314" s="4">
        <v>45373</v>
      </c>
      <c r="B4314" t="s">
        <v>9</v>
      </c>
      <c r="C4314">
        <v>1</v>
      </c>
      <c r="F4314">
        <v>217</v>
      </c>
      <c r="J4314">
        <v>0.66700000000000004</v>
      </c>
      <c r="K4314">
        <v>24.1</v>
      </c>
      <c r="L4314">
        <v>36.200000000000003</v>
      </c>
      <c r="M4314">
        <v>182</v>
      </c>
      <c r="N4314">
        <v>16</v>
      </c>
      <c r="O4314">
        <v>1</v>
      </c>
    </row>
    <row r="4315" spans="1:16" x14ac:dyDescent="0.25">
      <c r="A4315" s="4">
        <v>45374</v>
      </c>
      <c r="B4315" t="s">
        <v>10</v>
      </c>
      <c r="C4315">
        <v>1</v>
      </c>
      <c r="F4315">
        <v>229</v>
      </c>
      <c r="J4315">
        <v>1.1850000000000001</v>
      </c>
      <c r="K4315">
        <v>41.6</v>
      </c>
      <c r="L4315">
        <v>35.1</v>
      </c>
      <c r="M4315">
        <v>193</v>
      </c>
      <c r="N4315">
        <v>12</v>
      </c>
      <c r="O4315">
        <v>3</v>
      </c>
    </row>
    <row r="4316" spans="1:16" x14ac:dyDescent="0.25">
      <c r="A4316" s="4">
        <v>45374</v>
      </c>
      <c r="B4316" t="s">
        <v>9</v>
      </c>
      <c r="C4316">
        <v>1</v>
      </c>
      <c r="F4316">
        <v>105</v>
      </c>
      <c r="J4316">
        <v>0.60899999999999999</v>
      </c>
      <c r="K4316">
        <v>23.3</v>
      </c>
      <c r="L4316">
        <v>38.299999999999997</v>
      </c>
      <c r="M4316">
        <v>89</v>
      </c>
      <c r="N4316">
        <v>8</v>
      </c>
    </row>
    <row r="4317" spans="1:16" x14ac:dyDescent="0.25">
      <c r="A4317" s="4">
        <v>45376</v>
      </c>
      <c r="B4317" t="s">
        <v>10</v>
      </c>
      <c r="C4317">
        <v>1</v>
      </c>
      <c r="F4317">
        <v>342</v>
      </c>
      <c r="J4317">
        <v>1.0920000000000001</v>
      </c>
      <c r="K4317">
        <v>38</v>
      </c>
      <c r="L4317">
        <v>34.799999999999997</v>
      </c>
      <c r="M4317">
        <v>280</v>
      </c>
      <c r="N4317">
        <v>22</v>
      </c>
      <c r="O4317">
        <v>2</v>
      </c>
      <c r="P4317">
        <v>1</v>
      </c>
    </row>
    <row r="4318" spans="1:16" x14ac:dyDescent="0.25">
      <c r="A4318" s="4">
        <v>45376</v>
      </c>
      <c r="B4318" t="s">
        <v>9</v>
      </c>
      <c r="C4318">
        <v>1</v>
      </c>
      <c r="F4318">
        <v>145</v>
      </c>
      <c r="J4318">
        <v>0.441</v>
      </c>
      <c r="K4318">
        <v>16.100000000000001</v>
      </c>
      <c r="L4318">
        <v>36.6</v>
      </c>
      <c r="M4318">
        <v>120</v>
      </c>
      <c r="N4318">
        <v>11</v>
      </c>
      <c r="O4318">
        <v>1</v>
      </c>
    </row>
    <row r="4319" spans="1:16" x14ac:dyDescent="0.25">
      <c r="A4319" s="4">
        <v>45377</v>
      </c>
      <c r="B4319" t="s">
        <v>10</v>
      </c>
      <c r="C4319">
        <v>1</v>
      </c>
      <c r="F4319">
        <v>346</v>
      </c>
      <c r="J4319">
        <v>1.089</v>
      </c>
      <c r="K4319">
        <v>38.4</v>
      </c>
      <c r="L4319">
        <v>35.299999999999997</v>
      </c>
      <c r="M4319">
        <v>268</v>
      </c>
      <c r="N4319">
        <v>18</v>
      </c>
      <c r="O4319">
        <v>9</v>
      </c>
      <c r="P4319">
        <v>1</v>
      </c>
    </row>
    <row r="4320" spans="1:16" x14ac:dyDescent="0.25">
      <c r="A4320" s="4">
        <v>45377</v>
      </c>
      <c r="B4320" t="s">
        <v>9</v>
      </c>
      <c r="C4320">
        <v>1</v>
      </c>
      <c r="F4320">
        <v>133</v>
      </c>
      <c r="J4320">
        <v>0.42299999999999999</v>
      </c>
      <c r="K4320">
        <v>14.8</v>
      </c>
      <c r="L4320">
        <v>35</v>
      </c>
      <c r="M4320">
        <v>109</v>
      </c>
      <c r="N4320">
        <v>12</v>
      </c>
    </row>
    <row r="4321" spans="1:16" x14ac:dyDescent="0.25">
      <c r="A4321" s="4">
        <v>45378</v>
      </c>
      <c r="B4321" t="s">
        <v>10</v>
      </c>
      <c r="C4321">
        <v>1</v>
      </c>
      <c r="F4321">
        <v>286</v>
      </c>
      <c r="J4321">
        <v>1.111</v>
      </c>
      <c r="K4321">
        <v>39.700000000000003</v>
      </c>
      <c r="L4321">
        <v>35.700000000000003</v>
      </c>
      <c r="M4321">
        <v>227</v>
      </c>
      <c r="N4321">
        <v>18</v>
      </c>
      <c r="O4321">
        <v>2</v>
      </c>
      <c r="P4321">
        <v>2</v>
      </c>
    </row>
    <row r="4322" spans="1:16" x14ac:dyDescent="0.25">
      <c r="A4322" s="4">
        <v>45378</v>
      </c>
      <c r="B4322" t="s">
        <v>9</v>
      </c>
      <c r="C4322">
        <v>1</v>
      </c>
      <c r="F4322">
        <v>128</v>
      </c>
      <c r="J4322">
        <v>0.498</v>
      </c>
      <c r="K4322">
        <v>17.8</v>
      </c>
      <c r="L4322">
        <v>35.700000000000003</v>
      </c>
      <c r="M4322">
        <v>109</v>
      </c>
      <c r="N4322">
        <v>8</v>
      </c>
      <c r="O4322">
        <v>1</v>
      </c>
    </row>
    <row r="4323" spans="1:16" x14ac:dyDescent="0.25">
      <c r="A4323" s="4">
        <v>45379</v>
      </c>
      <c r="B4323" t="s">
        <v>10</v>
      </c>
      <c r="C4323">
        <v>1</v>
      </c>
      <c r="F4323">
        <v>348</v>
      </c>
      <c r="J4323">
        <v>1.06</v>
      </c>
      <c r="K4323">
        <v>38.700000000000003</v>
      </c>
      <c r="L4323">
        <v>36.5</v>
      </c>
      <c r="M4323">
        <v>251</v>
      </c>
      <c r="N4323">
        <v>27</v>
      </c>
      <c r="O4323">
        <v>9</v>
      </c>
      <c r="P4323">
        <v>1</v>
      </c>
    </row>
    <row r="4324" spans="1:16" x14ac:dyDescent="0.25">
      <c r="A4324" s="4">
        <v>45379</v>
      </c>
      <c r="B4324" t="s">
        <v>9</v>
      </c>
      <c r="C4324">
        <v>1</v>
      </c>
      <c r="F4324">
        <v>119</v>
      </c>
      <c r="J4324">
        <v>0.36</v>
      </c>
      <c r="K4324">
        <v>13.2</v>
      </c>
      <c r="L4324">
        <v>36.700000000000003</v>
      </c>
      <c r="M4324">
        <v>101</v>
      </c>
      <c r="N4324">
        <v>9</v>
      </c>
    </row>
    <row r="4325" spans="1:16" x14ac:dyDescent="0.25">
      <c r="A4325" s="4">
        <v>45380</v>
      </c>
      <c r="B4325" t="s">
        <v>10</v>
      </c>
      <c r="C4325">
        <v>1</v>
      </c>
      <c r="F4325">
        <v>228</v>
      </c>
      <c r="J4325">
        <v>0.96599999999999997</v>
      </c>
      <c r="K4325">
        <v>35.5</v>
      </c>
      <c r="L4325">
        <v>36.700000000000003</v>
      </c>
      <c r="M4325">
        <v>168</v>
      </c>
      <c r="N4325">
        <v>17</v>
      </c>
      <c r="O4325">
        <v>5</v>
      </c>
      <c r="P4325">
        <v>1</v>
      </c>
    </row>
    <row r="4326" spans="1:16" x14ac:dyDescent="0.25">
      <c r="A4326" s="4">
        <v>45380</v>
      </c>
      <c r="B4326" t="s">
        <v>9</v>
      </c>
      <c r="C4326">
        <v>1</v>
      </c>
    </row>
    <row r="4327" spans="1:16" x14ac:dyDescent="0.25">
      <c r="A4327" s="4">
        <v>45383</v>
      </c>
      <c r="B4327" t="s">
        <v>10</v>
      </c>
      <c r="C4327">
        <v>1</v>
      </c>
      <c r="J4327">
        <v>1.1399999999999999</v>
      </c>
      <c r="K4327">
        <v>41</v>
      </c>
      <c r="L4327">
        <v>36</v>
      </c>
      <c r="M4327">
        <v>257</v>
      </c>
      <c r="N4327">
        <v>40</v>
      </c>
      <c r="O4327">
        <v>7</v>
      </c>
      <c r="P4327">
        <v>1</v>
      </c>
    </row>
    <row r="4328" spans="1:16" x14ac:dyDescent="0.25">
      <c r="A4328" s="4">
        <v>45383</v>
      </c>
      <c r="B4328" t="s">
        <v>9</v>
      </c>
      <c r="C4328">
        <v>1</v>
      </c>
      <c r="J4328">
        <v>0.40799999999999997</v>
      </c>
      <c r="K4328">
        <v>15.4</v>
      </c>
      <c r="L4328">
        <v>37.9</v>
      </c>
      <c r="M4328">
        <v>109</v>
      </c>
      <c r="N4328">
        <v>9</v>
      </c>
      <c r="O4328">
        <v>4</v>
      </c>
    </row>
    <row r="4329" spans="1:16" x14ac:dyDescent="0.25">
      <c r="A4329" s="4">
        <v>45384</v>
      </c>
      <c r="B4329" t="s">
        <v>10</v>
      </c>
      <c r="C4329">
        <v>1</v>
      </c>
      <c r="J4329">
        <v>1.1870000000000001</v>
      </c>
      <c r="K4329">
        <v>41.6</v>
      </c>
      <c r="L4329">
        <v>35</v>
      </c>
      <c r="M4329">
        <v>279</v>
      </c>
      <c r="N4329">
        <v>30</v>
      </c>
      <c r="O4329">
        <v>9</v>
      </c>
    </row>
    <row r="4330" spans="1:16" x14ac:dyDescent="0.25">
      <c r="A4330" s="4">
        <v>45384</v>
      </c>
      <c r="B4330" t="s">
        <v>9</v>
      </c>
      <c r="C4330">
        <v>1</v>
      </c>
      <c r="J4330">
        <v>0.36099999999999999</v>
      </c>
      <c r="K4330">
        <v>14.7</v>
      </c>
      <c r="L4330">
        <v>40.6</v>
      </c>
      <c r="M4330">
        <v>101</v>
      </c>
      <c r="N4330">
        <v>9</v>
      </c>
      <c r="O4330">
        <v>2</v>
      </c>
      <c r="P4330">
        <v>1</v>
      </c>
    </row>
    <row r="4331" spans="1:16" x14ac:dyDescent="0.25">
      <c r="A4331" s="4">
        <v>45385</v>
      </c>
      <c r="B4331" t="s">
        <v>10</v>
      </c>
      <c r="C4331">
        <v>1</v>
      </c>
      <c r="J4331">
        <v>1.0169999999999999</v>
      </c>
      <c r="K4331">
        <v>37.799999999999997</v>
      </c>
      <c r="L4331">
        <v>37.200000000000003</v>
      </c>
      <c r="M4331">
        <v>237</v>
      </c>
      <c r="N4331">
        <v>20</v>
      </c>
      <c r="O4331">
        <v>12</v>
      </c>
      <c r="P4331">
        <v>3</v>
      </c>
    </row>
    <row r="4332" spans="1:16" x14ac:dyDescent="0.25">
      <c r="A4332" s="4">
        <v>45385</v>
      </c>
      <c r="B4332" t="s">
        <v>9</v>
      </c>
      <c r="C4332">
        <v>1</v>
      </c>
      <c r="J4332">
        <v>0.37</v>
      </c>
      <c r="K4332">
        <v>14</v>
      </c>
      <c r="L4332">
        <v>37.799999999999997</v>
      </c>
      <c r="M4332">
        <v>112</v>
      </c>
      <c r="N4332">
        <v>7</v>
      </c>
    </row>
    <row r="4333" spans="1:16" x14ac:dyDescent="0.25">
      <c r="A4333" s="4">
        <v>45386</v>
      </c>
      <c r="B4333" t="s">
        <v>10</v>
      </c>
      <c r="C4333">
        <v>1</v>
      </c>
      <c r="J4333">
        <v>1.0409999999999999</v>
      </c>
      <c r="K4333">
        <v>37.299999999999997</v>
      </c>
      <c r="L4333">
        <v>35.9</v>
      </c>
      <c r="M4333">
        <v>256</v>
      </c>
      <c r="N4333">
        <v>28</v>
      </c>
      <c r="O4333">
        <v>8</v>
      </c>
    </row>
    <row r="4334" spans="1:16" x14ac:dyDescent="0.25">
      <c r="A4334" s="4">
        <v>45386</v>
      </c>
      <c r="B4334" t="s">
        <v>9</v>
      </c>
      <c r="C4334">
        <v>1</v>
      </c>
      <c r="J4334">
        <v>0.45100000000000001</v>
      </c>
      <c r="K4334">
        <v>17.8</v>
      </c>
      <c r="L4334">
        <v>39.4</v>
      </c>
      <c r="M4334">
        <v>126</v>
      </c>
      <c r="N4334">
        <v>12</v>
      </c>
      <c r="O4334">
        <v>3</v>
      </c>
    </row>
    <row r="4335" spans="1:16" x14ac:dyDescent="0.25">
      <c r="A4335" s="4">
        <v>45387</v>
      </c>
      <c r="B4335" t="s">
        <v>10</v>
      </c>
      <c r="C4335">
        <v>1</v>
      </c>
      <c r="J4335">
        <v>1.0620000000000001</v>
      </c>
      <c r="K4335">
        <v>37</v>
      </c>
      <c r="L4335">
        <v>34.799999999999997</v>
      </c>
      <c r="M4335">
        <v>262</v>
      </c>
      <c r="N4335">
        <v>20</v>
      </c>
      <c r="O4335">
        <v>9</v>
      </c>
    </row>
    <row r="4336" spans="1:16" x14ac:dyDescent="0.25">
      <c r="A4336" s="4">
        <v>45387</v>
      </c>
      <c r="B4336" t="s">
        <v>9</v>
      </c>
      <c r="C4336">
        <v>1</v>
      </c>
      <c r="J4336">
        <v>0.56399999999999995</v>
      </c>
      <c r="K4336">
        <v>20.399999999999999</v>
      </c>
      <c r="L4336">
        <v>36.200000000000003</v>
      </c>
      <c r="M4336">
        <v>152</v>
      </c>
      <c r="N4336">
        <v>12</v>
      </c>
      <c r="O4336">
        <v>2</v>
      </c>
    </row>
    <row r="4337" spans="1:16" x14ac:dyDescent="0.25">
      <c r="A4337" s="4">
        <v>45388</v>
      </c>
      <c r="B4337" t="s">
        <v>10</v>
      </c>
      <c r="C4337">
        <v>1</v>
      </c>
      <c r="J4337">
        <v>0.85199999999999998</v>
      </c>
      <c r="K4337">
        <v>31.9</v>
      </c>
      <c r="L4337">
        <v>37.5</v>
      </c>
      <c r="M4337">
        <v>195</v>
      </c>
      <c r="N4337">
        <v>12</v>
      </c>
      <c r="O4337">
        <v>1</v>
      </c>
      <c r="P4337">
        <v>1</v>
      </c>
    </row>
    <row r="4338" spans="1:16" x14ac:dyDescent="0.25">
      <c r="A4338" s="4">
        <v>45388</v>
      </c>
      <c r="B4338" t="s">
        <v>9</v>
      </c>
      <c r="C4338">
        <v>1</v>
      </c>
      <c r="J4338">
        <v>0.52900000000000003</v>
      </c>
      <c r="K4338">
        <v>19.2</v>
      </c>
      <c r="L4338">
        <v>36.200000000000003</v>
      </c>
      <c r="M4338">
        <v>136</v>
      </c>
      <c r="N4338">
        <v>1</v>
      </c>
    </row>
    <row r="4339" spans="1:16" x14ac:dyDescent="0.25">
      <c r="A4339" s="4">
        <v>45390</v>
      </c>
      <c r="B4339" t="s">
        <v>10</v>
      </c>
      <c r="C4339">
        <v>1</v>
      </c>
      <c r="J4339">
        <v>1.099</v>
      </c>
      <c r="K4339">
        <v>40.700000000000003</v>
      </c>
      <c r="L4339">
        <v>37</v>
      </c>
      <c r="M4339">
        <v>230</v>
      </c>
      <c r="N4339">
        <v>37</v>
      </c>
      <c r="O4339">
        <v>13</v>
      </c>
      <c r="P4339">
        <v>2</v>
      </c>
    </row>
    <row r="4340" spans="1:16" x14ac:dyDescent="0.25">
      <c r="A4340" s="4">
        <v>45390</v>
      </c>
      <c r="B4340" t="s">
        <v>9</v>
      </c>
      <c r="C4340">
        <v>1</v>
      </c>
      <c r="J4340">
        <v>0.44700000000000001</v>
      </c>
      <c r="K4340">
        <v>16.100000000000001</v>
      </c>
      <c r="L4340">
        <v>36.1</v>
      </c>
      <c r="M4340">
        <v>123</v>
      </c>
      <c r="N4340">
        <v>9</v>
      </c>
      <c r="O4340">
        <v>1</v>
      </c>
    </row>
    <row r="4341" spans="1:16" x14ac:dyDescent="0.25">
      <c r="A4341" s="4">
        <v>45391</v>
      </c>
      <c r="B4341" t="s">
        <v>10</v>
      </c>
      <c r="C4341">
        <v>1</v>
      </c>
      <c r="J4341">
        <v>1.133</v>
      </c>
      <c r="K4341">
        <v>41</v>
      </c>
      <c r="L4341">
        <v>36.200000000000003</v>
      </c>
      <c r="M4341">
        <v>257</v>
      </c>
      <c r="N4341">
        <v>28</v>
      </c>
      <c r="O4341">
        <v>10</v>
      </c>
      <c r="P4341">
        <v>3</v>
      </c>
    </row>
    <row r="4342" spans="1:16" x14ac:dyDescent="0.25">
      <c r="A4342" s="4">
        <v>45391</v>
      </c>
      <c r="B4342" t="s">
        <v>9</v>
      </c>
      <c r="C4342">
        <v>1</v>
      </c>
      <c r="J4342">
        <v>0.41399999999999998</v>
      </c>
      <c r="K4342">
        <v>16</v>
      </c>
      <c r="L4342">
        <v>38.6</v>
      </c>
      <c r="M4342">
        <v>111</v>
      </c>
      <c r="N4342">
        <v>9</v>
      </c>
      <c r="O4342">
        <v>2</v>
      </c>
      <c r="P4342">
        <v>1</v>
      </c>
    </row>
    <row r="4343" spans="1:16" x14ac:dyDescent="0.25">
      <c r="A4343" s="4">
        <v>45392</v>
      </c>
      <c r="B4343" t="s">
        <v>10</v>
      </c>
      <c r="C4343">
        <v>1</v>
      </c>
      <c r="J4343">
        <v>1.145</v>
      </c>
      <c r="K4343">
        <v>41.1</v>
      </c>
      <c r="L4343">
        <v>35.9</v>
      </c>
      <c r="M4343">
        <v>272</v>
      </c>
      <c r="N4343">
        <v>28</v>
      </c>
      <c r="O4343">
        <v>7</v>
      </c>
      <c r="P4343">
        <v>3</v>
      </c>
    </row>
    <row r="4344" spans="1:16" x14ac:dyDescent="0.25">
      <c r="A4344" s="4">
        <v>45392</v>
      </c>
      <c r="B4344" t="s">
        <v>9</v>
      </c>
      <c r="C4344">
        <v>1</v>
      </c>
      <c r="J4344">
        <v>0.68400000000000005</v>
      </c>
      <c r="K4344">
        <v>24.9</v>
      </c>
      <c r="L4344">
        <v>36.4</v>
      </c>
      <c r="M4344">
        <v>216</v>
      </c>
      <c r="N4344">
        <v>4</v>
      </c>
    </row>
    <row r="4345" spans="1:16" x14ac:dyDescent="0.25">
      <c r="A4345" s="4">
        <v>45393</v>
      </c>
      <c r="B4345" t="s">
        <v>10</v>
      </c>
      <c r="C4345">
        <v>1</v>
      </c>
      <c r="J4345">
        <v>1.1080000000000001</v>
      </c>
      <c r="K4345">
        <v>39.700000000000003</v>
      </c>
      <c r="L4345">
        <v>35.799999999999997</v>
      </c>
      <c r="M4345">
        <v>282</v>
      </c>
      <c r="N4345">
        <v>24</v>
      </c>
      <c r="O4345">
        <v>8</v>
      </c>
    </row>
    <row r="4346" spans="1:16" x14ac:dyDescent="0.25">
      <c r="A4346" s="4">
        <v>45393</v>
      </c>
      <c r="B4346" t="s">
        <v>9</v>
      </c>
      <c r="C4346">
        <v>1</v>
      </c>
      <c r="J4346">
        <v>0.61099999999999999</v>
      </c>
      <c r="K4346">
        <v>22.1</v>
      </c>
      <c r="L4346">
        <v>36.200000000000003</v>
      </c>
      <c r="M4346">
        <v>161</v>
      </c>
      <c r="N4346">
        <v>14</v>
      </c>
      <c r="O4346">
        <v>3</v>
      </c>
    </row>
    <row r="4347" spans="1:16" x14ac:dyDescent="0.25">
      <c r="A4347" s="4">
        <v>45394</v>
      </c>
      <c r="B4347" t="s">
        <v>10</v>
      </c>
      <c r="C4347">
        <v>1</v>
      </c>
      <c r="J4347">
        <v>1.069</v>
      </c>
      <c r="K4347">
        <v>37.1</v>
      </c>
      <c r="L4347">
        <v>34.700000000000003</v>
      </c>
      <c r="M4347">
        <v>280</v>
      </c>
      <c r="N4347">
        <v>20</v>
      </c>
      <c r="O4347">
        <v>2</v>
      </c>
      <c r="P4347">
        <v>1</v>
      </c>
    </row>
    <row r="4348" spans="1:16" x14ac:dyDescent="0.25">
      <c r="A4348" s="4">
        <v>45394</v>
      </c>
      <c r="B4348" t="s">
        <v>9</v>
      </c>
      <c r="C4348">
        <v>1</v>
      </c>
      <c r="J4348">
        <v>0.58299999999999996</v>
      </c>
      <c r="K4348">
        <v>21.7</v>
      </c>
      <c r="L4348">
        <v>37.200000000000003</v>
      </c>
      <c r="M4348">
        <v>171</v>
      </c>
      <c r="N4348">
        <v>8</v>
      </c>
      <c r="P4348">
        <v>1</v>
      </c>
    </row>
    <row r="4349" spans="1:16" x14ac:dyDescent="0.25">
      <c r="A4349" s="4">
        <v>45395</v>
      </c>
      <c r="B4349" t="s">
        <v>10</v>
      </c>
      <c r="C4349">
        <v>1</v>
      </c>
      <c r="J4349">
        <v>1.2490000000000001</v>
      </c>
      <c r="K4349">
        <v>45.9</v>
      </c>
      <c r="L4349">
        <v>36.799999999999997</v>
      </c>
      <c r="M4349">
        <v>173</v>
      </c>
      <c r="N4349">
        <v>3</v>
      </c>
    </row>
    <row r="4350" spans="1:16" x14ac:dyDescent="0.25">
      <c r="A4350" s="4">
        <v>45395</v>
      </c>
      <c r="B4350" t="s">
        <v>9</v>
      </c>
      <c r="C4350">
        <v>1</v>
      </c>
    </row>
    <row r="4351" spans="1:16" x14ac:dyDescent="0.25">
      <c r="A4351" s="4">
        <v>45397</v>
      </c>
      <c r="B4351" t="s">
        <v>10</v>
      </c>
      <c r="C4351">
        <v>1</v>
      </c>
      <c r="J4351">
        <v>1.1040000000000001</v>
      </c>
      <c r="K4351">
        <v>39.6</v>
      </c>
      <c r="L4351">
        <v>35.799999999999997</v>
      </c>
      <c r="M4351">
        <v>257</v>
      </c>
      <c r="N4351">
        <v>38</v>
      </c>
      <c r="O4351">
        <v>6</v>
      </c>
    </row>
    <row r="4352" spans="1:16" x14ac:dyDescent="0.25">
      <c r="A4352" s="4">
        <v>45397</v>
      </c>
      <c r="B4352" t="s">
        <v>9</v>
      </c>
      <c r="C4352">
        <v>1</v>
      </c>
      <c r="J4352">
        <v>0.374</v>
      </c>
      <c r="K4352">
        <v>14.3</v>
      </c>
      <c r="L4352">
        <v>38.200000000000003</v>
      </c>
      <c r="M4352">
        <v>85</v>
      </c>
      <c r="N4352">
        <v>6</v>
      </c>
      <c r="O4352">
        <v>2</v>
      </c>
    </row>
    <row r="4353" spans="1:16" x14ac:dyDescent="0.25">
      <c r="A4353" s="4">
        <v>45398</v>
      </c>
      <c r="B4353" t="s">
        <v>10</v>
      </c>
      <c r="C4353">
        <v>1</v>
      </c>
      <c r="J4353">
        <v>1.109</v>
      </c>
      <c r="K4353">
        <v>42.3</v>
      </c>
      <c r="L4353">
        <v>38.200000000000003</v>
      </c>
      <c r="M4353">
        <v>243</v>
      </c>
      <c r="N4353">
        <v>38</v>
      </c>
      <c r="O4353">
        <v>12</v>
      </c>
      <c r="P4353">
        <v>2</v>
      </c>
    </row>
    <row r="4354" spans="1:16" x14ac:dyDescent="0.25">
      <c r="A4354" s="4">
        <v>45398</v>
      </c>
      <c r="B4354" t="s">
        <v>9</v>
      </c>
      <c r="C4354">
        <v>1</v>
      </c>
      <c r="J4354">
        <v>0.47099999999999997</v>
      </c>
      <c r="K4354">
        <v>17.8</v>
      </c>
      <c r="L4354">
        <v>37.700000000000003</v>
      </c>
      <c r="M4354">
        <v>121</v>
      </c>
      <c r="N4354">
        <v>15</v>
      </c>
      <c r="O4354">
        <v>3</v>
      </c>
    </row>
    <row r="4355" spans="1:16" x14ac:dyDescent="0.25">
      <c r="A4355" s="4">
        <v>45399</v>
      </c>
      <c r="B4355" t="s">
        <v>10</v>
      </c>
      <c r="C4355">
        <v>1</v>
      </c>
      <c r="J4355">
        <v>0.84499999999999997</v>
      </c>
      <c r="K4355">
        <v>28.6</v>
      </c>
      <c r="L4355">
        <v>33.799999999999997</v>
      </c>
      <c r="M4355">
        <v>223</v>
      </c>
      <c r="N4355">
        <v>12</v>
      </c>
      <c r="O4355">
        <v>3</v>
      </c>
    </row>
    <row r="4356" spans="1:16" x14ac:dyDescent="0.25">
      <c r="A4356" s="4">
        <v>45399</v>
      </c>
      <c r="B4356" t="s">
        <v>9</v>
      </c>
      <c r="C4356">
        <v>1</v>
      </c>
      <c r="J4356">
        <v>0.439</v>
      </c>
      <c r="K4356">
        <v>15.8</v>
      </c>
      <c r="L4356">
        <v>35.9</v>
      </c>
      <c r="M4356">
        <v>130</v>
      </c>
      <c r="N4356">
        <v>4</v>
      </c>
      <c r="O4356">
        <v>1</v>
      </c>
    </row>
    <row r="4357" spans="1:16" x14ac:dyDescent="0.25">
      <c r="A4357" s="4">
        <v>45400</v>
      </c>
      <c r="B4357" t="s">
        <v>10</v>
      </c>
      <c r="C4357">
        <v>1</v>
      </c>
      <c r="J4357">
        <v>1.0549999999999999</v>
      </c>
      <c r="K4357">
        <v>37.1</v>
      </c>
      <c r="L4357">
        <v>35.200000000000003</v>
      </c>
      <c r="M4357">
        <v>248</v>
      </c>
      <c r="N4357">
        <v>29</v>
      </c>
      <c r="O4357">
        <v>7</v>
      </c>
      <c r="P4357">
        <v>1</v>
      </c>
    </row>
    <row r="4358" spans="1:16" x14ac:dyDescent="0.25">
      <c r="A4358" s="4">
        <v>45400</v>
      </c>
      <c r="B4358" t="s">
        <v>9</v>
      </c>
      <c r="C4358">
        <v>1</v>
      </c>
      <c r="J4358">
        <v>0.66</v>
      </c>
      <c r="K4358">
        <v>24.4</v>
      </c>
      <c r="L4358">
        <v>37.1</v>
      </c>
      <c r="M4358">
        <v>196</v>
      </c>
      <c r="N4358">
        <v>12</v>
      </c>
    </row>
    <row r="4359" spans="1:16" x14ac:dyDescent="0.25">
      <c r="A4359" s="4">
        <v>45401</v>
      </c>
      <c r="B4359" t="s">
        <v>10</v>
      </c>
      <c r="C4359">
        <v>1</v>
      </c>
      <c r="J4359">
        <v>1.1579999999999999</v>
      </c>
      <c r="K4359">
        <v>41.1</v>
      </c>
      <c r="L4359">
        <v>35.5</v>
      </c>
      <c r="M4359">
        <v>270</v>
      </c>
      <c r="N4359">
        <v>26</v>
      </c>
      <c r="O4359">
        <v>10</v>
      </c>
      <c r="P4359">
        <v>1</v>
      </c>
    </row>
    <row r="4360" spans="1:16" x14ac:dyDescent="0.25">
      <c r="A4360" s="4">
        <v>45401</v>
      </c>
      <c r="B4360" t="s">
        <v>9</v>
      </c>
      <c r="C4360">
        <v>1</v>
      </c>
      <c r="J4360">
        <v>0.624</v>
      </c>
      <c r="K4360">
        <v>23</v>
      </c>
      <c r="L4360">
        <v>36.799999999999997</v>
      </c>
      <c r="M4360">
        <v>187</v>
      </c>
      <c r="N4360">
        <v>4</v>
      </c>
      <c r="O4360">
        <v>2</v>
      </c>
    </row>
    <row r="4361" spans="1:16" x14ac:dyDescent="0.25">
      <c r="A4361" s="4">
        <v>45404</v>
      </c>
      <c r="B4361" t="s">
        <v>10</v>
      </c>
      <c r="C4361">
        <v>1</v>
      </c>
      <c r="J4361">
        <v>1.0840000000000001</v>
      </c>
      <c r="K4361">
        <v>37</v>
      </c>
      <c r="L4361">
        <v>34.1</v>
      </c>
      <c r="M4361">
        <v>268</v>
      </c>
      <c r="N4361">
        <v>24</v>
      </c>
      <c r="O4361">
        <v>5</v>
      </c>
    </row>
    <row r="4362" spans="1:16" x14ac:dyDescent="0.25">
      <c r="A4362" s="4">
        <v>45404</v>
      </c>
      <c r="B4362" t="s">
        <v>9</v>
      </c>
      <c r="C4362">
        <v>1</v>
      </c>
      <c r="J4362">
        <v>0.435</v>
      </c>
      <c r="K4362">
        <v>15.7</v>
      </c>
      <c r="L4362">
        <v>36.1</v>
      </c>
      <c r="M4362">
        <v>123</v>
      </c>
      <c r="N4362">
        <v>9</v>
      </c>
    </row>
    <row r="4363" spans="1:16" x14ac:dyDescent="0.25">
      <c r="A4363" s="4">
        <v>45405</v>
      </c>
      <c r="B4363" t="s">
        <v>10</v>
      </c>
      <c r="C4363">
        <v>1</v>
      </c>
      <c r="J4363">
        <v>1.1459999999999999</v>
      </c>
      <c r="K4363">
        <v>41.1</v>
      </c>
      <c r="L4363">
        <v>35.9</v>
      </c>
      <c r="M4363">
        <v>275</v>
      </c>
      <c r="N4363">
        <v>41</v>
      </c>
      <c r="O4363">
        <v>4</v>
      </c>
    </row>
    <row r="4364" spans="1:16" x14ac:dyDescent="0.25">
      <c r="A4364" s="4">
        <v>45405</v>
      </c>
      <c r="B4364" t="s">
        <v>9</v>
      </c>
      <c r="C4364">
        <v>1</v>
      </c>
      <c r="J4364">
        <v>0.5</v>
      </c>
      <c r="K4364">
        <v>19.899999999999999</v>
      </c>
      <c r="L4364">
        <v>39.799999999999997</v>
      </c>
      <c r="M4364">
        <v>128</v>
      </c>
      <c r="N4364">
        <v>20</v>
      </c>
      <c r="O4364">
        <v>3</v>
      </c>
    </row>
    <row r="4365" spans="1:16" x14ac:dyDescent="0.25">
      <c r="A4365" s="4">
        <v>45406</v>
      </c>
      <c r="B4365" t="s">
        <v>10</v>
      </c>
      <c r="C4365">
        <v>1</v>
      </c>
      <c r="J4365">
        <v>1.1830000000000001</v>
      </c>
      <c r="K4365">
        <v>43.4</v>
      </c>
      <c r="L4365">
        <v>36.700000000000003</v>
      </c>
      <c r="M4365">
        <v>298</v>
      </c>
      <c r="N4365">
        <v>21</v>
      </c>
      <c r="O4365">
        <v>7</v>
      </c>
      <c r="P4365">
        <v>3</v>
      </c>
    </row>
    <row r="4366" spans="1:16" x14ac:dyDescent="0.25">
      <c r="A4366" s="4">
        <v>45406</v>
      </c>
      <c r="B4366" t="s">
        <v>9</v>
      </c>
      <c r="C4366">
        <v>1</v>
      </c>
      <c r="J4366">
        <v>0.40300000000000002</v>
      </c>
      <c r="K4366">
        <v>14.7</v>
      </c>
      <c r="L4366">
        <v>36.4</v>
      </c>
      <c r="M4366">
        <v>117</v>
      </c>
      <c r="N4366">
        <v>6</v>
      </c>
      <c r="O4366">
        <v>1</v>
      </c>
    </row>
    <row r="4367" spans="1:16" x14ac:dyDescent="0.25">
      <c r="A4367" s="4">
        <v>45407</v>
      </c>
      <c r="B4367" t="s">
        <v>10</v>
      </c>
      <c r="C4367">
        <v>1</v>
      </c>
      <c r="J4367">
        <v>1.1950000000000001</v>
      </c>
      <c r="K4367">
        <v>42</v>
      </c>
      <c r="L4367">
        <v>35.200000000000003</v>
      </c>
      <c r="M4367">
        <v>288</v>
      </c>
      <c r="N4367">
        <v>33</v>
      </c>
      <c r="O4367">
        <v>5</v>
      </c>
      <c r="P4367">
        <v>1</v>
      </c>
    </row>
    <row r="4368" spans="1:16" x14ac:dyDescent="0.25">
      <c r="A4368" s="4">
        <v>45407</v>
      </c>
      <c r="B4368" t="s">
        <v>9</v>
      </c>
      <c r="C4368">
        <v>1</v>
      </c>
      <c r="J4368">
        <v>0.4</v>
      </c>
      <c r="K4368">
        <v>15</v>
      </c>
      <c r="L4368">
        <v>37.5</v>
      </c>
      <c r="M4368">
        <v>117</v>
      </c>
      <c r="N4368">
        <v>4</v>
      </c>
      <c r="O4368">
        <v>3</v>
      </c>
    </row>
    <row r="4369" spans="1:16" x14ac:dyDescent="0.25">
      <c r="A4369" s="4">
        <v>45408</v>
      </c>
      <c r="B4369" t="s">
        <v>10</v>
      </c>
      <c r="C4369">
        <v>1</v>
      </c>
      <c r="J4369">
        <v>1.139</v>
      </c>
      <c r="K4369">
        <v>40.1</v>
      </c>
      <c r="L4369">
        <v>35.200000000000003</v>
      </c>
      <c r="M4369">
        <v>304</v>
      </c>
      <c r="N4369">
        <v>16</v>
      </c>
      <c r="O4369">
        <v>7</v>
      </c>
    </row>
    <row r="4370" spans="1:16" x14ac:dyDescent="0.25">
      <c r="A4370" s="4">
        <v>45408</v>
      </c>
      <c r="B4370" t="s">
        <v>9</v>
      </c>
      <c r="C4370">
        <v>1</v>
      </c>
      <c r="J4370">
        <v>0.35399999999999998</v>
      </c>
      <c r="K4370">
        <v>13.7</v>
      </c>
      <c r="L4370">
        <v>38.6</v>
      </c>
      <c r="M4370">
        <v>107</v>
      </c>
      <c r="N4370">
        <v>6</v>
      </c>
      <c r="O4370">
        <v>1</v>
      </c>
    </row>
    <row r="4371" spans="1:16" x14ac:dyDescent="0.25">
      <c r="A4371" s="4">
        <v>45411</v>
      </c>
      <c r="B4371" t="s">
        <v>10</v>
      </c>
      <c r="C4371">
        <v>1</v>
      </c>
      <c r="J4371">
        <v>1.093</v>
      </c>
      <c r="K4371">
        <v>38.200000000000003</v>
      </c>
      <c r="L4371">
        <v>35</v>
      </c>
      <c r="M4371">
        <v>272</v>
      </c>
      <c r="N4371">
        <v>25</v>
      </c>
      <c r="O4371">
        <v>7</v>
      </c>
    </row>
    <row r="4372" spans="1:16" x14ac:dyDescent="0.25">
      <c r="A4372" s="4">
        <v>45411</v>
      </c>
      <c r="B4372" t="s">
        <v>9</v>
      </c>
      <c r="C4372">
        <v>1</v>
      </c>
      <c r="J4372">
        <v>0.497</v>
      </c>
      <c r="K4372">
        <v>17.2</v>
      </c>
      <c r="L4372">
        <v>34.700000000000003</v>
      </c>
      <c r="M4372">
        <v>143</v>
      </c>
      <c r="N4372">
        <v>6</v>
      </c>
    </row>
    <row r="4373" spans="1:16" x14ac:dyDescent="0.25">
      <c r="A4373" s="4">
        <v>45412</v>
      </c>
      <c r="B4373" t="s">
        <v>10</v>
      </c>
      <c r="C4373">
        <v>1</v>
      </c>
      <c r="J4373">
        <v>1.0740000000000001</v>
      </c>
      <c r="K4373">
        <v>39.9</v>
      </c>
      <c r="L4373">
        <v>37.1</v>
      </c>
      <c r="M4373">
        <v>243</v>
      </c>
      <c r="N4373">
        <v>31</v>
      </c>
      <c r="O4373">
        <v>10</v>
      </c>
      <c r="P4373">
        <v>3</v>
      </c>
    </row>
    <row r="4374" spans="1:16" x14ac:dyDescent="0.25">
      <c r="A4374" s="4">
        <v>45412</v>
      </c>
      <c r="B4374" t="s">
        <v>9</v>
      </c>
      <c r="C4374">
        <v>1</v>
      </c>
      <c r="J4374">
        <v>0.50600000000000001</v>
      </c>
      <c r="K4374">
        <v>20.399999999999999</v>
      </c>
      <c r="L4374">
        <v>40.4</v>
      </c>
      <c r="M4374">
        <v>134</v>
      </c>
      <c r="N4374">
        <v>8</v>
      </c>
      <c r="O4374">
        <v>7</v>
      </c>
      <c r="P4374">
        <v>1</v>
      </c>
    </row>
    <row r="4375" spans="1:16" x14ac:dyDescent="0.25">
      <c r="A4375" s="4">
        <v>45413</v>
      </c>
      <c r="B4375" t="s">
        <v>10</v>
      </c>
      <c r="C4375">
        <v>1</v>
      </c>
      <c r="J4375">
        <v>1.1220000000000001</v>
      </c>
      <c r="K4375">
        <v>41.4</v>
      </c>
      <c r="L4375">
        <v>36.9</v>
      </c>
      <c r="M4375">
        <v>210</v>
      </c>
      <c r="N4375">
        <v>19</v>
      </c>
      <c r="O4375">
        <v>8</v>
      </c>
      <c r="P4375">
        <v>3</v>
      </c>
    </row>
    <row r="4376" spans="1:16" x14ac:dyDescent="0.25">
      <c r="A4376" s="4">
        <v>45413</v>
      </c>
      <c r="B4376" t="s">
        <v>9</v>
      </c>
      <c r="C4376">
        <v>1</v>
      </c>
      <c r="J4376">
        <v>0.61099999999999999</v>
      </c>
      <c r="K4376">
        <v>23.2</v>
      </c>
      <c r="L4376">
        <v>38</v>
      </c>
      <c r="M4376">
        <v>144</v>
      </c>
      <c r="N4376">
        <v>6</v>
      </c>
      <c r="O4376">
        <v>3</v>
      </c>
    </row>
    <row r="4377" spans="1:16" x14ac:dyDescent="0.25">
      <c r="A4377" s="4">
        <v>45414</v>
      </c>
      <c r="B4377" t="s">
        <v>10</v>
      </c>
      <c r="C4377">
        <v>1</v>
      </c>
      <c r="J4377">
        <v>1.206</v>
      </c>
      <c r="K4377">
        <v>43.6</v>
      </c>
      <c r="L4377">
        <v>36.200000000000003</v>
      </c>
      <c r="M4377">
        <v>230</v>
      </c>
      <c r="N4377">
        <v>21</v>
      </c>
      <c r="O4377">
        <v>8</v>
      </c>
      <c r="P4377">
        <v>2</v>
      </c>
    </row>
    <row r="4378" spans="1:16" x14ac:dyDescent="0.25">
      <c r="A4378" s="4">
        <v>45414</v>
      </c>
      <c r="B4378" t="s">
        <v>9</v>
      </c>
      <c r="C4378">
        <v>1</v>
      </c>
      <c r="J4378">
        <v>0.68899999999999995</v>
      </c>
      <c r="K4378">
        <v>25.1</v>
      </c>
      <c r="L4378">
        <v>36.5</v>
      </c>
      <c r="M4378">
        <v>157</v>
      </c>
      <c r="N4378">
        <v>9</v>
      </c>
      <c r="O4378">
        <v>2</v>
      </c>
    </row>
    <row r="4379" spans="1:16" x14ac:dyDescent="0.25">
      <c r="A4379" s="4">
        <v>45415</v>
      </c>
      <c r="B4379" t="s">
        <v>10</v>
      </c>
      <c r="C4379">
        <v>1</v>
      </c>
      <c r="J4379">
        <v>1.212</v>
      </c>
      <c r="K4379">
        <v>43.6</v>
      </c>
      <c r="L4379">
        <v>36</v>
      </c>
      <c r="M4379">
        <v>238</v>
      </c>
      <c r="N4379">
        <v>19</v>
      </c>
      <c r="O4379">
        <v>9</v>
      </c>
      <c r="P4379">
        <v>1</v>
      </c>
    </row>
    <row r="4380" spans="1:16" x14ac:dyDescent="0.25">
      <c r="A4380" s="4">
        <v>45415</v>
      </c>
      <c r="B4380" t="s">
        <v>9</v>
      </c>
      <c r="C4380">
        <v>1</v>
      </c>
      <c r="J4380">
        <v>0.54900000000000004</v>
      </c>
      <c r="K4380">
        <v>20.100000000000001</v>
      </c>
      <c r="L4380">
        <v>37</v>
      </c>
      <c r="M4380">
        <v>125</v>
      </c>
      <c r="N4380">
        <v>6</v>
      </c>
      <c r="O4380">
        <v>2</v>
      </c>
    </row>
    <row r="4381" spans="1:16" x14ac:dyDescent="0.25">
      <c r="A4381" s="4">
        <v>45416</v>
      </c>
      <c r="B4381" t="s">
        <v>10</v>
      </c>
      <c r="C4381">
        <v>1</v>
      </c>
    </row>
    <row r="4382" spans="1:16" x14ac:dyDescent="0.25">
      <c r="A4382" s="4">
        <v>45416</v>
      </c>
      <c r="B4382" t="s">
        <v>9</v>
      </c>
      <c r="C4382">
        <v>1</v>
      </c>
      <c r="F4382">
        <v>35</v>
      </c>
      <c r="J4382">
        <v>0.52800000000000002</v>
      </c>
      <c r="K4382">
        <v>19.399999999999999</v>
      </c>
      <c r="L4382">
        <v>36.799999999999997</v>
      </c>
      <c r="M4382">
        <v>33</v>
      </c>
      <c r="N4382">
        <v>1</v>
      </c>
    </row>
    <row r="4383" spans="1:16" x14ac:dyDescent="0.25">
      <c r="A4383" s="4">
        <v>45418</v>
      </c>
      <c r="B4383" t="s">
        <v>10</v>
      </c>
      <c r="C4383">
        <v>1</v>
      </c>
      <c r="F4383">
        <v>403</v>
      </c>
      <c r="J4383">
        <v>1.2110000000000001</v>
      </c>
      <c r="K4383">
        <v>44.8</v>
      </c>
      <c r="L4383">
        <v>37</v>
      </c>
      <c r="M4383">
        <v>278</v>
      </c>
      <c r="N4383">
        <v>37</v>
      </c>
      <c r="O4383">
        <v>9</v>
      </c>
      <c r="P4383">
        <v>2</v>
      </c>
    </row>
    <row r="4384" spans="1:16" x14ac:dyDescent="0.25">
      <c r="A4384" s="4">
        <v>45418</v>
      </c>
      <c r="B4384" t="s">
        <v>9</v>
      </c>
      <c r="C4384">
        <v>1</v>
      </c>
      <c r="F4384">
        <v>164</v>
      </c>
      <c r="J4384">
        <v>0.50600000000000001</v>
      </c>
      <c r="K4384">
        <v>18.2</v>
      </c>
      <c r="L4384">
        <v>36</v>
      </c>
      <c r="M4384">
        <v>144</v>
      </c>
      <c r="N4384">
        <v>4</v>
      </c>
      <c r="O4384">
        <v>3</v>
      </c>
    </row>
    <row r="4385" spans="1:16" x14ac:dyDescent="0.25">
      <c r="A4385" s="4">
        <v>45419</v>
      </c>
      <c r="B4385" t="s">
        <v>10</v>
      </c>
      <c r="C4385">
        <v>1</v>
      </c>
      <c r="F4385">
        <v>367</v>
      </c>
      <c r="J4385">
        <v>1.131</v>
      </c>
      <c r="K4385">
        <v>40.799999999999997</v>
      </c>
      <c r="L4385">
        <v>36.1</v>
      </c>
      <c r="M4385">
        <v>275</v>
      </c>
      <c r="N4385">
        <v>23</v>
      </c>
      <c r="O4385">
        <v>15</v>
      </c>
    </row>
    <row r="4386" spans="1:16" x14ac:dyDescent="0.25">
      <c r="A4386" s="4">
        <v>45419</v>
      </c>
      <c r="B4386" t="s">
        <v>9</v>
      </c>
      <c r="C4386">
        <v>1</v>
      </c>
      <c r="F4386">
        <v>187</v>
      </c>
      <c r="J4386">
        <v>0.53500000000000003</v>
      </c>
      <c r="K4386">
        <v>20.8</v>
      </c>
      <c r="L4386">
        <v>38.799999999999997</v>
      </c>
      <c r="M4386">
        <v>128</v>
      </c>
      <c r="N4386">
        <v>23</v>
      </c>
      <c r="O4386">
        <v>4</v>
      </c>
    </row>
    <row r="4387" spans="1:16" x14ac:dyDescent="0.25">
      <c r="A4387" s="4">
        <v>45420</v>
      </c>
      <c r="B4387" t="s">
        <v>10</v>
      </c>
      <c r="C4387">
        <v>1</v>
      </c>
      <c r="F4387">
        <v>346</v>
      </c>
      <c r="J4387">
        <v>1.0109999999999999</v>
      </c>
      <c r="K4387">
        <v>38.4</v>
      </c>
      <c r="L4387">
        <v>38</v>
      </c>
      <c r="M4387">
        <v>210</v>
      </c>
      <c r="N4387">
        <v>26</v>
      </c>
      <c r="O4387">
        <v>21</v>
      </c>
      <c r="P4387">
        <v>1</v>
      </c>
    </row>
    <row r="4388" spans="1:16" x14ac:dyDescent="0.25">
      <c r="A4388" s="4">
        <v>45420</v>
      </c>
      <c r="B4388" t="s">
        <v>9</v>
      </c>
      <c r="C4388">
        <v>1</v>
      </c>
      <c r="F4388">
        <v>180</v>
      </c>
      <c r="J4388">
        <v>0.53300000000000003</v>
      </c>
      <c r="K4388">
        <v>20</v>
      </c>
      <c r="L4388">
        <v>37.5</v>
      </c>
      <c r="M4388">
        <v>130</v>
      </c>
      <c r="N4388">
        <v>20</v>
      </c>
      <c r="O4388">
        <v>3</v>
      </c>
    </row>
    <row r="4389" spans="1:16" x14ac:dyDescent="0.25">
      <c r="A4389" s="4">
        <v>45421</v>
      </c>
      <c r="B4389" t="s">
        <v>10</v>
      </c>
      <c r="C4389">
        <v>1</v>
      </c>
      <c r="F4389">
        <v>386</v>
      </c>
      <c r="J4389">
        <v>1.1759999999999999</v>
      </c>
      <c r="K4389">
        <v>42.9</v>
      </c>
      <c r="L4389">
        <v>36.5</v>
      </c>
      <c r="M4389">
        <v>270</v>
      </c>
      <c r="N4389">
        <v>35</v>
      </c>
      <c r="O4389">
        <v>11</v>
      </c>
      <c r="P4389">
        <v>1</v>
      </c>
    </row>
    <row r="4390" spans="1:16" x14ac:dyDescent="0.25">
      <c r="A4390" s="4">
        <v>45421</v>
      </c>
      <c r="B4390" t="s">
        <v>9</v>
      </c>
      <c r="C4390">
        <v>1</v>
      </c>
      <c r="F4390">
        <v>222</v>
      </c>
      <c r="J4390">
        <v>0.68500000000000005</v>
      </c>
      <c r="K4390">
        <v>24.7</v>
      </c>
      <c r="L4390">
        <v>36</v>
      </c>
      <c r="M4390">
        <v>176</v>
      </c>
      <c r="N4390">
        <v>15</v>
      </c>
      <c r="O4390">
        <v>5</v>
      </c>
    </row>
    <row r="4391" spans="1:16" x14ac:dyDescent="0.25">
      <c r="A4391" s="4">
        <v>45422</v>
      </c>
      <c r="B4391" t="s">
        <v>10</v>
      </c>
      <c r="C4391">
        <v>1</v>
      </c>
      <c r="F4391">
        <v>276</v>
      </c>
      <c r="J4391">
        <v>1.075</v>
      </c>
      <c r="K4391">
        <v>38.299999999999997</v>
      </c>
      <c r="L4391">
        <v>35.700000000000003</v>
      </c>
      <c r="M4391">
        <v>217</v>
      </c>
      <c r="N4391">
        <v>18</v>
      </c>
      <c r="O4391">
        <v>5</v>
      </c>
      <c r="P4391">
        <v>1</v>
      </c>
    </row>
    <row r="4392" spans="1:16" x14ac:dyDescent="0.25">
      <c r="A4392" s="4">
        <v>45422</v>
      </c>
      <c r="B4392" t="s">
        <v>9</v>
      </c>
      <c r="C4392">
        <v>1</v>
      </c>
      <c r="F4392">
        <v>141</v>
      </c>
      <c r="J4392">
        <v>0.53100000000000003</v>
      </c>
      <c r="K4392">
        <v>19.600000000000001</v>
      </c>
      <c r="L4392">
        <v>36.9</v>
      </c>
      <c r="M4392">
        <v>102</v>
      </c>
      <c r="N4392">
        <v>11</v>
      </c>
      <c r="O4392">
        <v>5</v>
      </c>
    </row>
    <row r="4393" spans="1:16" x14ac:dyDescent="0.25">
      <c r="A4393" s="4">
        <v>45425</v>
      </c>
      <c r="B4393" t="s">
        <v>10</v>
      </c>
      <c r="C4393">
        <v>1</v>
      </c>
      <c r="F4393">
        <v>338</v>
      </c>
      <c r="J4393">
        <v>1.29</v>
      </c>
      <c r="K4393">
        <v>46.9</v>
      </c>
      <c r="L4393">
        <v>36.4</v>
      </c>
      <c r="M4393">
        <v>247</v>
      </c>
      <c r="N4393">
        <v>25</v>
      </c>
      <c r="O4393">
        <v>12</v>
      </c>
    </row>
    <row r="4394" spans="1:16" x14ac:dyDescent="0.25">
      <c r="A4394" s="4">
        <v>45425</v>
      </c>
      <c r="B4394" t="s">
        <v>9</v>
      </c>
      <c r="C4394">
        <v>1</v>
      </c>
      <c r="F4394">
        <v>110</v>
      </c>
      <c r="J4394">
        <v>0.41799999999999998</v>
      </c>
      <c r="K4394">
        <v>15.3</v>
      </c>
      <c r="L4394">
        <v>36.6</v>
      </c>
      <c r="M4394">
        <v>86</v>
      </c>
      <c r="N4394">
        <v>9</v>
      </c>
      <c r="O4394">
        <v>2</v>
      </c>
    </row>
    <row r="4395" spans="1:16" x14ac:dyDescent="0.25">
      <c r="A4395" s="4">
        <v>45426</v>
      </c>
      <c r="B4395" t="s">
        <v>10</v>
      </c>
      <c r="C4395">
        <v>1</v>
      </c>
      <c r="F4395">
        <v>391</v>
      </c>
      <c r="J4395">
        <v>1.2150000000000001</v>
      </c>
      <c r="K4395">
        <v>43.4</v>
      </c>
      <c r="L4395">
        <v>35.799999999999997</v>
      </c>
      <c r="M4395">
        <v>274</v>
      </c>
      <c r="N4395">
        <v>39</v>
      </c>
      <c r="O4395">
        <v>9</v>
      </c>
      <c r="P4395">
        <v>1</v>
      </c>
    </row>
    <row r="4396" spans="1:16" x14ac:dyDescent="0.25">
      <c r="A4396" s="4">
        <v>45426</v>
      </c>
      <c r="B4396" t="s">
        <v>9</v>
      </c>
      <c r="C4396">
        <v>1</v>
      </c>
      <c r="F4396">
        <v>193</v>
      </c>
      <c r="J4396">
        <v>0.57599999999999996</v>
      </c>
      <c r="K4396">
        <v>21.4</v>
      </c>
      <c r="L4396">
        <v>37.200000000000003</v>
      </c>
      <c r="M4396">
        <v>138</v>
      </c>
      <c r="N4396">
        <v>19</v>
      </c>
      <c r="O4396">
        <v>3</v>
      </c>
      <c r="P4396">
        <v>1</v>
      </c>
    </row>
    <row r="4397" spans="1:16" x14ac:dyDescent="0.25">
      <c r="A4397" s="4">
        <v>45427</v>
      </c>
      <c r="B4397" t="s">
        <v>10</v>
      </c>
      <c r="C4397">
        <v>1</v>
      </c>
      <c r="F4397">
        <v>326</v>
      </c>
      <c r="J4397">
        <v>1.3120000000000001</v>
      </c>
      <c r="K4397">
        <v>45.3</v>
      </c>
      <c r="L4397">
        <v>34.5</v>
      </c>
      <c r="M4397">
        <v>245</v>
      </c>
      <c r="N4397">
        <v>33</v>
      </c>
      <c r="O4397">
        <v>3</v>
      </c>
      <c r="P4397">
        <v>1</v>
      </c>
    </row>
    <row r="4398" spans="1:16" x14ac:dyDescent="0.25">
      <c r="A4398" s="4">
        <v>45427</v>
      </c>
      <c r="B4398" t="s">
        <v>9</v>
      </c>
      <c r="C4398">
        <v>1</v>
      </c>
      <c r="F4398">
        <v>187</v>
      </c>
      <c r="J4398">
        <v>0.73099999999999998</v>
      </c>
      <c r="K4398">
        <v>26</v>
      </c>
      <c r="L4398">
        <v>35.5</v>
      </c>
      <c r="M4398">
        <v>174</v>
      </c>
      <c r="N4398">
        <v>5</v>
      </c>
      <c r="O4398">
        <v>1</v>
      </c>
    </row>
    <row r="4399" spans="1:16" x14ac:dyDescent="0.25">
      <c r="A4399" s="4">
        <v>45428</v>
      </c>
      <c r="B4399" t="s">
        <v>10</v>
      </c>
      <c r="C4399">
        <v>1</v>
      </c>
      <c r="F4399">
        <v>317</v>
      </c>
      <c r="J4399">
        <v>1.276</v>
      </c>
      <c r="K4399">
        <v>44</v>
      </c>
      <c r="L4399">
        <v>34.5</v>
      </c>
      <c r="M4399">
        <v>249</v>
      </c>
      <c r="N4399">
        <v>28</v>
      </c>
      <c r="O4399">
        <v>4</v>
      </c>
    </row>
    <row r="4400" spans="1:16" x14ac:dyDescent="0.25">
      <c r="A4400" s="4">
        <v>45428</v>
      </c>
      <c r="B4400" t="s">
        <v>9</v>
      </c>
      <c r="C4400">
        <v>1</v>
      </c>
      <c r="F4400">
        <v>179</v>
      </c>
      <c r="J4400">
        <v>0.64400000000000002</v>
      </c>
      <c r="K4400">
        <v>24.9</v>
      </c>
      <c r="L4400">
        <v>38.6</v>
      </c>
      <c r="M4400">
        <v>143</v>
      </c>
      <c r="N4400">
        <v>13</v>
      </c>
      <c r="O4400">
        <v>3</v>
      </c>
    </row>
    <row r="4401" spans="1:16" x14ac:dyDescent="0.25">
      <c r="A4401" s="4">
        <v>45429</v>
      </c>
      <c r="B4401" t="s">
        <v>10</v>
      </c>
      <c r="C4401">
        <v>1</v>
      </c>
      <c r="F4401">
        <v>291</v>
      </c>
      <c r="J4401">
        <v>1.1759999999999999</v>
      </c>
      <c r="K4401">
        <v>40.4</v>
      </c>
      <c r="L4401">
        <v>34.4</v>
      </c>
      <c r="M4401">
        <v>241</v>
      </c>
      <c r="N4401">
        <v>15</v>
      </c>
      <c r="O4401">
        <v>4</v>
      </c>
      <c r="P4401">
        <v>1</v>
      </c>
    </row>
    <row r="4402" spans="1:16" x14ac:dyDescent="0.25">
      <c r="A4402" s="4">
        <v>45429</v>
      </c>
      <c r="B4402" t="s">
        <v>9</v>
      </c>
      <c r="C4402">
        <v>1</v>
      </c>
      <c r="F4402">
        <v>153</v>
      </c>
      <c r="J4402">
        <v>0.56000000000000005</v>
      </c>
      <c r="K4402">
        <v>21.3</v>
      </c>
      <c r="L4402">
        <v>37.9</v>
      </c>
      <c r="M4402">
        <v>111</v>
      </c>
      <c r="N4402">
        <v>19</v>
      </c>
      <c r="O4402">
        <v>1</v>
      </c>
    </row>
    <row r="4403" spans="1:16" x14ac:dyDescent="0.25">
      <c r="A4403" s="4">
        <v>45432</v>
      </c>
      <c r="B4403" t="s">
        <v>10</v>
      </c>
      <c r="C4403">
        <v>1</v>
      </c>
      <c r="F4403">
        <v>287</v>
      </c>
      <c r="J4403">
        <v>1.101</v>
      </c>
      <c r="K4403">
        <v>39.9</v>
      </c>
      <c r="L4403">
        <v>36.200000000000003</v>
      </c>
      <c r="M4403">
        <v>222</v>
      </c>
      <c r="N4403">
        <v>17</v>
      </c>
      <c r="O4403">
        <v>5</v>
      </c>
      <c r="P4403">
        <v>2</v>
      </c>
    </row>
    <row r="4404" spans="1:16" x14ac:dyDescent="0.25">
      <c r="A4404" s="4">
        <v>45432</v>
      </c>
      <c r="B4404" t="s">
        <v>9</v>
      </c>
      <c r="C4404">
        <v>1</v>
      </c>
      <c r="F4404">
        <v>157</v>
      </c>
      <c r="J4404">
        <v>0.60599999999999998</v>
      </c>
      <c r="K4404">
        <v>21.8</v>
      </c>
      <c r="L4404">
        <v>36</v>
      </c>
      <c r="M4404">
        <v>139</v>
      </c>
      <c r="N4404">
        <v>9</v>
      </c>
    </row>
    <row r="4405" spans="1:16" x14ac:dyDescent="0.25">
      <c r="A4405" s="4">
        <v>45433</v>
      </c>
      <c r="B4405" t="s">
        <v>10</v>
      </c>
      <c r="C4405">
        <v>1</v>
      </c>
      <c r="F4405">
        <v>269</v>
      </c>
      <c r="J4405">
        <v>1.0740000000000001</v>
      </c>
      <c r="K4405">
        <v>37.4</v>
      </c>
      <c r="L4405">
        <v>34.799999999999997</v>
      </c>
      <c r="M4405">
        <v>216</v>
      </c>
      <c r="N4405">
        <v>15</v>
      </c>
      <c r="O4405">
        <v>5</v>
      </c>
      <c r="P4405">
        <v>1</v>
      </c>
    </row>
    <row r="4406" spans="1:16" x14ac:dyDescent="0.25">
      <c r="A4406" s="4">
        <v>45433</v>
      </c>
      <c r="B4406" t="s">
        <v>9</v>
      </c>
      <c r="C4406">
        <v>1</v>
      </c>
      <c r="F4406">
        <v>176</v>
      </c>
      <c r="J4406">
        <v>0.69399999999999995</v>
      </c>
      <c r="K4406">
        <v>24.4</v>
      </c>
      <c r="L4406">
        <v>35.200000000000003</v>
      </c>
      <c r="M4406">
        <v>153</v>
      </c>
      <c r="N4406">
        <v>10</v>
      </c>
      <c r="O4406">
        <v>1</v>
      </c>
    </row>
    <row r="4407" spans="1:16" x14ac:dyDescent="0.25">
      <c r="A4407" s="4">
        <v>45434</v>
      </c>
      <c r="B4407" t="s">
        <v>10</v>
      </c>
      <c r="C4407">
        <v>1</v>
      </c>
      <c r="F4407">
        <v>268</v>
      </c>
      <c r="J4407">
        <v>1.0629999999999999</v>
      </c>
      <c r="K4407">
        <v>37.200000000000003</v>
      </c>
      <c r="L4407">
        <v>35</v>
      </c>
      <c r="M4407">
        <v>204</v>
      </c>
      <c r="N4407">
        <v>24</v>
      </c>
      <c r="O4407">
        <v>3</v>
      </c>
      <c r="P4407">
        <v>1</v>
      </c>
    </row>
    <row r="4408" spans="1:16" x14ac:dyDescent="0.25">
      <c r="A4408" s="4">
        <v>45434</v>
      </c>
      <c r="B4408" t="s">
        <v>9</v>
      </c>
      <c r="C4408">
        <v>1</v>
      </c>
      <c r="F4408">
        <v>187</v>
      </c>
      <c r="J4408">
        <v>0.752</v>
      </c>
      <c r="K4408">
        <v>26</v>
      </c>
      <c r="L4408">
        <v>34.5</v>
      </c>
      <c r="M4408">
        <v>177</v>
      </c>
      <c r="N4408">
        <v>5</v>
      </c>
    </row>
    <row r="4409" spans="1:16" x14ac:dyDescent="0.25">
      <c r="A4409" s="4">
        <v>45435</v>
      </c>
      <c r="B4409" t="s">
        <v>10</v>
      </c>
      <c r="C4409">
        <v>1</v>
      </c>
      <c r="F4409">
        <v>288</v>
      </c>
      <c r="J4409">
        <v>1.131</v>
      </c>
      <c r="K4409">
        <v>40</v>
      </c>
      <c r="L4409">
        <v>35.4</v>
      </c>
      <c r="M4409">
        <v>231</v>
      </c>
      <c r="N4409">
        <v>19</v>
      </c>
      <c r="O4409">
        <v>6</v>
      </c>
    </row>
    <row r="4410" spans="1:16" x14ac:dyDescent="0.25">
      <c r="A4410" s="4">
        <v>45435</v>
      </c>
      <c r="B4410" t="s">
        <v>9</v>
      </c>
      <c r="C4410">
        <v>1</v>
      </c>
      <c r="F4410">
        <v>164</v>
      </c>
      <c r="J4410">
        <v>0.65300000000000002</v>
      </c>
      <c r="K4410">
        <v>22.8</v>
      </c>
      <c r="L4410">
        <v>34.9</v>
      </c>
      <c r="M4410">
        <v>146</v>
      </c>
      <c r="N4410">
        <v>3</v>
      </c>
      <c r="O4410">
        <v>2</v>
      </c>
      <c r="P4410">
        <v>1</v>
      </c>
    </row>
    <row r="4411" spans="1:16" x14ac:dyDescent="0.25">
      <c r="A4411" s="4">
        <v>45436</v>
      </c>
      <c r="B4411" t="s">
        <v>10</v>
      </c>
      <c r="C4411">
        <v>1</v>
      </c>
      <c r="F4411">
        <v>281</v>
      </c>
      <c r="J4411">
        <v>1.085</v>
      </c>
      <c r="K4411">
        <v>39.03</v>
      </c>
      <c r="L4411">
        <v>36</v>
      </c>
      <c r="M4411">
        <v>210</v>
      </c>
      <c r="N4411">
        <v>19</v>
      </c>
      <c r="O4411">
        <v>5</v>
      </c>
      <c r="P4411">
        <v>3</v>
      </c>
    </row>
    <row r="4412" spans="1:16" x14ac:dyDescent="0.25">
      <c r="A4412" s="4">
        <v>45436</v>
      </c>
      <c r="B4412" t="s">
        <v>9</v>
      </c>
      <c r="C4412">
        <v>1</v>
      </c>
      <c r="F4412">
        <v>160</v>
      </c>
      <c r="J4412">
        <v>0.66</v>
      </c>
      <c r="K4412">
        <v>22.2</v>
      </c>
      <c r="L4412">
        <v>33.700000000000003</v>
      </c>
      <c r="M4412">
        <v>144</v>
      </c>
      <c r="N4412">
        <v>8</v>
      </c>
    </row>
    <row r="4413" spans="1:16" x14ac:dyDescent="0.25">
      <c r="A4413" s="4">
        <v>45440</v>
      </c>
      <c r="B4413" t="s">
        <v>10</v>
      </c>
      <c r="C4413">
        <v>1</v>
      </c>
      <c r="F4413">
        <v>297</v>
      </c>
      <c r="J4413">
        <v>1.1919999999999999</v>
      </c>
      <c r="K4413">
        <v>41.3</v>
      </c>
      <c r="L4413">
        <v>34.6</v>
      </c>
      <c r="M4413">
        <v>230</v>
      </c>
      <c r="N4413">
        <v>25</v>
      </c>
      <c r="O4413">
        <v>5</v>
      </c>
    </row>
    <row r="4414" spans="1:16" x14ac:dyDescent="0.25">
      <c r="A4414" s="4">
        <v>45440</v>
      </c>
      <c r="B4414" t="s">
        <v>9</v>
      </c>
      <c r="C4414">
        <v>1</v>
      </c>
      <c r="F4414">
        <v>199</v>
      </c>
      <c r="J4414">
        <v>0.76600000000000001</v>
      </c>
      <c r="K4414">
        <v>27.6</v>
      </c>
      <c r="L4414">
        <v>36.1</v>
      </c>
      <c r="M4414">
        <v>166</v>
      </c>
      <c r="N4414">
        <v>8</v>
      </c>
      <c r="O4414">
        <v>4</v>
      </c>
    </row>
    <row r="4415" spans="1:16" x14ac:dyDescent="0.25">
      <c r="A4415" s="4">
        <v>45441</v>
      </c>
      <c r="B4415" t="s">
        <v>10</v>
      </c>
      <c r="C4415">
        <v>1</v>
      </c>
      <c r="F4415">
        <v>319</v>
      </c>
      <c r="J4415">
        <v>1.232</v>
      </c>
      <c r="K4415">
        <v>44.3</v>
      </c>
      <c r="L4415">
        <v>36</v>
      </c>
      <c r="M4415">
        <v>234</v>
      </c>
      <c r="N4415">
        <v>19</v>
      </c>
      <c r="O4415">
        <v>8</v>
      </c>
      <c r="P4415">
        <v>3</v>
      </c>
    </row>
    <row r="4416" spans="1:16" x14ac:dyDescent="0.25">
      <c r="A4416" s="4">
        <v>45441</v>
      </c>
      <c r="B4416" t="s">
        <v>9</v>
      </c>
      <c r="C4416">
        <v>1</v>
      </c>
      <c r="F4416">
        <v>202</v>
      </c>
      <c r="J4416">
        <v>0.80100000000000005</v>
      </c>
      <c r="K4416">
        <v>28.1</v>
      </c>
      <c r="L4416">
        <v>35</v>
      </c>
      <c r="M4416">
        <v>184</v>
      </c>
      <c r="N4416">
        <v>6</v>
      </c>
      <c r="O4416">
        <v>2</v>
      </c>
    </row>
    <row r="4417" spans="1:16" x14ac:dyDescent="0.25">
      <c r="A4417" s="4">
        <v>45442</v>
      </c>
      <c r="B4417" t="s">
        <v>10</v>
      </c>
      <c r="C4417">
        <v>1</v>
      </c>
      <c r="F4417">
        <v>297</v>
      </c>
      <c r="J4417">
        <v>1.113</v>
      </c>
      <c r="K4417">
        <v>41.3</v>
      </c>
      <c r="L4417">
        <v>37.1</v>
      </c>
      <c r="M4417">
        <v>202</v>
      </c>
      <c r="N4417">
        <v>22</v>
      </c>
      <c r="O4417">
        <v>11</v>
      </c>
      <c r="P4417">
        <v>2</v>
      </c>
    </row>
    <row r="4418" spans="1:16" x14ac:dyDescent="0.25">
      <c r="A4418" s="4">
        <v>45442</v>
      </c>
      <c r="B4418" t="s">
        <v>9</v>
      </c>
      <c r="C4418">
        <v>1</v>
      </c>
      <c r="F4418">
        <v>176</v>
      </c>
      <c r="J4418">
        <v>0.68700000000000006</v>
      </c>
      <c r="K4418">
        <v>24.4</v>
      </c>
      <c r="L4418">
        <v>35.6</v>
      </c>
      <c r="M4418">
        <v>140</v>
      </c>
      <c r="N4418">
        <v>10</v>
      </c>
      <c r="O4418">
        <v>5</v>
      </c>
    </row>
    <row r="4419" spans="1:16" x14ac:dyDescent="0.25">
      <c r="A4419" s="4">
        <v>45443</v>
      </c>
      <c r="B4419" t="s">
        <v>10</v>
      </c>
      <c r="C4419">
        <v>1</v>
      </c>
      <c r="F4419">
        <v>309</v>
      </c>
      <c r="J4419">
        <v>1.1919999999999999</v>
      </c>
      <c r="K4419">
        <v>42.9</v>
      </c>
      <c r="L4419">
        <v>36</v>
      </c>
      <c r="M4419">
        <v>242</v>
      </c>
      <c r="N4419">
        <v>20</v>
      </c>
      <c r="O4419">
        <v>1</v>
      </c>
      <c r="P4419">
        <v>3</v>
      </c>
    </row>
    <row r="4420" spans="1:16" x14ac:dyDescent="0.25">
      <c r="A4420" s="4">
        <v>45443</v>
      </c>
      <c r="B4420" t="s">
        <v>9</v>
      </c>
      <c r="C4420">
        <v>1</v>
      </c>
      <c r="F4420">
        <v>159</v>
      </c>
      <c r="J4420">
        <v>0.66800000000000004</v>
      </c>
      <c r="K4420">
        <v>22.1</v>
      </c>
      <c r="L4420">
        <v>33.1</v>
      </c>
      <c r="M4420">
        <v>142</v>
      </c>
      <c r="N4420">
        <v>7</v>
      </c>
      <c r="O4420">
        <v>1</v>
      </c>
    </row>
    <row r="4421" spans="1:16" x14ac:dyDescent="0.25">
      <c r="A4421" s="4">
        <v>45446</v>
      </c>
      <c r="B4421" t="s">
        <v>10</v>
      </c>
      <c r="C4421">
        <v>1</v>
      </c>
      <c r="F4421">
        <v>225</v>
      </c>
      <c r="J4421">
        <v>1.1719999999999999</v>
      </c>
      <c r="K4421">
        <v>41.7</v>
      </c>
      <c r="L4421">
        <v>35.5</v>
      </c>
      <c r="M4421">
        <v>172</v>
      </c>
      <c r="N4421">
        <v>18</v>
      </c>
      <c r="O4421">
        <v>2</v>
      </c>
      <c r="P4421">
        <v>1</v>
      </c>
    </row>
    <row r="4422" spans="1:16" x14ac:dyDescent="0.25">
      <c r="A4422" s="4">
        <v>45446</v>
      </c>
      <c r="B4422" t="s">
        <v>9</v>
      </c>
      <c r="C4422">
        <v>1</v>
      </c>
      <c r="F4422">
        <v>80</v>
      </c>
      <c r="J4422">
        <v>0.437</v>
      </c>
      <c r="K4422">
        <v>14.8</v>
      </c>
      <c r="L4422">
        <v>33.9</v>
      </c>
      <c r="M4422">
        <v>76</v>
      </c>
      <c r="N4422">
        <v>2</v>
      </c>
    </row>
    <row r="4423" spans="1:16" x14ac:dyDescent="0.25">
      <c r="A4423" s="4">
        <v>45447</v>
      </c>
      <c r="B4423" t="s">
        <v>10</v>
      </c>
      <c r="C4423">
        <v>1</v>
      </c>
      <c r="F4423">
        <v>300</v>
      </c>
      <c r="J4423">
        <v>1.1579999999999999</v>
      </c>
      <c r="K4423">
        <v>41.7</v>
      </c>
      <c r="L4423">
        <v>36</v>
      </c>
      <c r="M4423">
        <v>223</v>
      </c>
      <c r="N4423">
        <v>28</v>
      </c>
      <c r="O4423">
        <v>6</v>
      </c>
    </row>
    <row r="4424" spans="1:16" x14ac:dyDescent="0.25">
      <c r="A4424" s="4">
        <v>45447</v>
      </c>
      <c r="B4424" t="s">
        <v>9</v>
      </c>
      <c r="C4424">
        <v>1</v>
      </c>
      <c r="F4424">
        <v>161</v>
      </c>
      <c r="J4424">
        <v>0.628</v>
      </c>
      <c r="K4424">
        <v>22.4</v>
      </c>
      <c r="L4424">
        <v>36</v>
      </c>
      <c r="M4424">
        <v>137</v>
      </c>
      <c r="N4424">
        <v>7</v>
      </c>
      <c r="O4424">
        <v>3</v>
      </c>
    </row>
    <row r="4425" spans="1:16" x14ac:dyDescent="0.25">
      <c r="A4425" s="4">
        <v>45448</v>
      </c>
      <c r="B4425" t="s">
        <v>10</v>
      </c>
      <c r="C4425">
        <v>1</v>
      </c>
      <c r="F4425">
        <v>272</v>
      </c>
      <c r="J4425">
        <v>1.1499999999999999</v>
      </c>
      <c r="K4425">
        <v>40.6</v>
      </c>
      <c r="L4425">
        <v>35.299999999999997</v>
      </c>
      <c r="M4425">
        <v>213</v>
      </c>
      <c r="N4425">
        <v>14</v>
      </c>
      <c r="O4425">
        <v>6</v>
      </c>
      <c r="P4425">
        <v>2</v>
      </c>
    </row>
    <row r="4426" spans="1:16" x14ac:dyDescent="0.25">
      <c r="A4426" s="4">
        <v>45448</v>
      </c>
      <c r="B4426" t="s">
        <v>9</v>
      </c>
      <c r="C4426">
        <v>1</v>
      </c>
      <c r="F4426">
        <v>137</v>
      </c>
      <c r="J4426">
        <v>0.55200000000000005</v>
      </c>
      <c r="K4426">
        <v>20.5</v>
      </c>
      <c r="L4426">
        <v>37</v>
      </c>
      <c r="M4426">
        <v>112</v>
      </c>
      <c r="N4426">
        <v>9</v>
      </c>
      <c r="O4426">
        <v>2</v>
      </c>
    </row>
    <row r="4427" spans="1:16" x14ac:dyDescent="0.25">
      <c r="A4427" s="4">
        <v>45449</v>
      </c>
      <c r="B4427" t="s">
        <v>10</v>
      </c>
      <c r="C4427">
        <v>1</v>
      </c>
      <c r="F4427">
        <v>241</v>
      </c>
      <c r="J4427">
        <v>1.2330000000000001</v>
      </c>
      <c r="K4427">
        <v>43.8</v>
      </c>
      <c r="L4427">
        <v>35.5</v>
      </c>
      <c r="M4427">
        <v>183</v>
      </c>
      <c r="N4427">
        <v>14</v>
      </c>
      <c r="O4427">
        <v>9</v>
      </c>
    </row>
    <row r="4428" spans="1:16" x14ac:dyDescent="0.25">
      <c r="A4428" s="4">
        <v>45449</v>
      </c>
      <c r="B4428" t="s">
        <v>9</v>
      </c>
      <c r="C4428">
        <v>1</v>
      </c>
      <c r="F4428">
        <v>126</v>
      </c>
      <c r="J4428">
        <v>0.64900000000000002</v>
      </c>
      <c r="K4428">
        <v>22.9</v>
      </c>
      <c r="L4428">
        <v>35.299999999999997</v>
      </c>
      <c r="M4428">
        <v>111</v>
      </c>
      <c r="N4428">
        <v>6</v>
      </c>
      <c r="O4428">
        <v>1</v>
      </c>
    </row>
    <row r="4429" spans="1:16" x14ac:dyDescent="0.25">
      <c r="A4429" s="4">
        <v>45450</v>
      </c>
      <c r="B4429" t="s">
        <v>10</v>
      </c>
      <c r="C4429">
        <v>1</v>
      </c>
      <c r="F4429">
        <v>262</v>
      </c>
      <c r="J4429">
        <v>1.2130000000000001</v>
      </c>
      <c r="K4429">
        <v>41.6</v>
      </c>
      <c r="L4429">
        <v>34.299999999999997</v>
      </c>
      <c r="M4429">
        <v>212</v>
      </c>
      <c r="N4429">
        <v>16</v>
      </c>
      <c r="O4429">
        <v>5</v>
      </c>
    </row>
    <row r="4430" spans="1:16" x14ac:dyDescent="0.25">
      <c r="A4430" s="4">
        <v>45450</v>
      </c>
      <c r="B4430" t="s">
        <v>9</v>
      </c>
      <c r="C4430">
        <v>1</v>
      </c>
      <c r="F4430">
        <v>80</v>
      </c>
      <c r="J4430">
        <v>0.56200000000000006</v>
      </c>
      <c r="K4430">
        <v>21.1</v>
      </c>
      <c r="L4430">
        <v>37.4</v>
      </c>
      <c r="M4430">
        <v>49</v>
      </c>
      <c r="N4430">
        <v>11</v>
      </c>
      <c r="O4430">
        <v>3</v>
      </c>
    </row>
    <row r="4431" spans="1:16" x14ac:dyDescent="0.25">
      <c r="A4431" s="4">
        <v>45453</v>
      </c>
      <c r="B4431" t="s">
        <v>10</v>
      </c>
      <c r="C4431">
        <v>1</v>
      </c>
      <c r="F4431">
        <v>310</v>
      </c>
      <c r="J4431">
        <v>1.1679999999999999</v>
      </c>
      <c r="K4431">
        <v>43.1</v>
      </c>
      <c r="L4431">
        <v>36.9</v>
      </c>
      <c r="M4431">
        <v>202</v>
      </c>
      <c r="N4431">
        <v>31</v>
      </c>
      <c r="O4431">
        <v>11</v>
      </c>
      <c r="P4431">
        <v>1</v>
      </c>
    </row>
    <row r="4432" spans="1:16" x14ac:dyDescent="0.25">
      <c r="A4432" s="4">
        <v>45453</v>
      </c>
      <c r="B4432" t="s">
        <v>9</v>
      </c>
      <c r="C4432">
        <v>1</v>
      </c>
      <c r="F4432">
        <v>121</v>
      </c>
      <c r="J4432">
        <v>0.48699999999999999</v>
      </c>
      <c r="K4432">
        <v>16.8</v>
      </c>
      <c r="L4432">
        <v>34.5</v>
      </c>
      <c r="M4432">
        <v>97</v>
      </c>
      <c r="N4432">
        <v>8</v>
      </c>
      <c r="O4432">
        <v>2</v>
      </c>
    </row>
    <row r="4433" spans="1:16" x14ac:dyDescent="0.25">
      <c r="A4433" s="4">
        <v>45454</v>
      </c>
      <c r="B4433" t="s">
        <v>10</v>
      </c>
      <c r="C4433">
        <v>1</v>
      </c>
      <c r="F4433">
        <v>340</v>
      </c>
      <c r="J4433">
        <v>1.2729999999999999</v>
      </c>
      <c r="K4433">
        <v>47.2</v>
      </c>
      <c r="L4433">
        <v>37.1</v>
      </c>
      <c r="M4433">
        <v>235</v>
      </c>
      <c r="N4433">
        <v>31</v>
      </c>
      <c r="O4433">
        <v>9</v>
      </c>
      <c r="P4433">
        <v>1</v>
      </c>
    </row>
    <row r="4434" spans="1:16" x14ac:dyDescent="0.25">
      <c r="A4434" s="4">
        <v>45454</v>
      </c>
      <c r="B4434" t="s">
        <v>9</v>
      </c>
      <c r="C4434">
        <v>1</v>
      </c>
      <c r="F4434">
        <v>170</v>
      </c>
      <c r="J4434">
        <v>0.66100000000000003</v>
      </c>
      <c r="K4434">
        <v>23.6</v>
      </c>
      <c r="L4434">
        <v>35.700000000000003</v>
      </c>
      <c r="M4434">
        <v>155</v>
      </c>
      <c r="N4434">
        <v>6</v>
      </c>
      <c r="O4434">
        <v>1</v>
      </c>
    </row>
    <row r="4435" spans="1:16" x14ac:dyDescent="0.25">
      <c r="A4435" s="4">
        <v>45455</v>
      </c>
      <c r="B4435" t="s">
        <v>10</v>
      </c>
      <c r="C4435">
        <v>1</v>
      </c>
      <c r="F4435">
        <v>332</v>
      </c>
      <c r="J4435">
        <v>1.288</v>
      </c>
      <c r="K4435">
        <v>45.3</v>
      </c>
      <c r="L4435">
        <v>35.200000000000003</v>
      </c>
      <c r="M4435">
        <v>249</v>
      </c>
      <c r="N4435">
        <v>30</v>
      </c>
      <c r="O4435">
        <v>5</v>
      </c>
      <c r="P4435">
        <v>1</v>
      </c>
    </row>
    <row r="4436" spans="1:16" x14ac:dyDescent="0.25">
      <c r="A4436" s="4">
        <v>45455</v>
      </c>
      <c r="B4436" t="s">
        <v>9</v>
      </c>
      <c r="C4436">
        <v>1</v>
      </c>
      <c r="F4436">
        <v>173</v>
      </c>
      <c r="J4436">
        <v>0.68799999999999994</v>
      </c>
      <c r="K4436">
        <v>24</v>
      </c>
      <c r="L4436">
        <v>34.9</v>
      </c>
      <c r="M4436">
        <v>151</v>
      </c>
      <c r="N4436">
        <v>9</v>
      </c>
      <c r="O4436">
        <v>1</v>
      </c>
    </row>
    <row r="4437" spans="1:16" x14ac:dyDescent="0.25">
      <c r="A4437" s="4">
        <v>45456</v>
      </c>
      <c r="B4437" t="s">
        <v>10</v>
      </c>
      <c r="C4437">
        <v>1</v>
      </c>
      <c r="F4437">
        <v>321</v>
      </c>
      <c r="J4437">
        <v>1.2</v>
      </c>
      <c r="K4437">
        <v>43.3</v>
      </c>
      <c r="L4437">
        <v>36.1</v>
      </c>
      <c r="M4437">
        <v>236</v>
      </c>
      <c r="N4437">
        <v>27</v>
      </c>
      <c r="O4437">
        <v>7</v>
      </c>
      <c r="P4437">
        <v>1</v>
      </c>
    </row>
    <row r="4438" spans="1:16" x14ac:dyDescent="0.25">
      <c r="A4438" s="4">
        <v>45456</v>
      </c>
      <c r="B4438" t="s">
        <v>9</v>
      </c>
      <c r="C4438">
        <v>1</v>
      </c>
      <c r="F4438">
        <v>159</v>
      </c>
      <c r="J4438">
        <v>0.624</v>
      </c>
      <c r="K4438">
        <v>22.1</v>
      </c>
      <c r="L4438">
        <v>35.4</v>
      </c>
      <c r="M4438">
        <v>132</v>
      </c>
      <c r="N4438">
        <v>9</v>
      </c>
      <c r="O4438">
        <v>2</v>
      </c>
    </row>
    <row r="4439" spans="1:16" x14ac:dyDescent="0.25">
      <c r="A4439" s="4">
        <v>45457</v>
      </c>
      <c r="B4439" t="s">
        <v>10</v>
      </c>
      <c r="C4439">
        <v>1</v>
      </c>
      <c r="F4439">
        <v>329</v>
      </c>
      <c r="J4439">
        <v>1.298</v>
      </c>
      <c r="K4439">
        <v>45.7</v>
      </c>
      <c r="L4439">
        <v>35.200000000000003</v>
      </c>
      <c r="M4439">
        <v>248</v>
      </c>
      <c r="N4439">
        <v>29</v>
      </c>
      <c r="O4439">
        <v>7</v>
      </c>
    </row>
    <row r="4440" spans="1:16" x14ac:dyDescent="0.25">
      <c r="A4440" s="4">
        <v>45457</v>
      </c>
      <c r="B4440" t="s">
        <v>9</v>
      </c>
      <c r="C4440">
        <v>1</v>
      </c>
      <c r="F4440">
        <v>84.6</v>
      </c>
      <c r="J4440">
        <v>0.29199999999999998</v>
      </c>
      <c r="K4440">
        <v>34.5</v>
      </c>
      <c r="L4440">
        <v>187</v>
      </c>
      <c r="M4440">
        <v>10</v>
      </c>
      <c r="N4440">
        <v>1</v>
      </c>
    </row>
    <row r="4441" spans="1:16" x14ac:dyDescent="0.25">
      <c r="A4441" s="4">
        <v>45460</v>
      </c>
      <c r="B4441" t="s">
        <v>10</v>
      </c>
      <c r="C4441">
        <v>1</v>
      </c>
      <c r="F4441">
        <v>229</v>
      </c>
      <c r="J4441">
        <v>1.1830000000000001</v>
      </c>
      <c r="K4441">
        <v>43.2</v>
      </c>
      <c r="L4441">
        <v>36.5</v>
      </c>
      <c r="M4441">
        <v>150</v>
      </c>
      <c r="N4441">
        <v>18</v>
      </c>
      <c r="O4441">
        <v>8</v>
      </c>
      <c r="P4441">
        <v>2</v>
      </c>
    </row>
    <row r="4442" spans="1:16" x14ac:dyDescent="0.25">
      <c r="A4442" s="4">
        <v>45460</v>
      </c>
      <c r="B4442" t="s">
        <v>9</v>
      </c>
      <c r="C4442">
        <v>1</v>
      </c>
      <c r="F4442">
        <v>104</v>
      </c>
      <c r="J4442">
        <v>0.53700000000000003</v>
      </c>
      <c r="K4442">
        <v>19.600000000000001</v>
      </c>
      <c r="L4442">
        <v>36.5</v>
      </c>
      <c r="M4442">
        <v>79</v>
      </c>
      <c r="N4442">
        <v>9</v>
      </c>
      <c r="O4442">
        <v>2</v>
      </c>
    </row>
    <row r="4443" spans="1:16" x14ac:dyDescent="0.25">
      <c r="A4443" s="4">
        <v>45461</v>
      </c>
      <c r="B4443" t="s">
        <v>10</v>
      </c>
      <c r="C4443">
        <v>1</v>
      </c>
      <c r="F4443">
        <v>321</v>
      </c>
      <c r="J4443">
        <v>1.2210000000000001</v>
      </c>
      <c r="K4443">
        <v>44.9</v>
      </c>
      <c r="L4443">
        <v>36.5</v>
      </c>
      <c r="M4443">
        <v>206</v>
      </c>
      <c r="N4443">
        <v>38</v>
      </c>
      <c r="O4443">
        <v>12</v>
      </c>
    </row>
    <row r="4444" spans="1:16" x14ac:dyDescent="0.25">
      <c r="A4444" s="4">
        <v>45461</v>
      </c>
      <c r="B4444" t="s">
        <v>9</v>
      </c>
      <c r="C4444">
        <v>1</v>
      </c>
      <c r="F4444">
        <v>136</v>
      </c>
      <c r="J4444">
        <v>0.54200000000000004</v>
      </c>
      <c r="K4444">
        <v>18.899999999999999</v>
      </c>
      <c r="L4444">
        <v>34.9</v>
      </c>
      <c r="M4444">
        <v>105</v>
      </c>
      <c r="N4444">
        <v>11</v>
      </c>
      <c r="O4444">
        <v>3</v>
      </c>
    </row>
    <row r="4445" spans="1:16" x14ac:dyDescent="0.25">
      <c r="A4445" s="4">
        <v>45462</v>
      </c>
      <c r="B4445" t="s">
        <v>10</v>
      </c>
      <c r="C4445">
        <v>1</v>
      </c>
      <c r="F4445">
        <v>351</v>
      </c>
      <c r="J4445">
        <v>1.1100000000000001</v>
      </c>
      <c r="K4445">
        <v>39</v>
      </c>
      <c r="L4445">
        <v>35.200000000000003</v>
      </c>
      <c r="M4445">
        <v>276</v>
      </c>
      <c r="N4445">
        <v>22</v>
      </c>
      <c r="O4445">
        <v>9</v>
      </c>
    </row>
    <row r="4446" spans="1:16" x14ac:dyDescent="0.25">
      <c r="A4446" s="4">
        <v>45462</v>
      </c>
      <c r="B4446" t="s">
        <v>9</v>
      </c>
      <c r="C4446">
        <v>1</v>
      </c>
      <c r="F4446">
        <v>178</v>
      </c>
      <c r="J4446">
        <v>0.56799999999999995</v>
      </c>
      <c r="K4446">
        <v>19.8</v>
      </c>
      <c r="L4446">
        <v>34.799999999999997</v>
      </c>
      <c r="M4446">
        <v>153</v>
      </c>
      <c r="N4446">
        <v>11</v>
      </c>
      <c r="O4446">
        <v>1</v>
      </c>
    </row>
    <row r="4447" spans="1:16" x14ac:dyDescent="0.25">
      <c r="A4447" s="4">
        <v>45463</v>
      </c>
      <c r="B4447" t="s">
        <v>10</v>
      </c>
      <c r="C4447">
        <v>1</v>
      </c>
      <c r="F4447">
        <v>301</v>
      </c>
      <c r="J4447">
        <v>1.246</v>
      </c>
      <c r="K4447">
        <v>41.8</v>
      </c>
      <c r="L4447">
        <v>33.6</v>
      </c>
      <c r="M4447">
        <v>258</v>
      </c>
      <c r="N4447">
        <v>15</v>
      </c>
      <c r="O4447">
        <v>4</v>
      </c>
    </row>
    <row r="4448" spans="1:16" x14ac:dyDescent="0.25">
      <c r="A4448" s="4">
        <v>45463</v>
      </c>
      <c r="B4448" t="s">
        <v>9</v>
      </c>
      <c r="C4448">
        <v>1</v>
      </c>
      <c r="F4448">
        <v>106</v>
      </c>
      <c r="J4448">
        <v>0.4</v>
      </c>
      <c r="K4448">
        <v>14.7</v>
      </c>
      <c r="L4448">
        <v>36.799999999999997</v>
      </c>
      <c r="M4448">
        <v>78</v>
      </c>
      <c r="N4448">
        <v>11</v>
      </c>
      <c r="O4448">
        <v>2</v>
      </c>
    </row>
    <row r="4449" spans="1:16" x14ac:dyDescent="0.25">
      <c r="A4449" s="4">
        <v>45464</v>
      </c>
      <c r="B4449" t="s">
        <v>10</v>
      </c>
      <c r="C4449">
        <v>1</v>
      </c>
      <c r="F4449">
        <v>299</v>
      </c>
      <c r="J4449">
        <v>1.181</v>
      </c>
      <c r="K4449">
        <v>41.5</v>
      </c>
      <c r="L4449">
        <v>35.200000000000003</v>
      </c>
      <c r="M4449">
        <v>242</v>
      </c>
      <c r="N4449">
        <v>19</v>
      </c>
      <c r="O4449">
        <v>6</v>
      </c>
    </row>
    <row r="4450" spans="1:16" x14ac:dyDescent="0.25">
      <c r="A4450" s="4">
        <v>45464</v>
      </c>
      <c r="B4450" t="s">
        <v>9</v>
      </c>
      <c r="C4450">
        <v>1</v>
      </c>
      <c r="F4450">
        <v>98</v>
      </c>
      <c r="J4450">
        <v>0.39700000000000002</v>
      </c>
      <c r="K4450">
        <v>13.6</v>
      </c>
      <c r="L4450">
        <v>34.299999999999997</v>
      </c>
      <c r="M4450">
        <v>86</v>
      </c>
      <c r="N4450">
        <v>6</v>
      </c>
    </row>
    <row r="4451" spans="1:16" x14ac:dyDescent="0.25">
      <c r="A4451" s="4">
        <v>45467</v>
      </c>
      <c r="B4451" t="s">
        <v>10</v>
      </c>
      <c r="C4451">
        <v>1</v>
      </c>
      <c r="F4451">
        <v>241</v>
      </c>
      <c r="J4451">
        <v>0.98799999999999999</v>
      </c>
      <c r="K4451">
        <v>33.5</v>
      </c>
      <c r="L4451">
        <v>33.9</v>
      </c>
      <c r="M4451">
        <v>191</v>
      </c>
      <c r="N4451">
        <v>21</v>
      </c>
      <c r="O4451">
        <v>2</v>
      </c>
    </row>
    <row r="4452" spans="1:16" x14ac:dyDescent="0.25">
      <c r="A4452" s="4">
        <v>45467</v>
      </c>
      <c r="B4452" t="s">
        <v>9</v>
      </c>
      <c r="C4452">
        <v>1</v>
      </c>
      <c r="F4452">
        <v>114</v>
      </c>
      <c r="J4452">
        <v>0.44400000000000001</v>
      </c>
      <c r="K4452">
        <v>15.8</v>
      </c>
      <c r="L4452">
        <v>35.6</v>
      </c>
      <c r="M4452">
        <v>92</v>
      </c>
      <c r="N4452">
        <v>8</v>
      </c>
      <c r="P4452">
        <v>1</v>
      </c>
    </row>
    <row r="4453" spans="1:16" x14ac:dyDescent="0.25">
      <c r="A4453" s="4">
        <v>45468</v>
      </c>
      <c r="B4453" t="s">
        <v>10</v>
      </c>
      <c r="C4453">
        <v>1</v>
      </c>
      <c r="F4453">
        <v>270</v>
      </c>
      <c r="J4453">
        <v>1.0249999999999999</v>
      </c>
      <c r="K4453">
        <v>37.5</v>
      </c>
      <c r="L4453">
        <v>36.6</v>
      </c>
      <c r="M4453">
        <v>193</v>
      </c>
      <c r="N4453">
        <v>10</v>
      </c>
      <c r="O4453">
        <v>12</v>
      </c>
      <c r="P4453">
        <v>1</v>
      </c>
    </row>
    <row r="4454" spans="1:16" x14ac:dyDescent="0.25">
      <c r="A4454" s="4">
        <v>45468</v>
      </c>
      <c r="B4454" t="s">
        <v>9</v>
      </c>
      <c r="C4454">
        <v>1</v>
      </c>
      <c r="F4454">
        <v>136</v>
      </c>
      <c r="J4454">
        <v>0.52800000000000002</v>
      </c>
      <c r="K4454">
        <v>18.899999999999999</v>
      </c>
      <c r="L4454">
        <v>35.799999999999997</v>
      </c>
      <c r="M4454">
        <v>117</v>
      </c>
      <c r="N4454">
        <v>5</v>
      </c>
      <c r="O4454">
        <v>1</v>
      </c>
      <c r="P4454">
        <v>1</v>
      </c>
    </row>
    <row r="4455" spans="1:16" x14ac:dyDescent="0.25">
      <c r="A4455" s="4">
        <v>45469</v>
      </c>
      <c r="B4455" t="s">
        <v>10</v>
      </c>
      <c r="C4455">
        <v>1</v>
      </c>
      <c r="F4455">
        <v>356</v>
      </c>
      <c r="J4455">
        <v>1.0880000000000001</v>
      </c>
      <c r="K4455">
        <v>39.700000000000003</v>
      </c>
      <c r="L4455">
        <v>36.4</v>
      </c>
      <c r="M4455">
        <v>260</v>
      </c>
      <c r="N4455">
        <v>28</v>
      </c>
      <c r="O4455">
        <v>6</v>
      </c>
      <c r="P4455">
        <v>3</v>
      </c>
    </row>
    <row r="4456" spans="1:16" x14ac:dyDescent="0.25">
      <c r="A4456" s="4">
        <v>45469</v>
      </c>
      <c r="B4456" t="s">
        <v>9</v>
      </c>
      <c r="C4456">
        <v>1</v>
      </c>
      <c r="F4456">
        <v>166</v>
      </c>
      <c r="J4456">
        <v>0.51400000000000001</v>
      </c>
      <c r="K4456">
        <v>18.399999999999999</v>
      </c>
      <c r="L4456">
        <v>35.9</v>
      </c>
      <c r="M4456">
        <v>144</v>
      </c>
      <c r="N4456">
        <v>8</v>
      </c>
      <c r="O4456">
        <v>2</v>
      </c>
    </row>
    <row r="4457" spans="1:16" x14ac:dyDescent="0.25">
      <c r="A4457" s="4">
        <v>45470</v>
      </c>
      <c r="B4457" t="s">
        <v>10</v>
      </c>
      <c r="C4457">
        <v>1</v>
      </c>
      <c r="F4457">
        <v>319</v>
      </c>
      <c r="J4457">
        <v>1.238</v>
      </c>
      <c r="K4457">
        <v>44.3</v>
      </c>
      <c r="L4457">
        <v>35.799999999999997</v>
      </c>
      <c r="M4457">
        <v>232</v>
      </c>
      <c r="N4457">
        <v>30</v>
      </c>
      <c r="O4457">
        <v>6</v>
      </c>
      <c r="P4457">
        <v>1</v>
      </c>
    </row>
    <row r="4458" spans="1:16" x14ac:dyDescent="0.25">
      <c r="A4458" s="4">
        <v>45470</v>
      </c>
      <c r="B4458" t="s">
        <v>9</v>
      </c>
      <c r="C4458">
        <v>1</v>
      </c>
      <c r="F4458">
        <v>135</v>
      </c>
      <c r="J4458">
        <v>0.54500000000000004</v>
      </c>
      <c r="K4458">
        <v>18.8</v>
      </c>
      <c r="L4458">
        <v>34.4</v>
      </c>
      <c r="M4458">
        <v>114</v>
      </c>
      <c r="N4458">
        <v>9</v>
      </c>
      <c r="O4458">
        <v>1</v>
      </c>
    </row>
    <row r="4459" spans="1:16" x14ac:dyDescent="0.25">
      <c r="A4459" s="4">
        <v>45471</v>
      </c>
      <c r="B4459" t="s">
        <v>10</v>
      </c>
      <c r="C4459">
        <v>1</v>
      </c>
      <c r="F4459">
        <v>306</v>
      </c>
      <c r="J4459">
        <v>1.222</v>
      </c>
      <c r="K4459">
        <v>43.7</v>
      </c>
      <c r="L4459">
        <v>35.799999999999997</v>
      </c>
      <c r="M4459">
        <v>229</v>
      </c>
      <c r="N4459">
        <v>25</v>
      </c>
      <c r="O4459">
        <v>4</v>
      </c>
      <c r="P4459">
        <v>2</v>
      </c>
    </row>
    <row r="4460" spans="1:16" x14ac:dyDescent="0.25">
      <c r="A4460" s="4">
        <v>45471</v>
      </c>
      <c r="B4460" t="s">
        <v>9</v>
      </c>
      <c r="C4460">
        <v>1</v>
      </c>
      <c r="F4460">
        <v>122</v>
      </c>
      <c r="J4460">
        <v>0.51700000000000002</v>
      </c>
      <c r="K4460">
        <v>17.399999999999999</v>
      </c>
      <c r="L4460">
        <v>33.700000000000003</v>
      </c>
      <c r="M4460">
        <v>95</v>
      </c>
      <c r="N4460">
        <v>12</v>
      </c>
      <c r="O4460">
        <v>1</v>
      </c>
    </row>
    <row r="4461" spans="1:16" x14ac:dyDescent="0.25">
      <c r="A4461" s="4">
        <v>45474</v>
      </c>
      <c r="B4461" t="s">
        <v>10</v>
      </c>
      <c r="C4461">
        <v>1</v>
      </c>
      <c r="F4461">
        <v>323</v>
      </c>
      <c r="J4461">
        <v>1.2090000000000001</v>
      </c>
      <c r="K4461">
        <v>44.9</v>
      </c>
      <c r="L4461">
        <v>37.1</v>
      </c>
      <c r="M4461">
        <v>239</v>
      </c>
      <c r="N4461">
        <v>23</v>
      </c>
      <c r="O4461">
        <v>6</v>
      </c>
      <c r="P4461">
        <v>2</v>
      </c>
    </row>
    <row r="4462" spans="1:16" x14ac:dyDescent="0.25">
      <c r="A4462" s="4">
        <v>45474</v>
      </c>
      <c r="B4462" t="s">
        <v>9</v>
      </c>
      <c r="C4462">
        <v>1</v>
      </c>
      <c r="F4462">
        <v>128</v>
      </c>
      <c r="J4462">
        <v>0.51100000000000001</v>
      </c>
      <c r="K4462">
        <v>17.8</v>
      </c>
      <c r="L4462">
        <v>34.799999999999997</v>
      </c>
      <c r="M4462">
        <v>117</v>
      </c>
      <c r="N4462">
        <v>4</v>
      </c>
      <c r="O4462">
        <v>1</v>
      </c>
    </row>
    <row r="4463" spans="1:16" x14ac:dyDescent="0.25">
      <c r="A4463" s="4">
        <v>45475</v>
      </c>
      <c r="B4463" t="s">
        <v>10</v>
      </c>
      <c r="C4463">
        <v>1</v>
      </c>
      <c r="F4463">
        <v>288</v>
      </c>
      <c r="J4463">
        <v>1.131</v>
      </c>
      <c r="K4463">
        <v>40</v>
      </c>
      <c r="L4463">
        <v>35.4</v>
      </c>
      <c r="M4463">
        <v>212</v>
      </c>
      <c r="N4463">
        <v>26</v>
      </c>
      <c r="O4463">
        <v>7</v>
      </c>
    </row>
    <row r="4464" spans="1:16" x14ac:dyDescent="0.25">
      <c r="A4464" s="4">
        <v>45475</v>
      </c>
      <c r="B4464" t="s">
        <v>9</v>
      </c>
      <c r="C4464">
        <v>1</v>
      </c>
      <c r="F4464">
        <v>120</v>
      </c>
      <c r="J4464">
        <v>0.47299999999999998</v>
      </c>
      <c r="K4464">
        <v>16.7</v>
      </c>
      <c r="L4464">
        <v>35.299999999999997</v>
      </c>
      <c r="M4464">
        <v>108</v>
      </c>
      <c r="N4464">
        <v>4</v>
      </c>
      <c r="O4464">
        <v>1</v>
      </c>
    </row>
    <row r="4465" spans="1:16" x14ac:dyDescent="0.25">
      <c r="A4465" s="4">
        <v>45476</v>
      </c>
      <c r="B4465" t="s">
        <v>10</v>
      </c>
      <c r="C4465">
        <v>1</v>
      </c>
      <c r="F4465">
        <v>344</v>
      </c>
      <c r="J4465">
        <v>1.2410000000000001</v>
      </c>
      <c r="K4465">
        <v>47.8</v>
      </c>
      <c r="L4465">
        <v>38.5</v>
      </c>
      <c r="M4465">
        <v>222</v>
      </c>
      <c r="N4465">
        <v>27</v>
      </c>
      <c r="O4465">
        <v>12</v>
      </c>
      <c r="P4465">
        <v>4</v>
      </c>
    </row>
    <row r="4466" spans="1:16" x14ac:dyDescent="0.25">
      <c r="A4466" s="4">
        <v>45476</v>
      </c>
      <c r="B4466" t="s">
        <v>9</v>
      </c>
      <c r="C4466">
        <v>1</v>
      </c>
      <c r="F4466">
        <v>97</v>
      </c>
      <c r="J4466">
        <v>0.378</v>
      </c>
      <c r="K4466">
        <v>13.5</v>
      </c>
      <c r="L4466">
        <v>35.700000000000003</v>
      </c>
      <c r="M4466">
        <v>84</v>
      </c>
      <c r="N4466">
        <v>5</v>
      </c>
      <c r="O4466">
        <v>1</v>
      </c>
    </row>
    <row r="4467" spans="1:16" x14ac:dyDescent="0.25">
      <c r="A4467" s="4">
        <v>45481</v>
      </c>
      <c r="B4467" t="s">
        <v>10</v>
      </c>
      <c r="C4467">
        <v>1</v>
      </c>
      <c r="F4467">
        <v>336</v>
      </c>
      <c r="J4467">
        <v>1.131</v>
      </c>
      <c r="K4467">
        <v>40</v>
      </c>
      <c r="L4467">
        <v>35.6</v>
      </c>
      <c r="M4467">
        <v>273</v>
      </c>
      <c r="N4467">
        <v>26</v>
      </c>
      <c r="O4467">
        <v>3</v>
      </c>
    </row>
    <row r="4468" spans="1:16" x14ac:dyDescent="0.25">
      <c r="A4468" s="4">
        <v>45481</v>
      </c>
      <c r="B4468" t="s">
        <v>9</v>
      </c>
      <c r="C4468">
        <v>1</v>
      </c>
      <c r="F4468">
        <v>135</v>
      </c>
      <c r="J4468">
        <v>0.45500000000000002</v>
      </c>
      <c r="K4468">
        <v>16.100000000000001</v>
      </c>
      <c r="L4468">
        <v>35.4</v>
      </c>
      <c r="M4468">
        <v>114</v>
      </c>
      <c r="N4468">
        <v>6</v>
      </c>
      <c r="O4468">
        <v>1</v>
      </c>
      <c r="P4468">
        <v>1</v>
      </c>
    </row>
    <row r="4469" spans="1:16" x14ac:dyDescent="0.25">
      <c r="A4469" s="4">
        <v>45482</v>
      </c>
      <c r="B4469" t="s">
        <v>10</v>
      </c>
      <c r="C4469">
        <v>1</v>
      </c>
      <c r="F4469">
        <v>339</v>
      </c>
      <c r="J4469">
        <v>1.131</v>
      </c>
      <c r="K4469">
        <v>40.4</v>
      </c>
      <c r="L4469">
        <v>35.700000000000003</v>
      </c>
      <c r="M4469">
        <v>270</v>
      </c>
      <c r="N4469">
        <v>25</v>
      </c>
      <c r="O4469">
        <v>6</v>
      </c>
    </row>
    <row r="4470" spans="1:16" x14ac:dyDescent="0.25">
      <c r="A4470" s="4">
        <v>45482</v>
      </c>
      <c r="B4470" t="s">
        <v>9</v>
      </c>
      <c r="C4470">
        <v>1</v>
      </c>
      <c r="F4470">
        <v>137</v>
      </c>
      <c r="J4470">
        <v>0.46</v>
      </c>
      <c r="K4470">
        <v>16.3</v>
      </c>
      <c r="L4470">
        <v>35.5</v>
      </c>
      <c r="M4470">
        <v>119</v>
      </c>
      <c r="N4470">
        <v>9</v>
      </c>
    </row>
    <row r="4471" spans="1:16" x14ac:dyDescent="0.25">
      <c r="A4471" s="4">
        <v>45483</v>
      </c>
      <c r="B4471" t="s">
        <v>10</v>
      </c>
      <c r="C4471">
        <v>1</v>
      </c>
      <c r="F4471">
        <v>276</v>
      </c>
      <c r="J4471">
        <v>1.1879999999999999</v>
      </c>
      <c r="K4471">
        <v>41.2</v>
      </c>
      <c r="L4471">
        <v>34.700000000000003</v>
      </c>
      <c r="M4471">
        <v>233</v>
      </c>
      <c r="N4471">
        <v>12</v>
      </c>
      <c r="O4471">
        <v>3</v>
      </c>
      <c r="P4471">
        <v>1</v>
      </c>
    </row>
    <row r="4472" spans="1:16" x14ac:dyDescent="0.25">
      <c r="A4472" s="4">
        <v>45483</v>
      </c>
      <c r="B4472" t="s">
        <v>9</v>
      </c>
      <c r="C4472">
        <v>1</v>
      </c>
      <c r="F4472">
        <v>132</v>
      </c>
      <c r="J4472">
        <v>0.55800000000000005</v>
      </c>
      <c r="K4472">
        <v>19.7</v>
      </c>
      <c r="L4472">
        <v>35.299999999999997</v>
      </c>
      <c r="M4472">
        <v>124</v>
      </c>
      <c r="N4472">
        <v>4</v>
      </c>
    </row>
    <row r="4473" spans="1:16" x14ac:dyDescent="0.25">
      <c r="A4473" s="4">
        <v>45484</v>
      </c>
      <c r="B4473" t="s">
        <v>10</v>
      </c>
      <c r="C4473">
        <v>1</v>
      </c>
      <c r="F4473">
        <v>295</v>
      </c>
      <c r="J4473">
        <v>1.242</v>
      </c>
      <c r="K4473">
        <v>44</v>
      </c>
      <c r="L4473">
        <v>35.5</v>
      </c>
      <c r="M4473">
        <v>229</v>
      </c>
      <c r="N4473">
        <v>22</v>
      </c>
      <c r="O4473">
        <v>7</v>
      </c>
    </row>
    <row r="4474" spans="1:16" x14ac:dyDescent="0.25">
      <c r="A4474" s="4">
        <v>45484</v>
      </c>
      <c r="B4474" t="s">
        <v>9</v>
      </c>
      <c r="C4474">
        <v>1</v>
      </c>
      <c r="F4474">
        <v>102</v>
      </c>
      <c r="J4474">
        <v>0.38400000000000001</v>
      </c>
      <c r="K4474">
        <v>15.2</v>
      </c>
      <c r="L4474">
        <v>39.700000000000003</v>
      </c>
      <c r="M4474">
        <v>69</v>
      </c>
      <c r="N4474">
        <v>11</v>
      </c>
      <c r="O4474">
        <v>1</v>
      </c>
      <c r="P4474">
        <v>1</v>
      </c>
    </row>
    <row r="4475" spans="1:16" x14ac:dyDescent="0.25">
      <c r="A4475" s="4">
        <v>45485</v>
      </c>
      <c r="B4475" t="s">
        <v>10</v>
      </c>
      <c r="C4475">
        <v>1</v>
      </c>
      <c r="F4475">
        <v>324</v>
      </c>
      <c r="J4475">
        <v>1.359</v>
      </c>
      <c r="K4475">
        <v>48.4</v>
      </c>
      <c r="L4475">
        <v>35.6</v>
      </c>
      <c r="M4475">
        <v>255</v>
      </c>
      <c r="N4475">
        <v>28</v>
      </c>
      <c r="O4475">
        <v>3</v>
      </c>
    </row>
    <row r="4476" spans="1:16" x14ac:dyDescent="0.25">
      <c r="A4476" s="4">
        <v>45485</v>
      </c>
      <c r="B4476" t="s">
        <v>9</v>
      </c>
      <c r="C4476">
        <v>1</v>
      </c>
      <c r="F4476">
        <v>105</v>
      </c>
      <c r="J4476">
        <v>0.435</v>
      </c>
      <c r="K4476">
        <v>15.7</v>
      </c>
      <c r="L4476">
        <v>36</v>
      </c>
      <c r="M4476">
        <v>84</v>
      </c>
      <c r="N4476">
        <v>5</v>
      </c>
      <c r="O4476">
        <v>3</v>
      </c>
    </row>
    <row r="4477" spans="1:16" x14ac:dyDescent="0.25">
      <c r="A4477" s="4">
        <v>45488</v>
      </c>
      <c r="B4477" t="s">
        <v>10</v>
      </c>
      <c r="C4477">
        <v>1</v>
      </c>
      <c r="F4477">
        <v>269</v>
      </c>
      <c r="J4477">
        <v>1.099</v>
      </c>
      <c r="K4477">
        <v>40.200000000000003</v>
      </c>
      <c r="L4477">
        <v>36.5</v>
      </c>
      <c r="M4477">
        <v>192</v>
      </c>
      <c r="N4477">
        <v>22</v>
      </c>
      <c r="O4477">
        <v>10</v>
      </c>
    </row>
    <row r="4478" spans="1:16" x14ac:dyDescent="0.25">
      <c r="A4478" s="4">
        <v>45488</v>
      </c>
      <c r="B4478" t="s">
        <v>9</v>
      </c>
      <c r="C4478">
        <v>1</v>
      </c>
      <c r="F4478">
        <v>112</v>
      </c>
      <c r="J4478">
        <v>0.46800000000000003</v>
      </c>
      <c r="K4478">
        <v>16.7</v>
      </c>
      <c r="L4478">
        <v>35.799999999999997</v>
      </c>
      <c r="M4478">
        <v>82</v>
      </c>
      <c r="N4478">
        <v>12</v>
      </c>
      <c r="O4478">
        <v>2</v>
      </c>
    </row>
    <row r="4479" spans="1:16" x14ac:dyDescent="0.25">
      <c r="A4479" s="4">
        <v>45489</v>
      </c>
      <c r="B4479" t="s">
        <v>10</v>
      </c>
      <c r="C4479">
        <v>1</v>
      </c>
      <c r="F4479">
        <v>295</v>
      </c>
      <c r="J4479">
        <v>1.2490000000000001</v>
      </c>
      <c r="K4479">
        <v>44</v>
      </c>
      <c r="L4479">
        <v>35.299999999999997</v>
      </c>
      <c r="M4479">
        <v>232</v>
      </c>
      <c r="N4479">
        <v>21</v>
      </c>
      <c r="O4479">
        <v>4</v>
      </c>
      <c r="P4479">
        <v>1</v>
      </c>
    </row>
    <row r="4480" spans="1:16" x14ac:dyDescent="0.25">
      <c r="A4480" s="4">
        <v>45489</v>
      </c>
      <c r="B4480" t="s">
        <v>9</v>
      </c>
      <c r="C4480">
        <v>1</v>
      </c>
      <c r="F4480">
        <v>142</v>
      </c>
      <c r="J4480">
        <v>0.60699999999999998</v>
      </c>
      <c r="K4480">
        <v>21.2</v>
      </c>
      <c r="L4480">
        <v>34.9</v>
      </c>
      <c r="M4480">
        <v>116</v>
      </c>
      <c r="N4480">
        <v>13</v>
      </c>
    </row>
    <row r="4481" spans="1:16" x14ac:dyDescent="0.25">
      <c r="A4481" s="4">
        <v>45490</v>
      </c>
      <c r="B4481" t="s">
        <v>10</v>
      </c>
      <c r="C4481">
        <v>1</v>
      </c>
      <c r="F4481">
        <v>304</v>
      </c>
      <c r="J4481">
        <v>1.2809999999999999</v>
      </c>
      <c r="K4481">
        <v>45.4</v>
      </c>
      <c r="L4481">
        <v>35.4</v>
      </c>
      <c r="M4481">
        <v>248</v>
      </c>
      <c r="N4481">
        <v>16</v>
      </c>
      <c r="O4481">
        <v>6</v>
      </c>
    </row>
    <row r="4482" spans="1:16" x14ac:dyDescent="0.25">
      <c r="A4482" s="4">
        <v>45490</v>
      </c>
      <c r="B4482" t="s">
        <v>9</v>
      </c>
      <c r="C4482">
        <v>1</v>
      </c>
      <c r="F4482">
        <v>136</v>
      </c>
      <c r="J4482">
        <v>0.53200000000000003</v>
      </c>
      <c r="K4482">
        <v>20.3</v>
      </c>
      <c r="L4482">
        <v>38.200000000000003</v>
      </c>
      <c r="M4482">
        <v>114</v>
      </c>
      <c r="N4482">
        <v>4</v>
      </c>
      <c r="O4482">
        <v>2</v>
      </c>
      <c r="P4482">
        <v>1</v>
      </c>
    </row>
    <row r="4483" spans="1:16" x14ac:dyDescent="0.25">
      <c r="A4483" s="4">
        <v>45491</v>
      </c>
      <c r="B4483" t="s">
        <v>10</v>
      </c>
      <c r="C4483">
        <v>1</v>
      </c>
      <c r="F4483">
        <v>300</v>
      </c>
      <c r="J4483">
        <v>1.2430000000000001</v>
      </c>
      <c r="K4483">
        <v>44.8</v>
      </c>
      <c r="L4483">
        <v>36</v>
      </c>
      <c r="M4483">
        <v>226</v>
      </c>
      <c r="N4483">
        <v>23</v>
      </c>
      <c r="O4483">
        <v>7</v>
      </c>
    </row>
    <row r="4484" spans="1:16" x14ac:dyDescent="0.25">
      <c r="A4484" s="4">
        <v>45491</v>
      </c>
      <c r="B4484" t="s">
        <v>9</v>
      </c>
      <c r="C4484">
        <v>1</v>
      </c>
      <c r="F4484">
        <v>147</v>
      </c>
      <c r="J4484">
        <v>0.59499999999999997</v>
      </c>
      <c r="K4484">
        <v>21.9</v>
      </c>
      <c r="L4484">
        <v>36.9</v>
      </c>
      <c r="M4484">
        <v>123</v>
      </c>
      <c r="N4484">
        <v>7</v>
      </c>
      <c r="O4484">
        <v>3</v>
      </c>
    </row>
    <row r="4485" spans="1:16" x14ac:dyDescent="0.25">
      <c r="A4485" s="4">
        <v>45492</v>
      </c>
      <c r="B4485" t="s">
        <v>10</v>
      </c>
      <c r="C4485">
        <v>1</v>
      </c>
      <c r="F4485">
        <v>276</v>
      </c>
      <c r="J4485">
        <v>0.94399999999999995</v>
      </c>
      <c r="K4485">
        <v>32.9</v>
      </c>
      <c r="L4485">
        <v>34.799999999999997</v>
      </c>
      <c r="M4485">
        <v>232</v>
      </c>
      <c r="N4485">
        <v>11</v>
      </c>
      <c r="O4485">
        <v>5</v>
      </c>
      <c r="P4485">
        <v>1</v>
      </c>
    </row>
    <row r="4486" spans="1:16" x14ac:dyDescent="0.25">
      <c r="A4486" s="4">
        <v>45492</v>
      </c>
      <c r="B4486" t="s">
        <v>9</v>
      </c>
      <c r="C4486">
        <v>1</v>
      </c>
      <c r="F4486">
        <v>109</v>
      </c>
      <c r="J4486">
        <v>0.46</v>
      </c>
      <c r="K4486">
        <v>16.3</v>
      </c>
      <c r="L4486">
        <v>35.4</v>
      </c>
      <c r="M4486">
        <v>90</v>
      </c>
      <c r="N4486">
        <v>8</v>
      </c>
      <c r="O4486">
        <v>1</v>
      </c>
    </row>
    <row r="4487" spans="1:16" x14ac:dyDescent="0.25">
      <c r="A4487" s="4">
        <v>45495</v>
      </c>
      <c r="B4487" t="s">
        <v>10</v>
      </c>
      <c r="C4487">
        <v>1</v>
      </c>
      <c r="F4487">
        <v>287</v>
      </c>
      <c r="J4487">
        <v>0.92400000000000004</v>
      </c>
      <c r="K4487">
        <v>34.200000000000003</v>
      </c>
      <c r="L4487">
        <v>37</v>
      </c>
      <c r="M4487">
        <v>200</v>
      </c>
      <c r="N4487">
        <v>28</v>
      </c>
      <c r="O4487">
        <v>9</v>
      </c>
    </row>
    <row r="4488" spans="1:16" x14ac:dyDescent="0.25">
      <c r="A4488" s="4">
        <v>45495</v>
      </c>
      <c r="B4488" t="s">
        <v>9</v>
      </c>
      <c r="C4488">
        <v>1</v>
      </c>
    </row>
    <row r="4489" spans="1:16" x14ac:dyDescent="0.25">
      <c r="A4489" s="4">
        <v>45496</v>
      </c>
      <c r="B4489" t="s">
        <v>10</v>
      </c>
      <c r="C4489">
        <v>1</v>
      </c>
      <c r="F4489">
        <v>303</v>
      </c>
      <c r="J4489">
        <v>1.0209999999999999</v>
      </c>
      <c r="K4489">
        <v>36.1</v>
      </c>
      <c r="L4489">
        <v>35.299999999999997</v>
      </c>
      <c r="M4489">
        <v>244</v>
      </c>
      <c r="N4489">
        <v>22</v>
      </c>
      <c r="O4489">
        <v>4</v>
      </c>
    </row>
    <row r="4490" spans="1:16" x14ac:dyDescent="0.25">
      <c r="A4490" s="4">
        <v>45496</v>
      </c>
      <c r="B4490" t="s">
        <v>9</v>
      </c>
      <c r="C4490">
        <v>1</v>
      </c>
      <c r="F4490">
        <v>139</v>
      </c>
      <c r="J4490">
        <v>0.44900000000000001</v>
      </c>
      <c r="K4490">
        <v>16.600000000000001</v>
      </c>
      <c r="L4490">
        <v>36.9</v>
      </c>
      <c r="M4490">
        <v>127</v>
      </c>
      <c r="N4490">
        <v>4</v>
      </c>
      <c r="O4490">
        <v>1</v>
      </c>
    </row>
    <row r="4491" spans="1:16" x14ac:dyDescent="0.25">
      <c r="A4491" s="4">
        <v>45497</v>
      </c>
      <c r="B4491" t="s">
        <v>10</v>
      </c>
      <c r="C4491">
        <v>1</v>
      </c>
      <c r="F4491">
        <v>310</v>
      </c>
      <c r="J4491">
        <v>1.0569999999999999</v>
      </c>
      <c r="K4491">
        <v>36.9</v>
      </c>
      <c r="L4491">
        <v>34.9</v>
      </c>
      <c r="M4491">
        <v>248</v>
      </c>
      <c r="N4491">
        <v>27</v>
      </c>
      <c r="O4491">
        <v>2</v>
      </c>
    </row>
    <row r="4492" spans="1:16" x14ac:dyDescent="0.25">
      <c r="A4492" s="4">
        <v>45497</v>
      </c>
      <c r="B4492" t="s">
        <v>9</v>
      </c>
      <c r="C4492">
        <v>1</v>
      </c>
      <c r="F4492">
        <v>117</v>
      </c>
      <c r="J4492">
        <v>0.38600000000000001</v>
      </c>
      <c r="K4492">
        <v>13.9</v>
      </c>
      <c r="L4492">
        <v>36.1</v>
      </c>
      <c r="M4492">
        <v>103</v>
      </c>
      <c r="N4492">
        <v>7</v>
      </c>
    </row>
    <row r="4493" spans="1:16" x14ac:dyDescent="0.25">
      <c r="A4493" s="4">
        <v>45498</v>
      </c>
      <c r="B4493" t="s">
        <v>10</v>
      </c>
      <c r="C4493">
        <v>1</v>
      </c>
      <c r="F4493">
        <v>250</v>
      </c>
      <c r="J4493">
        <v>0.82699999999999996</v>
      </c>
      <c r="K4493">
        <v>31.3</v>
      </c>
      <c r="L4493">
        <v>37.799999999999997</v>
      </c>
      <c r="M4493">
        <v>166</v>
      </c>
      <c r="N4493">
        <v>22</v>
      </c>
      <c r="O4493">
        <v>10</v>
      </c>
      <c r="P4493">
        <v>1</v>
      </c>
    </row>
    <row r="4494" spans="1:16" x14ac:dyDescent="0.25">
      <c r="A4494" s="4">
        <v>45498</v>
      </c>
      <c r="B4494" t="s">
        <v>9</v>
      </c>
      <c r="C4494">
        <v>1</v>
      </c>
      <c r="F4494">
        <v>139</v>
      </c>
      <c r="J4494">
        <v>0.47299999999999998</v>
      </c>
      <c r="K4494">
        <v>17.399999999999999</v>
      </c>
      <c r="L4494">
        <v>36.700000000000003</v>
      </c>
      <c r="M4494">
        <v>113</v>
      </c>
      <c r="N4494">
        <v>10</v>
      </c>
      <c r="O4494">
        <v>2</v>
      </c>
    </row>
    <row r="4495" spans="1:16" x14ac:dyDescent="0.25">
      <c r="A4495" s="4">
        <v>45499</v>
      </c>
      <c r="B4495" t="s">
        <v>10</v>
      </c>
      <c r="C4495">
        <v>1</v>
      </c>
      <c r="F4495">
        <v>368</v>
      </c>
      <c r="J4495">
        <v>1.2370000000000001</v>
      </c>
      <c r="K4495">
        <v>43.8</v>
      </c>
      <c r="L4495">
        <v>35.4</v>
      </c>
      <c r="M4495">
        <v>280</v>
      </c>
      <c r="N4495">
        <v>29</v>
      </c>
      <c r="O4495">
        <v>8</v>
      </c>
    </row>
    <row r="4496" spans="1:16" x14ac:dyDescent="0.25">
      <c r="A4496" s="4">
        <v>45499</v>
      </c>
      <c r="B4496" t="s">
        <v>9</v>
      </c>
      <c r="C4496">
        <v>1</v>
      </c>
      <c r="F4496">
        <v>79</v>
      </c>
      <c r="J4496">
        <v>0.35499999999999998</v>
      </c>
      <c r="K4496">
        <v>11.8</v>
      </c>
      <c r="L4496">
        <v>33.200000000000003</v>
      </c>
      <c r="M4496">
        <v>71</v>
      </c>
      <c r="N4496">
        <v>4</v>
      </c>
    </row>
    <row r="4497" spans="1:16" x14ac:dyDescent="0.25">
      <c r="A4497" s="4">
        <v>45500</v>
      </c>
      <c r="B4497" t="s">
        <v>10</v>
      </c>
      <c r="C4497">
        <v>1</v>
      </c>
      <c r="F4497">
        <v>156</v>
      </c>
      <c r="J4497">
        <v>0.126</v>
      </c>
      <c r="K4497">
        <v>42.2</v>
      </c>
      <c r="L4497">
        <v>33.299999999999997</v>
      </c>
      <c r="M4497">
        <v>138</v>
      </c>
      <c r="N4497">
        <v>9</v>
      </c>
    </row>
    <row r="4498" spans="1:16" x14ac:dyDescent="0.25">
      <c r="A4498" s="4">
        <v>45500</v>
      </c>
      <c r="B4498" t="s">
        <v>9</v>
      </c>
      <c r="C4498">
        <v>1</v>
      </c>
      <c r="F4498">
        <v>80</v>
      </c>
      <c r="J4498">
        <v>0.55900000000000005</v>
      </c>
      <c r="K4498">
        <v>21.6</v>
      </c>
      <c r="L4498">
        <v>38.700000000000003</v>
      </c>
      <c r="M4498">
        <v>62</v>
      </c>
      <c r="N4498">
        <v>9</v>
      </c>
    </row>
    <row r="4499" spans="1:16" x14ac:dyDescent="0.25">
      <c r="A4499" s="4">
        <v>45502</v>
      </c>
      <c r="B4499" t="s">
        <v>10</v>
      </c>
      <c r="C4499">
        <v>1</v>
      </c>
      <c r="F4499">
        <v>312</v>
      </c>
      <c r="J4499">
        <v>1.3</v>
      </c>
      <c r="K4499">
        <v>46.6</v>
      </c>
      <c r="L4499">
        <v>35.799999999999997</v>
      </c>
      <c r="M4499">
        <v>227</v>
      </c>
      <c r="N4499">
        <v>25</v>
      </c>
      <c r="O4499">
        <v>8</v>
      </c>
      <c r="P4499">
        <v>1</v>
      </c>
    </row>
    <row r="4500" spans="1:16" x14ac:dyDescent="0.25">
      <c r="A4500" s="4">
        <v>45502</v>
      </c>
      <c r="B4500" t="s">
        <v>9</v>
      </c>
      <c r="C4500">
        <v>1</v>
      </c>
      <c r="F4500">
        <v>157</v>
      </c>
      <c r="J4500">
        <v>0.623</v>
      </c>
      <c r="K4500">
        <v>23.4</v>
      </c>
      <c r="L4500">
        <v>37.6</v>
      </c>
      <c r="M4500">
        <v>134</v>
      </c>
      <c r="N4500">
        <v>7</v>
      </c>
      <c r="O4500">
        <v>3</v>
      </c>
    </row>
    <row r="4501" spans="1:16" x14ac:dyDescent="0.25">
      <c r="A4501" s="4">
        <v>45503</v>
      </c>
      <c r="B4501" t="s">
        <v>10</v>
      </c>
      <c r="C4501">
        <v>1</v>
      </c>
      <c r="F4501">
        <v>281</v>
      </c>
      <c r="J4501">
        <v>1.1759999999999999</v>
      </c>
      <c r="K4501">
        <v>41.9</v>
      </c>
      <c r="L4501">
        <v>35.700000000000003</v>
      </c>
      <c r="M4501">
        <v>216</v>
      </c>
      <c r="N4501">
        <v>22</v>
      </c>
      <c r="O4501">
        <v>7</v>
      </c>
    </row>
    <row r="4502" spans="1:16" x14ac:dyDescent="0.25">
      <c r="A4502" s="4">
        <v>45503</v>
      </c>
      <c r="B4502" t="s">
        <v>9</v>
      </c>
      <c r="C4502">
        <v>1</v>
      </c>
      <c r="F4502">
        <v>110</v>
      </c>
      <c r="J4502">
        <v>0.46600000000000003</v>
      </c>
      <c r="K4502">
        <v>16.399999999999999</v>
      </c>
      <c r="L4502">
        <v>35.200000000000003</v>
      </c>
      <c r="M4502">
        <v>104</v>
      </c>
      <c r="N4502">
        <v>3</v>
      </c>
    </row>
    <row r="4503" spans="1:16" x14ac:dyDescent="0.25">
      <c r="A4503" s="4">
        <v>45504</v>
      </c>
      <c r="B4503" t="s">
        <v>10</v>
      </c>
      <c r="C4503">
        <v>1</v>
      </c>
      <c r="F4503">
        <v>293</v>
      </c>
      <c r="J4503">
        <v>1.2370000000000001</v>
      </c>
      <c r="K4503">
        <v>43.7</v>
      </c>
      <c r="L4503">
        <v>35.299999999999997</v>
      </c>
      <c r="M4503">
        <v>227</v>
      </c>
      <c r="N4503">
        <v>18</v>
      </c>
      <c r="O4503">
        <v>8</v>
      </c>
    </row>
    <row r="4504" spans="1:16" x14ac:dyDescent="0.25">
      <c r="A4504" s="4">
        <v>45504</v>
      </c>
      <c r="B4504" t="s">
        <v>9</v>
      </c>
      <c r="C4504">
        <v>1</v>
      </c>
      <c r="F4504">
        <v>144</v>
      </c>
      <c r="J4504">
        <v>0.61399999999999999</v>
      </c>
      <c r="K4504">
        <v>21.5</v>
      </c>
      <c r="L4504">
        <v>35</v>
      </c>
      <c r="M4504">
        <v>130</v>
      </c>
      <c r="N4504">
        <v>5</v>
      </c>
      <c r="O4504">
        <v>1</v>
      </c>
    </row>
    <row r="4505" spans="1:16" x14ac:dyDescent="0.25">
      <c r="A4505" s="4">
        <v>45505</v>
      </c>
      <c r="B4505" t="s">
        <v>10</v>
      </c>
      <c r="C4505">
        <v>1</v>
      </c>
      <c r="F4505">
        <v>326</v>
      </c>
      <c r="J4505">
        <v>1.1240000000000001</v>
      </c>
      <c r="K4505">
        <v>38.799999999999997</v>
      </c>
      <c r="L4505">
        <v>34.5</v>
      </c>
      <c r="M4505">
        <v>268</v>
      </c>
      <c r="N4505">
        <v>26</v>
      </c>
      <c r="O4505">
        <v>2</v>
      </c>
    </row>
    <row r="4506" spans="1:16" x14ac:dyDescent="0.25">
      <c r="A4506" s="4">
        <v>45505</v>
      </c>
      <c r="B4506" t="s">
        <v>9</v>
      </c>
      <c r="C4506">
        <v>1</v>
      </c>
    </row>
    <row r="4507" spans="1:16" x14ac:dyDescent="0.25">
      <c r="A4507" s="4">
        <v>45506</v>
      </c>
      <c r="B4507" t="s">
        <v>10</v>
      </c>
      <c r="C4507">
        <v>1</v>
      </c>
      <c r="F4507">
        <v>395</v>
      </c>
      <c r="J4507">
        <v>1.2969999999999999</v>
      </c>
      <c r="K4507">
        <v>47</v>
      </c>
      <c r="L4507">
        <v>36.200000000000003</v>
      </c>
      <c r="M4507">
        <v>295</v>
      </c>
      <c r="N4507">
        <v>35</v>
      </c>
      <c r="O4507">
        <v>7</v>
      </c>
      <c r="P4507">
        <v>1</v>
      </c>
    </row>
    <row r="4508" spans="1:16" x14ac:dyDescent="0.25">
      <c r="A4508" s="4">
        <v>45506</v>
      </c>
      <c r="B4508" t="s">
        <v>9</v>
      </c>
      <c r="C4508">
        <v>1</v>
      </c>
      <c r="F4508">
        <v>151</v>
      </c>
      <c r="J4508">
        <v>0.52600000000000002</v>
      </c>
      <c r="K4508">
        <v>19.600000000000001</v>
      </c>
      <c r="L4508">
        <v>37.299999999999997</v>
      </c>
      <c r="M4508">
        <v>137</v>
      </c>
      <c r="N4508">
        <v>5</v>
      </c>
      <c r="O4508">
        <v>1</v>
      </c>
    </row>
    <row r="4509" spans="1:16" x14ac:dyDescent="0.25">
      <c r="A4509" s="4">
        <v>45509</v>
      </c>
      <c r="B4509" t="s">
        <v>10</v>
      </c>
      <c r="C4509">
        <v>1</v>
      </c>
      <c r="F4509">
        <v>266</v>
      </c>
      <c r="J4509">
        <v>1.1180000000000001</v>
      </c>
      <c r="K4509">
        <v>39.700000000000003</v>
      </c>
      <c r="L4509">
        <v>35.5</v>
      </c>
      <c r="M4509">
        <v>212</v>
      </c>
      <c r="N4509">
        <v>16</v>
      </c>
      <c r="O4509">
        <v>3</v>
      </c>
      <c r="P4509">
        <v>1</v>
      </c>
    </row>
    <row r="4510" spans="1:16" x14ac:dyDescent="0.25">
      <c r="A4510" s="4">
        <v>45509</v>
      </c>
      <c r="B4510" t="s">
        <v>9</v>
      </c>
      <c r="C4510">
        <v>1</v>
      </c>
      <c r="F4510">
        <v>100</v>
      </c>
      <c r="J4510">
        <v>0.42199999999999999</v>
      </c>
      <c r="K4510">
        <v>14.9</v>
      </c>
      <c r="L4510">
        <v>35.4</v>
      </c>
      <c r="M4510">
        <v>92</v>
      </c>
      <c r="N4510">
        <v>4</v>
      </c>
    </row>
    <row r="4511" spans="1:16" x14ac:dyDescent="0.25">
      <c r="A4511" s="4">
        <v>45510</v>
      </c>
      <c r="B4511" t="s">
        <v>10</v>
      </c>
      <c r="C4511">
        <v>1</v>
      </c>
      <c r="F4511">
        <v>321</v>
      </c>
      <c r="J4511">
        <v>1.0820000000000001</v>
      </c>
      <c r="K4511">
        <v>38.200000000000003</v>
      </c>
      <c r="L4511">
        <v>35.299999999999997</v>
      </c>
      <c r="M4511">
        <v>245</v>
      </c>
      <c r="N4511">
        <v>24</v>
      </c>
      <c r="O4511">
        <v>4</v>
      </c>
      <c r="P4511">
        <v>2</v>
      </c>
    </row>
    <row r="4512" spans="1:16" x14ac:dyDescent="0.25">
      <c r="A4512" s="4">
        <v>45510</v>
      </c>
      <c r="B4512" t="s">
        <v>9</v>
      </c>
      <c r="C4512">
        <v>1</v>
      </c>
      <c r="F4512">
        <v>144</v>
      </c>
      <c r="J4512">
        <v>0.47</v>
      </c>
      <c r="K4512">
        <v>17.100000000000001</v>
      </c>
      <c r="L4512">
        <v>36.5</v>
      </c>
      <c r="M4512">
        <v>132</v>
      </c>
      <c r="N4512">
        <v>6</v>
      </c>
    </row>
    <row r="4513" spans="1:16" x14ac:dyDescent="0.25">
      <c r="A4513" s="4">
        <v>45511</v>
      </c>
      <c r="B4513" t="s">
        <v>10</v>
      </c>
      <c r="C4513">
        <v>1</v>
      </c>
      <c r="F4513">
        <v>358</v>
      </c>
      <c r="J4513">
        <v>1.1259999999999999</v>
      </c>
      <c r="K4513">
        <v>42.6</v>
      </c>
      <c r="L4513">
        <v>37.9</v>
      </c>
      <c r="M4513">
        <v>248</v>
      </c>
      <c r="N4513">
        <v>35</v>
      </c>
      <c r="O4513">
        <v>5</v>
      </c>
      <c r="P4513">
        <v>3</v>
      </c>
    </row>
    <row r="4514" spans="1:16" x14ac:dyDescent="0.25">
      <c r="A4514" s="4">
        <v>45511</v>
      </c>
      <c r="B4514" t="s">
        <v>9</v>
      </c>
      <c r="C4514">
        <v>1</v>
      </c>
      <c r="F4514">
        <v>138</v>
      </c>
      <c r="J4514">
        <v>0.53600000000000003</v>
      </c>
      <c r="K4514">
        <v>20</v>
      </c>
      <c r="L4514">
        <v>37.299999999999997</v>
      </c>
      <c r="M4514">
        <v>125</v>
      </c>
      <c r="N4514">
        <v>5</v>
      </c>
      <c r="O4514">
        <v>1</v>
      </c>
    </row>
    <row r="4515" spans="1:16" x14ac:dyDescent="0.25">
      <c r="A4515" s="4">
        <v>45512</v>
      </c>
      <c r="B4515" t="s">
        <v>10</v>
      </c>
      <c r="C4515">
        <v>1</v>
      </c>
      <c r="F4515">
        <v>263</v>
      </c>
      <c r="J4515">
        <v>1.089</v>
      </c>
      <c r="K4515">
        <v>39.299999999999997</v>
      </c>
      <c r="L4515">
        <v>36</v>
      </c>
      <c r="M4515">
        <v>195</v>
      </c>
      <c r="N4515">
        <v>15</v>
      </c>
      <c r="O4515">
        <v>11</v>
      </c>
    </row>
    <row r="4516" spans="1:16" x14ac:dyDescent="0.25">
      <c r="A4516" s="4">
        <v>45512</v>
      </c>
      <c r="B4516" t="s">
        <v>9</v>
      </c>
      <c r="C4516">
        <v>1</v>
      </c>
      <c r="F4516">
        <v>131</v>
      </c>
      <c r="J4516">
        <v>0.54300000000000004</v>
      </c>
      <c r="K4516">
        <v>19.600000000000001</v>
      </c>
      <c r="L4516">
        <v>36</v>
      </c>
      <c r="M4516">
        <v>114</v>
      </c>
      <c r="N4516">
        <v>7</v>
      </c>
      <c r="O4516">
        <v>1</v>
      </c>
    </row>
    <row r="4517" spans="1:16" x14ac:dyDescent="0.25">
      <c r="A4517" s="4">
        <v>45513</v>
      </c>
      <c r="B4517" t="s">
        <v>10</v>
      </c>
      <c r="C4517">
        <v>1</v>
      </c>
      <c r="F4517">
        <v>261</v>
      </c>
      <c r="J4517">
        <v>1.127</v>
      </c>
      <c r="K4517">
        <v>39</v>
      </c>
      <c r="L4517">
        <v>34.6</v>
      </c>
      <c r="M4517">
        <v>218</v>
      </c>
      <c r="N4517">
        <v>10</v>
      </c>
      <c r="O4517">
        <v>5</v>
      </c>
      <c r="P4517">
        <v>1</v>
      </c>
    </row>
    <row r="4518" spans="1:16" x14ac:dyDescent="0.25">
      <c r="A4518" s="4">
        <v>45513</v>
      </c>
      <c r="B4518" t="s">
        <v>9</v>
      </c>
      <c r="C4518">
        <v>1</v>
      </c>
      <c r="F4518">
        <v>126</v>
      </c>
      <c r="J4518">
        <v>0.52300000000000002</v>
      </c>
      <c r="K4518">
        <v>18.8</v>
      </c>
      <c r="L4518">
        <v>36</v>
      </c>
      <c r="M4518">
        <v>116</v>
      </c>
      <c r="N4518">
        <v>5</v>
      </c>
    </row>
    <row r="4519" spans="1:16" x14ac:dyDescent="0.25">
      <c r="A4519" s="4">
        <v>45516</v>
      </c>
      <c r="B4519" t="s">
        <v>10</v>
      </c>
      <c r="C4519">
        <v>1</v>
      </c>
      <c r="F4519">
        <v>236</v>
      </c>
      <c r="J4519">
        <v>1.079</v>
      </c>
      <c r="K4519">
        <v>35.200000000000003</v>
      </c>
      <c r="L4519">
        <v>32.6</v>
      </c>
      <c r="M4519">
        <v>199</v>
      </c>
      <c r="N4519">
        <v>15</v>
      </c>
      <c r="O4519">
        <v>2</v>
      </c>
    </row>
    <row r="4520" spans="1:16" x14ac:dyDescent="0.25">
      <c r="A4520" s="4">
        <v>45516</v>
      </c>
      <c r="B4520" t="s">
        <v>9</v>
      </c>
      <c r="C4520">
        <v>1</v>
      </c>
      <c r="F4520">
        <v>106</v>
      </c>
      <c r="J4520">
        <v>0.47</v>
      </c>
      <c r="K4520">
        <v>17</v>
      </c>
      <c r="L4520">
        <v>36.1</v>
      </c>
      <c r="M4520">
        <v>97</v>
      </c>
      <c r="N4520">
        <v>3</v>
      </c>
      <c r="O4520">
        <v>1</v>
      </c>
    </row>
    <row r="4521" spans="1:16" x14ac:dyDescent="0.25">
      <c r="A4521" s="4">
        <v>45517</v>
      </c>
      <c r="B4521" t="s">
        <v>10</v>
      </c>
      <c r="C4521">
        <v>1</v>
      </c>
      <c r="F4521">
        <v>329</v>
      </c>
      <c r="J4521">
        <v>1.07</v>
      </c>
      <c r="K4521">
        <v>39.200000000000003</v>
      </c>
      <c r="L4521">
        <v>36.6</v>
      </c>
      <c r="M4521">
        <v>219</v>
      </c>
      <c r="N4521">
        <v>29</v>
      </c>
      <c r="O4521">
        <v>14</v>
      </c>
      <c r="P4521">
        <v>1</v>
      </c>
    </row>
    <row r="4522" spans="1:16" x14ac:dyDescent="0.25">
      <c r="A4522" s="4">
        <v>45517</v>
      </c>
      <c r="B4522" t="s">
        <v>9</v>
      </c>
      <c r="C4522">
        <v>1</v>
      </c>
      <c r="F4522">
        <v>186</v>
      </c>
      <c r="J4522">
        <v>0.57399999999999995</v>
      </c>
      <c r="K4522">
        <v>22.1</v>
      </c>
      <c r="L4522">
        <v>38.6</v>
      </c>
      <c r="M4522">
        <v>169</v>
      </c>
      <c r="N4522">
        <v>7</v>
      </c>
      <c r="O4522">
        <v>1</v>
      </c>
    </row>
    <row r="4523" spans="1:16" x14ac:dyDescent="0.25">
      <c r="A4523" s="4">
        <v>45518</v>
      </c>
      <c r="B4523" t="s">
        <v>10</v>
      </c>
      <c r="C4523">
        <v>1</v>
      </c>
      <c r="F4523">
        <v>331</v>
      </c>
      <c r="J4523">
        <v>1.1259999999999999</v>
      </c>
      <c r="K4523">
        <v>39.4</v>
      </c>
      <c r="L4523">
        <v>35</v>
      </c>
      <c r="M4523">
        <v>256</v>
      </c>
      <c r="N4523">
        <v>24</v>
      </c>
      <c r="O4523">
        <v>7</v>
      </c>
      <c r="P4523">
        <v>1</v>
      </c>
    </row>
    <row r="4524" spans="1:16" x14ac:dyDescent="0.25">
      <c r="A4524" s="4">
        <v>45518</v>
      </c>
      <c r="B4524" t="s">
        <v>9</v>
      </c>
      <c r="C4524">
        <v>1</v>
      </c>
      <c r="F4524">
        <v>200</v>
      </c>
      <c r="J4524">
        <v>0.66200000000000003</v>
      </c>
      <c r="K4524">
        <v>23.8</v>
      </c>
      <c r="L4524">
        <v>35.9</v>
      </c>
      <c r="M4524">
        <v>196</v>
      </c>
      <c r="N4524">
        <v>2</v>
      </c>
    </row>
    <row r="4525" spans="1:16" x14ac:dyDescent="0.25">
      <c r="A4525" s="4">
        <v>45519</v>
      </c>
      <c r="B4525" t="s">
        <v>10</v>
      </c>
      <c r="C4525">
        <v>1</v>
      </c>
      <c r="F4525">
        <v>380</v>
      </c>
      <c r="J4525">
        <v>1.19</v>
      </c>
      <c r="K4525">
        <v>47.5</v>
      </c>
      <c r="L4525">
        <v>39.9</v>
      </c>
      <c r="M4525">
        <v>233</v>
      </c>
      <c r="N4525">
        <v>28</v>
      </c>
      <c r="O4525">
        <v>14</v>
      </c>
      <c r="P4525">
        <v>5</v>
      </c>
    </row>
    <row r="4526" spans="1:16" x14ac:dyDescent="0.25">
      <c r="A4526" s="4">
        <v>45519</v>
      </c>
      <c r="B4526" t="s">
        <v>9</v>
      </c>
      <c r="C4526">
        <v>1</v>
      </c>
      <c r="F4526">
        <v>169</v>
      </c>
      <c r="J4526">
        <v>0.55600000000000005</v>
      </c>
      <c r="K4526">
        <v>21.1</v>
      </c>
      <c r="L4526">
        <v>38</v>
      </c>
      <c r="M4526">
        <v>140</v>
      </c>
      <c r="N4526">
        <v>10</v>
      </c>
      <c r="O4526">
        <v>3</v>
      </c>
    </row>
    <row r="4527" spans="1:16" x14ac:dyDescent="0.25">
      <c r="A4527" s="4">
        <v>45520</v>
      </c>
      <c r="B4527" t="s">
        <v>10</v>
      </c>
      <c r="C4527">
        <v>1</v>
      </c>
      <c r="F4527">
        <v>334</v>
      </c>
      <c r="J4527">
        <v>1.3360000000000001</v>
      </c>
      <c r="K4527">
        <v>49.9</v>
      </c>
      <c r="L4527">
        <v>37.299999999999997</v>
      </c>
      <c r="M4527">
        <v>232</v>
      </c>
      <c r="N4527">
        <v>26</v>
      </c>
      <c r="O4527">
        <v>10</v>
      </c>
      <c r="P4527">
        <v>2</v>
      </c>
    </row>
    <row r="4528" spans="1:16" x14ac:dyDescent="0.25">
      <c r="A4528" s="4">
        <v>45520</v>
      </c>
      <c r="B4528" t="s">
        <v>9</v>
      </c>
      <c r="C4528">
        <v>1</v>
      </c>
      <c r="F4528">
        <v>137</v>
      </c>
      <c r="J4528">
        <v>0.55400000000000005</v>
      </c>
      <c r="K4528">
        <v>20.5</v>
      </c>
      <c r="L4528">
        <v>36.9</v>
      </c>
      <c r="M4528">
        <v>107</v>
      </c>
      <c r="N4528">
        <v>15</v>
      </c>
    </row>
    <row r="4529" spans="1:16" x14ac:dyDescent="0.25">
      <c r="A4529" s="4">
        <v>45523</v>
      </c>
      <c r="B4529" t="s">
        <v>10</v>
      </c>
      <c r="C4529">
        <v>1</v>
      </c>
      <c r="F4529">
        <v>363</v>
      </c>
      <c r="J4529">
        <v>1.1839999999999999</v>
      </c>
      <c r="K4529">
        <v>43.2</v>
      </c>
      <c r="L4529">
        <v>36.5</v>
      </c>
      <c r="M4529">
        <v>256</v>
      </c>
      <c r="N4529">
        <v>35</v>
      </c>
      <c r="O4529">
        <v>7</v>
      </c>
      <c r="P4529">
        <v>2</v>
      </c>
    </row>
    <row r="4530" spans="1:16" x14ac:dyDescent="0.25">
      <c r="A4530" s="4">
        <v>45523</v>
      </c>
      <c r="B4530" t="s">
        <v>9</v>
      </c>
      <c r="C4530">
        <v>1</v>
      </c>
      <c r="F4530">
        <v>159</v>
      </c>
      <c r="J4530">
        <v>0.51</v>
      </c>
      <c r="K4530">
        <v>18.899999999999999</v>
      </c>
      <c r="L4530">
        <v>37.1</v>
      </c>
      <c r="M4530">
        <v>131</v>
      </c>
      <c r="N4530">
        <v>14</v>
      </c>
    </row>
    <row r="4531" spans="1:16" x14ac:dyDescent="0.25">
      <c r="A4531" s="4">
        <v>45524</v>
      </c>
      <c r="B4531" t="s">
        <v>10</v>
      </c>
      <c r="C4531">
        <v>1</v>
      </c>
      <c r="F4531">
        <v>351</v>
      </c>
      <c r="J4531">
        <v>1.181</v>
      </c>
      <c r="K4531">
        <v>41.8</v>
      </c>
      <c r="L4531">
        <v>35.4</v>
      </c>
      <c r="M4531">
        <v>265</v>
      </c>
      <c r="N4531">
        <v>38</v>
      </c>
      <c r="O4531">
        <v>3</v>
      </c>
    </row>
    <row r="4532" spans="1:16" x14ac:dyDescent="0.25">
      <c r="A4532" s="4">
        <v>45524</v>
      </c>
      <c r="B4532" t="s">
        <v>9</v>
      </c>
      <c r="C4532">
        <v>1</v>
      </c>
      <c r="F4532">
        <v>72</v>
      </c>
      <c r="J4532">
        <v>0.38500000000000001</v>
      </c>
      <c r="K4532">
        <v>13.9</v>
      </c>
      <c r="L4532">
        <v>36</v>
      </c>
      <c r="M4532">
        <v>70</v>
      </c>
      <c r="N4532">
        <v>1</v>
      </c>
    </row>
    <row r="4533" spans="1:16" x14ac:dyDescent="0.25">
      <c r="A4533" s="4">
        <v>45525</v>
      </c>
      <c r="B4533" t="s">
        <v>10</v>
      </c>
      <c r="C4533">
        <v>1</v>
      </c>
      <c r="F4533">
        <v>326</v>
      </c>
      <c r="J4533">
        <v>1.1040000000000001</v>
      </c>
      <c r="K4533">
        <v>38.799999999999997</v>
      </c>
      <c r="L4533">
        <v>35.1</v>
      </c>
      <c r="M4533">
        <v>273</v>
      </c>
      <c r="N4533">
        <v>12</v>
      </c>
      <c r="O4533">
        <v>3</v>
      </c>
      <c r="P4533">
        <v>2</v>
      </c>
    </row>
    <row r="4534" spans="1:16" x14ac:dyDescent="0.25">
      <c r="A4534" s="4">
        <v>45525</v>
      </c>
      <c r="B4534" t="s">
        <v>9</v>
      </c>
      <c r="C4534">
        <v>1</v>
      </c>
      <c r="F4534">
        <v>105</v>
      </c>
      <c r="J4534">
        <v>0.33400000000000002</v>
      </c>
      <c r="K4534">
        <v>12.5</v>
      </c>
      <c r="L4534">
        <v>37.4</v>
      </c>
      <c r="M4534">
        <v>99</v>
      </c>
      <c r="N4534">
        <v>3</v>
      </c>
    </row>
    <row r="4535" spans="1:16" x14ac:dyDescent="0.25">
      <c r="A4535" s="4">
        <v>45526</v>
      </c>
      <c r="B4535" t="s">
        <v>10</v>
      </c>
      <c r="C4535">
        <v>1</v>
      </c>
      <c r="F4535">
        <v>357</v>
      </c>
      <c r="J4535">
        <v>1.165</v>
      </c>
      <c r="K4535">
        <v>42.5</v>
      </c>
      <c r="L4535">
        <v>36.9</v>
      </c>
      <c r="M4535">
        <v>260</v>
      </c>
      <c r="N4535">
        <v>30</v>
      </c>
      <c r="O4535">
        <v>8</v>
      </c>
      <c r="P4535">
        <v>1</v>
      </c>
    </row>
    <row r="4536" spans="1:16" x14ac:dyDescent="0.25">
      <c r="A4536" s="4">
        <v>45526</v>
      </c>
      <c r="B4536" t="s">
        <v>9</v>
      </c>
      <c r="C4536">
        <v>1</v>
      </c>
      <c r="F4536">
        <v>106</v>
      </c>
      <c r="J4536">
        <v>0.33800000000000002</v>
      </c>
      <c r="K4536">
        <v>12.6</v>
      </c>
      <c r="L4536">
        <v>37.4</v>
      </c>
      <c r="M4536">
        <v>87</v>
      </c>
      <c r="N4536">
        <v>8</v>
      </c>
      <c r="O4536">
        <v>1</v>
      </c>
    </row>
    <row r="4537" spans="1:16" x14ac:dyDescent="0.25">
      <c r="A4537" s="4">
        <v>45527</v>
      </c>
      <c r="B4537" t="s">
        <v>10</v>
      </c>
      <c r="C4537">
        <v>1</v>
      </c>
      <c r="F4537">
        <v>356</v>
      </c>
      <c r="J4537">
        <v>1.204</v>
      </c>
      <c r="K4537">
        <v>42.4</v>
      </c>
      <c r="L4537">
        <v>35.200000000000003</v>
      </c>
      <c r="M4537">
        <v>276</v>
      </c>
      <c r="N4537">
        <v>24</v>
      </c>
      <c r="O4537">
        <v>6</v>
      </c>
      <c r="P4537">
        <v>2</v>
      </c>
    </row>
    <row r="4538" spans="1:16" x14ac:dyDescent="0.25">
      <c r="A4538" s="4">
        <v>45527</v>
      </c>
      <c r="B4538" t="s">
        <v>9</v>
      </c>
      <c r="C4538">
        <v>1</v>
      </c>
      <c r="F4538">
        <v>124</v>
      </c>
      <c r="J4538">
        <v>0.38700000000000001</v>
      </c>
      <c r="K4538">
        <v>14.8</v>
      </c>
      <c r="L4538">
        <v>38.1</v>
      </c>
      <c r="M4538">
        <v>97</v>
      </c>
      <c r="N4538">
        <v>12</v>
      </c>
      <c r="O4538">
        <v>1</v>
      </c>
    </row>
    <row r="4539" spans="1:16" x14ac:dyDescent="0.25">
      <c r="A4539" s="4">
        <v>45530</v>
      </c>
      <c r="B4539" t="s">
        <v>10</v>
      </c>
      <c r="C4539">
        <v>1</v>
      </c>
      <c r="F4539">
        <v>231</v>
      </c>
      <c r="J4539">
        <v>0.95</v>
      </c>
      <c r="K4539">
        <v>34.5</v>
      </c>
      <c r="L4539">
        <v>36.299999999999997</v>
      </c>
      <c r="M4539">
        <v>168</v>
      </c>
      <c r="N4539">
        <v>16</v>
      </c>
      <c r="O4539">
        <v>7</v>
      </c>
      <c r="P4539">
        <v>1</v>
      </c>
    </row>
    <row r="4540" spans="1:16" x14ac:dyDescent="0.25">
      <c r="A4540" s="4">
        <v>45530</v>
      </c>
      <c r="B4540" t="s">
        <v>9</v>
      </c>
      <c r="C4540">
        <v>1</v>
      </c>
      <c r="F4540">
        <v>79</v>
      </c>
      <c r="J4540">
        <v>0.34300000000000003</v>
      </c>
      <c r="K4540">
        <v>11.8</v>
      </c>
      <c r="L4540">
        <v>34.299999999999997</v>
      </c>
      <c r="M4540">
        <v>73</v>
      </c>
      <c r="N4540">
        <v>3</v>
      </c>
    </row>
    <row r="4541" spans="1:16" x14ac:dyDescent="0.25">
      <c r="A4541" s="4">
        <v>45531</v>
      </c>
      <c r="B4541" t="s">
        <v>10</v>
      </c>
      <c r="C4541">
        <v>1</v>
      </c>
      <c r="F4541">
        <v>369</v>
      </c>
      <c r="J4541">
        <v>1.22</v>
      </c>
      <c r="K4541">
        <v>43.9</v>
      </c>
      <c r="L4541">
        <v>36</v>
      </c>
      <c r="M4541">
        <v>258</v>
      </c>
      <c r="N4541">
        <v>45</v>
      </c>
      <c r="O4541">
        <v>5</v>
      </c>
    </row>
    <row r="4542" spans="1:16" x14ac:dyDescent="0.25">
      <c r="A4542" s="4">
        <v>45531</v>
      </c>
      <c r="B4542" t="s">
        <v>9</v>
      </c>
      <c r="C4542">
        <v>1</v>
      </c>
      <c r="F4542">
        <v>115</v>
      </c>
      <c r="J4542">
        <v>0.38</v>
      </c>
      <c r="K4542">
        <v>13.7</v>
      </c>
      <c r="L4542">
        <v>36</v>
      </c>
      <c r="M4542">
        <v>105</v>
      </c>
      <c r="N4542">
        <v>5</v>
      </c>
    </row>
    <row r="4543" spans="1:16" x14ac:dyDescent="0.25">
      <c r="A4543" s="4">
        <v>45532</v>
      </c>
      <c r="B4543" t="s">
        <v>10</v>
      </c>
      <c r="C4543">
        <v>1</v>
      </c>
      <c r="F4543">
        <v>328</v>
      </c>
      <c r="J4543">
        <v>1.1000000000000001</v>
      </c>
      <c r="K4543">
        <v>39.1</v>
      </c>
      <c r="L4543">
        <v>35.5</v>
      </c>
      <c r="M4543">
        <v>279</v>
      </c>
      <c r="N4543">
        <v>20</v>
      </c>
      <c r="O4543">
        <v>3</v>
      </c>
    </row>
    <row r="4544" spans="1:16" x14ac:dyDescent="0.25">
      <c r="A4544" s="4">
        <v>45532</v>
      </c>
      <c r="B4544" t="s">
        <v>9</v>
      </c>
      <c r="C4544">
        <v>1</v>
      </c>
      <c r="F4544">
        <v>119</v>
      </c>
      <c r="J4544">
        <v>0.36899999999999999</v>
      </c>
      <c r="K4544">
        <v>14.2</v>
      </c>
      <c r="L4544">
        <v>38.4</v>
      </c>
      <c r="M4544">
        <v>106</v>
      </c>
      <c r="N4544">
        <v>5</v>
      </c>
      <c r="O4544">
        <v>1</v>
      </c>
    </row>
    <row r="4545" spans="1:16" x14ac:dyDescent="0.25">
      <c r="A4545" s="4">
        <v>45533</v>
      </c>
      <c r="B4545" t="s">
        <v>10</v>
      </c>
      <c r="C4545">
        <v>1</v>
      </c>
      <c r="F4545">
        <v>402</v>
      </c>
      <c r="J4545">
        <v>1.3560000000000001</v>
      </c>
      <c r="K4545">
        <v>47.9</v>
      </c>
      <c r="L4545">
        <v>35.299999999999997</v>
      </c>
      <c r="M4545">
        <v>305</v>
      </c>
      <c r="N4545">
        <v>32</v>
      </c>
      <c r="O4545">
        <v>7</v>
      </c>
      <c r="P4545">
        <v>1</v>
      </c>
    </row>
    <row r="4546" spans="1:16" x14ac:dyDescent="0.25">
      <c r="A4546" s="4">
        <v>45533</v>
      </c>
      <c r="B4546" t="s">
        <v>9</v>
      </c>
      <c r="C4546">
        <v>1</v>
      </c>
      <c r="F4546">
        <v>184</v>
      </c>
      <c r="J4546">
        <v>0.59399999999999997</v>
      </c>
      <c r="K4546">
        <v>21.9</v>
      </c>
      <c r="L4546">
        <v>36.9</v>
      </c>
      <c r="M4546">
        <v>150</v>
      </c>
      <c r="N4546">
        <v>13</v>
      </c>
      <c r="O4546">
        <v>2</v>
      </c>
    </row>
    <row r="4547" spans="1:16" x14ac:dyDescent="0.25">
      <c r="A4547" s="4">
        <v>45534</v>
      </c>
      <c r="B4547" t="s">
        <v>10</v>
      </c>
      <c r="C4547">
        <v>1</v>
      </c>
      <c r="F4547">
        <v>348</v>
      </c>
      <c r="J4547">
        <v>1.171</v>
      </c>
      <c r="K4547">
        <v>41.4</v>
      </c>
      <c r="L4547">
        <v>35.4</v>
      </c>
      <c r="M4547">
        <v>276</v>
      </c>
      <c r="N4547">
        <v>24</v>
      </c>
      <c r="O4547">
        <v>3</v>
      </c>
      <c r="P4547">
        <v>2</v>
      </c>
    </row>
    <row r="4548" spans="1:16" x14ac:dyDescent="0.25">
      <c r="A4548" s="4">
        <v>45534</v>
      </c>
      <c r="B4548" t="s">
        <v>9</v>
      </c>
      <c r="C4548">
        <v>1</v>
      </c>
      <c r="F4548">
        <v>161</v>
      </c>
      <c r="J4548">
        <v>0.52800000000000002</v>
      </c>
      <c r="K4548">
        <v>19.2</v>
      </c>
      <c r="L4548">
        <v>36.299999999999997</v>
      </c>
      <c r="M4548">
        <v>9</v>
      </c>
      <c r="N4548">
        <v>2</v>
      </c>
    </row>
    <row r="4549" spans="1:16" x14ac:dyDescent="0.25">
      <c r="A4549" s="4">
        <v>45538</v>
      </c>
      <c r="B4549" t="s">
        <v>10</v>
      </c>
      <c r="C4549">
        <v>1</v>
      </c>
      <c r="F4549">
        <v>300</v>
      </c>
      <c r="J4549">
        <v>1.2070000000000001</v>
      </c>
      <c r="K4549">
        <v>44.8</v>
      </c>
      <c r="L4549">
        <v>37.1</v>
      </c>
      <c r="M4549">
        <v>202</v>
      </c>
      <c r="N4549">
        <v>34</v>
      </c>
      <c r="O4549">
        <v>7</v>
      </c>
      <c r="P4549">
        <v>1</v>
      </c>
    </row>
    <row r="4550" spans="1:16" x14ac:dyDescent="0.25">
      <c r="A4550" s="4">
        <v>45538</v>
      </c>
      <c r="B4550" t="s">
        <v>9</v>
      </c>
      <c r="C4550">
        <v>1</v>
      </c>
      <c r="F4550">
        <v>90</v>
      </c>
      <c r="J4550">
        <v>0.34699999999999998</v>
      </c>
      <c r="K4550">
        <v>13.4</v>
      </c>
      <c r="L4550">
        <v>38.799999999999997</v>
      </c>
      <c r="M4550">
        <v>68</v>
      </c>
      <c r="N4550">
        <v>11</v>
      </c>
    </row>
    <row r="4551" spans="1:16" x14ac:dyDescent="0.25">
      <c r="A4551" s="4">
        <v>45539</v>
      </c>
      <c r="B4551" t="s">
        <v>10</v>
      </c>
      <c r="C4551">
        <v>1</v>
      </c>
      <c r="F4551">
        <v>305</v>
      </c>
      <c r="J4551">
        <v>1.3089999999999999</v>
      </c>
      <c r="K4551">
        <v>45.5</v>
      </c>
      <c r="L4551">
        <v>34.799999999999997</v>
      </c>
      <c r="M4551">
        <v>231</v>
      </c>
      <c r="N4551">
        <v>29</v>
      </c>
      <c r="O4551">
        <v>5</v>
      </c>
    </row>
    <row r="4552" spans="1:16" x14ac:dyDescent="0.25">
      <c r="A4552" s="4">
        <v>45539</v>
      </c>
      <c r="B4552" t="s">
        <v>9</v>
      </c>
      <c r="C4552">
        <v>1</v>
      </c>
      <c r="F4552">
        <v>102</v>
      </c>
      <c r="J4552">
        <v>0.40200000000000002</v>
      </c>
      <c r="K4552">
        <v>15.2</v>
      </c>
      <c r="L4552">
        <v>37.9</v>
      </c>
      <c r="M4552">
        <v>96</v>
      </c>
      <c r="N4552">
        <v>3</v>
      </c>
    </row>
    <row r="4553" spans="1:16" x14ac:dyDescent="0.25">
      <c r="A4553" s="4">
        <v>45540</v>
      </c>
      <c r="B4553" t="s">
        <v>10</v>
      </c>
      <c r="C4553">
        <v>1</v>
      </c>
      <c r="F4553">
        <v>280</v>
      </c>
      <c r="J4553">
        <v>1.1910000000000001</v>
      </c>
      <c r="K4553">
        <v>41.8</v>
      </c>
      <c r="L4553">
        <v>35.1</v>
      </c>
      <c r="M4553">
        <v>238</v>
      </c>
      <c r="N4553">
        <v>10</v>
      </c>
      <c r="O4553">
        <v>5</v>
      </c>
      <c r="P4553">
        <v>1</v>
      </c>
    </row>
    <row r="4554" spans="1:16" x14ac:dyDescent="0.25">
      <c r="A4554" s="4">
        <v>45540</v>
      </c>
      <c r="B4554" t="s">
        <v>9</v>
      </c>
      <c r="C4554">
        <v>1</v>
      </c>
      <c r="F4554">
        <v>116</v>
      </c>
      <c r="J4554">
        <v>0.44600000000000001</v>
      </c>
      <c r="K4554">
        <v>17.3</v>
      </c>
      <c r="L4554">
        <v>38.799999999999997</v>
      </c>
      <c r="M4554">
        <v>100</v>
      </c>
      <c r="N4554">
        <v>8</v>
      </c>
    </row>
    <row r="4555" spans="1:16" x14ac:dyDescent="0.25">
      <c r="A4555" s="4">
        <v>45541</v>
      </c>
      <c r="B4555" t="s">
        <v>10</v>
      </c>
      <c r="C4555">
        <v>1</v>
      </c>
      <c r="F4555">
        <v>397</v>
      </c>
      <c r="J4555">
        <v>1.284</v>
      </c>
      <c r="K4555">
        <v>47.3</v>
      </c>
      <c r="L4555">
        <v>36.799999999999997</v>
      </c>
      <c r="M4555">
        <v>284</v>
      </c>
      <c r="N4555">
        <v>41</v>
      </c>
      <c r="O4555">
        <v>7</v>
      </c>
      <c r="P4555">
        <v>1</v>
      </c>
    </row>
    <row r="4556" spans="1:16" x14ac:dyDescent="0.25">
      <c r="A4556" s="4">
        <v>45541</v>
      </c>
      <c r="B4556" t="s">
        <v>9</v>
      </c>
      <c r="C4556">
        <v>1</v>
      </c>
      <c r="F4556">
        <v>138</v>
      </c>
      <c r="J4556">
        <v>0.44900000000000001</v>
      </c>
      <c r="K4556">
        <v>16.399999999999999</v>
      </c>
      <c r="L4556">
        <v>36.6</v>
      </c>
      <c r="M4556">
        <v>115</v>
      </c>
      <c r="N4556">
        <v>7</v>
      </c>
      <c r="O4556">
        <v>3</v>
      </c>
    </row>
    <row r="4557" spans="1:16" x14ac:dyDescent="0.25">
      <c r="A4557" s="4">
        <v>45544</v>
      </c>
      <c r="B4557" t="s">
        <v>10</v>
      </c>
      <c r="C4557">
        <v>1</v>
      </c>
      <c r="F4557">
        <v>377</v>
      </c>
      <c r="J4557">
        <v>1.2809999999999999</v>
      </c>
      <c r="K4557">
        <v>44.9</v>
      </c>
      <c r="L4557">
        <v>35</v>
      </c>
      <c r="M4557">
        <v>286</v>
      </c>
      <c r="N4557">
        <v>35</v>
      </c>
      <c r="O4557">
        <v>5</v>
      </c>
      <c r="P4557">
        <v>1</v>
      </c>
    </row>
    <row r="4558" spans="1:16" x14ac:dyDescent="0.25">
      <c r="A4558" s="4">
        <v>45544</v>
      </c>
      <c r="B4558" t="s">
        <v>9</v>
      </c>
      <c r="C4558">
        <v>1</v>
      </c>
      <c r="F4558">
        <v>118</v>
      </c>
      <c r="J4558">
        <v>0.41599999999999998</v>
      </c>
      <c r="K4558">
        <v>14.1</v>
      </c>
      <c r="L4558">
        <v>33.799999999999997</v>
      </c>
      <c r="M4558">
        <v>94</v>
      </c>
      <c r="N4558">
        <v>10</v>
      </c>
      <c r="O4558">
        <v>1</v>
      </c>
    </row>
    <row r="4559" spans="1:16" x14ac:dyDescent="0.25">
      <c r="A4559" s="4">
        <v>45545</v>
      </c>
      <c r="B4559" t="s">
        <v>10</v>
      </c>
      <c r="C4559">
        <v>1</v>
      </c>
      <c r="F4559">
        <v>386</v>
      </c>
      <c r="J4559">
        <v>1.2170000000000001</v>
      </c>
      <c r="K4559">
        <v>46</v>
      </c>
      <c r="L4559">
        <v>37.799999999999997</v>
      </c>
      <c r="M4559">
        <v>266</v>
      </c>
      <c r="N4559">
        <v>29</v>
      </c>
      <c r="O4559">
        <v>13</v>
      </c>
      <c r="P4559">
        <v>2</v>
      </c>
    </row>
    <row r="4560" spans="1:16" x14ac:dyDescent="0.25">
      <c r="A4560" s="4">
        <v>45545</v>
      </c>
      <c r="B4560" t="s">
        <v>9</v>
      </c>
      <c r="C4560">
        <v>1</v>
      </c>
      <c r="F4560">
        <v>108</v>
      </c>
      <c r="J4560">
        <v>0.34300000000000003</v>
      </c>
      <c r="K4560">
        <v>12.9</v>
      </c>
      <c r="L4560">
        <v>37.5</v>
      </c>
      <c r="M4560">
        <v>88</v>
      </c>
      <c r="N4560">
        <v>10</v>
      </c>
    </row>
    <row r="4561" spans="1:16" x14ac:dyDescent="0.25">
      <c r="A4561" s="4">
        <v>45546</v>
      </c>
      <c r="B4561" t="s">
        <v>10</v>
      </c>
      <c r="C4561">
        <v>1</v>
      </c>
      <c r="F4561">
        <v>363</v>
      </c>
      <c r="J4561">
        <v>1.173</v>
      </c>
      <c r="K4561">
        <v>43.2</v>
      </c>
      <c r="L4561">
        <v>36.799999999999997</v>
      </c>
      <c r="M4561">
        <v>272</v>
      </c>
      <c r="N4561">
        <v>27</v>
      </c>
      <c r="O4561">
        <v>9</v>
      </c>
    </row>
    <row r="4562" spans="1:16" x14ac:dyDescent="0.25">
      <c r="A4562" s="4">
        <v>45546</v>
      </c>
      <c r="B4562" t="s">
        <v>9</v>
      </c>
      <c r="C4562">
        <v>1</v>
      </c>
      <c r="F4562">
        <v>175</v>
      </c>
      <c r="J4562">
        <v>0.48499999999999999</v>
      </c>
      <c r="K4562">
        <v>20.8</v>
      </c>
      <c r="L4562">
        <v>42.9</v>
      </c>
      <c r="M4562">
        <v>110</v>
      </c>
      <c r="N4562">
        <v>13</v>
      </c>
      <c r="O4562">
        <v>12</v>
      </c>
    </row>
    <row r="4563" spans="1:16" x14ac:dyDescent="0.25">
      <c r="A4563" s="4">
        <v>45547</v>
      </c>
      <c r="B4563" t="s">
        <v>10</v>
      </c>
      <c r="C4563">
        <v>1</v>
      </c>
      <c r="F4563">
        <v>349</v>
      </c>
      <c r="J4563">
        <v>1.1519999999999999</v>
      </c>
      <c r="K4563">
        <v>41.6</v>
      </c>
      <c r="L4563">
        <v>36.1</v>
      </c>
      <c r="M4563">
        <v>254</v>
      </c>
      <c r="N4563">
        <v>25</v>
      </c>
      <c r="O4563">
        <v>11</v>
      </c>
      <c r="P4563">
        <v>1</v>
      </c>
    </row>
    <row r="4564" spans="1:16" x14ac:dyDescent="0.25">
      <c r="A4564" s="4">
        <v>45547</v>
      </c>
      <c r="B4564" t="s">
        <v>9</v>
      </c>
      <c r="C4564">
        <v>1</v>
      </c>
      <c r="F4564">
        <v>155</v>
      </c>
      <c r="J4564">
        <v>0.53400000000000003</v>
      </c>
      <c r="K4564">
        <v>21</v>
      </c>
      <c r="L4564">
        <v>39.200000000000003</v>
      </c>
      <c r="M4564">
        <v>116</v>
      </c>
      <c r="N4564">
        <v>6</v>
      </c>
      <c r="O4564">
        <v>3</v>
      </c>
      <c r="P4564">
        <v>2</v>
      </c>
    </row>
    <row r="4565" spans="1:16" x14ac:dyDescent="0.25">
      <c r="A4565" s="4">
        <v>45548</v>
      </c>
      <c r="B4565" t="s">
        <v>10</v>
      </c>
      <c r="C4565">
        <v>1</v>
      </c>
      <c r="F4565">
        <v>375</v>
      </c>
      <c r="J4565">
        <v>1.181</v>
      </c>
      <c r="K4565">
        <v>44.6</v>
      </c>
      <c r="L4565">
        <v>37.799999999999997</v>
      </c>
      <c r="M4565">
        <v>238</v>
      </c>
      <c r="N4565">
        <v>44</v>
      </c>
      <c r="O4565">
        <v>11</v>
      </c>
      <c r="P4565">
        <v>1</v>
      </c>
    </row>
    <row r="4566" spans="1:16" x14ac:dyDescent="0.25">
      <c r="A4566" s="4">
        <v>45548</v>
      </c>
      <c r="B4566" t="s">
        <v>9</v>
      </c>
      <c r="C4566">
        <v>1</v>
      </c>
      <c r="F4566">
        <v>114</v>
      </c>
      <c r="J4566">
        <v>0.44400000000000001</v>
      </c>
      <c r="K4566">
        <v>15.4</v>
      </c>
      <c r="L4566">
        <v>34.700000000000003</v>
      </c>
      <c r="M4566">
        <v>108</v>
      </c>
      <c r="N4566">
        <v>3</v>
      </c>
    </row>
    <row r="4567" spans="1:16" x14ac:dyDescent="0.25">
      <c r="A4567" s="4">
        <v>45551</v>
      </c>
      <c r="B4567" t="s">
        <v>10</v>
      </c>
      <c r="C4567">
        <v>1</v>
      </c>
      <c r="F4567">
        <v>360</v>
      </c>
      <c r="J4567">
        <v>1.204</v>
      </c>
      <c r="K4567">
        <v>42.9</v>
      </c>
      <c r="L4567">
        <v>35.6</v>
      </c>
      <c r="M4567">
        <v>276</v>
      </c>
      <c r="N4567">
        <v>32</v>
      </c>
      <c r="O4567">
        <v>4</v>
      </c>
      <c r="P4567">
        <v>1</v>
      </c>
    </row>
    <row r="4568" spans="1:16" x14ac:dyDescent="0.25">
      <c r="A4568" s="4">
        <v>45551</v>
      </c>
      <c r="B4568" t="s">
        <v>9</v>
      </c>
      <c r="C4568">
        <v>1</v>
      </c>
      <c r="F4568">
        <v>140</v>
      </c>
      <c r="J4568">
        <v>0.42899999999999999</v>
      </c>
      <c r="K4568">
        <v>16.7</v>
      </c>
      <c r="L4568">
        <v>38.799999999999997</v>
      </c>
      <c r="M4568">
        <v>114</v>
      </c>
      <c r="N4568">
        <v>10</v>
      </c>
      <c r="O4568">
        <v>2</v>
      </c>
    </row>
    <row r="4569" spans="1:16" x14ac:dyDescent="0.25">
      <c r="A4569" s="4">
        <v>45552</v>
      </c>
      <c r="B4569" t="s">
        <v>10</v>
      </c>
      <c r="C4569">
        <v>1</v>
      </c>
      <c r="F4569">
        <v>303</v>
      </c>
      <c r="J4569">
        <v>1.228</v>
      </c>
      <c r="K4569">
        <v>45.2</v>
      </c>
      <c r="L4569">
        <v>36.799999999999997</v>
      </c>
      <c r="M4569">
        <v>222</v>
      </c>
      <c r="N4569">
        <v>22</v>
      </c>
      <c r="O4569">
        <v>11</v>
      </c>
    </row>
    <row r="4570" spans="1:16" x14ac:dyDescent="0.25">
      <c r="A4570" s="4">
        <v>45552</v>
      </c>
      <c r="B4570" t="s">
        <v>9</v>
      </c>
      <c r="C4570">
        <v>1</v>
      </c>
      <c r="F4570">
        <v>100</v>
      </c>
      <c r="J4570">
        <v>0.40100000000000002</v>
      </c>
      <c r="K4570">
        <v>14.9</v>
      </c>
      <c r="L4570">
        <v>37.200000000000003</v>
      </c>
      <c r="M4570">
        <v>89</v>
      </c>
      <c r="N4570">
        <v>4</v>
      </c>
      <c r="O4570">
        <v>1</v>
      </c>
    </row>
    <row r="4571" spans="1:16" x14ac:dyDescent="0.25">
      <c r="A4571" s="4">
        <v>45553</v>
      </c>
      <c r="B4571" t="s">
        <v>10</v>
      </c>
      <c r="C4571">
        <v>1</v>
      </c>
      <c r="F4571">
        <v>376</v>
      </c>
      <c r="J4571">
        <v>1.2370000000000001</v>
      </c>
      <c r="K4571">
        <v>44.8</v>
      </c>
      <c r="L4571">
        <v>36.200000000000003</v>
      </c>
      <c r="M4571">
        <v>266</v>
      </c>
      <c r="N4571">
        <v>39</v>
      </c>
      <c r="O4571">
        <v>8</v>
      </c>
      <c r="P4571">
        <v>1</v>
      </c>
    </row>
    <row r="4572" spans="1:16" x14ac:dyDescent="0.25">
      <c r="A4572" s="4">
        <v>45553</v>
      </c>
      <c r="B4572" t="s">
        <v>9</v>
      </c>
      <c r="C4572">
        <v>1</v>
      </c>
      <c r="F4572">
        <v>132</v>
      </c>
      <c r="J4572">
        <v>0.41799999999999998</v>
      </c>
      <c r="K4572">
        <v>15.7</v>
      </c>
      <c r="L4572">
        <v>37.6</v>
      </c>
      <c r="M4572">
        <v>99</v>
      </c>
      <c r="N4572">
        <v>9</v>
      </c>
      <c r="O4572">
        <v>4</v>
      </c>
    </row>
    <row r="4573" spans="1:16" x14ac:dyDescent="0.25">
      <c r="A4573" s="4">
        <v>45554</v>
      </c>
      <c r="B4573" t="s">
        <v>10</v>
      </c>
      <c r="C4573">
        <v>1</v>
      </c>
      <c r="F4573">
        <v>352</v>
      </c>
      <c r="J4573">
        <v>1.151</v>
      </c>
      <c r="K4573">
        <v>41.9</v>
      </c>
      <c r="L4573">
        <v>36.4</v>
      </c>
      <c r="M4573">
        <v>287</v>
      </c>
      <c r="N4573">
        <v>17</v>
      </c>
      <c r="O4573">
        <v>6</v>
      </c>
      <c r="P4573">
        <v>2</v>
      </c>
    </row>
    <row r="4574" spans="1:16" x14ac:dyDescent="0.25">
      <c r="A4574" s="4">
        <v>45554</v>
      </c>
      <c r="B4574" t="s">
        <v>9</v>
      </c>
      <c r="C4574">
        <v>1</v>
      </c>
      <c r="F4574">
        <v>77</v>
      </c>
      <c r="J4574">
        <v>0.38200000000000001</v>
      </c>
      <c r="K4574">
        <v>14</v>
      </c>
      <c r="L4574">
        <v>36.700000000000003</v>
      </c>
      <c r="M4574">
        <v>67</v>
      </c>
      <c r="N4574">
        <v>5</v>
      </c>
    </row>
    <row r="4575" spans="1:16" x14ac:dyDescent="0.25">
      <c r="A4575" s="4">
        <v>45555</v>
      </c>
      <c r="B4575" t="s">
        <v>10</v>
      </c>
      <c r="C4575">
        <v>1</v>
      </c>
      <c r="F4575">
        <v>412</v>
      </c>
      <c r="J4575">
        <v>1.2809999999999999</v>
      </c>
      <c r="K4575">
        <v>49.1</v>
      </c>
      <c r="L4575">
        <v>38.299999999999997</v>
      </c>
      <c r="M4575">
        <v>269</v>
      </c>
      <c r="N4575">
        <v>32</v>
      </c>
      <c r="O4575">
        <v>18</v>
      </c>
      <c r="P4575">
        <v>2</v>
      </c>
    </row>
    <row r="4576" spans="1:16" x14ac:dyDescent="0.25">
      <c r="A4576" s="4">
        <v>45555</v>
      </c>
      <c r="B4576" t="s">
        <v>9</v>
      </c>
      <c r="C4576">
        <v>1</v>
      </c>
      <c r="F4576">
        <v>62</v>
      </c>
      <c r="J4576">
        <v>0.432</v>
      </c>
      <c r="K4576">
        <v>15.5</v>
      </c>
      <c r="L4576">
        <v>35.799999999999997</v>
      </c>
      <c r="M4576">
        <v>54</v>
      </c>
      <c r="N4576">
        <v>4</v>
      </c>
    </row>
    <row r="4577" spans="1:16" x14ac:dyDescent="0.25">
      <c r="A4577" s="4">
        <v>45558</v>
      </c>
      <c r="B4577" t="s">
        <v>10</v>
      </c>
      <c r="C4577">
        <v>1</v>
      </c>
      <c r="F4577">
        <v>363</v>
      </c>
      <c r="J4577">
        <v>1.163</v>
      </c>
      <c r="K4577">
        <v>43.2</v>
      </c>
      <c r="L4577">
        <v>37.200000000000003</v>
      </c>
      <c r="M4577">
        <v>242</v>
      </c>
      <c r="N4577">
        <v>40</v>
      </c>
      <c r="O4577">
        <v>10</v>
      </c>
      <c r="P4577">
        <v>1</v>
      </c>
    </row>
    <row r="4578" spans="1:16" x14ac:dyDescent="0.25">
      <c r="A4578" s="4">
        <v>45558</v>
      </c>
      <c r="B4578" t="s">
        <v>9</v>
      </c>
      <c r="C4578">
        <v>1</v>
      </c>
      <c r="F4578">
        <v>141</v>
      </c>
      <c r="J4578">
        <v>0.379</v>
      </c>
      <c r="K4578">
        <v>16.8</v>
      </c>
      <c r="L4578">
        <v>44.3</v>
      </c>
      <c r="M4578">
        <v>68</v>
      </c>
      <c r="N4578">
        <v>14</v>
      </c>
      <c r="O4578">
        <v>14</v>
      </c>
    </row>
    <row r="4579" spans="1:16" x14ac:dyDescent="0.25">
      <c r="A4579" s="4">
        <v>45559</v>
      </c>
      <c r="B4579" t="s">
        <v>10</v>
      </c>
      <c r="C4579">
        <v>1</v>
      </c>
      <c r="F4579">
        <v>289</v>
      </c>
      <c r="J4579">
        <v>1.022</v>
      </c>
      <c r="K4579">
        <v>34.4</v>
      </c>
      <c r="L4579">
        <v>33.700000000000003</v>
      </c>
      <c r="M4579">
        <v>236</v>
      </c>
      <c r="N4579">
        <v>22</v>
      </c>
      <c r="O4579">
        <v>3</v>
      </c>
    </row>
    <row r="4580" spans="1:16" x14ac:dyDescent="0.25">
      <c r="A4580" s="4">
        <v>45559</v>
      </c>
      <c r="B4580" t="s">
        <v>9</v>
      </c>
      <c r="C4580">
        <v>1</v>
      </c>
      <c r="F4580">
        <v>106</v>
      </c>
      <c r="J4580">
        <v>0.33300000000000002</v>
      </c>
      <c r="K4580">
        <v>12.6</v>
      </c>
      <c r="L4580">
        <v>38</v>
      </c>
      <c r="M4580">
        <v>81</v>
      </c>
      <c r="N4580">
        <v>8</v>
      </c>
      <c r="O4580">
        <v>3</v>
      </c>
    </row>
    <row r="4581" spans="1:16" x14ac:dyDescent="0.25">
      <c r="A4581" s="4">
        <v>45560</v>
      </c>
      <c r="B4581" t="s">
        <v>10</v>
      </c>
      <c r="C4581">
        <v>1</v>
      </c>
      <c r="F4581">
        <v>342</v>
      </c>
      <c r="J4581">
        <v>1.155</v>
      </c>
      <c r="K4581">
        <v>40.700000000000003</v>
      </c>
      <c r="L4581">
        <v>35.299999999999997</v>
      </c>
      <c r="M4581">
        <v>274</v>
      </c>
      <c r="N4581">
        <v>25</v>
      </c>
      <c r="O4581">
        <v>5</v>
      </c>
    </row>
    <row r="4582" spans="1:16" x14ac:dyDescent="0.25">
      <c r="A4582" s="4">
        <v>45560</v>
      </c>
      <c r="B4582" t="s">
        <v>9</v>
      </c>
      <c r="C4582">
        <v>1</v>
      </c>
      <c r="F4582">
        <v>134</v>
      </c>
      <c r="J4582">
        <v>0.441</v>
      </c>
      <c r="K4582">
        <v>16</v>
      </c>
      <c r="L4582">
        <v>36.200000000000003</v>
      </c>
      <c r="M4582">
        <v>99</v>
      </c>
      <c r="N4582">
        <v>12</v>
      </c>
      <c r="O4582">
        <v>3</v>
      </c>
    </row>
    <row r="4583" spans="1:16" x14ac:dyDescent="0.25">
      <c r="A4583" s="4">
        <v>45561</v>
      </c>
      <c r="B4583" t="s">
        <v>10</v>
      </c>
      <c r="C4583">
        <v>1</v>
      </c>
      <c r="F4583">
        <v>340</v>
      </c>
      <c r="J4583">
        <v>1.149</v>
      </c>
      <c r="K4583">
        <v>40.5</v>
      </c>
      <c r="L4583">
        <v>35.200000000000003</v>
      </c>
      <c r="M4583">
        <v>266</v>
      </c>
      <c r="N4583">
        <v>22</v>
      </c>
      <c r="O4583">
        <v>4</v>
      </c>
      <c r="P4583">
        <v>2</v>
      </c>
    </row>
    <row r="4584" spans="1:16" x14ac:dyDescent="0.25">
      <c r="A4584" s="4">
        <v>45561</v>
      </c>
      <c r="B4584" t="s">
        <v>9</v>
      </c>
      <c r="C4584">
        <v>1</v>
      </c>
      <c r="F4584">
        <v>170</v>
      </c>
      <c r="J4584">
        <v>0.52800000000000002</v>
      </c>
      <c r="K4584">
        <v>20.2</v>
      </c>
      <c r="L4584">
        <v>38.299999999999997</v>
      </c>
      <c r="M4584">
        <v>128</v>
      </c>
      <c r="N4584">
        <v>13</v>
      </c>
      <c r="O4584">
        <v>4</v>
      </c>
    </row>
    <row r="4585" spans="1:16" x14ac:dyDescent="0.25">
      <c r="A4585" s="4">
        <v>45562</v>
      </c>
      <c r="B4585" t="s">
        <v>10</v>
      </c>
      <c r="C4585">
        <v>1</v>
      </c>
      <c r="F4585">
        <v>218</v>
      </c>
      <c r="J4585">
        <v>1.19</v>
      </c>
      <c r="K4585">
        <v>43.6</v>
      </c>
      <c r="L4585">
        <v>36.6</v>
      </c>
      <c r="M4585">
        <v>161</v>
      </c>
      <c r="N4585">
        <v>18</v>
      </c>
      <c r="O4585">
        <v>4</v>
      </c>
      <c r="P4585">
        <v>1</v>
      </c>
    </row>
    <row r="4586" spans="1:16" x14ac:dyDescent="0.25">
      <c r="A4586" s="4">
        <v>45562</v>
      </c>
      <c r="B4586" t="s">
        <v>9</v>
      </c>
      <c r="C4586">
        <v>1</v>
      </c>
      <c r="F4586">
        <v>153</v>
      </c>
      <c r="J4586">
        <v>0.60699999999999998</v>
      </c>
      <c r="K4586">
        <v>21.9</v>
      </c>
      <c r="L4586">
        <v>36</v>
      </c>
      <c r="M4586">
        <v>121</v>
      </c>
      <c r="N4586">
        <v>10</v>
      </c>
      <c r="O4586">
        <v>4</v>
      </c>
    </row>
    <row r="4587" spans="1:16" x14ac:dyDescent="0.25">
      <c r="A4587" s="4">
        <v>45563</v>
      </c>
      <c r="B4587" t="s">
        <v>10</v>
      </c>
      <c r="C4587">
        <v>1</v>
      </c>
      <c r="F4587">
        <v>268</v>
      </c>
      <c r="J4587">
        <v>1.1339999999999999</v>
      </c>
      <c r="K4587">
        <v>40</v>
      </c>
      <c r="L4587">
        <v>35.299999999999997</v>
      </c>
      <c r="M4587">
        <v>198</v>
      </c>
      <c r="N4587">
        <v>28</v>
      </c>
      <c r="O4587">
        <v>4</v>
      </c>
    </row>
    <row r="4588" spans="1:16" x14ac:dyDescent="0.25">
      <c r="A4588" s="4">
        <v>45563</v>
      </c>
      <c r="B4588" t="s">
        <v>9</v>
      </c>
      <c r="C4588">
        <v>1</v>
      </c>
      <c r="F4588">
        <v>97</v>
      </c>
      <c r="J4588">
        <v>0.42899999999999999</v>
      </c>
      <c r="K4588">
        <v>14.5</v>
      </c>
      <c r="L4588">
        <v>33.799999999999997</v>
      </c>
      <c r="M4588">
        <v>88</v>
      </c>
      <c r="N4588">
        <v>3</v>
      </c>
      <c r="O4588">
        <v>1</v>
      </c>
    </row>
    <row r="4589" spans="1:16" x14ac:dyDescent="0.25">
      <c r="A4589" s="4">
        <v>45565</v>
      </c>
      <c r="B4589" t="s">
        <v>10</v>
      </c>
      <c r="C4589">
        <v>1</v>
      </c>
      <c r="F4589">
        <v>301</v>
      </c>
      <c r="J4589">
        <v>1.2949999999999999</v>
      </c>
      <c r="K4589">
        <v>44.9</v>
      </c>
      <c r="L4589">
        <v>34.700000000000003</v>
      </c>
      <c r="M4589">
        <v>240</v>
      </c>
      <c r="N4589">
        <v>19</v>
      </c>
      <c r="O4589">
        <v>6</v>
      </c>
    </row>
    <row r="4590" spans="1:16" x14ac:dyDescent="0.25">
      <c r="A4590" s="4">
        <v>45565</v>
      </c>
      <c r="B4590" t="s">
        <v>9</v>
      </c>
      <c r="C4590">
        <v>1</v>
      </c>
      <c r="F4590">
        <v>90</v>
      </c>
      <c r="J4590">
        <v>0.36899999999999999</v>
      </c>
      <c r="K4590">
        <v>13.4</v>
      </c>
      <c r="L4590">
        <v>36.4</v>
      </c>
      <c r="M4590">
        <v>71</v>
      </c>
      <c r="N4590">
        <v>6</v>
      </c>
      <c r="O4590">
        <v>2</v>
      </c>
    </row>
    <row r="4591" spans="1:16" x14ac:dyDescent="0.25">
      <c r="A4591" s="4">
        <v>45566</v>
      </c>
      <c r="B4591" t="s">
        <v>10</v>
      </c>
      <c r="C4591">
        <v>1</v>
      </c>
      <c r="F4591">
        <v>339</v>
      </c>
      <c r="J4591">
        <v>1.1559999999999999</v>
      </c>
      <c r="K4591">
        <v>40.4</v>
      </c>
      <c r="L4591">
        <v>34.9</v>
      </c>
      <c r="M4591">
        <v>274</v>
      </c>
      <c r="N4591">
        <v>21</v>
      </c>
      <c r="O4591">
        <v>6</v>
      </c>
    </row>
    <row r="4592" spans="1:16" x14ac:dyDescent="0.25">
      <c r="A4592" s="4">
        <v>45566</v>
      </c>
      <c r="B4592" t="s">
        <v>9</v>
      </c>
      <c r="C4592">
        <v>1</v>
      </c>
      <c r="F4592">
        <v>133</v>
      </c>
      <c r="J4592">
        <v>0.42899999999999999</v>
      </c>
      <c r="K4592">
        <v>15.8</v>
      </c>
      <c r="L4592">
        <v>36.9</v>
      </c>
      <c r="M4592">
        <v>116</v>
      </c>
      <c r="N4592">
        <v>4</v>
      </c>
      <c r="O4592">
        <v>1</v>
      </c>
      <c r="P4592">
        <v>1</v>
      </c>
    </row>
    <row r="4593" spans="1:16" x14ac:dyDescent="0.25">
      <c r="A4593" s="4">
        <v>45567</v>
      </c>
      <c r="B4593" t="s">
        <v>10</v>
      </c>
      <c r="C4593">
        <v>1</v>
      </c>
      <c r="F4593">
        <v>309</v>
      </c>
      <c r="J4593">
        <v>1.1379999999999999</v>
      </c>
      <c r="K4593">
        <v>39.1</v>
      </c>
      <c r="L4593">
        <v>34.4</v>
      </c>
      <c r="M4593">
        <v>267</v>
      </c>
      <c r="N4593">
        <v>19</v>
      </c>
      <c r="O4593">
        <v>1</v>
      </c>
    </row>
    <row r="4594" spans="1:16" x14ac:dyDescent="0.25">
      <c r="A4594" s="4">
        <v>45567</v>
      </c>
      <c r="B4594" t="s">
        <v>9</v>
      </c>
      <c r="C4594">
        <v>1</v>
      </c>
      <c r="F4594">
        <v>102</v>
      </c>
      <c r="J4594">
        <v>0.34399999999999997</v>
      </c>
      <c r="K4594">
        <v>12.9</v>
      </c>
      <c r="L4594">
        <v>37.6</v>
      </c>
      <c r="M4594">
        <v>89</v>
      </c>
      <c r="N4594">
        <v>5</v>
      </c>
      <c r="O4594">
        <v>1</v>
      </c>
    </row>
    <row r="4595" spans="1:16" x14ac:dyDescent="0.25">
      <c r="A4595" s="4">
        <v>45568</v>
      </c>
      <c r="B4595" t="s">
        <v>10</v>
      </c>
      <c r="C4595">
        <v>1</v>
      </c>
      <c r="F4595">
        <v>274</v>
      </c>
      <c r="J4595">
        <v>1.181</v>
      </c>
      <c r="K4595">
        <v>40.9</v>
      </c>
      <c r="L4595">
        <v>34.6</v>
      </c>
      <c r="M4595">
        <v>222</v>
      </c>
      <c r="N4595">
        <v>13</v>
      </c>
      <c r="O4595">
        <v>8</v>
      </c>
    </row>
    <row r="4596" spans="1:16" x14ac:dyDescent="0.25">
      <c r="A4596" s="4">
        <v>45568</v>
      </c>
      <c r="B4596" t="s">
        <v>9</v>
      </c>
      <c r="C4596">
        <v>1</v>
      </c>
      <c r="F4596">
        <v>100</v>
      </c>
      <c r="J4596">
        <v>0.373</v>
      </c>
      <c r="K4596">
        <v>14.9</v>
      </c>
      <c r="L4596">
        <v>40.1</v>
      </c>
      <c r="M4596">
        <v>68</v>
      </c>
      <c r="N4596">
        <v>12</v>
      </c>
      <c r="O4596">
        <v>2</v>
      </c>
    </row>
    <row r="4597" spans="1:16" x14ac:dyDescent="0.25">
      <c r="A4597" s="4">
        <v>45569</v>
      </c>
      <c r="B4597" t="s">
        <v>10</v>
      </c>
      <c r="C4597">
        <v>1</v>
      </c>
      <c r="F4597">
        <v>363</v>
      </c>
      <c r="J4597">
        <v>1.2370000000000001</v>
      </c>
      <c r="K4597">
        <v>43.2</v>
      </c>
      <c r="L4597">
        <v>34.9</v>
      </c>
      <c r="M4597">
        <v>284</v>
      </c>
      <c r="N4597">
        <v>28</v>
      </c>
      <c r="O4597">
        <v>5</v>
      </c>
      <c r="P4597">
        <v>1</v>
      </c>
    </row>
    <row r="4598" spans="1:16" x14ac:dyDescent="0.25">
      <c r="A4598" s="4">
        <v>45569</v>
      </c>
      <c r="B4598" t="s">
        <v>9</v>
      </c>
      <c r="C4598">
        <v>1</v>
      </c>
      <c r="F4598">
        <v>201</v>
      </c>
      <c r="J4598">
        <v>0.56699999999999995</v>
      </c>
      <c r="K4598">
        <v>23.9</v>
      </c>
      <c r="L4598">
        <v>42.2</v>
      </c>
      <c r="M4598">
        <v>110</v>
      </c>
      <c r="N4598">
        <v>13</v>
      </c>
      <c r="O4598">
        <v>3</v>
      </c>
      <c r="P4598">
        <v>9</v>
      </c>
    </row>
    <row r="4599" spans="1:16" x14ac:dyDescent="0.25">
      <c r="A4599" s="4">
        <v>45572</v>
      </c>
      <c r="B4599" t="s">
        <v>10</v>
      </c>
      <c r="C4599">
        <v>1</v>
      </c>
      <c r="F4599">
        <v>295</v>
      </c>
      <c r="J4599">
        <v>0.98</v>
      </c>
      <c r="K4599">
        <v>35.1</v>
      </c>
      <c r="L4599">
        <v>35.799999999999997</v>
      </c>
      <c r="M4599">
        <v>226</v>
      </c>
      <c r="N4599">
        <v>20</v>
      </c>
      <c r="O4599">
        <v>8</v>
      </c>
    </row>
    <row r="4600" spans="1:16" x14ac:dyDescent="0.25">
      <c r="A4600" s="4">
        <v>45572</v>
      </c>
      <c r="B4600" t="s">
        <v>9</v>
      </c>
      <c r="C4600">
        <v>1</v>
      </c>
      <c r="F4600">
        <v>107</v>
      </c>
      <c r="J4600">
        <v>0.34499999999999997</v>
      </c>
      <c r="K4600">
        <v>12.7</v>
      </c>
      <c r="L4600">
        <v>36.9</v>
      </c>
      <c r="M4600">
        <v>95</v>
      </c>
      <c r="N4600">
        <v>6</v>
      </c>
    </row>
    <row r="4601" spans="1:16" x14ac:dyDescent="0.25">
      <c r="A4601" s="4">
        <v>45573</v>
      </c>
      <c r="B4601" t="s">
        <v>10</v>
      </c>
      <c r="C4601">
        <v>1</v>
      </c>
      <c r="F4601">
        <v>380</v>
      </c>
      <c r="J4601">
        <v>1.222</v>
      </c>
      <c r="K4601">
        <v>42.7</v>
      </c>
      <c r="L4601">
        <v>35</v>
      </c>
      <c r="M4601">
        <v>297</v>
      </c>
      <c r="N4601">
        <v>33</v>
      </c>
      <c r="O4601">
        <v>5</v>
      </c>
    </row>
    <row r="4602" spans="1:16" x14ac:dyDescent="0.25">
      <c r="A4602" s="4">
        <v>45573</v>
      </c>
      <c r="B4602" t="s">
        <v>9</v>
      </c>
      <c r="C4602">
        <v>1</v>
      </c>
      <c r="F4602">
        <v>104</v>
      </c>
      <c r="J4602">
        <v>0.33100000000000002</v>
      </c>
      <c r="K4602">
        <v>11.7</v>
      </c>
      <c r="L4602">
        <v>35.299999999999997</v>
      </c>
      <c r="M4602">
        <v>96</v>
      </c>
      <c r="N4602">
        <v>4</v>
      </c>
    </row>
    <row r="4603" spans="1:16" x14ac:dyDescent="0.25">
      <c r="A4603" s="4">
        <v>45574</v>
      </c>
      <c r="B4603" t="s">
        <v>10</v>
      </c>
      <c r="C4603">
        <v>1</v>
      </c>
      <c r="F4603">
        <v>356</v>
      </c>
      <c r="J4603">
        <v>1.2649999999999999</v>
      </c>
      <c r="K4603">
        <v>44.5</v>
      </c>
      <c r="L4603">
        <v>35.200000000000003</v>
      </c>
      <c r="M4603">
        <v>276</v>
      </c>
      <c r="N4603">
        <v>24</v>
      </c>
      <c r="O4603">
        <v>8</v>
      </c>
      <c r="P4603">
        <v>1</v>
      </c>
    </row>
    <row r="4604" spans="1:16" x14ac:dyDescent="0.25">
      <c r="A4604" s="4">
        <v>45574</v>
      </c>
      <c r="B4604" t="s">
        <v>9</v>
      </c>
      <c r="C4604">
        <v>1</v>
      </c>
      <c r="F4604">
        <v>121</v>
      </c>
      <c r="J4604">
        <v>0.36099999999999999</v>
      </c>
      <c r="K4604">
        <v>15.1</v>
      </c>
      <c r="L4604">
        <v>41.9</v>
      </c>
      <c r="M4604">
        <v>76</v>
      </c>
      <c r="N4604">
        <v>13</v>
      </c>
      <c r="O4604">
        <v>2</v>
      </c>
      <c r="P4604">
        <v>2</v>
      </c>
    </row>
    <row r="4605" spans="1:16" x14ac:dyDescent="0.25">
      <c r="A4605" s="4">
        <v>45575</v>
      </c>
      <c r="B4605" t="s">
        <v>10</v>
      </c>
      <c r="C4605">
        <v>1</v>
      </c>
      <c r="F4605">
        <v>300</v>
      </c>
      <c r="J4605">
        <v>1.1160000000000001</v>
      </c>
      <c r="K4605">
        <v>41.7</v>
      </c>
      <c r="L4605">
        <v>37.299999999999997</v>
      </c>
      <c r="M4605">
        <v>213</v>
      </c>
      <c r="N4605">
        <v>23</v>
      </c>
      <c r="O4605">
        <v>11</v>
      </c>
    </row>
    <row r="4606" spans="1:16" x14ac:dyDescent="0.25">
      <c r="A4606" s="4">
        <v>45575</v>
      </c>
      <c r="B4606" t="s">
        <v>9</v>
      </c>
      <c r="C4606">
        <v>1</v>
      </c>
      <c r="F4606">
        <v>107</v>
      </c>
      <c r="J4606">
        <v>0.39300000000000002</v>
      </c>
      <c r="K4606">
        <v>14.9</v>
      </c>
      <c r="L4606">
        <v>37.799999999999997</v>
      </c>
      <c r="M4606">
        <v>95</v>
      </c>
      <c r="N4606">
        <v>6</v>
      </c>
    </row>
    <row r="4607" spans="1:16" x14ac:dyDescent="0.25">
      <c r="A4607" s="4">
        <v>45576</v>
      </c>
      <c r="B4607" t="s">
        <v>10</v>
      </c>
      <c r="C4607">
        <v>1</v>
      </c>
      <c r="F4607">
        <v>290</v>
      </c>
      <c r="J4607">
        <v>1.091</v>
      </c>
      <c r="K4607">
        <v>40.299999999999997</v>
      </c>
      <c r="L4607">
        <v>36.9</v>
      </c>
      <c r="M4607">
        <v>226</v>
      </c>
      <c r="N4607">
        <v>18</v>
      </c>
      <c r="O4607">
        <v>2</v>
      </c>
      <c r="P4607">
        <v>3</v>
      </c>
    </row>
    <row r="4608" spans="1:16" x14ac:dyDescent="0.25">
      <c r="A4608" s="4">
        <v>45576</v>
      </c>
      <c r="B4608" t="s">
        <v>9</v>
      </c>
      <c r="C4608">
        <v>1</v>
      </c>
      <c r="F4608">
        <v>25</v>
      </c>
      <c r="J4608">
        <v>0.29299999999999998</v>
      </c>
      <c r="K4608">
        <v>11.4</v>
      </c>
      <c r="L4608">
        <v>38.799999999999997</v>
      </c>
      <c r="M4608">
        <v>15</v>
      </c>
      <c r="N4608">
        <v>2</v>
      </c>
      <c r="O4608">
        <v>2</v>
      </c>
    </row>
    <row r="4609" spans="1:16" x14ac:dyDescent="0.25">
      <c r="A4609" s="4">
        <v>45579</v>
      </c>
      <c r="B4609" t="s">
        <v>10</v>
      </c>
      <c r="C4609">
        <v>1</v>
      </c>
      <c r="F4609">
        <v>315</v>
      </c>
      <c r="J4609">
        <v>1.254</v>
      </c>
      <c r="K4609">
        <v>43.8</v>
      </c>
      <c r="L4609">
        <v>35</v>
      </c>
      <c r="M4609">
        <v>242</v>
      </c>
      <c r="N4609">
        <v>35</v>
      </c>
      <c r="O4609">
        <v>1</v>
      </c>
    </row>
    <row r="4610" spans="1:16" x14ac:dyDescent="0.25">
      <c r="A4610" s="4">
        <v>45579</v>
      </c>
      <c r="B4610" t="s">
        <v>9</v>
      </c>
      <c r="C4610">
        <v>1</v>
      </c>
      <c r="F4610">
        <v>72</v>
      </c>
      <c r="J4610">
        <v>0.36699999999999999</v>
      </c>
      <c r="K4610">
        <v>13.1</v>
      </c>
      <c r="L4610">
        <v>35.700000000000003</v>
      </c>
      <c r="M4610">
        <v>61</v>
      </c>
      <c r="N4610">
        <v>4</v>
      </c>
      <c r="O4610">
        <v>1</v>
      </c>
    </row>
    <row r="4611" spans="1:16" x14ac:dyDescent="0.25">
      <c r="A4611" s="4">
        <v>45580</v>
      </c>
      <c r="B4611" t="s">
        <v>10</v>
      </c>
      <c r="C4611">
        <v>1</v>
      </c>
      <c r="F4611">
        <v>378</v>
      </c>
      <c r="J4611">
        <v>1.1890000000000001</v>
      </c>
      <c r="K4611">
        <v>42.5</v>
      </c>
      <c r="L4611">
        <v>35.700000000000003</v>
      </c>
      <c r="M4611">
        <v>279</v>
      </c>
      <c r="N4611">
        <v>34</v>
      </c>
      <c r="O4611">
        <v>7</v>
      </c>
      <c r="P4611">
        <v>1</v>
      </c>
    </row>
    <row r="4612" spans="1:16" x14ac:dyDescent="0.25">
      <c r="A4612" s="4">
        <v>45580</v>
      </c>
      <c r="B4612" t="s">
        <v>9</v>
      </c>
      <c r="C4612">
        <v>1</v>
      </c>
      <c r="F4612">
        <v>157</v>
      </c>
      <c r="J4612">
        <v>0.29099999999999998</v>
      </c>
      <c r="K4612">
        <v>17.600000000000001</v>
      </c>
      <c r="L4612">
        <v>60.6</v>
      </c>
      <c r="M4612">
        <v>34</v>
      </c>
      <c r="N4612">
        <v>7</v>
      </c>
      <c r="O4612">
        <v>18</v>
      </c>
      <c r="P4612">
        <v>4</v>
      </c>
    </row>
    <row r="4613" spans="1:16" x14ac:dyDescent="0.25">
      <c r="A4613" s="4">
        <v>45581</v>
      </c>
      <c r="B4613" t="s">
        <v>10</v>
      </c>
      <c r="C4613">
        <v>1</v>
      </c>
      <c r="F4613">
        <v>396</v>
      </c>
      <c r="J4613">
        <v>1.121</v>
      </c>
      <c r="K4613">
        <v>44</v>
      </c>
      <c r="L4613">
        <v>39.299999999999997</v>
      </c>
      <c r="M4613">
        <v>265</v>
      </c>
      <c r="N4613">
        <v>25</v>
      </c>
      <c r="O4613">
        <v>12</v>
      </c>
      <c r="P4613">
        <v>5</v>
      </c>
    </row>
    <row r="4614" spans="1:16" x14ac:dyDescent="0.25">
      <c r="A4614" s="4">
        <v>45581</v>
      </c>
      <c r="B4614" t="s">
        <v>9</v>
      </c>
      <c r="C4614">
        <v>1</v>
      </c>
      <c r="F4614">
        <v>129</v>
      </c>
      <c r="J4614">
        <v>0.35799999999999998</v>
      </c>
      <c r="K4614">
        <v>14.3</v>
      </c>
      <c r="L4614">
        <v>40</v>
      </c>
      <c r="M4614">
        <v>86</v>
      </c>
      <c r="N4614">
        <v>15</v>
      </c>
      <c r="O4614">
        <v>3</v>
      </c>
    </row>
    <row r="4615" spans="1:16" x14ac:dyDescent="0.25">
      <c r="A4615" s="4">
        <v>45582</v>
      </c>
      <c r="B4615" t="s">
        <v>10</v>
      </c>
      <c r="C4615">
        <v>1</v>
      </c>
      <c r="F4615">
        <v>396</v>
      </c>
      <c r="J4615">
        <v>1.1499999999999999</v>
      </c>
      <c r="K4615">
        <v>44.5</v>
      </c>
      <c r="L4615">
        <v>38.700000000000003</v>
      </c>
      <c r="M4615">
        <v>265</v>
      </c>
      <c r="N4615">
        <v>25</v>
      </c>
      <c r="O4615">
        <v>13</v>
      </c>
      <c r="P4615">
        <v>5</v>
      </c>
    </row>
    <row r="4616" spans="1:16" x14ac:dyDescent="0.25">
      <c r="A4616" s="4">
        <v>45582</v>
      </c>
      <c r="B4616" t="s">
        <v>9</v>
      </c>
      <c r="C4616">
        <v>1</v>
      </c>
      <c r="F4616">
        <v>111</v>
      </c>
      <c r="J4616">
        <v>0.33900000000000002</v>
      </c>
      <c r="K4616">
        <v>12.5</v>
      </c>
      <c r="L4616">
        <v>36.799999999999997</v>
      </c>
      <c r="M4616">
        <v>83</v>
      </c>
      <c r="N4616">
        <v>11</v>
      </c>
      <c r="O4616">
        <v>2</v>
      </c>
    </row>
    <row r="4617" spans="1:16" x14ac:dyDescent="0.25">
      <c r="A4617" s="4">
        <v>45583</v>
      </c>
      <c r="B4617" t="s">
        <v>10</v>
      </c>
      <c r="C4617">
        <v>1</v>
      </c>
      <c r="F4617">
        <v>407</v>
      </c>
      <c r="J4617">
        <v>1.026</v>
      </c>
      <c r="K4617">
        <v>45.7</v>
      </c>
      <c r="L4617">
        <v>36.299999999999997</v>
      </c>
      <c r="M4617">
        <v>283</v>
      </c>
      <c r="N4617">
        <v>47</v>
      </c>
      <c r="O4617">
        <v>9</v>
      </c>
    </row>
    <row r="4618" spans="1:16" x14ac:dyDescent="0.25">
      <c r="A4618" s="4">
        <v>45583</v>
      </c>
      <c r="B4618" t="s">
        <v>9</v>
      </c>
      <c r="C4618">
        <v>1</v>
      </c>
      <c r="F4618">
        <v>114</v>
      </c>
      <c r="J4618">
        <v>0.32600000000000001</v>
      </c>
      <c r="K4618">
        <v>12.8</v>
      </c>
      <c r="L4618">
        <v>39.4</v>
      </c>
      <c r="M4618">
        <v>89</v>
      </c>
      <c r="N4618">
        <v>4</v>
      </c>
      <c r="O4618">
        <v>2</v>
      </c>
      <c r="P4618">
        <v>1</v>
      </c>
    </row>
    <row r="4619" spans="1:16" x14ac:dyDescent="0.25">
      <c r="A4619" s="4">
        <v>45584</v>
      </c>
      <c r="B4619" t="s">
        <v>10</v>
      </c>
      <c r="C4619">
        <v>1</v>
      </c>
      <c r="F4619">
        <v>161</v>
      </c>
      <c r="J4619">
        <v>0.98199999999999998</v>
      </c>
      <c r="K4619">
        <v>36.6</v>
      </c>
      <c r="L4619">
        <v>37.299999999999997</v>
      </c>
      <c r="M4619">
        <v>140</v>
      </c>
      <c r="N4619">
        <v>9</v>
      </c>
      <c r="O4619">
        <v>1</v>
      </c>
    </row>
    <row r="4620" spans="1:16" x14ac:dyDescent="0.25">
      <c r="A4620" s="4">
        <v>45584</v>
      </c>
      <c r="B4620" t="s">
        <v>9</v>
      </c>
      <c r="C4620">
        <v>1</v>
      </c>
      <c r="F4620">
        <v>98</v>
      </c>
      <c r="J4620">
        <v>0.60199999999999998</v>
      </c>
      <c r="K4620">
        <v>22.3</v>
      </c>
      <c r="L4620">
        <v>37</v>
      </c>
      <c r="M4620">
        <v>88</v>
      </c>
      <c r="N4620">
        <v>5</v>
      </c>
    </row>
    <row r="4621" spans="1:16" x14ac:dyDescent="0.25">
      <c r="A4621" s="4">
        <v>45586</v>
      </c>
      <c r="B4621" t="s">
        <v>10</v>
      </c>
      <c r="C4621">
        <v>1</v>
      </c>
      <c r="F4621">
        <v>375</v>
      </c>
      <c r="J4621">
        <v>1.1140000000000001</v>
      </c>
      <c r="K4621">
        <v>42.1</v>
      </c>
      <c r="L4621">
        <v>37.799999999999997</v>
      </c>
      <c r="M4621">
        <v>234</v>
      </c>
      <c r="N4621">
        <v>45</v>
      </c>
      <c r="O4621">
        <v>9</v>
      </c>
      <c r="P4621">
        <v>2</v>
      </c>
    </row>
    <row r="4622" spans="1:16" x14ac:dyDescent="0.25">
      <c r="A4622" s="4">
        <v>45586</v>
      </c>
      <c r="B4622" t="s">
        <v>9</v>
      </c>
      <c r="C4622">
        <v>1</v>
      </c>
      <c r="F4622">
        <v>166</v>
      </c>
      <c r="J4622">
        <v>0.45400000000000001</v>
      </c>
      <c r="K4622">
        <v>18.7</v>
      </c>
      <c r="L4622">
        <v>41.1</v>
      </c>
      <c r="M4622">
        <v>118</v>
      </c>
      <c r="N4622">
        <v>8</v>
      </c>
      <c r="O4622">
        <v>5</v>
      </c>
      <c r="P4622">
        <v>2</v>
      </c>
    </row>
    <row r="4623" spans="1:16" x14ac:dyDescent="0.25">
      <c r="A4623" s="4">
        <v>45587</v>
      </c>
      <c r="B4623" t="s">
        <v>10</v>
      </c>
      <c r="C4623">
        <v>1</v>
      </c>
      <c r="F4623">
        <v>345</v>
      </c>
      <c r="J4623">
        <v>1.1080000000000001</v>
      </c>
      <c r="K4623">
        <v>38.799999999999997</v>
      </c>
      <c r="L4623">
        <v>35</v>
      </c>
      <c r="M4623">
        <v>272</v>
      </c>
      <c r="N4623">
        <v>24</v>
      </c>
      <c r="O4623">
        <v>7</v>
      </c>
    </row>
    <row r="4624" spans="1:16" x14ac:dyDescent="0.25">
      <c r="A4624" s="4">
        <v>45587</v>
      </c>
      <c r="B4624" t="s">
        <v>9</v>
      </c>
      <c r="C4624">
        <v>1</v>
      </c>
      <c r="F4624">
        <v>170</v>
      </c>
      <c r="J4624">
        <v>0.47799999999999998</v>
      </c>
      <c r="K4624">
        <v>19.100000000000001</v>
      </c>
      <c r="L4624">
        <v>40</v>
      </c>
      <c r="M4624">
        <v>121</v>
      </c>
      <c r="N4624">
        <v>11</v>
      </c>
      <c r="O4624">
        <v>1</v>
      </c>
      <c r="P4624">
        <v>4</v>
      </c>
    </row>
    <row r="4625" spans="1:16" x14ac:dyDescent="0.25">
      <c r="A4625" s="4">
        <v>45588</v>
      </c>
      <c r="B4625" t="s">
        <v>10</v>
      </c>
      <c r="C4625">
        <v>1</v>
      </c>
      <c r="F4625">
        <v>307</v>
      </c>
      <c r="J4625">
        <v>1.1990000000000001</v>
      </c>
      <c r="K4625">
        <v>42.6</v>
      </c>
      <c r="L4625">
        <v>35.6</v>
      </c>
      <c r="M4625">
        <v>244</v>
      </c>
      <c r="N4625">
        <v>24</v>
      </c>
      <c r="O4625">
        <v>4</v>
      </c>
    </row>
    <row r="4626" spans="1:16" x14ac:dyDescent="0.25">
      <c r="A4626" s="4">
        <v>45588</v>
      </c>
      <c r="B4626" t="s">
        <v>9</v>
      </c>
      <c r="C4626">
        <v>1</v>
      </c>
      <c r="F4626">
        <v>108</v>
      </c>
      <c r="J4626">
        <v>0.42199999999999999</v>
      </c>
      <c r="K4626">
        <v>15</v>
      </c>
      <c r="L4626">
        <v>35.6</v>
      </c>
      <c r="M4626">
        <v>102</v>
      </c>
      <c r="N4626">
        <v>3</v>
      </c>
    </row>
    <row r="4627" spans="1:16" x14ac:dyDescent="0.25">
      <c r="A4627" s="4">
        <v>45589</v>
      </c>
      <c r="B4627" t="s">
        <v>10</v>
      </c>
      <c r="C4627">
        <v>1</v>
      </c>
      <c r="F4627">
        <v>271</v>
      </c>
      <c r="J4627">
        <v>1.042</v>
      </c>
      <c r="K4627">
        <v>37.6</v>
      </c>
      <c r="L4627">
        <v>36.1</v>
      </c>
      <c r="M4627">
        <v>199</v>
      </c>
      <c r="N4627">
        <v>23</v>
      </c>
      <c r="O4627">
        <v>6</v>
      </c>
      <c r="P4627">
        <v>1</v>
      </c>
    </row>
    <row r="4628" spans="1:16" x14ac:dyDescent="0.25">
      <c r="A4628" s="4">
        <v>45589</v>
      </c>
      <c r="B4628" t="s">
        <v>9</v>
      </c>
      <c r="C4628">
        <v>1</v>
      </c>
      <c r="F4628">
        <v>100</v>
      </c>
      <c r="J4628">
        <v>0.379</v>
      </c>
      <c r="K4628">
        <v>13.9</v>
      </c>
      <c r="L4628">
        <v>36.6</v>
      </c>
      <c r="M4628">
        <v>88</v>
      </c>
      <c r="N4628">
        <v>6</v>
      </c>
    </row>
    <row r="4629" spans="1:16" x14ac:dyDescent="0.25">
      <c r="A4629" s="4">
        <v>45590</v>
      </c>
      <c r="B4629" t="s">
        <v>10</v>
      </c>
      <c r="C4629">
        <v>1</v>
      </c>
      <c r="F4629">
        <v>290</v>
      </c>
      <c r="J4629">
        <v>1.105</v>
      </c>
      <c r="K4629">
        <v>38.200000000000003</v>
      </c>
      <c r="L4629">
        <v>34.5</v>
      </c>
      <c r="M4629">
        <v>243</v>
      </c>
      <c r="N4629">
        <v>16</v>
      </c>
      <c r="O4629">
        <v>5</v>
      </c>
    </row>
    <row r="4630" spans="1:16" x14ac:dyDescent="0.25">
      <c r="A4630" s="4">
        <v>45590</v>
      </c>
      <c r="B4630" t="s">
        <v>9</v>
      </c>
      <c r="C4630">
        <v>1</v>
      </c>
      <c r="F4630">
        <v>147</v>
      </c>
      <c r="J4630">
        <v>0.502</v>
      </c>
      <c r="K4630">
        <v>19.3</v>
      </c>
      <c r="L4630">
        <v>38.5</v>
      </c>
      <c r="M4630">
        <v>106</v>
      </c>
      <c r="N4630">
        <v>10</v>
      </c>
      <c r="O4630">
        <v>4</v>
      </c>
      <c r="P4630">
        <v>1</v>
      </c>
    </row>
    <row r="4631" spans="1:16" x14ac:dyDescent="0.25">
      <c r="A4631" s="4">
        <v>45593</v>
      </c>
      <c r="B4631" t="s">
        <v>10</v>
      </c>
      <c r="C4631">
        <v>1</v>
      </c>
      <c r="F4631">
        <v>372</v>
      </c>
      <c r="J4631">
        <v>1.2050000000000001</v>
      </c>
      <c r="K4631">
        <v>41.8</v>
      </c>
      <c r="L4631">
        <v>34.700000000000003</v>
      </c>
      <c r="M4631">
        <v>307</v>
      </c>
      <c r="N4631">
        <v>22</v>
      </c>
      <c r="O4631">
        <v>44</v>
      </c>
      <c r="P4631">
        <v>1</v>
      </c>
    </row>
    <row r="4632" spans="1:16" x14ac:dyDescent="0.25">
      <c r="A4632" s="4">
        <v>45593</v>
      </c>
      <c r="B4632" t="s">
        <v>9</v>
      </c>
      <c r="C4632">
        <v>1</v>
      </c>
    </row>
    <row r="4633" spans="1:16" x14ac:dyDescent="0.25">
      <c r="A4633" s="4">
        <v>45594</v>
      </c>
      <c r="B4633" t="s">
        <v>10</v>
      </c>
      <c r="C4633">
        <v>1</v>
      </c>
      <c r="F4633">
        <v>345</v>
      </c>
      <c r="J4633">
        <v>1.08</v>
      </c>
      <c r="K4633">
        <v>38.799999999999997</v>
      </c>
      <c r="L4633">
        <v>35.9</v>
      </c>
      <c r="M4633">
        <v>257</v>
      </c>
      <c r="N4633">
        <v>27</v>
      </c>
      <c r="O4633">
        <v>8</v>
      </c>
      <c r="P4633">
        <v>1</v>
      </c>
    </row>
    <row r="4634" spans="1:16" x14ac:dyDescent="0.25">
      <c r="A4634" s="4">
        <v>45594</v>
      </c>
      <c r="B4634" t="s">
        <v>9</v>
      </c>
      <c r="C4634">
        <v>1</v>
      </c>
      <c r="F4634">
        <v>129</v>
      </c>
      <c r="J4634">
        <v>0.39</v>
      </c>
      <c r="K4634">
        <v>14.5</v>
      </c>
      <c r="L4634">
        <v>37.200000000000003</v>
      </c>
      <c r="M4634">
        <v>108</v>
      </c>
      <c r="N4634">
        <v>9</v>
      </c>
      <c r="O4634">
        <v>1</v>
      </c>
    </row>
    <row r="4635" spans="1:16" x14ac:dyDescent="0.25">
      <c r="A4635" s="4">
        <v>45595</v>
      </c>
      <c r="B4635" t="s">
        <v>10</v>
      </c>
      <c r="C4635">
        <v>1</v>
      </c>
      <c r="F4635">
        <v>362</v>
      </c>
      <c r="J4635">
        <v>1.1419999999999999</v>
      </c>
      <c r="K4635">
        <v>40.700000000000003</v>
      </c>
      <c r="L4635">
        <v>35.6</v>
      </c>
      <c r="M4635">
        <v>281</v>
      </c>
      <c r="N4635">
        <v>18</v>
      </c>
      <c r="O4635">
        <v>12</v>
      </c>
      <c r="P4635">
        <v>1</v>
      </c>
    </row>
    <row r="4636" spans="1:16" x14ac:dyDescent="0.25">
      <c r="A4636" s="4">
        <v>45595</v>
      </c>
      <c r="B4636" t="s">
        <v>9</v>
      </c>
      <c r="C4636">
        <v>1</v>
      </c>
      <c r="F4636">
        <v>131</v>
      </c>
      <c r="J4636">
        <v>0.40300000000000002</v>
      </c>
      <c r="K4636">
        <v>14.7</v>
      </c>
      <c r="L4636">
        <v>36.5</v>
      </c>
      <c r="M4636">
        <v>119</v>
      </c>
      <c r="N4636">
        <v>3</v>
      </c>
      <c r="P4636">
        <v>1</v>
      </c>
    </row>
    <row r="4637" spans="1:16" x14ac:dyDescent="0.25">
      <c r="A4637" s="4">
        <v>45596</v>
      </c>
      <c r="B4637" t="s">
        <v>10</v>
      </c>
      <c r="C4637">
        <v>1</v>
      </c>
      <c r="F4637">
        <v>377</v>
      </c>
      <c r="J4637">
        <v>1.147</v>
      </c>
      <c r="K4637">
        <v>42.4</v>
      </c>
      <c r="L4637">
        <v>36.9</v>
      </c>
      <c r="M4637">
        <v>266</v>
      </c>
      <c r="N4637">
        <v>35</v>
      </c>
      <c r="O4637">
        <v>7</v>
      </c>
      <c r="P4637">
        <v>2</v>
      </c>
    </row>
    <row r="4638" spans="1:16" x14ac:dyDescent="0.25">
      <c r="A4638" s="4">
        <v>45596</v>
      </c>
      <c r="B4638" t="s">
        <v>9</v>
      </c>
      <c r="C4638">
        <v>1</v>
      </c>
      <c r="F4638">
        <v>117</v>
      </c>
      <c r="J4638">
        <v>0.39700000000000002</v>
      </c>
      <c r="K4638">
        <v>14.4</v>
      </c>
      <c r="L4638">
        <v>36.4</v>
      </c>
      <c r="M4638">
        <v>100</v>
      </c>
      <c r="N4638">
        <v>7</v>
      </c>
      <c r="O4638">
        <v>1</v>
      </c>
    </row>
    <row r="4639" spans="1:16" x14ac:dyDescent="0.25">
      <c r="A4639" s="4">
        <v>45597</v>
      </c>
      <c r="B4639" t="s">
        <v>10</v>
      </c>
      <c r="C4639">
        <v>1</v>
      </c>
      <c r="F4639">
        <v>280</v>
      </c>
      <c r="J4639">
        <v>1.0549999999999999</v>
      </c>
      <c r="K4639">
        <v>38.9</v>
      </c>
      <c r="L4639">
        <v>36.799999999999997</v>
      </c>
      <c r="M4639">
        <v>205</v>
      </c>
      <c r="N4639">
        <v>23</v>
      </c>
      <c r="O4639">
        <v>8</v>
      </c>
    </row>
    <row r="4640" spans="1:16" x14ac:dyDescent="0.25">
      <c r="A4640" s="4">
        <v>45597</v>
      </c>
      <c r="B4640" t="s">
        <v>9</v>
      </c>
      <c r="C4640">
        <v>1</v>
      </c>
      <c r="F4640">
        <v>106</v>
      </c>
      <c r="J4640">
        <v>0.40200000000000002</v>
      </c>
      <c r="K4640">
        <v>14.7</v>
      </c>
      <c r="L4640">
        <v>36.6</v>
      </c>
      <c r="M4640">
        <v>81</v>
      </c>
      <c r="N4640">
        <v>8</v>
      </c>
      <c r="O4640">
        <v>3</v>
      </c>
    </row>
    <row r="4641" spans="1:16" x14ac:dyDescent="0.25">
      <c r="A4641" s="4">
        <v>45600</v>
      </c>
      <c r="B4641" t="s">
        <v>10</v>
      </c>
      <c r="C4641">
        <v>1</v>
      </c>
      <c r="F4641">
        <v>347</v>
      </c>
      <c r="J4641">
        <v>1.093</v>
      </c>
      <c r="K4641">
        <v>39</v>
      </c>
      <c r="L4641">
        <v>35.700000000000003</v>
      </c>
      <c r="M4641">
        <v>273</v>
      </c>
      <c r="N4641">
        <v>18</v>
      </c>
      <c r="O4641">
        <v>5</v>
      </c>
      <c r="P4641">
        <v>3</v>
      </c>
    </row>
    <row r="4642" spans="1:16" x14ac:dyDescent="0.25">
      <c r="A4642" s="4">
        <v>45600</v>
      </c>
      <c r="B4642" t="s">
        <v>9</v>
      </c>
      <c r="C4642">
        <v>1</v>
      </c>
      <c r="F4642">
        <v>159</v>
      </c>
      <c r="J4642">
        <v>0.49199999999999999</v>
      </c>
      <c r="K4642">
        <v>17.899999999999999</v>
      </c>
      <c r="L4642">
        <v>36.299999999999997</v>
      </c>
      <c r="M4642">
        <v>150</v>
      </c>
      <c r="N4642">
        <v>3</v>
      </c>
      <c r="O4642">
        <v>1</v>
      </c>
    </row>
    <row r="4643" spans="1:16" x14ac:dyDescent="0.25">
      <c r="A4643" s="4">
        <v>45601</v>
      </c>
      <c r="B4643" t="s">
        <v>10</v>
      </c>
      <c r="C4643">
        <v>1</v>
      </c>
      <c r="F4643">
        <v>391</v>
      </c>
      <c r="J4643">
        <v>1.1950000000000001</v>
      </c>
      <c r="K4643">
        <v>43.9</v>
      </c>
      <c r="L4643">
        <v>36.799999999999997</v>
      </c>
      <c r="M4643">
        <v>262</v>
      </c>
      <c r="N4643">
        <v>36</v>
      </c>
      <c r="O4643">
        <v>11</v>
      </c>
      <c r="P4643">
        <v>2</v>
      </c>
    </row>
    <row r="4644" spans="1:16" x14ac:dyDescent="0.25">
      <c r="A4644" s="4">
        <v>45601</v>
      </c>
      <c r="B4644" t="s">
        <v>9</v>
      </c>
      <c r="C4644">
        <v>1</v>
      </c>
      <c r="F4644">
        <v>178</v>
      </c>
      <c r="J4644">
        <v>0.55400000000000005</v>
      </c>
      <c r="K4644">
        <v>20</v>
      </c>
      <c r="L4644">
        <v>36.1</v>
      </c>
      <c r="M4644">
        <v>143</v>
      </c>
      <c r="N4644">
        <v>10</v>
      </c>
      <c r="O4644">
        <v>4</v>
      </c>
    </row>
    <row r="4645" spans="1:16" x14ac:dyDescent="0.25">
      <c r="A4645" s="4">
        <v>45602</v>
      </c>
      <c r="B4645" t="s">
        <v>10</v>
      </c>
      <c r="C4645">
        <v>1</v>
      </c>
      <c r="F4645">
        <v>235</v>
      </c>
      <c r="J4645">
        <v>0.93500000000000005</v>
      </c>
      <c r="K4645">
        <v>32.6</v>
      </c>
      <c r="L4645">
        <v>34.9</v>
      </c>
      <c r="M4645">
        <v>191</v>
      </c>
      <c r="N4645">
        <v>17</v>
      </c>
      <c r="O4645">
        <v>1</v>
      </c>
      <c r="P4645">
        <v>1</v>
      </c>
    </row>
    <row r="4646" spans="1:16" x14ac:dyDescent="0.25">
      <c r="A4646" s="4">
        <v>45602</v>
      </c>
      <c r="B4646" t="s">
        <v>9</v>
      </c>
      <c r="C4646">
        <v>1</v>
      </c>
      <c r="F4646">
        <v>156</v>
      </c>
      <c r="J4646">
        <v>0.58399999999999996</v>
      </c>
      <c r="K4646">
        <v>21.7</v>
      </c>
      <c r="L4646">
        <v>37.1</v>
      </c>
      <c r="M4646">
        <v>121</v>
      </c>
      <c r="N4646">
        <v>11</v>
      </c>
      <c r="O4646">
        <v>4</v>
      </c>
    </row>
    <row r="4647" spans="1:16" x14ac:dyDescent="0.25">
      <c r="A4647" s="4">
        <v>45603</v>
      </c>
      <c r="B4647" t="s">
        <v>10</v>
      </c>
      <c r="C4647">
        <v>1</v>
      </c>
      <c r="F4647">
        <v>306</v>
      </c>
      <c r="J4647">
        <v>1.1759999999999999</v>
      </c>
      <c r="K4647">
        <v>42.5</v>
      </c>
      <c r="L4647">
        <v>36.200000000000003</v>
      </c>
      <c r="M4647">
        <v>211</v>
      </c>
      <c r="N4647">
        <v>33</v>
      </c>
      <c r="O4647">
        <v>7</v>
      </c>
      <c r="P4647">
        <v>1</v>
      </c>
    </row>
    <row r="4648" spans="1:16" x14ac:dyDescent="0.25">
      <c r="A4648" s="4">
        <v>45603</v>
      </c>
      <c r="B4648" t="s">
        <v>9</v>
      </c>
      <c r="C4648">
        <v>1</v>
      </c>
      <c r="F4648">
        <v>155</v>
      </c>
      <c r="J4648">
        <v>0.57399999999999995</v>
      </c>
      <c r="K4648">
        <v>21.5</v>
      </c>
      <c r="L4648">
        <v>37.5</v>
      </c>
      <c r="M4648">
        <v>125</v>
      </c>
      <c r="N4648">
        <v>12</v>
      </c>
      <c r="O4648">
        <v>2</v>
      </c>
    </row>
    <row r="4649" spans="1:16" x14ac:dyDescent="0.25">
      <c r="A4649" s="4">
        <v>45604</v>
      </c>
      <c r="B4649" t="s">
        <v>10</v>
      </c>
      <c r="C4649">
        <v>1</v>
      </c>
      <c r="F4649">
        <v>292</v>
      </c>
      <c r="J4649">
        <v>1.107</v>
      </c>
      <c r="K4649">
        <v>40.6</v>
      </c>
      <c r="L4649">
        <v>36.6</v>
      </c>
      <c r="M4649">
        <v>210</v>
      </c>
      <c r="N4649">
        <v>23</v>
      </c>
      <c r="O4649">
        <v>5</v>
      </c>
      <c r="P4649">
        <v>3</v>
      </c>
    </row>
    <row r="4650" spans="1:16" x14ac:dyDescent="0.25">
      <c r="A4650" s="4">
        <v>45604</v>
      </c>
      <c r="B4650" t="s">
        <v>9</v>
      </c>
      <c r="C4650">
        <v>1</v>
      </c>
      <c r="F4650">
        <v>177</v>
      </c>
      <c r="J4650">
        <v>0.64800000000000002</v>
      </c>
      <c r="K4650">
        <v>24.6</v>
      </c>
      <c r="L4650">
        <v>37.9</v>
      </c>
      <c r="M4650">
        <v>138</v>
      </c>
      <c r="N4650">
        <v>12</v>
      </c>
      <c r="O4650">
        <v>5</v>
      </c>
    </row>
    <row r="4651" spans="1:16" x14ac:dyDescent="0.25">
      <c r="A4651" s="4">
        <v>45607</v>
      </c>
      <c r="B4651" t="s">
        <v>10</v>
      </c>
      <c r="C4651">
        <v>1</v>
      </c>
      <c r="F4651">
        <v>310</v>
      </c>
      <c r="J4651">
        <v>1.1850000000000001</v>
      </c>
      <c r="K4651">
        <v>43.1</v>
      </c>
      <c r="L4651">
        <v>36.299999999999997</v>
      </c>
      <c r="M4651">
        <v>230</v>
      </c>
      <c r="N4651">
        <v>23</v>
      </c>
      <c r="O4651">
        <v>9</v>
      </c>
      <c r="P4651">
        <v>1</v>
      </c>
    </row>
    <row r="4652" spans="1:16" x14ac:dyDescent="0.25">
      <c r="A4652" s="4">
        <v>45607</v>
      </c>
      <c r="B4652" t="s">
        <v>9</v>
      </c>
      <c r="C4652">
        <v>1</v>
      </c>
      <c r="F4652">
        <v>158</v>
      </c>
      <c r="J4652">
        <v>0.626</v>
      </c>
      <c r="K4652">
        <v>21.9</v>
      </c>
      <c r="L4652">
        <v>35</v>
      </c>
      <c r="M4652">
        <v>133</v>
      </c>
      <c r="N4652">
        <v>11</v>
      </c>
      <c r="O4652">
        <v>1</v>
      </c>
    </row>
    <row r="4653" spans="1:16" x14ac:dyDescent="0.25">
      <c r="A4653" s="4">
        <v>45608</v>
      </c>
      <c r="B4653" t="s">
        <v>10</v>
      </c>
      <c r="C4653">
        <v>1</v>
      </c>
      <c r="F4653">
        <v>315</v>
      </c>
      <c r="J4653">
        <v>1.196</v>
      </c>
      <c r="K4653">
        <v>43.8</v>
      </c>
      <c r="L4653">
        <v>36.6</v>
      </c>
      <c r="M4653">
        <v>206</v>
      </c>
      <c r="N4653">
        <v>36</v>
      </c>
      <c r="O4653">
        <v>5</v>
      </c>
      <c r="P4653">
        <v>2</v>
      </c>
    </row>
    <row r="4654" spans="1:16" x14ac:dyDescent="0.25">
      <c r="A4654" s="4">
        <v>45608</v>
      </c>
      <c r="B4654" t="s">
        <v>9</v>
      </c>
      <c r="C4654">
        <v>1</v>
      </c>
      <c r="F4654">
        <v>159</v>
      </c>
      <c r="J4654">
        <v>0.58599999999999997</v>
      </c>
      <c r="K4654">
        <v>22.1</v>
      </c>
      <c r="L4654">
        <v>37.700000000000003</v>
      </c>
      <c r="M4654">
        <v>132</v>
      </c>
      <c r="N4654">
        <v>9</v>
      </c>
      <c r="O4654">
        <v>1</v>
      </c>
      <c r="P4654">
        <v>1</v>
      </c>
    </row>
    <row r="4655" spans="1:16" x14ac:dyDescent="0.25">
      <c r="A4655" s="4">
        <v>45609</v>
      </c>
      <c r="B4655" t="s">
        <v>10</v>
      </c>
      <c r="C4655">
        <v>1</v>
      </c>
      <c r="F4655">
        <v>400</v>
      </c>
      <c r="J4655">
        <v>1.202</v>
      </c>
      <c r="K4655">
        <v>44.9</v>
      </c>
      <c r="L4655">
        <v>37.4</v>
      </c>
      <c r="M4655">
        <v>270</v>
      </c>
      <c r="N4655">
        <v>35</v>
      </c>
      <c r="O4655">
        <v>16</v>
      </c>
    </row>
    <row r="4656" spans="1:16" x14ac:dyDescent="0.25">
      <c r="A4656" s="4">
        <v>45609</v>
      </c>
      <c r="B4656" t="s">
        <v>9</v>
      </c>
      <c r="C4656">
        <v>1</v>
      </c>
      <c r="F4656">
        <v>206</v>
      </c>
      <c r="J4656">
        <v>0.61499999999999999</v>
      </c>
      <c r="K4656">
        <v>23.2</v>
      </c>
      <c r="L4656">
        <v>37.700000000000003</v>
      </c>
      <c r="M4656">
        <v>171</v>
      </c>
      <c r="N4656">
        <v>13</v>
      </c>
      <c r="O4656">
        <v>3</v>
      </c>
    </row>
    <row r="4657" spans="1:16" x14ac:dyDescent="0.25">
      <c r="A4657" s="4">
        <v>45610</v>
      </c>
      <c r="B4657" t="s">
        <v>10</v>
      </c>
      <c r="C4657">
        <v>1</v>
      </c>
      <c r="F4657">
        <v>287</v>
      </c>
      <c r="J4657">
        <v>1.107</v>
      </c>
      <c r="K4657">
        <v>39.9</v>
      </c>
      <c r="L4657">
        <v>36</v>
      </c>
      <c r="M4657">
        <v>228</v>
      </c>
      <c r="N4657">
        <v>15</v>
      </c>
      <c r="O4657">
        <v>6</v>
      </c>
      <c r="P4657">
        <v>1</v>
      </c>
    </row>
    <row r="4658" spans="1:16" x14ac:dyDescent="0.25">
      <c r="A4658" s="4">
        <v>45610</v>
      </c>
      <c r="B4658" t="s">
        <v>9</v>
      </c>
      <c r="C4658">
        <v>1</v>
      </c>
      <c r="F4658">
        <v>148</v>
      </c>
      <c r="J4658">
        <v>0.54700000000000004</v>
      </c>
      <c r="K4658">
        <v>20.6</v>
      </c>
      <c r="L4658">
        <v>37.6</v>
      </c>
      <c r="M4658">
        <v>133</v>
      </c>
      <c r="N4658">
        <v>4</v>
      </c>
      <c r="O4658">
        <v>2</v>
      </c>
    </row>
    <row r="4659" spans="1:16" x14ac:dyDescent="0.25">
      <c r="A4659" s="4">
        <v>45611</v>
      </c>
      <c r="B4659" t="s">
        <v>10</v>
      </c>
      <c r="C4659">
        <v>1</v>
      </c>
      <c r="F4659">
        <v>293</v>
      </c>
      <c r="J4659">
        <v>0.92200000000000004</v>
      </c>
      <c r="K4659">
        <v>32.9</v>
      </c>
      <c r="L4659">
        <v>35.700000000000003</v>
      </c>
      <c r="M4659">
        <v>225</v>
      </c>
      <c r="N4659">
        <v>16</v>
      </c>
      <c r="O4659">
        <v>8</v>
      </c>
      <c r="P4659">
        <v>1</v>
      </c>
    </row>
    <row r="4660" spans="1:16" x14ac:dyDescent="0.25">
      <c r="A4660" s="4">
        <v>45611</v>
      </c>
      <c r="B4660" t="s">
        <v>9</v>
      </c>
      <c r="C4660">
        <v>1</v>
      </c>
      <c r="F4660">
        <v>203</v>
      </c>
      <c r="J4660">
        <v>0.59799999999999998</v>
      </c>
      <c r="K4660">
        <v>22.8</v>
      </c>
      <c r="L4660">
        <v>38.200000000000003</v>
      </c>
      <c r="M4660">
        <v>166</v>
      </c>
      <c r="N4660">
        <v>11</v>
      </c>
      <c r="O4660">
        <v>2</v>
      </c>
      <c r="P4660">
        <v>1</v>
      </c>
    </row>
    <row r="4661" spans="1:16" x14ac:dyDescent="0.25">
      <c r="A4661" s="4">
        <v>45614</v>
      </c>
      <c r="B4661" t="s">
        <v>10</v>
      </c>
      <c r="C4661">
        <v>1</v>
      </c>
      <c r="F4661">
        <v>379</v>
      </c>
      <c r="J4661">
        <v>1.2130000000000001</v>
      </c>
      <c r="K4661">
        <v>42.6</v>
      </c>
      <c r="L4661">
        <v>35.1</v>
      </c>
      <c r="M4661">
        <v>284</v>
      </c>
      <c r="N4661">
        <v>29</v>
      </c>
      <c r="O4661">
        <v>8</v>
      </c>
      <c r="P4661">
        <v>1</v>
      </c>
    </row>
    <row r="4662" spans="1:16" x14ac:dyDescent="0.25">
      <c r="A4662" s="4">
        <v>45614</v>
      </c>
      <c r="B4662" t="s">
        <v>9</v>
      </c>
      <c r="C4662">
        <v>1</v>
      </c>
      <c r="F4662">
        <v>185</v>
      </c>
      <c r="J4662">
        <v>0.53900000000000003</v>
      </c>
      <c r="K4662">
        <v>20.8</v>
      </c>
      <c r="L4662">
        <v>38.5</v>
      </c>
      <c r="M4662">
        <v>143</v>
      </c>
      <c r="N4662">
        <v>16</v>
      </c>
      <c r="O4662">
        <v>3</v>
      </c>
    </row>
    <row r="4663" spans="1:16" x14ac:dyDescent="0.25">
      <c r="A4663" s="4">
        <v>45615</v>
      </c>
      <c r="B4663" t="s">
        <v>10</v>
      </c>
      <c r="C4663">
        <v>1</v>
      </c>
      <c r="F4663">
        <v>384</v>
      </c>
      <c r="J4663">
        <v>1.1379999999999999</v>
      </c>
      <c r="K4663">
        <v>43.2</v>
      </c>
      <c r="L4663">
        <v>37.9</v>
      </c>
      <c r="M4663">
        <v>258</v>
      </c>
      <c r="N4663">
        <v>39</v>
      </c>
      <c r="O4663">
        <v>11</v>
      </c>
      <c r="P4663">
        <v>1</v>
      </c>
    </row>
    <row r="4664" spans="1:16" x14ac:dyDescent="0.25">
      <c r="A4664" s="4">
        <v>45615</v>
      </c>
      <c r="B4664" t="s">
        <v>9</v>
      </c>
      <c r="C4664">
        <v>1</v>
      </c>
      <c r="F4664">
        <v>217</v>
      </c>
      <c r="J4664">
        <v>0.65400000000000003</v>
      </c>
      <c r="K4664">
        <v>24.4</v>
      </c>
      <c r="L4664">
        <v>37.299999999999997</v>
      </c>
      <c r="M4664">
        <v>190</v>
      </c>
      <c r="N4664">
        <v>12</v>
      </c>
      <c r="O4664">
        <v>1</v>
      </c>
    </row>
    <row r="4665" spans="1:16" x14ac:dyDescent="0.25">
      <c r="A4665" s="4">
        <v>45616</v>
      </c>
      <c r="B4665" t="s">
        <v>10</v>
      </c>
      <c r="C4665">
        <v>1</v>
      </c>
      <c r="F4665">
        <v>303</v>
      </c>
      <c r="J4665">
        <v>1.212</v>
      </c>
      <c r="K4665">
        <v>42.1</v>
      </c>
      <c r="L4665">
        <v>34.700000000000003</v>
      </c>
      <c r="M4665">
        <v>242</v>
      </c>
      <c r="N4665">
        <v>21</v>
      </c>
      <c r="O4665">
        <v>6</v>
      </c>
    </row>
    <row r="4666" spans="1:16" x14ac:dyDescent="0.25">
      <c r="A4666" s="4">
        <v>45616</v>
      </c>
      <c r="B4666" t="s">
        <v>9</v>
      </c>
      <c r="C4666">
        <v>1</v>
      </c>
      <c r="F4666">
        <v>154</v>
      </c>
      <c r="J4666">
        <v>0.59499999999999997</v>
      </c>
      <c r="K4666">
        <v>21.4</v>
      </c>
      <c r="L4666">
        <v>36</v>
      </c>
      <c r="M4666">
        <v>134</v>
      </c>
      <c r="N4666">
        <v>7</v>
      </c>
      <c r="O4666">
        <v>2</v>
      </c>
    </row>
    <row r="4667" spans="1:16" x14ac:dyDescent="0.25">
      <c r="A4667" s="4">
        <v>45617</v>
      </c>
      <c r="B4667" t="s">
        <v>10</v>
      </c>
      <c r="C4667">
        <v>1</v>
      </c>
      <c r="F4667">
        <v>257</v>
      </c>
      <c r="J4667">
        <v>1.0429999999999999</v>
      </c>
      <c r="K4667">
        <v>35.700000000000003</v>
      </c>
      <c r="L4667">
        <v>34.200000000000003</v>
      </c>
      <c r="M4667">
        <v>210</v>
      </c>
      <c r="N4667">
        <v>19</v>
      </c>
      <c r="O4667">
        <v>3</v>
      </c>
    </row>
    <row r="4668" spans="1:16" x14ac:dyDescent="0.25">
      <c r="A4668" s="4">
        <v>45617</v>
      </c>
      <c r="B4668" t="s">
        <v>9</v>
      </c>
      <c r="C4668">
        <v>1</v>
      </c>
      <c r="F4668">
        <v>170</v>
      </c>
      <c r="J4668">
        <v>0.66600000000000004</v>
      </c>
      <c r="K4668">
        <v>23.6</v>
      </c>
      <c r="L4668">
        <v>35.5</v>
      </c>
      <c r="M4668">
        <v>150</v>
      </c>
      <c r="N4668">
        <v>7</v>
      </c>
      <c r="O4668">
        <v>2</v>
      </c>
    </row>
    <row r="4669" spans="1:16" x14ac:dyDescent="0.25">
      <c r="A4669" s="4">
        <v>45618</v>
      </c>
      <c r="B4669" t="s">
        <v>10</v>
      </c>
      <c r="C4669">
        <v>1</v>
      </c>
      <c r="F4669">
        <v>319</v>
      </c>
      <c r="J4669">
        <v>1.2290000000000001</v>
      </c>
      <c r="K4669">
        <v>44.3</v>
      </c>
      <c r="L4669">
        <v>36.1</v>
      </c>
      <c r="M4669">
        <v>236</v>
      </c>
      <c r="N4669">
        <v>26</v>
      </c>
      <c r="O4669">
        <v>6</v>
      </c>
      <c r="P4669">
        <v>1</v>
      </c>
    </row>
    <row r="4670" spans="1:16" x14ac:dyDescent="0.25">
      <c r="A4670" s="4">
        <v>45618</v>
      </c>
      <c r="B4670" t="s">
        <v>9</v>
      </c>
      <c r="C4670">
        <v>1</v>
      </c>
      <c r="F4670">
        <v>142</v>
      </c>
      <c r="J4670">
        <v>0.54600000000000004</v>
      </c>
      <c r="K4670">
        <v>19.7</v>
      </c>
      <c r="L4670">
        <v>36.1</v>
      </c>
      <c r="M4670">
        <v>130</v>
      </c>
      <c r="N4670">
        <v>6</v>
      </c>
    </row>
    <row r="4671" spans="1:16" x14ac:dyDescent="0.25">
      <c r="A4671" s="4">
        <v>45621</v>
      </c>
      <c r="B4671" t="s">
        <v>10</v>
      </c>
      <c r="C4671">
        <v>1</v>
      </c>
      <c r="F4671">
        <v>332</v>
      </c>
      <c r="J4671">
        <v>1.3220000000000001</v>
      </c>
      <c r="K4671">
        <v>46.1</v>
      </c>
      <c r="L4671">
        <v>35</v>
      </c>
      <c r="M4671">
        <v>249</v>
      </c>
      <c r="N4671">
        <v>31</v>
      </c>
      <c r="O4671">
        <v>4</v>
      </c>
      <c r="P4671">
        <v>1</v>
      </c>
    </row>
    <row r="4672" spans="1:16" x14ac:dyDescent="0.25">
      <c r="A4672" s="4">
        <v>45621</v>
      </c>
      <c r="B4672" t="s">
        <v>9</v>
      </c>
      <c r="C4672">
        <v>1</v>
      </c>
      <c r="F4672">
        <v>200</v>
      </c>
      <c r="J4672">
        <v>0.74099999999999999</v>
      </c>
      <c r="K4672">
        <v>27.8</v>
      </c>
      <c r="L4672">
        <v>37.5</v>
      </c>
      <c r="M4672">
        <v>164</v>
      </c>
      <c r="N4672">
        <v>16</v>
      </c>
      <c r="O4672">
        <v>1</v>
      </c>
    </row>
    <row r="4673" spans="1:16" x14ac:dyDescent="0.25">
      <c r="A4673" s="4">
        <v>45622</v>
      </c>
      <c r="B4673" t="s">
        <v>10</v>
      </c>
      <c r="C4673">
        <v>1</v>
      </c>
      <c r="F4673">
        <v>412</v>
      </c>
      <c r="J4673">
        <v>1.286</v>
      </c>
      <c r="K4673">
        <v>46.3</v>
      </c>
      <c r="L4673">
        <v>36</v>
      </c>
      <c r="M4673">
        <v>308</v>
      </c>
      <c r="N4673">
        <v>31</v>
      </c>
      <c r="O4673">
        <v>12</v>
      </c>
    </row>
    <row r="4674" spans="1:16" x14ac:dyDescent="0.25">
      <c r="A4674" s="4">
        <v>45622</v>
      </c>
      <c r="B4674" t="s">
        <v>9</v>
      </c>
      <c r="C4674">
        <v>1</v>
      </c>
      <c r="F4674">
        <v>232</v>
      </c>
      <c r="J4674">
        <v>0.70799999999999996</v>
      </c>
      <c r="K4674">
        <v>26.1</v>
      </c>
      <c r="L4674">
        <v>36.799999999999997</v>
      </c>
      <c r="M4674">
        <v>209</v>
      </c>
      <c r="N4674">
        <v>10</v>
      </c>
      <c r="O4674">
        <v>1</v>
      </c>
    </row>
    <row r="4675" spans="1:16" x14ac:dyDescent="0.25">
      <c r="A4675" s="4">
        <v>45623</v>
      </c>
      <c r="B4675" t="s">
        <v>10</v>
      </c>
      <c r="C4675">
        <v>1</v>
      </c>
      <c r="F4675">
        <v>256</v>
      </c>
      <c r="J4675">
        <v>1.022</v>
      </c>
      <c r="K4675">
        <v>35.6</v>
      </c>
      <c r="L4675">
        <v>34.799999999999997</v>
      </c>
      <c r="M4675">
        <v>202</v>
      </c>
      <c r="N4675">
        <v>20</v>
      </c>
      <c r="O4675">
        <v>4</v>
      </c>
    </row>
    <row r="4676" spans="1:16" x14ac:dyDescent="0.25">
      <c r="A4676" s="4">
        <v>45623</v>
      </c>
      <c r="B4676" t="s">
        <v>9</v>
      </c>
      <c r="C4676">
        <v>1</v>
      </c>
      <c r="F4676">
        <v>184</v>
      </c>
      <c r="J4676">
        <v>0.748</v>
      </c>
      <c r="K4676">
        <v>25.6</v>
      </c>
      <c r="L4676">
        <v>34.1</v>
      </c>
      <c r="M4676">
        <v>173</v>
      </c>
      <c r="N4676">
        <v>3</v>
      </c>
      <c r="O4676">
        <v>1</v>
      </c>
    </row>
    <row r="4677" spans="1:16" x14ac:dyDescent="0.25">
      <c r="A4677" s="4">
        <v>45628</v>
      </c>
      <c r="B4677" t="s">
        <v>10</v>
      </c>
      <c r="C4677">
        <v>1</v>
      </c>
      <c r="F4677">
        <v>250</v>
      </c>
      <c r="J4677">
        <v>1.016</v>
      </c>
      <c r="K4677">
        <v>34.700000000000003</v>
      </c>
      <c r="L4677">
        <v>34.200000000000003</v>
      </c>
      <c r="M4677">
        <v>209</v>
      </c>
      <c r="N4677">
        <v>17</v>
      </c>
      <c r="O4677">
        <v>2</v>
      </c>
    </row>
    <row r="4678" spans="1:16" x14ac:dyDescent="0.25">
      <c r="A4678" s="4">
        <v>45628</v>
      </c>
      <c r="B4678" t="s">
        <v>9</v>
      </c>
      <c r="C4678">
        <v>1</v>
      </c>
      <c r="F4678">
        <v>162</v>
      </c>
      <c r="J4678">
        <v>0.59699999999999998</v>
      </c>
      <c r="K4678">
        <v>22.5</v>
      </c>
      <c r="L4678">
        <v>37.700000000000003</v>
      </c>
      <c r="M4678">
        <v>137</v>
      </c>
      <c r="N4678">
        <v>11</v>
      </c>
      <c r="O4678">
        <v>1</v>
      </c>
    </row>
    <row r="4679" spans="1:16" x14ac:dyDescent="0.25">
      <c r="A4679" s="4">
        <v>45629</v>
      </c>
      <c r="B4679" t="s">
        <v>10</v>
      </c>
      <c r="C4679">
        <v>1</v>
      </c>
      <c r="F4679">
        <v>258</v>
      </c>
      <c r="J4679">
        <v>0.97899999999999998</v>
      </c>
      <c r="K4679">
        <v>35.799999999999997</v>
      </c>
      <c r="L4679">
        <v>36.6</v>
      </c>
      <c r="M4679">
        <v>187</v>
      </c>
      <c r="N4679">
        <v>20</v>
      </c>
      <c r="O4679">
        <v>4</v>
      </c>
      <c r="P4679">
        <v>2</v>
      </c>
    </row>
    <row r="4680" spans="1:16" x14ac:dyDescent="0.25">
      <c r="A4680" s="4">
        <v>45629</v>
      </c>
      <c r="B4680" t="s">
        <v>9</v>
      </c>
      <c r="C4680">
        <v>1</v>
      </c>
      <c r="F4680">
        <v>127</v>
      </c>
      <c r="J4680">
        <v>0.49</v>
      </c>
      <c r="K4680">
        <v>17.600000000000001</v>
      </c>
      <c r="L4680">
        <v>36</v>
      </c>
      <c r="M4680">
        <v>109</v>
      </c>
      <c r="N4680">
        <v>9</v>
      </c>
    </row>
    <row r="4681" spans="1:16" x14ac:dyDescent="0.25">
      <c r="A4681" s="4">
        <v>45630</v>
      </c>
      <c r="B4681" t="s">
        <v>10</v>
      </c>
      <c r="C4681">
        <v>1</v>
      </c>
      <c r="F4681">
        <v>372</v>
      </c>
      <c r="J4681">
        <v>1.3089999999999999</v>
      </c>
      <c r="K4681">
        <v>47.1</v>
      </c>
      <c r="L4681">
        <v>36</v>
      </c>
      <c r="M4681">
        <v>290</v>
      </c>
      <c r="N4681">
        <v>24</v>
      </c>
      <c r="O4681">
        <v>8</v>
      </c>
      <c r="P4681">
        <v>1</v>
      </c>
    </row>
    <row r="4682" spans="1:16" x14ac:dyDescent="0.25">
      <c r="A4682" s="4">
        <v>45630</v>
      </c>
      <c r="B4682" t="s">
        <v>9</v>
      </c>
      <c r="C4682">
        <v>1</v>
      </c>
      <c r="F4682">
        <v>67</v>
      </c>
      <c r="J4682">
        <v>0.34699999999999998</v>
      </c>
      <c r="K4682">
        <v>12.2</v>
      </c>
      <c r="L4682">
        <v>35.1</v>
      </c>
      <c r="M4682">
        <v>63</v>
      </c>
      <c r="N4682">
        <v>2</v>
      </c>
    </row>
    <row r="4683" spans="1:16" x14ac:dyDescent="0.25">
      <c r="A4683" s="4">
        <v>45631</v>
      </c>
      <c r="B4683" t="s">
        <v>10</v>
      </c>
      <c r="C4683">
        <v>1</v>
      </c>
      <c r="F4683">
        <v>365</v>
      </c>
      <c r="J4683">
        <v>1.147</v>
      </c>
      <c r="K4683">
        <v>41</v>
      </c>
      <c r="L4683">
        <v>35.799999999999997</v>
      </c>
      <c r="M4683">
        <v>302</v>
      </c>
      <c r="N4683">
        <v>21</v>
      </c>
      <c r="O4683">
        <v>4</v>
      </c>
      <c r="P4683">
        <v>1</v>
      </c>
    </row>
    <row r="4684" spans="1:16" x14ac:dyDescent="0.25">
      <c r="A4684" s="4">
        <v>45631</v>
      </c>
      <c r="B4684" t="s">
        <v>9</v>
      </c>
      <c r="C4684">
        <v>1</v>
      </c>
      <c r="F4684">
        <v>74</v>
      </c>
      <c r="J4684">
        <v>0.44400000000000001</v>
      </c>
      <c r="K4684">
        <v>16.399999999999999</v>
      </c>
      <c r="L4684">
        <v>37</v>
      </c>
      <c r="M4684">
        <v>66</v>
      </c>
      <c r="N4684">
        <v>4</v>
      </c>
    </row>
    <row r="4685" spans="1:16" x14ac:dyDescent="0.25">
      <c r="A4685" s="4">
        <v>45632</v>
      </c>
      <c r="B4685" t="s">
        <v>10</v>
      </c>
      <c r="C4685">
        <v>1</v>
      </c>
      <c r="F4685">
        <v>313</v>
      </c>
      <c r="J4685">
        <v>1.1819999999999999</v>
      </c>
      <c r="K4685">
        <v>43.5</v>
      </c>
      <c r="L4685">
        <v>36.799999999999997</v>
      </c>
      <c r="M4685">
        <v>234</v>
      </c>
      <c r="N4685">
        <v>28</v>
      </c>
      <c r="O4685">
        <v>5</v>
      </c>
      <c r="P4685">
        <v>1</v>
      </c>
    </row>
    <row r="4686" spans="1:16" x14ac:dyDescent="0.25">
      <c r="A4686" s="4">
        <v>45632</v>
      </c>
      <c r="B4686" t="s">
        <v>9</v>
      </c>
      <c r="C4686">
        <v>1</v>
      </c>
      <c r="F4686">
        <v>118</v>
      </c>
      <c r="J4686">
        <v>0.47299999999999998</v>
      </c>
      <c r="K4686">
        <v>16.399999999999999</v>
      </c>
      <c r="L4686">
        <v>34.700000000000003</v>
      </c>
      <c r="M4686">
        <v>96</v>
      </c>
      <c r="N4686">
        <v>11</v>
      </c>
    </row>
    <row r="4687" spans="1:16" x14ac:dyDescent="0.25">
      <c r="A4687" s="4">
        <v>45635</v>
      </c>
      <c r="B4687" t="s">
        <v>10</v>
      </c>
      <c r="C4687">
        <v>1</v>
      </c>
      <c r="F4687">
        <v>307</v>
      </c>
      <c r="J4687">
        <v>1.2230000000000001</v>
      </c>
      <c r="K4687">
        <v>42.6</v>
      </c>
      <c r="L4687">
        <v>34.9</v>
      </c>
      <c r="M4687">
        <v>251</v>
      </c>
      <c r="N4687">
        <v>19</v>
      </c>
      <c r="O4687">
        <v>6</v>
      </c>
    </row>
    <row r="4688" spans="1:16" x14ac:dyDescent="0.25">
      <c r="A4688" s="4">
        <v>45635</v>
      </c>
      <c r="B4688" t="s">
        <v>9</v>
      </c>
      <c r="C4688">
        <v>1</v>
      </c>
      <c r="F4688">
        <v>118</v>
      </c>
      <c r="J4688">
        <v>0.432</v>
      </c>
      <c r="K4688">
        <v>16.399999999999999</v>
      </c>
      <c r="L4688">
        <v>37.9</v>
      </c>
      <c r="M4688">
        <v>96</v>
      </c>
      <c r="N4688">
        <v>8</v>
      </c>
      <c r="O4688">
        <v>2</v>
      </c>
    </row>
    <row r="4689" spans="1:16" x14ac:dyDescent="0.25">
      <c r="A4689" s="4">
        <v>45636</v>
      </c>
      <c r="B4689" t="s">
        <v>10</v>
      </c>
      <c r="C4689">
        <v>1</v>
      </c>
      <c r="F4689">
        <v>283</v>
      </c>
      <c r="J4689">
        <v>1.08</v>
      </c>
      <c r="K4689">
        <v>39.299999999999997</v>
      </c>
      <c r="L4689">
        <v>36.4</v>
      </c>
      <c r="M4689">
        <v>222</v>
      </c>
      <c r="N4689">
        <v>16</v>
      </c>
      <c r="O4689">
        <v>7</v>
      </c>
      <c r="P4689">
        <v>1</v>
      </c>
    </row>
    <row r="4690" spans="1:16" x14ac:dyDescent="0.25">
      <c r="A4690" s="4">
        <v>45636</v>
      </c>
      <c r="B4690" t="s">
        <v>9</v>
      </c>
      <c r="C4690">
        <v>1</v>
      </c>
      <c r="F4690">
        <v>126</v>
      </c>
      <c r="J4690">
        <v>0.47199999999999998</v>
      </c>
      <c r="K4690">
        <v>17.5</v>
      </c>
      <c r="L4690">
        <v>37.1</v>
      </c>
      <c r="M4690">
        <v>107</v>
      </c>
      <c r="N4690">
        <v>7</v>
      </c>
      <c r="O4690">
        <v>1</v>
      </c>
    </row>
    <row r="4691" spans="1:16" x14ac:dyDescent="0.25">
      <c r="A4691" s="4">
        <v>45637</v>
      </c>
      <c r="B4691" t="s">
        <v>10</v>
      </c>
      <c r="C4691">
        <v>1</v>
      </c>
      <c r="F4691">
        <v>284</v>
      </c>
      <c r="J4691">
        <v>1.121</v>
      </c>
      <c r="K4691">
        <v>39.4</v>
      </c>
      <c r="L4691">
        <v>35.200000000000003</v>
      </c>
      <c r="M4691">
        <v>227</v>
      </c>
      <c r="N4691">
        <v>21</v>
      </c>
      <c r="O4691">
        <v>3</v>
      </c>
      <c r="P4691">
        <v>1</v>
      </c>
    </row>
    <row r="4692" spans="1:16" x14ac:dyDescent="0.25">
      <c r="A4692" s="4">
        <v>45637</v>
      </c>
      <c r="B4692" t="s">
        <v>9</v>
      </c>
      <c r="C4692">
        <v>1</v>
      </c>
      <c r="F4692">
        <v>134</v>
      </c>
      <c r="J4692">
        <v>0.51800000000000002</v>
      </c>
      <c r="K4692">
        <v>18.600000000000001</v>
      </c>
      <c r="L4692">
        <v>35.9</v>
      </c>
      <c r="M4692">
        <v>117</v>
      </c>
      <c r="N4692">
        <v>6</v>
      </c>
      <c r="O4692">
        <v>1</v>
      </c>
    </row>
    <row r="4693" spans="1:16" x14ac:dyDescent="0.25">
      <c r="A4693" s="4">
        <v>45638</v>
      </c>
      <c r="B4693" t="s">
        <v>10</v>
      </c>
      <c r="C4693">
        <v>1</v>
      </c>
      <c r="F4693">
        <v>254</v>
      </c>
      <c r="J4693">
        <v>1.0069999999999999</v>
      </c>
      <c r="K4693">
        <v>35.299999999999997</v>
      </c>
      <c r="L4693">
        <v>35</v>
      </c>
      <c r="M4693">
        <v>205</v>
      </c>
      <c r="N4693">
        <v>15</v>
      </c>
      <c r="O4693">
        <v>4</v>
      </c>
      <c r="P4693">
        <v>1</v>
      </c>
    </row>
    <row r="4694" spans="1:16" x14ac:dyDescent="0.25">
      <c r="A4694" s="4">
        <v>45638</v>
      </c>
      <c r="B4694" t="s">
        <v>9</v>
      </c>
      <c r="C4694">
        <v>1</v>
      </c>
      <c r="F4694">
        <v>146</v>
      </c>
      <c r="J4694">
        <v>0.54900000000000004</v>
      </c>
      <c r="K4694">
        <v>20.3</v>
      </c>
      <c r="L4694">
        <v>36.9</v>
      </c>
      <c r="M4694">
        <v>142</v>
      </c>
      <c r="N4694">
        <v>2</v>
      </c>
    </row>
    <row r="4695" spans="1:16" x14ac:dyDescent="0.25">
      <c r="A4695" s="4">
        <v>45639</v>
      </c>
      <c r="B4695" t="s">
        <v>10</v>
      </c>
      <c r="C4695">
        <v>1</v>
      </c>
      <c r="F4695">
        <v>269</v>
      </c>
      <c r="J4695">
        <v>1.002</v>
      </c>
      <c r="K4695">
        <v>37.4</v>
      </c>
      <c r="L4695">
        <v>37.299999999999997</v>
      </c>
      <c r="M4695">
        <v>180</v>
      </c>
      <c r="N4695">
        <v>22</v>
      </c>
      <c r="O4695">
        <v>12</v>
      </c>
    </row>
    <row r="4696" spans="1:16" x14ac:dyDescent="0.25">
      <c r="A4696" s="4">
        <v>45639</v>
      </c>
      <c r="B4696" t="s">
        <v>9</v>
      </c>
      <c r="C4696">
        <v>1</v>
      </c>
      <c r="F4696">
        <v>120</v>
      </c>
      <c r="J4696">
        <v>0.42599999999999999</v>
      </c>
      <c r="K4696">
        <v>16.7</v>
      </c>
      <c r="L4696">
        <v>39.1</v>
      </c>
      <c r="M4696">
        <v>91</v>
      </c>
      <c r="N4696">
        <v>5</v>
      </c>
      <c r="O4696">
        <v>5</v>
      </c>
    </row>
    <row r="4697" spans="1:16" x14ac:dyDescent="0.25">
      <c r="A4697" s="4">
        <v>45642</v>
      </c>
      <c r="B4697" t="s">
        <v>10</v>
      </c>
      <c r="C4697">
        <v>1</v>
      </c>
      <c r="F4697">
        <v>295</v>
      </c>
      <c r="J4697">
        <v>1.1180000000000001</v>
      </c>
      <c r="K4697">
        <v>41</v>
      </c>
      <c r="L4697">
        <v>36.700000000000003</v>
      </c>
      <c r="M4697">
        <v>207</v>
      </c>
      <c r="N4697">
        <v>25</v>
      </c>
      <c r="O4697">
        <v>10</v>
      </c>
      <c r="P4697">
        <v>1</v>
      </c>
    </row>
    <row r="4698" spans="1:16" x14ac:dyDescent="0.25">
      <c r="A4698" s="4">
        <v>45642</v>
      </c>
      <c r="B4698" t="s">
        <v>9</v>
      </c>
      <c r="C4698">
        <v>1</v>
      </c>
      <c r="F4698">
        <v>125</v>
      </c>
      <c r="J4698">
        <v>0.48699999999999999</v>
      </c>
      <c r="K4698">
        <v>17.399999999999999</v>
      </c>
      <c r="L4698">
        <v>35.700000000000003</v>
      </c>
      <c r="M4698">
        <v>112</v>
      </c>
      <c r="N4698">
        <v>5</v>
      </c>
      <c r="O4698">
        <v>1</v>
      </c>
    </row>
    <row r="4699" spans="1:16" x14ac:dyDescent="0.25">
      <c r="A4699" s="4">
        <v>45643</v>
      </c>
      <c r="B4699" t="s">
        <v>10</v>
      </c>
      <c r="C4699">
        <v>1</v>
      </c>
      <c r="F4699">
        <v>248</v>
      </c>
      <c r="J4699">
        <v>1.139</v>
      </c>
      <c r="K4699">
        <v>41.7</v>
      </c>
      <c r="L4699">
        <v>36.6</v>
      </c>
      <c r="M4699">
        <v>216</v>
      </c>
      <c r="N4699">
        <v>23</v>
      </c>
      <c r="O4699">
        <v>8</v>
      </c>
      <c r="P4699">
        <v>1</v>
      </c>
    </row>
    <row r="4700" spans="1:16" x14ac:dyDescent="0.25">
      <c r="A4700" s="4">
        <v>45643</v>
      </c>
      <c r="B4700" t="s">
        <v>9</v>
      </c>
      <c r="C4700">
        <v>1</v>
      </c>
      <c r="F4700">
        <v>124</v>
      </c>
      <c r="J4700">
        <v>0.45400000000000001</v>
      </c>
      <c r="K4700">
        <v>17.2</v>
      </c>
      <c r="L4700">
        <v>38</v>
      </c>
      <c r="M4700">
        <v>98</v>
      </c>
      <c r="N4700">
        <v>6</v>
      </c>
      <c r="O4700">
        <v>3</v>
      </c>
    </row>
    <row r="4701" spans="1:16" x14ac:dyDescent="0.25">
      <c r="A4701" s="4">
        <v>45644</v>
      </c>
      <c r="B4701" t="s">
        <v>10</v>
      </c>
      <c r="C4701">
        <v>1</v>
      </c>
      <c r="F4701">
        <v>295</v>
      </c>
      <c r="J4701">
        <v>1.145</v>
      </c>
      <c r="K4701">
        <v>41</v>
      </c>
      <c r="L4701">
        <v>35.799999999999997</v>
      </c>
      <c r="M4701">
        <v>229</v>
      </c>
      <c r="N4701">
        <v>15</v>
      </c>
      <c r="O4701">
        <v>11</v>
      </c>
    </row>
    <row r="4702" spans="1:16" x14ac:dyDescent="0.25">
      <c r="A4702" s="4">
        <v>45644</v>
      </c>
      <c r="B4702" t="s">
        <v>9</v>
      </c>
      <c r="C4702">
        <v>1</v>
      </c>
      <c r="F4702">
        <v>171</v>
      </c>
      <c r="J4702">
        <v>0.57599999999999996</v>
      </c>
      <c r="K4702">
        <v>23.8</v>
      </c>
      <c r="L4702">
        <v>41.2</v>
      </c>
      <c r="M4702">
        <v>114</v>
      </c>
      <c r="N4702">
        <v>10</v>
      </c>
      <c r="O4702">
        <v>10</v>
      </c>
    </row>
    <row r="4703" spans="1:16" x14ac:dyDescent="0.25">
      <c r="A4703" s="4">
        <v>45645</v>
      </c>
      <c r="B4703" t="s">
        <v>10</v>
      </c>
      <c r="C4703">
        <v>1</v>
      </c>
      <c r="F4703">
        <v>279</v>
      </c>
      <c r="J4703">
        <v>1.119</v>
      </c>
      <c r="K4703">
        <v>38.799999999999997</v>
      </c>
      <c r="L4703">
        <v>34.6</v>
      </c>
      <c r="M4703">
        <v>216</v>
      </c>
      <c r="N4703">
        <v>22</v>
      </c>
      <c r="O4703">
        <v>2</v>
      </c>
      <c r="P4703">
        <v>1</v>
      </c>
    </row>
    <row r="4704" spans="1:16" x14ac:dyDescent="0.25">
      <c r="A4704" s="4">
        <v>45645</v>
      </c>
      <c r="B4704" t="s">
        <v>9</v>
      </c>
      <c r="C4704">
        <v>1</v>
      </c>
      <c r="F4704">
        <v>117</v>
      </c>
      <c r="J4704">
        <v>0.433</v>
      </c>
      <c r="K4704">
        <v>16.3</v>
      </c>
      <c r="L4704">
        <v>37.5</v>
      </c>
      <c r="M4704">
        <v>92</v>
      </c>
      <c r="N4704">
        <v>5</v>
      </c>
      <c r="O4704">
        <v>4</v>
      </c>
    </row>
    <row r="4705" spans="1:16" x14ac:dyDescent="0.25">
      <c r="A4705" s="4">
        <v>45646</v>
      </c>
      <c r="B4705" t="s">
        <v>10</v>
      </c>
      <c r="C4705">
        <v>1</v>
      </c>
      <c r="F4705">
        <v>252</v>
      </c>
      <c r="J4705">
        <v>1.0209999999999999</v>
      </c>
      <c r="K4705">
        <v>35</v>
      </c>
      <c r="L4705">
        <v>34.299999999999997</v>
      </c>
      <c r="M4705">
        <v>215</v>
      </c>
      <c r="N4705">
        <v>14</v>
      </c>
      <c r="O4705">
        <v>1</v>
      </c>
      <c r="P4705">
        <v>1</v>
      </c>
    </row>
    <row r="4706" spans="1:16" x14ac:dyDescent="0.25">
      <c r="A4706" s="4">
        <v>45646</v>
      </c>
      <c r="B4706" t="s">
        <v>9</v>
      </c>
      <c r="C4706">
        <v>1</v>
      </c>
      <c r="F4706">
        <v>52</v>
      </c>
      <c r="J4706">
        <v>0.36199999999999999</v>
      </c>
      <c r="K4706">
        <v>13.7</v>
      </c>
      <c r="L4706">
        <v>37.799999999999997</v>
      </c>
      <c r="M4706">
        <v>41</v>
      </c>
      <c r="N4706">
        <v>4</v>
      </c>
      <c r="O4706">
        <v>1</v>
      </c>
    </row>
    <row r="4707" spans="1:16" x14ac:dyDescent="0.25">
      <c r="A4707" s="4">
        <v>45649</v>
      </c>
      <c r="B4707" t="s">
        <v>10</v>
      </c>
      <c r="C4707">
        <v>1</v>
      </c>
      <c r="F4707">
        <v>120</v>
      </c>
      <c r="J4707">
        <v>0.68</v>
      </c>
      <c r="K4707">
        <v>24</v>
      </c>
      <c r="L4707">
        <v>35.299999999999997</v>
      </c>
      <c r="M4707">
        <v>106</v>
      </c>
      <c r="N4707">
        <v>7</v>
      </c>
    </row>
    <row r="4708" spans="1:16" x14ac:dyDescent="0.25">
      <c r="A4708" s="4">
        <v>45649</v>
      </c>
      <c r="B4708" t="s">
        <v>9</v>
      </c>
      <c r="C4708">
        <v>1</v>
      </c>
    </row>
    <row r="4709" spans="1:16" x14ac:dyDescent="0.25">
      <c r="A4709" s="4">
        <v>45652</v>
      </c>
      <c r="B4709" t="s">
        <v>10</v>
      </c>
      <c r="C4709">
        <v>1</v>
      </c>
      <c r="F4709">
        <v>310</v>
      </c>
      <c r="J4709">
        <v>0.95699999999999996</v>
      </c>
      <c r="K4709">
        <v>34.799999999999997</v>
      </c>
      <c r="L4709">
        <v>36.4</v>
      </c>
      <c r="M4709">
        <v>235</v>
      </c>
      <c r="N4709">
        <v>18</v>
      </c>
      <c r="O4709">
        <v>10</v>
      </c>
    </row>
    <row r="4710" spans="1:16" x14ac:dyDescent="0.25">
      <c r="A4710" s="4">
        <v>45652</v>
      </c>
      <c r="B4710" t="s">
        <v>9</v>
      </c>
      <c r="C4710">
        <v>1</v>
      </c>
      <c r="F4710">
        <v>169</v>
      </c>
      <c r="J4710">
        <v>0.48799999999999999</v>
      </c>
      <c r="K4710">
        <v>19</v>
      </c>
      <c r="L4710">
        <v>38.9</v>
      </c>
      <c r="M4710">
        <v>135</v>
      </c>
      <c r="N4710">
        <v>14</v>
      </c>
      <c r="O4710">
        <v>2</v>
      </c>
    </row>
    <row r="4711" spans="1:16" x14ac:dyDescent="0.25">
      <c r="A4711" s="4">
        <v>45653</v>
      </c>
      <c r="B4711" t="s">
        <v>10</v>
      </c>
      <c r="C4711">
        <v>1</v>
      </c>
      <c r="F4711">
        <v>261</v>
      </c>
      <c r="J4711">
        <v>0.85099999999999998</v>
      </c>
      <c r="K4711">
        <v>29.3</v>
      </c>
      <c r="L4711">
        <v>34.5</v>
      </c>
      <c r="M4711">
        <v>217</v>
      </c>
      <c r="N4711">
        <v>17</v>
      </c>
      <c r="O4711">
        <v>3</v>
      </c>
    </row>
    <row r="4712" spans="1:16" x14ac:dyDescent="0.25">
      <c r="A4712" s="4">
        <v>45653</v>
      </c>
      <c r="B4712" t="s">
        <v>9</v>
      </c>
      <c r="C4712">
        <v>1</v>
      </c>
      <c r="F4712">
        <v>109</v>
      </c>
      <c r="J4712">
        <v>0.32700000000000001</v>
      </c>
      <c r="K4712">
        <v>12.3</v>
      </c>
      <c r="L4712">
        <v>37.4</v>
      </c>
      <c r="M4712">
        <v>93</v>
      </c>
      <c r="N4712">
        <v>8</v>
      </c>
    </row>
    <row r="4713" spans="1:16" x14ac:dyDescent="0.25">
      <c r="A4713" s="4">
        <v>45659</v>
      </c>
      <c r="B4713" t="s">
        <v>10</v>
      </c>
      <c r="C4713">
        <v>1</v>
      </c>
      <c r="F4713">
        <v>64</v>
      </c>
      <c r="J4713">
        <v>0.98699999999999999</v>
      </c>
      <c r="K4713">
        <v>33.700000000000003</v>
      </c>
      <c r="L4713">
        <v>34.1</v>
      </c>
      <c r="M4713">
        <v>55</v>
      </c>
      <c r="N4713">
        <v>3</v>
      </c>
      <c r="O4713">
        <v>1</v>
      </c>
    </row>
    <row r="4714" spans="1:16" x14ac:dyDescent="0.25">
      <c r="A4714" s="4">
        <v>45659</v>
      </c>
      <c r="B4714" t="s">
        <v>9</v>
      </c>
      <c r="C4714">
        <v>1</v>
      </c>
      <c r="F4714">
        <v>147</v>
      </c>
      <c r="J4714">
        <v>0.745</v>
      </c>
      <c r="K4714">
        <v>30</v>
      </c>
      <c r="L4714">
        <v>40.299999999999997</v>
      </c>
      <c r="M4714">
        <v>103</v>
      </c>
      <c r="N4714">
        <v>14</v>
      </c>
      <c r="O4714">
        <v>3</v>
      </c>
      <c r="P4714">
        <v>1</v>
      </c>
    </row>
    <row r="4715" spans="1:16" x14ac:dyDescent="0.25">
      <c r="A4715" s="4">
        <v>45660</v>
      </c>
      <c r="B4715" t="s">
        <v>10</v>
      </c>
      <c r="C4715">
        <v>1</v>
      </c>
      <c r="F4715">
        <v>278</v>
      </c>
      <c r="J4715">
        <v>0.98299999999999998</v>
      </c>
      <c r="K4715">
        <v>38.6</v>
      </c>
      <c r="L4715">
        <v>39.299999999999997</v>
      </c>
      <c r="M4715">
        <v>187</v>
      </c>
      <c r="N4715">
        <v>15</v>
      </c>
      <c r="O4715">
        <v>12</v>
      </c>
      <c r="P4715">
        <v>3</v>
      </c>
    </row>
    <row r="4716" spans="1:16" x14ac:dyDescent="0.25">
      <c r="A4716" s="4">
        <v>45660</v>
      </c>
      <c r="B4716" t="s">
        <v>9</v>
      </c>
      <c r="C4716">
        <v>1</v>
      </c>
      <c r="F4716">
        <v>148</v>
      </c>
      <c r="J4716">
        <v>0.52100000000000002</v>
      </c>
      <c r="K4716">
        <v>20.6</v>
      </c>
      <c r="L4716">
        <v>39.5</v>
      </c>
      <c r="M4716">
        <v>116</v>
      </c>
      <c r="N4716">
        <v>13</v>
      </c>
      <c r="O4716">
        <v>2</v>
      </c>
    </row>
    <row r="4717" spans="1:16" x14ac:dyDescent="0.25">
      <c r="A4717" s="4">
        <v>45663</v>
      </c>
      <c r="B4717" t="s">
        <v>10</v>
      </c>
      <c r="C4717">
        <v>1</v>
      </c>
      <c r="F4717">
        <v>309</v>
      </c>
      <c r="J4717">
        <v>1.1759999999999999</v>
      </c>
      <c r="K4717">
        <v>42.9</v>
      </c>
      <c r="L4717">
        <v>36.5</v>
      </c>
      <c r="M4717">
        <v>243</v>
      </c>
      <c r="N4717">
        <v>17</v>
      </c>
      <c r="O4717">
        <v>5</v>
      </c>
      <c r="P4717">
        <v>2</v>
      </c>
    </row>
    <row r="4718" spans="1:16" x14ac:dyDescent="0.25">
      <c r="A4718" s="4">
        <v>45663</v>
      </c>
      <c r="B4718" t="s">
        <v>9</v>
      </c>
      <c r="C4718">
        <v>1</v>
      </c>
      <c r="F4718">
        <v>138</v>
      </c>
      <c r="J4718">
        <v>0.51</v>
      </c>
      <c r="K4718">
        <v>19.2</v>
      </c>
      <c r="L4718">
        <v>37.6</v>
      </c>
      <c r="M4718">
        <v>115</v>
      </c>
      <c r="N4718">
        <v>10</v>
      </c>
      <c r="O4718">
        <v>2</v>
      </c>
    </row>
    <row r="4719" spans="1:16" x14ac:dyDescent="0.25">
      <c r="A4719" s="4">
        <v>45664</v>
      </c>
      <c r="B4719" t="s">
        <v>10</v>
      </c>
      <c r="C4719">
        <v>1</v>
      </c>
      <c r="F4719">
        <v>274</v>
      </c>
      <c r="J4719">
        <v>1.089</v>
      </c>
      <c r="K4719">
        <v>38.1</v>
      </c>
      <c r="L4719">
        <v>35</v>
      </c>
      <c r="M4719">
        <v>229</v>
      </c>
      <c r="N4719">
        <v>16</v>
      </c>
      <c r="O4719">
        <v>2</v>
      </c>
      <c r="P4719">
        <v>1</v>
      </c>
    </row>
    <row r="4720" spans="1:16" x14ac:dyDescent="0.25">
      <c r="A4720" s="4">
        <v>45664</v>
      </c>
      <c r="B4720" t="s">
        <v>9</v>
      </c>
      <c r="C4720">
        <v>1</v>
      </c>
      <c r="F4720">
        <v>124</v>
      </c>
      <c r="J4720">
        <v>0.47</v>
      </c>
      <c r="K4720">
        <v>17.2</v>
      </c>
      <c r="L4720">
        <v>36.6</v>
      </c>
      <c r="M4720">
        <v>113</v>
      </c>
      <c r="N4720">
        <v>3</v>
      </c>
      <c r="O4720">
        <v>1</v>
      </c>
    </row>
    <row r="4721" spans="1:16" x14ac:dyDescent="0.25">
      <c r="A4721" s="4">
        <v>45665</v>
      </c>
      <c r="B4721" t="s">
        <v>10</v>
      </c>
      <c r="C4721">
        <v>1</v>
      </c>
      <c r="F4721">
        <v>372</v>
      </c>
      <c r="J4721">
        <v>1.1890000000000001</v>
      </c>
      <c r="K4721">
        <v>41.8</v>
      </c>
      <c r="L4721">
        <v>35.200000000000003</v>
      </c>
      <c r="M4721">
        <v>300</v>
      </c>
      <c r="N4721">
        <v>19</v>
      </c>
      <c r="O4721">
        <v>10</v>
      </c>
    </row>
    <row r="4722" spans="1:16" x14ac:dyDescent="0.25">
      <c r="A4722" s="4">
        <v>45665</v>
      </c>
      <c r="B4722" t="s">
        <v>9</v>
      </c>
      <c r="C4722">
        <v>1</v>
      </c>
      <c r="F4722">
        <v>206</v>
      </c>
      <c r="J4722">
        <v>0.65600000000000003</v>
      </c>
      <c r="K4722">
        <v>23.2</v>
      </c>
      <c r="L4722">
        <v>35.299999999999997</v>
      </c>
      <c r="M4722">
        <v>191</v>
      </c>
      <c r="N4722">
        <v>6</v>
      </c>
      <c r="O4722">
        <v>1</v>
      </c>
    </row>
    <row r="4723" spans="1:16" x14ac:dyDescent="0.25">
      <c r="A4723" s="4">
        <v>45666</v>
      </c>
      <c r="B4723" t="s">
        <v>10</v>
      </c>
      <c r="C4723">
        <v>1</v>
      </c>
      <c r="F4723">
        <v>291</v>
      </c>
      <c r="J4723">
        <v>1.177</v>
      </c>
      <c r="K4723">
        <v>40.4</v>
      </c>
      <c r="L4723">
        <v>34.4</v>
      </c>
      <c r="M4723">
        <v>247</v>
      </c>
      <c r="N4723">
        <v>13</v>
      </c>
      <c r="O4723">
        <v>5</v>
      </c>
    </row>
    <row r="4724" spans="1:16" x14ac:dyDescent="0.25">
      <c r="A4724" s="4">
        <v>45666</v>
      </c>
      <c r="B4724" t="s">
        <v>9</v>
      </c>
      <c r="C4724">
        <v>1</v>
      </c>
      <c r="F4724">
        <v>98</v>
      </c>
      <c r="J4724">
        <v>0.497</v>
      </c>
      <c r="K4724">
        <v>18.5</v>
      </c>
      <c r="L4724">
        <v>37.200000000000003</v>
      </c>
      <c r="M4724">
        <v>92</v>
      </c>
      <c r="N4724">
        <v>3</v>
      </c>
    </row>
    <row r="4725" spans="1:16" x14ac:dyDescent="0.25">
      <c r="A4725" s="4">
        <v>45670</v>
      </c>
      <c r="B4725" t="s">
        <v>10</v>
      </c>
      <c r="C4725">
        <v>1</v>
      </c>
      <c r="F4725">
        <v>299</v>
      </c>
      <c r="J4725">
        <v>0.93400000000000005</v>
      </c>
      <c r="K4725">
        <v>33.6</v>
      </c>
      <c r="L4725">
        <v>36</v>
      </c>
      <c r="M4725">
        <v>207</v>
      </c>
      <c r="N4725">
        <v>30</v>
      </c>
      <c r="O4725">
        <v>9</v>
      </c>
    </row>
    <row r="4726" spans="1:16" x14ac:dyDescent="0.25">
      <c r="A4726" s="4">
        <v>45670</v>
      </c>
      <c r="B4726" t="s">
        <v>9</v>
      </c>
      <c r="C4726">
        <v>1</v>
      </c>
      <c r="F4726">
        <v>174</v>
      </c>
      <c r="J4726">
        <v>0.624</v>
      </c>
      <c r="K4726">
        <v>22</v>
      </c>
      <c r="L4726">
        <v>35.299999999999997</v>
      </c>
      <c r="M4726">
        <v>140</v>
      </c>
      <c r="N4726">
        <v>14</v>
      </c>
      <c r="O4726">
        <v>2</v>
      </c>
    </row>
    <row r="4727" spans="1:16" x14ac:dyDescent="0.25">
      <c r="A4727" s="4">
        <v>45671</v>
      </c>
      <c r="B4727" t="s">
        <v>10</v>
      </c>
      <c r="C4727">
        <v>1</v>
      </c>
      <c r="F4727">
        <v>305</v>
      </c>
      <c r="J4727">
        <v>1.254</v>
      </c>
      <c r="K4727">
        <v>43.6</v>
      </c>
      <c r="L4727">
        <v>34.799999999999997</v>
      </c>
      <c r="M4727">
        <v>249</v>
      </c>
      <c r="N4727">
        <v>20</v>
      </c>
      <c r="O4727">
        <v>5</v>
      </c>
    </row>
    <row r="4728" spans="1:16" x14ac:dyDescent="0.25">
      <c r="A4728" s="4">
        <v>45671</v>
      </c>
      <c r="B4728" t="s">
        <v>9</v>
      </c>
      <c r="C4728">
        <v>1</v>
      </c>
      <c r="F4728">
        <v>220</v>
      </c>
      <c r="J4728">
        <v>0.66300000000000003</v>
      </c>
      <c r="K4728">
        <v>24.7</v>
      </c>
      <c r="L4728">
        <v>37.299999999999997</v>
      </c>
      <c r="M4728">
        <v>189</v>
      </c>
      <c r="N4728">
        <v>11</v>
      </c>
      <c r="O4728">
        <v>3</v>
      </c>
    </row>
    <row r="4729" spans="1:16" x14ac:dyDescent="0.25">
      <c r="A4729" s="4">
        <v>45672</v>
      </c>
      <c r="B4729" t="s">
        <v>10</v>
      </c>
      <c r="C4729">
        <v>1</v>
      </c>
      <c r="F4729">
        <v>378</v>
      </c>
      <c r="J4729">
        <v>1.2110000000000001</v>
      </c>
      <c r="K4729">
        <v>42.5</v>
      </c>
      <c r="L4729">
        <v>35.1</v>
      </c>
      <c r="M4729">
        <v>297</v>
      </c>
      <c r="N4729">
        <v>30</v>
      </c>
      <c r="O4729">
        <v>6</v>
      </c>
    </row>
    <row r="4730" spans="1:16" x14ac:dyDescent="0.25">
      <c r="A4730" s="4">
        <v>45672</v>
      </c>
      <c r="B4730" t="s">
        <v>9</v>
      </c>
      <c r="C4730">
        <v>1</v>
      </c>
      <c r="F4730">
        <v>173</v>
      </c>
      <c r="J4730">
        <v>0.55500000000000005</v>
      </c>
      <c r="K4730">
        <v>19.399999999999999</v>
      </c>
      <c r="L4730">
        <v>35</v>
      </c>
      <c r="M4730">
        <v>159</v>
      </c>
      <c r="N4730">
        <v>7</v>
      </c>
    </row>
    <row r="4731" spans="1:16" x14ac:dyDescent="0.25">
      <c r="A4731" s="4">
        <v>45673</v>
      </c>
      <c r="B4731" t="s">
        <v>10</v>
      </c>
      <c r="C4731">
        <v>1</v>
      </c>
      <c r="F4731">
        <v>274</v>
      </c>
      <c r="J4731">
        <v>1.115</v>
      </c>
      <c r="K4731">
        <v>38.1</v>
      </c>
      <c r="L4731">
        <v>34.1</v>
      </c>
      <c r="M4731">
        <v>222</v>
      </c>
      <c r="N4731">
        <v>20</v>
      </c>
      <c r="O4731">
        <v>2</v>
      </c>
      <c r="P4731">
        <v>1</v>
      </c>
    </row>
    <row r="4732" spans="1:16" x14ac:dyDescent="0.25">
      <c r="A4732" s="4">
        <v>45673</v>
      </c>
      <c r="B4732" t="s">
        <v>9</v>
      </c>
      <c r="C4732">
        <v>1</v>
      </c>
      <c r="F4732">
        <v>148</v>
      </c>
      <c r="J4732">
        <v>0.56899999999999995</v>
      </c>
      <c r="K4732">
        <v>20.6</v>
      </c>
      <c r="L4732">
        <v>36.1</v>
      </c>
      <c r="M4732">
        <v>132</v>
      </c>
      <c r="N4732">
        <v>5</v>
      </c>
      <c r="P4732">
        <v>1</v>
      </c>
    </row>
    <row r="4733" spans="1:16" x14ac:dyDescent="0.25">
      <c r="A4733" s="4">
        <v>45674</v>
      </c>
      <c r="B4733" t="s">
        <v>10</v>
      </c>
      <c r="C4733">
        <v>1</v>
      </c>
      <c r="F4733">
        <v>228</v>
      </c>
      <c r="J4733">
        <v>1.216</v>
      </c>
      <c r="K4733">
        <v>42.2</v>
      </c>
      <c r="L4733">
        <v>34.700000000000003</v>
      </c>
      <c r="M4733">
        <v>199</v>
      </c>
      <c r="N4733">
        <v>11</v>
      </c>
      <c r="P4733">
        <v>1</v>
      </c>
    </row>
    <row r="4734" spans="1:16" x14ac:dyDescent="0.25">
      <c r="A4734" s="4">
        <v>45674</v>
      </c>
      <c r="B4734" t="s">
        <v>9</v>
      </c>
      <c r="C4734">
        <v>1</v>
      </c>
      <c r="F4734">
        <v>104</v>
      </c>
      <c r="J4734">
        <v>0.51100000000000001</v>
      </c>
      <c r="K4734">
        <v>19.3</v>
      </c>
      <c r="L4734">
        <v>37.700000000000003</v>
      </c>
      <c r="M4734">
        <v>92</v>
      </c>
      <c r="N4734">
        <v>6</v>
      </c>
    </row>
    <row r="4735" spans="1:16" x14ac:dyDescent="0.25">
      <c r="A4735" s="4">
        <v>45677</v>
      </c>
      <c r="B4735" t="s">
        <v>10</v>
      </c>
      <c r="C4735">
        <v>1</v>
      </c>
      <c r="F4735">
        <v>271</v>
      </c>
      <c r="J4735">
        <v>1.248</v>
      </c>
      <c r="K4735">
        <v>43.7</v>
      </c>
      <c r="L4735">
        <v>35</v>
      </c>
      <c r="M4735">
        <v>196</v>
      </c>
      <c r="N4735">
        <v>23</v>
      </c>
      <c r="O4735">
        <v>7</v>
      </c>
      <c r="P4735">
        <v>1</v>
      </c>
    </row>
    <row r="4736" spans="1:16" x14ac:dyDescent="0.25">
      <c r="A4736" s="4">
        <v>45677</v>
      </c>
      <c r="B4736" t="s">
        <v>9</v>
      </c>
      <c r="C4736">
        <v>1</v>
      </c>
      <c r="F4736">
        <v>146</v>
      </c>
      <c r="J4736">
        <v>0.57499999999999996</v>
      </c>
      <c r="K4736">
        <v>21.8</v>
      </c>
      <c r="L4736">
        <v>37.9</v>
      </c>
      <c r="M4736">
        <v>133</v>
      </c>
      <c r="N4736">
        <v>5</v>
      </c>
      <c r="O4736">
        <v>1</v>
      </c>
    </row>
    <row r="4737" spans="1:16" x14ac:dyDescent="0.25">
      <c r="A4737" s="4">
        <v>45678</v>
      </c>
      <c r="B4737" t="s">
        <v>10</v>
      </c>
      <c r="C4737">
        <v>1</v>
      </c>
      <c r="F4737">
        <v>285</v>
      </c>
      <c r="J4737">
        <v>1.216</v>
      </c>
      <c r="K4737">
        <v>42.5</v>
      </c>
      <c r="L4737">
        <v>35</v>
      </c>
      <c r="M4737">
        <v>229</v>
      </c>
      <c r="N4737">
        <v>19</v>
      </c>
      <c r="O4737">
        <v>4</v>
      </c>
      <c r="P4737">
        <v>1</v>
      </c>
    </row>
    <row r="4738" spans="1:16" x14ac:dyDescent="0.25">
      <c r="A4738" s="4">
        <v>45678</v>
      </c>
      <c r="B4738" t="s">
        <v>9</v>
      </c>
      <c r="C4738">
        <v>1</v>
      </c>
      <c r="F4738">
        <v>83</v>
      </c>
      <c r="J4738">
        <v>0.32500000000000001</v>
      </c>
      <c r="K4738">
        <v>11.5</v>
      </c>
      <c r="L4738">
        <v>35.5</v>
      </c>
      <c r="M4738">
        <v>75</v>
      </c>
      <c r="N4738">
        <v>4</v>
      </c>
    </row>
    <row r="4739" spans="1:16" x14ac:dyDescent="0.25">
      <c r="A4739" s="4">
        <v>45679</v>
      </c>
      <c r="B4739" t="s">
        <v>10</v>
      </c>
      <c r="C4739">
        <v>1</v>
      </c>
      <c r="F4739">
        <v>234</v>
      </c>
      <c r="J4739">
        <v>1.0289999999999999</v>
      </c>
      <c r="K4739">
        <v>36.6</v>
      </c>
      <c r="L4739">
        <v>35.6</v>
      </c>
      <c r="M4739">
        <v>207</v>
      </c>
      <c r="N4739">
        <v>12</v>
      </c>
      <c r="O4739">
        <v>1</v>
      </c>
    </row>
    <row r="4740" spans="1:16" x14ac:dyDescent="0.25">
      <c r="A4740" s="4">
        <v>45679</v>
      </c>
      <c r="B4740" t="s">
        <v>9</v>
      </c>
      <c r="C4740">
        <v>1</v>
      </c>
      <c r="F4740">
        <v>123</v>
      </c>
      <c r="J4740">
        <v>0.45700000000000002</v>
      </c>
      <c r="K4740">
        <v>17.8</v>
      </c>
      <c r="L4740">
        <v>39</v>
      </c>
      <c r="M4740">
        <v>103</v>
      </c>
      <c r="N4740">
        <v>10</v>
      </c>
    </row>
    <row r="4741" spans="1:16" x14ac:dyDescent="0.25">
      <c r="A4741" s="4">
        <v>45680</v>
      </c>
      <c r="B4741" t="s">
        <v>10</v>
      </c>
      <c r="C4741">
        <v>1</v>
      </c>
      <c r="F4741">
        <v>280</v>
      </c>
      <c r="J4741">
        <v>1.115</v>
      </c>
      <c r="K4741">
        <v>41.8</v>
      </c>
      <c r="L4741">
        <v>37.5</v>
      </c>
      <c r="M4741">
        <v>230</v>
      </c>
      <c r="N4741">
        <v>11</v>
      </c>
      <c r="O4741">
        <v>2</v>
      </c>
      <c r="P4741">
        <v>2</v>
      </c>
    </row>
    <row r="4742" spans="1:16" x14ac:dyDescent="0.25">
      <c r="A4742" s="4">
        <v>45680</v>
      </c>
      <c r="B4742" t="s">
        <v>9</v>
      </c>
      <c r="C4742">
        <v>1</v>
      </c>
      <c r="F4742">
        <v>127</v>
      </c>
      <c r="J4742">
        <v>0.48799999999999999</v>
      </c>
      <c r="K4742">
        <v>17.600000000000001</v>
      </c>
      <c r="L4742">
        <v>36.200000000000003</v>
      </c>
      <c r="M4742">
        <v>119</v>
      </c>
      <c r="N4742">
        <v>4</v>
      </c>
    </row>
    <row r="4743" spans="1:16" x14ac:dyDescent="0.25">
      <c r="A4743" s="4">
        <v>45681</v>
      </c>
      <c r="B4743" t="s">
        <v>10</v>
      </c>
      <c r="C4743">
        <v>1</v>
      </c>
      <c r="F4743">
        <v>208</v>
      </c>
      <c r="J4743">
        <v>0.84099999999999997</v>
      </c>
      <c r="K4743">
        <v>31</v>
      </c>
      <c r="L4743">
        <v>36.9</v>
      </c>
      <c r="M4743">
        <v>140</v>
      </c>
      <c r="N4743">
        <v>17</v>
      </c>
      <c r="O4743">
        <v>10</v>
      </c>
    </row>
    <row r="4744" spans="1:16" x14ac:dyDescent="0.25">
      <c r="A4744" s="4">
        <v>45681</v>
      </c>
      <c r="B4744" t="s">
        <v>9</v>
      </c>
      <c r="C4744">
        <v>1</v>
      </c>
      <c r="F4744">
        <v>146</v>
      </c>
      <c r="J4744">
        <v>0.56499999999999995</v>
      </c>
      <c r="K4744">
        <v>20.3</v>
      </c>
      <c r="L4744">
        <v>35.9</v>
      </c>
      <c r="M4744">
        <v>125</v>
      </c>
      <c r="N4744">
        <v>9</v>
      </c>
      <c r="O4744">
        <v>1</v>
      </c>
    </row>
    <row r="4745" spans="1:16" x14ac:dyDescent="0.25">
      <c r="A4745" s="4">
        <v>45684</v>
      </c>
      <c r="B4745" t="s">
        <v>10</v>
      </c>
      <c r="C4745">
        <v>1</v>
      </c>
      <c r="F4745">
        <v>299</v>
      </c>
      <c r="J4745">
        <v>1.1779999999999999</v>
      </c>
      <c r="K4745">
        <v>41.5</v>
      </c>
      <c r="L4745">
        <v>35.200000000000003</v>
      </c>
      <c r="M4745">
        <v>235</v>
      </c>
      <c r="N4745">
        <v>23</v>
      </c>
      <c r="O4745">
        <v>5</v>
      </c>
    </row>
    <row r="4746" spans="1:16" x14ac:dyDescent="0.25">
      <c r="A4746" s="4">
        <v>45684</v>
      </c>
      <c r="B4746" t="s">
        <v>9</v>
      </c>
      <c r="C4746">
        <v>1</v>
      </c>
      <c r="F4746">
        <v>137</v>
      </c>
      <c r="J4746">
        <v>0.51100000000000001</v>
      </c>
      <c r="K4746">
        <v>19</v>
      </c>
      <c r="L4746">
        <v>37.200000000000003</v>
      </c>
      <c r="M4746">
        <v>121</v>
      </c>
      <c r="N4746">
        <v>6</v>
      </c>
      <c r="O4746">
        <v>1</v>
      </c>
    </row>
    <row r="4747" spans="1:16" x14ac:dyDescent="0.25">
      <c r="A4747" s="4">
        <v>45685</v>
      </c>
      <c r="B4747" t="s">
        <v>10</v>
      </c>
      <c r="C4747">
        <v>1</v>
      </c>
      <c r="F4747">
        <v>388</v>
      </c>
      <c r="J4747">
        <v>1.2350000000000001</v>
      </c>
      <c r="K4747">
        <v>43.6</v>
      </c>
      <c r="L4747">
        <v>35.299999999999997</v>
      </c>
      <c r="M4747">
        <v>313</v>
      </c>
      <c r="N4747">
        <v>24</v>
      </c>
      <c r="O4747">
        <v>6</v>
      </c>
      <c r="P4747">
        <v>1</v>
      </c>
    </row>
    <row r="4748" spans="1:16" x14ac:dyDescent="0.25">
      <c r="A4748" s="4">
        <v>45685</v>
      </c>
      <c r="B4748" t="s">
        <v>9</v>
      </c>
      <c r="C4748">
        <v>1</v>
      </c>
      <c r="F4748">
        <v>190</v>
      </c>
      <c r="J4748">
        <v>0.56599999999999995</v>
      </c>
      <c r="K4748">
        <v>21.4</v>
      </c>
      <c r="L4748">
        <v>37.700000000000003</v>
      </c>
      <c r="M4748">
        <v>147</v>
      </c>
      <c r="N4748">
        <v>15</v>
      </c>
      <c r="O4748">
        <v>4</v>
      </c>
    </row>
    <row r="4749" spans="1:16" x14ac:dyDescent="0.25">
      <c r="A4749" s="4">
        <v>45686</v>
      </c>
      <c r="B4749" t="s">
        <v>10</v>
      </c>
      <c r="C4749">
        <v>1</v>
      </c>
      <c r="F4749">
        <v>389</v>
      </c>
      <c r="J4749">
        <v>1.2090000000000001</v>
      </c>
      <c r="K4749">
        <v>43.7</v>
      </c>
      <c r="L4749">
        <v>36.200000000000003</v>
      </c>
      <c r="M4749">
        <v>299</v>
      </c>
      <c r="N4749">
        <v>26</v>
      </c>
      <c r="O4749">
        <v>9</v>
      </c>
      <c r="P4749">
        <v>1</v>
      </c>
    </row>
    <row r="4750" spans="1:16" x14ac:dyDescent="0.25">
      <c r="A4750" s="4">
        <v>45686</v>
      </c>
      <c r="B4750" t="s">
        <v>9</v>
      </c>
      <c r="C4750">
        <v>1</v>
      </c>
      <c r="F4750">
        <v>166</v>
      </c>
      <c r="J4750">
        <v>0.51</v>
      </c>
      <c r="K4750">
        <v>18.7</v>
      </c>
      <c r="L4750">
        <v>36.6</v>
      </c>
      <c r="M4750">
        <v>135</v>
      </c>
      <c r="N4750">
        <v>12</v>
      </c>
      <c r="O4750">
        <v>2</v>
      </c>
    </row>
    <row r="4751" spans="1:16" x14ac:dyDescent="0.25">
      <c r="A4751" s="4">
        <v>45687</v>
      </c>
      <c r="B4751" t="s">
        <v>10</v>
      </c>
      <c r="C4751">
        <v>1</v>
      </c>
      <c r="F4751">
        <v>334</v>
      </c>
      <c r="J4751">
        <v>1.1080000000000001</v>
      </c>
      <c r="K4751">
        <v>37.5</v>
      </c>
      <c r="L4751">
        <v>33.9</v>
      </c>
      <c r="M4751">
        <v>284</v>
      </c>
      <c r="N4751">
        <v>19</v>
      </c>
      <c r="O4751">
        <v>3</v>
      </c>
    </row>
    <row r="4752" spans="1:16" x14ac:dyDescent="0.25">
      <c r="A4752" s="4">
        <v>45687</v>
      </c>
      <c r="B4752" t="s">
        <v>9</v>
      </c>
      <c r="C4752">
        <v>1</v>
      </c>
      <c r="F4752">
        <v>156</v>
      </c>
      <c r="J4752">
        <v>0.46800000000000003</v>
      </c>
      <c r="K4752">
        <v>17.5</v>
      </c>
      <c r="L4752">
        <v>37.5</v>
      </c>
      <c r="M4752">
        <v>128</v>
      </c>
      <c r="N4752">
        <v>10</v>
      </c>
      <c r="O4752">
        <v>2</v>
      </c>
    </row>
    <row r="4753" spans="1:16" x14ac:dyDescent="0.25">
      <c r="A4753" s="4">
        <v>45688</v>
      </c>
      <c r="B4753" t="s">
        <v>10</v>
      </c>
      <c r="C4753">
        <v>1</v>
      </c>
      <c r="F4753">
        <v>290</v>
      </c>
      <c r="J4753">
        <v>1.157</v>
      </c>
      <c r="K4753">
        <v>40.299999999999997</v>
      </c>
      <c r="L4753">
        <v>34.799999999999997</v>
      </c>
      <c r="M4753">
        <v>258</v>
      </c>
      <c r="N4753">
        <v>11</v>
      </c>
      <c r="O4753">
        <v>2</v>
      </c>
    </row>
    <row r="4754" spans="1:16" x14ac:dyDescent="0.25">
      <c r="A4754" s="4">
        <v>45688</v>
      </c>
      <c r="B4754" t="s">
        <v>9</v>
      </c>
      <c r="C4754">
        <v>1</v>
      </c>
      <c r="F4754">
        <v>145</v>
      </c>
      <c r="J4754">
        <v>0.56100000000000005</v>
      </c>
      <c r="K4754">
        <v>20.100000000000001</v>
      </c>
      <c r="L4754">
        <v>35.9</v>
      </c>
      <c r="M4754">
        <v>116</v>
      </c>
      <c r="N4754">
        <v>12</v>
      </c>
      <c r="O4754">
        <v>1</v>
      </c>
    </row>
    <row r="4755" spans="1:16" x14ac:dyDescent="0.25">
      <c r="A4755" s="4">
        <v>45691</v>
      </c>
      <c r="B4755" t="s">
        <v>10</v>
      </c>
      <c r="C4755">
        <v>1</v>
      </c>
      <c r="F4755">
        <v>287</v>
      </c>
      <c r="J4755">
        <v>1.1870000000000001</v>
      </c>
      <c r="K4755">
        <v>42.8</v>
      </c>
      <c r="L4755">
        <v>36.1</v>
      </c>
      <c r="M4755">
        <v>207</v>
      </c>
      <c r="N4755">
        <v>27</v>
      </c>
      <c r="O4755">
        <v>7</v>
      </c>
    </row>
    <row r="4756" spans="1:16" x14ac:dyDescent="0.25">
      <c r="A4756" s="4">
        <v>45691</v>
      </c>
      <c r="B4756" t="s">
        <v>9</v>
      </c>
      <c r="C4756">
        <v>1</v>
      </c>
      <c r="F4756">
        <v>139</v>
      </c>
      <c r="J4756">
        <v>0.51600000000000001</v>
      </c>
      <c r="K4756">
        <v>19.3</v>
      </c>
      <c r="L4756">
        <v>37.4</v>
      </c>
      <c r="M4756">
        <v>97</v>
      </c>
      <c r="N4756">
        <v>11</v>
      </c>
      <c r="O4756">
        <v>6</v>
      </c>
    </row>
    <row r="4757" spans="1:16" x14ac:dyDescent="0.25">
      <c r="A4757" s="4">
        <v>45692</v>
      </c>
      <c r="B4757" t="s">
        <v>10</v>
      </c>
      <c r="C4757">
        <v>1</v>
      </c>
      <c r="F4757">
        <v>311</v>
      </c>
      <c r="J4757">
        <v>0.98899999999999999</v>
      </c>
      <c r="K4757">
        <v>34.9</v>
      </c>
      <c r="L4757">
        <v>35.299999999999997</v>
      </c>
      <c r="M4757">
        <v>215</v>
      </c>
      <c r="N4757">
        <v>35</v>
      </c>
      <c r="O4757">
        <v>8</v>
      </c>
    </row>
    <row r="4758" spans="1:16" x14ac:dyDescent="0.25">
      <c r="A4758" s="4">
        <v>45692</v>
      </c>
      <c r="B4758" t="s">
        <v>9</v>
      </c>
      <c r="C4758">
        <v>1</v>
      </c>
      <c r="F4758">
        <v>0</v>
      </c>
    </row>
    <row r="4759" spans="1:16" x14ac:dyDescent="0.25">
      <c r="A4759" s="4">
        <v>45693</v>
      </c>
      <c r="B4759" t="s">
        <v>10</v>
      </c>
      <c r="C4759">
        <v>1</v>
      </c>
      <c r="F4759">
        <v>356</v>
      </c>
      <c r="J4759">
        <v>1.153</v>
      </c>
      <c r="K4759">
        <v>40</v>
      </c>
      <c r="L4759">
        <v>34.700000000000003</v>
      </c>
      <c r="M4759">
        <v>305</v>
      </c>
      <c r="N4759">
        <v>15</v>
      </c>
      <c r="O4759">
        <v>7</v>
      </c>
    </row>
    <row r="4760" spans="1:16" x14ac:dyDescent="0.25">
      <c r="A4760" s="4">
        <v>45693</v>
      </c>
      <c r="B4760" t="s">
        <v>9</v>
      </c>
      <c r="C4760">
        <v>1</v>
      </c>
      <c r="F4760">
        <v>153</v>
      </c>
      <c r="J4760">
        <v>0.47899999999999998</v>
      </c>
      <c r="K4760">
        <v>17.2</v>
      </c>
      <c r="L4760">
        <v>35.9</v>
      </c>
      <c r="M4760">
        <v>137</v>
      </c>
      <c r="N4760">
        <v>8</v>
      </c>
    </row>
    <row r="4761" spans="1:16" x14ac:dyDescent="0.25">
      <c r="A4761" s="4">
        <v>45694</v>
      </c>
      <c r="B4761" t="s">
        <v>10</v>
      </c>
      <c r="C4761">
        <v>1</v>
      </c>
      <c r="F4761">
        <v>268</v>
      </c>
      <c r="J4761">
        <v>1.052</v>
      </c>
      <c r="K4761">
        <v>37.200000000000003</v>
      </c>
      <c r="L4761">
        <v>35.4</v>
      </c>
      <c r="M4761">
        <v>225</v>
      </c>
      <c r="N4761">
        <v>15</v>
      </c>
      <c r="O4761">
        <v>2</v>
      </c>
      <c r="P4761">
        <v>1</v>
      </c>
    </row>
    <row r="4762" spans="1:16" x14ac:dyDescent="0.25">
      <c r="A4762" s="4">
        <v>45694</v>
      </c>
      <c r="B4762" t="s">
        <v>9</v>
      </c>
      <c r="C4762">
        <v>1</v>
      </c>
      <c r="F4762">
        <v>161</v>
      </c>
      <c r="J4762">
        <v>0.55800000000000005</v>
      </c>
      <c r="K4762">
        <v>22.4</v>
      </c>
      <c r="L4762">
        <v>40.1</v>
      </c>
      <c r="M4762">
        <v>117</v>
      </c>
      <c r="N4762">
        <v>10</v>
      </c>
      <c r="O4762">
        <v>7</v>
      </c>
    </row>
    <row r="4763" spans="1:16" x14ac:dyDescent="0.25">
      <c r="A4763" s="4">
        <v>45695</v>
      </c>
      <c r="B4763" t="s">
        <v>10</v>
      </c>
      <c r="C4763">
        <v>1</v>
      </c>
      <c r="F4763">
        <v>286</v>
      </c>
      <c r="J4763">
        <v>1.1060000000000001</v>
      </c>
      <c r="K4763">
        <v>39.700000000000003</v>
      </c>
      <c r="L4763">
        <v>35.9</v>
      </c>
      <c r="M4763">
        <v>244</v>
      </c>
      <c r="N4763">
        <v>10</v>
      </c>
      <c r="O4763">
        <v>6</v>
      </c>
    </row>
    <row r="4764" spans="1:16" x14ac:dyDescent="0.25">
      <c r="A4764" s="4">
        <v>45695</v>
      </c>
      <c r="B4764" t="s">
        <v>9</v>
      </c>
      <c r="C4764">
        <v>1</v>
      </c>
      <c r="F4764">
        <v>160</v>
      </c>
      <c r="J4764">
        <v>0.60599999999999998</v>
      </c>
      <c r="K4764">
        <v>22.2</v>
      </c>
      <c r="L4764">
        <v>36.700000000000003</v>
      </c>
      <c r="M4764">
        <v>130</v>
      </c>
      <c r="N4764">
        <v>13</v>
      </c>
      <c r="O4764">
        <v>1</v>
      </c>
    </row>
    <row r="4765" spans="1:16" x14ac:dyDescent="0.25">
      <c r="A4765" s="4">
        <v>45698</v>
      </c>
      <c r="B4765" t="s">
        <v>10</v>
      </c>
      <c r="C4765">
        <v>1</v>
      </c>
      <c r="F4765">
        <v>351</v>
      </c>
      <c r="J4765">
        <v>1.095</v>
      </c>
      <c r="K4765">
        <v>39.4</v>
      </c>
      <c r="L4765">
        <v>36</v>
      </c>
      <c r="M4765">
        <v>246</v>
      </c>
      <c r="N4765">
        <v>34</v>
      </c>
      <c r="O4765">
        <v>10</v>
      </c>
    </row>
    <row r="4766" spans="1:16" x14ac:dyDescent="0.25">
      <c r="A4766" s="4">
        <v>45698</v>
      </c>
      <c r="B4766" t="s">
        <v>9</v>
      </c>
      <c r="C4766">
        <v>1</v>
      </c>
      <c r="F4766">
        <v>166</v>
      </c>
      <c r="J4766">
        <v>0.49299999999999999</v>
      </c>
      <c r="K4766">
        <v>18.7</v>
      </c>
      <c r="L4766">
        <v>37.9</v>
      </c>
      <c r="M4766">
        <v>121</v>
      </c>
      <c r="N4766">
        <v>19</v>
      </c>
      <c r="P4766">
        <v>1</v>
      </c>
    </row>
    <row r="4767" spans="1:16" x14ac:dyDescent="0.25">
      <c r="A4767" s="4">
        <v>45699</v>
      </c>
      <c r="B4767" t="s">
        <v>10</v>
      </c>
      <c r="C4767">
        <v>1</v>
      </c>
      <c r="F4767">
        <v>350</v>
      </c>
      <c r="J4767">
        <v>1.1359999999999999</v>
      </c>
      <c r="K4767">
        <v>41.7</v>
      </c>
      <c r="L4767">
        <v>36.700000000000003</v>
      </c>
      <c r="M4767">
        <v>248</v>
      </c>
      <c r="N4767">
        <v>27</v>
      </c>
      <c r="O4767">
        <v>9</v>
      </c>
      <c r="P4767">
        <v>2</v>
      </c>
    </row>
    <row r="4768" spans="1:16" x14ac:dyDescent="0.25">
      <c r="A4768" s="4">
        <v>45699</v>
      </c>
      <c r="B4768" t="s">
        <v>9</v>
      </c>
      <c r="C4768">
        <v>1</v>
      </c>
      <c r="F4768">
        <v>158</v>
      </c>
      <c r="J4768">
        <v>0.54500000000000004</v>
      </c>
      <c r="K4768">
        <v>20</v>
      </c>
      <c r="L4768">
        <v>36.700000000000003</v>
      </c>
      <c r="M4768">
        <v>124</v>
      </c>
      <c r="N4768">
        <v>17</v>
      </c>
    </row>
    <row r="4769" spans="1:16" x14ac:dyDescent="0.25">
      <c r="A4769" s="4">
        <v>45700</v>
      </c>
      <c r="B4769" t="s">
        <v>10</v>
      </c>
      <c r="C4769">
        <v>1</v>
      </c>
      <c r="F4769">
        <v>373</v>
      </c>
      <c r="J4769">
        <v>1.157</v>
      </c>
      <c r="K4769">
        <v>41.9</v>
      </c>
      <c r="L4769">
        <v>36.200000000000003</v>
      </c>
      <c r="M4769">
        <v>269</v>
      </c>
      <c r="N4769">
        <v>33</v>
      </c>
      <c r="O4769">
        <v>7</v>
      </c>
      <c r="P4769">
        <v>2</v>
      </c>
    </row>
    <row r="4770" spans="1:16" x14ac:dyDescent="0.25">
      <c r="A4770" s="4">
        <v>45700</v>
      </c>
      <c r="B4770" t="s">
        <v>9</v>
      </c>
      <c r="C4770">
        <v>1</v>
      </c>
      <c r="F4770">
        <v>199</v>
      </c>
      <c r="J4770">
        <v>0.59299999999999997</v>
      </c>
      <c r="K4770">
        <v>22.4</v>
      </c>
      <c r="L4770">
        <v>37.700000000000003</v>
      </c>
      <c r="M4770">
        <v>157</v>
      </c>
      <c r="N4770">
        <v>17</v>
      </c>
      <c r="O4770">
        <v>2</v>
      </c>
    </row>
    <row r="4771" spans="1:16" x14ac:dyDescent="0.25">
      <c r="A4771" s="4">
        <v>45701</v>
      </c>
      <c r="B4771" t="s">
        <v>10</v>
      </c>
      <c r="C4771">
        <v>1</v>
      </c>
      <c r="F4771">
        <v>299</v>
      </c>
      <c r="J4771">
        <v>1.2090000000000001</v>
      </c>
      <c r="K4771">
        <v>41.5</v>
      </c>
      <c r="L4771">
        <v>34.299999999999997</v>
      </c>
      <c r="M4771">
        <v>253</v>
      </c>
      <c r="N4771">
        <v>19</v>
      </c>
      <c r="O4771">
        <v>2</v>
      </c>
    </row>
    <row r="4772" spans="1:16" x14ac:dyDescent="0.25">
      <c r="A4772" s="4">
        <v>45701</v>
      </c>
      <c r="B4772" t="s">
        <v>9</v>
      </c>
      <c r="C4772">
        <v>1</v>
      </c>
      <c r="F4772">
        <v>162</v>
      </c>
      <c r="J4772">
        <v>0.62</v>
      </c>
      <c r="K4772">
        <v>22.5</v>
      </c>
      <c r="L4772">
        <v>36.299999999999997</v>
      </c>
      <c r="M4772">
        <v>138</v>
      </c>
      <c r="N4772">
        <v>12</v>
      </c>
    </row>
    <row r="4773" spans="1:16" x14ac:dyDescent="0.25">
      <c r="A4773" s="4">
        <v>45702</v>
      </c>
      <c r="B4773" t="s">
        <v>10</v>
      </c>
      <c r="C4773">
        <v>1</v>
      </c>
      <c r="F4773">
        <v>301</v>
      </c>
      <c r="J4773">
        <v>1.147</v>
      </c>
      <c r="K4773">
        <v>41.8</v>
      </c>
      <c r="L4773">
        <v>36.5</v>
      </c>
      <c r="M4773">
        <v>227</v>
      </c>
      <c r="N4773">
        <v>24</v>
      </c>
      <c r="O4773">
        <v>7</v>
      </c>
    </row>
    <row r="4774" spans="1:16" x14ac:dyDescent="0.25">
      <c r="A4774" s="4">
        <v>45702</v>
      </c>
      <c r="B4774" t="s">
        <v>9</v>
      </c>
      <c r="C4774">
        <v>1</v>
      </c>
      <c r="F4774">
        <v>131</v>
      </c>
      <c r="J4774">
        <v>0.47099999999999997</v>
      </c>
      <c r="K4774">
        <v>18.2</v>
      </c>
      <c r="L4774">
        <v>38.6</v>
      </c>
      <c r="M4774">
        <v>101</v>
      </c>
      <c r="N4774">
        <v>11</v>
      </c>
      <c r="O4774">
        <v>2</v>
      </c>
    </row>
    <row r="4775" spans="1:16" x14ac:dyDescent="0.25">
      <c r="A4775" s="4">
        <v>45705</v>
      </c>
      <c r="B4775" t="s">
        <v>10</v>
      </c>
      <c r="C4775">
        <v>1</v>
      </c>
      <c r="F4775">
        <v>281</v>
      </c>
      <c r="J4775">
        <v>1.1379999999999999</v>
      </c>
      <c r="K4775">
        <v>39</v>
      </c>
      <c r="L4775">
        <v>34.299999999999997</v>
      </c>
      <c r="M4775">
        <v>243</v>
      </c>
      <c r="N4775">
        <v>17</v>
      </c>
      <c r="O4775">
        <v>1</v>
      </c>
    </row>
    <row r="4776" spans="1:16" x14ac:dyDescent="0.25">
      <c r="A4776" s="4">
        <v>45705</v>
      </c>
      <c r="B4776" t="s">
        <v>9</v>
      </c>
      <c r="C4776">
        <v>1</v>
      </c>
      <c r="F4776">
        <v>140</v>
      </c>
      <c r="J4776">
        <v>0.70399999999999996</v>
      </c>
      <c r="K4776">
        <v>25.5</v>
      </c>
      <c r="L4776">
        <v>36.200000000000003</v>
      </c>
      <c r="M4776">
        <v>125</v>
      </c>
      <c r="N4776">
        <v>6</v>
      </c>
      <c r="O4776">
        <v>1</v>
      </c>
    </row>
    <row r="4777" spans="1:16" x14ac:dyDescent="0.25">
      <c r="A4777" s="4">
        <v>45706</v>
      </c>
      <c r="B4777" t="s">
        <v>10</v>
      </c>
      <c r="C4777">
        <v>1</v>
      </c>
      <c r="F4777">
        <v>319</v>
      </c>
      <c r="J4777">
        <v>1.0049999999999999</v>
      </c>
      <c r="K4777">
        <v>35.799999999999997</v>
      </c>
      <c r="L4777">
        <v>35.700000000000003</v>
      </c>
      <c r="M4777">
        <v>255</v>
      </c>
      <c r="N4777">
        <v>24</v>
      </c>
      <c r="O4777">
        <v>2</v>
      </c>
      <c r="P4777">
        <v>1</v>
      </c>
    </row>
    <row r="4778" spans="1:16" x14ac:dyDescent="0.25">
      <c r="A4778" s="4">
        <v>45706</v>
      </c>
      <c r="B4778" t="s">
        <v>9</v>
      </c>
      <c r="C4778">
        <v>1</v>
      </c>
      <c r="F4778">
        <v>133</v>
      </c>
      <c r="J4778">
        <v>0.65</v>
      </c>
      <c r="K4778">
        <v>24.2</v>
      </c>
      <c r="L4778">
        <v>37.200000000000003</v>
      </c>
      <c r="M4778">
        <v>115</v>
      </c>
      <c r="N4778">
        <v>6</v>
      </c>
      <c r="O4778">
        <v>2</v>
      </c>
    </row>
    <row r="4779" spans="1:16" x14ac:dyDescent="0.25">
      <c r="A4779" s="4">
        <v>45707</v>
      </c>
      <c r="B4779" t="s">
        <v>10</v>
      </c>
      <c r="C4779">
        <v>1</v>
      </c>
      <c r="F4779">
        <v>304</v>
      </c>
      <c r="J4779">
        <v>1.1679999999999999</v>
      </c>
      <c r="K4779">
        <v>42.2</v>
      </c>
      <c r="L4779">
        <v>36.1</v>
      </c>
      <c r="M4779">
        <v>240</v>
      </c>
      <c r="N4779">
        <v>19</v>
      </c>
      <c r="O4779">
        <v>8</v>
      </c>
    </row>
    <row r="4780" spans="1:16" x14ac:dyDescent="0.25">
      <c r="A4780" s="4">
        <v>45707</v>
      </c>
      <c r="B4780" t="s">
        <v>9</v>
      </c>
      <c r="C4780">
        <v>1</v>
      </c>
      <c r="F4780">
        <v>188</v>
      </c>
      <c r="J4780">
        <v>0.626</v>
      </c>
      <c r="K4780">
        <v>26.1</v>
      </c>
      <c r="L4780">
        <v>41.7</v>
      </c>
      <c r="M4780">
        <v>106</v>
      </c>
      <c r="N4780">
        <v>41</v>
      </c>
    </row>
    <row r="4781" spans="1:16" x14ac:dyDescent="0.25">
      <c r="A4781" s="4">
        <v>45708</v>
      </c>
      <c r="B4781" t="s">
        <v>10</v>
      </c>
      <c r="C4781">
        <v>1</v>
      </c>
      <c r="F4781">
        <v>277</v>
      </c>
      <c r="J4781">
        <v>1.0940000000000001</v>
      </c>
      <c r="K4781">
        <v>38.5</v>
      </c>
      <c r="L4781">
        <v>35.200000000000003</v>
      </c>
      <c r="M4781">
        <v>223</v>
      </c>
      <c r="N4781">
        <v>18</v>
      </c>
      <c r="O4781">
        <v>6</v>
      </c>
    </row>
    <row r="4782" spans="1:16" x14ac:dyDescent="0.25">
      <c r="A4782" s="4">
        <v>45708</v>
      </c>
      <c r="B4782" t="s">
        <v>9</v>
      </c>
      <c r="C4782">
        <v>1</v>
      </c>
      <c r="F4782">
        <v>126</v>
      </c>
      <c r="J4782">
        <v>0.48099999999999998</v>
      </c>
      <c r="K4782">
        <v>17.5</v>
      </c>
      <c r="L4782">
        <v>36.4</v>
      </c>
      <c r="M4782">
        <v>102</v>
      </c>
      <c r="N4782">
        <v>12</v>
      </c>
    </row>
    <row r="4783" spans="1:16" x14ac:dyDescent="0.25">
      <c r="A4783" s="4">
        <v>45709</v>
      </c>
      <c r="B4783" t="s">
        <v>10</v>
      </c>
      <c r="C4783">
        <v>1</v>
      </c>
      <c r="F4783">
        <v>302</v>
      </c>
      <c r="J4783">
        <v>1.1779999999999999</v>
      </c>
      <c r="K4783">
        <v>41.9</v>
      </c>
      <c r="L4783">
        <v>35.6</v>
      </c>
      <c r="M4783">
        <v>230</v>
      </c>
      <c r="N4783">
        <v>23</v>
      </c>
      <c r="O4783">
        <v>7</v>
      </c>
    </row>
    <row r="4784" spans="1:16" x14ac:dyDescent="0.25">
      <c r="A4784" s="4">
        <v>45709</v>
      </c>
      <c r="B4784" t="s">
        <v>9</v>
      </c>
      <c r="C4784">
        <v>1</v>
      </c>
      <c r="F4784">
        <v>139</v>
      </c>
      <c r="J4784">
        <v>0.51</v>
      </c>
      <c r="K4784">
        <v>19.3</v>
      </c>
      <c r="L4784">
        <v>37.9</v>
      </c>
      <c r="M4784">
        <v>117</v>
      </c>
      <c r="N4784">
        <v>7</v>
      </c>
      <c r="O4784">
        <v>2</v>
      </c>
    </row>
    <row r="4785" spans="1:16" x14ac:dyDescent="0.25">
      <c r="A4785" s="4">
        <v>45712</v>
      </c>
      <c r="B4785" t="s">
        <v>10</v>
      </c>
      <c r="C4785">
        <v>1</v>
      </c>
      <c r="F4785">
        <v>296</v>
      </c>
      <c r="J4785">
        <v>1.1419999999999999</v>
      </c>
      <c r="K4785">
        <v>41.1</v>
      </c>
      <c r="L4785">
        <v>36</v>
      </c>
      <c r="M4785">
        <v>224</v>
      </c>
      <c r="N4785">
        <v>23</v>
      </c>
      <c r="O4785">
        <v>6</v>
      </c>
      <c r="P4785">
        <v>1</v>
      </c>
    </row>
    <row r="4786" spans="1:16" x14ac:dyDescent="0.25">
      <c r="A4786" s="4">
        <v>45712</v>
      </c>
      <c r="B4786" t="s">
        <v>9</v>
      </c>
      <c r="C4786">
        <v>1</v>
      </c>
      <c r="F4786">
        <v>146</v>
      </c>
      <c r="J4786">
        <v>0.53200000000000003</v>
      </c>
      <c r="K4786">
        <v>20.3</v>
      </c>
      <c r="L4786">
        <v>38.1</v>
      </c>
      <c r="M4786">
        <v>126</v>
      </c>
      <c r="N4786">
        <v>5</v>
      </c>
      <c r="O4786">
        <v>3</v>
      </c>
    </row>
    <row r="4787" spans="1:16" x14ac:dyDescent="0.25">
      <c r="A4787" s="4">
        <v>45713</v>
      </c>
      <c r="B4787" t="s">
        <v>10</v>
      </c>
      <c r="C4787">
        <v>1</v>
      </c>
      <c r="F4787">
        <v>346</v>
      </c>
      <c r="J4787">
        <v>1.1160000000000001</v>
      </c>
      <c r="K4787">
        <v>38.9</v>
      </c>
      <c r="L4787">
        <v>34.799999999999997</v>
      </c>
      <c r="M4787">
        <v>273</v>
      </c>
      <c r="N4787">
        <v>29</v>
      </c>
      <c r="O4787">
        <v>3</v>
      </c>
      <c r="P4787">
        <v>1</v>
      </c>
    </row>
    <row r="4788" spans="1:16" x14ac:dyDescent="0.25">
      <c r="A4788" s="4">
        <v>45713</v>
      </c>
      <c r="B4788" t="s">
        <v>9</v>
      </c>
      <c r="C4788">
        <v>1</v>
      </c>
      <c r="F4788">
        <v>186</v>
      </c>
      <c r="J4788">
        <v>0.55000000000000004</v>
      </c>
      <c r="K4788">
        <v>20.9</v>
      </c>
      <c r="L4788">
        <v>38</v>
      </c>
      <c r="M4788">
        <v>149</v>
      </c>
      <c r="N4788">
        <v>17</v>
      </c>
      <c r="O4788">
        <v>1</v>
      </c>
    </row>
    <row r="4789" spans="1:16" x14ac:dyDescent="0.25">
      <c r="A4789" s="4">
        <v>45714</v>
      </c>
      <c r="B4789" t="s">
        <v>10</v>
      </c>
      <c r="C4789">
        <v>1</v>
      </c>
      <c r="F4789">
        <v>362</v>
      </c>
      <c r="J4789">
        <v>1.1459999999999999</v>
      </c>
      <c r="K4789">
        <v>40.700000000000003</v>
      </c>
      <c r="L4789">
        <v>35.5</v>
      </c>
      <c r="M4789">
        <v>292</v>
      </c>
      <c r="N4789">
        <v>24</v>
      </c>
      <c r="O4789">
        <v>6</v>
      </c>
    </row>
    <row r="4790" spans="1:16" x14ac:dyDescent="0.25">
      <c r="A4790" s="4">
        <v>45714</v>
      </c>
      <c r="B4790" t="s">
        <v>9</v>
      </c>
      <c r="C4790">
        <v>1</v>
      </c>
      <c r="F4790">
        <v>201</v>
      </c>
      <c r="J4790">
        <v>0.60799999999999998</v>
      </c>
      <c r="K4790">
        <v>22.6</v>
      </c>
      <c r="L4790">
        <v>37.1</v>
      </c>
      <c r="M4790">
        <v>179</v>
      </c>
      <c r="N4790">
        <v>6</v>
      </c>
      <c r="O4790">
        <v>1</v>
      </c>
      <c r="P4790">
        <v>1</v>
      </c>
    </row>
    <row r="4791" spans="1:16" x14ac:dyDescent="0.25">
      <c r="A4791" s="4">
        <v>45715</v>
      </c>
      <c r="B4791" t="s">
        <v>10</v>
      </c>
      <c r="C4791">
        <v>1</v>
      </c>
      <c r="F4791">
        <v>358</v>
      </c>
      <c r="J4791">
        <v>1.1299999999999999</v>
      </c>
      <c r="K4791">
        <v>40.200000000000003</v>
      </c>
      <c r="L4791">
        <v>35.6</v>
      </c>
      <c r="M4791">
        <v>281</v>
      </c>
      <c r="N4791">
        <v>29</v>
      </c>
      <c r="O4791">
        <v>6</v>
      </c>
    </row>
    <row r="4792" spans="1:16" x14ac:dyDescent="0.25">
      <c r="A4792" s="4">
        <v>45715</v>
      </c>
      <c r="B4792" t="s">
        <v>9</v>
      </c>
      <c r="C4792">
        <v>1</v>
      </c>
      <c r="F4792">
        <v>161</v>
      </c>
      <c r="J4792">
        <v>0.76</v>
      </c>
      <c r="K4792">
        <v>29.3</v>
      </c>
      <c r="L4792">
        <v>38.5</v>
      </c>
      <c r="M4792">
        <v>133</v>
      </c>
      <c r="N4792">
        <v>10</v>
      </c>
      <c r="O4792">
        <v>2</v>
      </c>
    </row>
    <row r="4793" spans="1:16" x14ac:dyDescent="0.25">
      <c r="A4793" s="4">
        <v>45716</v>
      </c>
      <c r="B4793" t="s">
        <v>10</v>
      </c>
      <c r="C4793">
        <v>1</v>
      </c>
      <c r="F4793">
        <v>266</v>
      </c>
      <c r="J4793">
        <v>0.84499999999999997</v>
      </c>
      <c r="K4793">
        <v>29.9</v>
      </c>
      <c r="L4793">
        <v>35.4</v>
      </c>
      <c r="M4793">
        <v>211</v>
      </c>
      <c r="N4793">
        <v>19</v>
      </c>
      <c r="O4793">
        <v>5</v>
      </c>
    </row>
    <row r="4794" spans="1:16" x14ac:dyDescent="0.25">
      <c r="A4794" s="4">
        <v>45716</v>
      </c>
      <c r="B4794" t="s">
        <v>9</v>
      </c>
      <c r="C4794">
        <v>1</v>
      </c>
      <c r="F4794">
        <v>195</v>
      </c>
      <c r="J4794">
        <v>0.97599999999999998</v>
      </c>
      <c r="K4794">
        <v>35.5</v>
      </c>
      <c r="L4794">
        <v>36.299999999999997</v>
      </c>
      <c r="M4794">
        <v>168</v>
      </c>
      <c r="N4794">
        <v>12</v>
      </c>
      <c r="O4794">
        <v>1</v>
      </c>
    </row>
    <row r="4795" spans="1:16" x14ac:dyDescent="0.25">
      <c r="A4795" s="4">
        <v>45717</v>
      </c>
      <c r="B4795" t="s">
        <v>10</v>
      </c>
      <c r="C4795">
        <v>1</v>
      </c>
      <c r="F4795">
        <v>93</v>
      </c>
      <c r="J4795">
        <v>0.36699999999999999</v>
      </c>
      <c r="K4795">
        <v>12.9</v>
      </c>
      <c r="L4795">
        <v>83</v>
      </c>
      <c r="M4795">
        <v>5</v>
      </c>
    </row>
    <row r="4796" spans="1:16" x14ac:dyDescent="0.25">
      <c r="A4796" s="4">
        <v>45717</v>
      </c>
      <c r="B4796" t="s">
        <v>9</v>
      </c>
      <c r="C4796">
        <v>1</v>
      </c>
      <c r="F4796">
        <v>44</v>
      </c>
      <c r="J4796">
        <v>0.22500000000000001</v>
      </c>
      <c r="K4796">
        <v>8</v>
      </c>
      <c r="L4796">
        <v>35.6</v>
      </c>
      <c r="M4796">
        <v>38</v>
      </c>
      <c r="N4796">
        <v>3</v>
      </c>
    </row>
    <row r="4797" spans="1:16" x14ac:dyDescent="0.25">
      <c r="A4797" s="4">
        <v>45719</v>
      </c>
      <c r="B4797" t="s">
        <v>10</v>
      </c>
      <c r="C4797">
        <v>1</v>
      </c>
      <c r="F4797">
        <v>254</v>
      </c>
      <c r="J4797">
        <v>0.95799999999999996</v>
      </c>
      <c r="K4797">
        <v>35.299999999999997</v>
      </c>
      <c r="L4797">
        <v>36.799999999999997</v>
      </c>
      <c r="M4797">
        <v>162</v>
      </c>
      <c r="N4797">
        <v>32</v>
      </c>
      <c r="O4797">
        <v>8</v>
      </c>
    </row>
    <row r="4798" spans="1:16" x14ac:dyDescent="0.25">
      <c r="A4798" s="4">
        <v>45719</v>
      </c>
      <c r="B4798" t="s">
        <v>9</v>
      </c>
      <c r="C4798">
        <v>1</v>
      </c>
      <c r="F4798">
        <v>166</v>
      </c>
      <c r="J4798">
        <v>0.61099999999999999</v>
      </c>
      <c r="K4798">
        <v>23.1</v>
      </c>
      <c r="L4798">
        <v>37.700000000000003</v>
      </c>
      <c r="M4798">
        <v>125</v>
      </c>
      <c r="N4798">
        <v>5</v>
      </c>
      <c r="O4798">
        <v>6</v>
      </c>
      <c r="P4798">
        <v>1</v>
      </c>
    </row>
    <row r="4799" spans="1:16" x14ac:dyDescent="0.25">
      <c r="A4799" s="4">
        <v>45720</v>
      </c>
      <c r="B4799" t="s">
        <v>10</v>
      </c>
      <c r="C4799">
        <v>1</v>
      </c>
      <c r="F4799">
        <v>345</v>
      </c>
      <c r="J4799">
        <v>1.0580000000000001</v>
      </c>
      <c r="K4799">
        <v>38.799999999999997</v>
      </c>
      <c r="L4799">
        <v>36.700000000000003</v>
      </c>
      <c r="M4799">
        <v>226</v>
      </c>
      <c r="N4799">
        <v>42</v>
      </c>
      <c r="O4799">
        <v>8</v>
      </c>
      <c r="P4799">
        <v>1</v>
      </c>
    </row>
    <row r="4800" spans="1:16" x14ac:dyDescent="0.25">
      <c r="A4800" s="4">
        <v>45720</v>
      </c>
      <c r="B4800" t="s">
        <v>9</v>
      </c>
      <c r="C4800">
        <v>1</v>
      </c>
      <c r="F4800">
        <v>126</v>
      </c>
      <c r="J4800">
        <v>0.498</v>
      </c>
      <c r="K4800">
        <v>17.5</v>
      </c>
      <c r="L4800">
        <v>35.1</v>
      </c>
      <c r="M4800">
        <v>107</v>
      </c>
      <c r="N4800">
        <v>8</v>
      </c>
      <c r="O4800">
        <v>1</v>
      </c>
    </row>
    <row r="4801" spans="1:16" x14ac:dyDescent="0.25">
      <c r="A4801" s="4">
        <v>45721</v>
      </c>
      <c r="B4801" t="s">
        <v>10</v>
      </c>
      <c r="C4801">
        <v>1</v>
      </c>
      <c r="F4801">
        <v>369</v>
      </c>
      <c r="J4801">
        <v>1.2170000000000001</v>
      </c>
      <c r="K4801">
        <v>41.5</v>
      </c>
      <c r="L4801">
        <v>34.1</v>
      </c>
      <c r="M4801">
        <v>319</v>
      </c>
      <c r="N4801">
        <v>19</v>
      </c>
      <c r="O4801">
        <v>3</v>
      </c>
    </row>
    <row r="4802" spans="1:16" x14ac:dyDescent="0.25">
      <c r="A4802" s="4">
        <v>45721</v>
      </c>
      <c r="B4802" t="s">
        <v>9</v>
      </c>
      <c r="C4802">
        <v>1</v>
      </c>
      <c r="F4802">
        <v>174</v>
      </c>
      <c r="J4802">
        <v>0.5</v>
      </c>
      <c r="K4802">
        <v>19.600000000000001</v>
      </c>
      <c r="L4802">
        <v>39.1</v>
      </c>
      <c r="M4802">
        <v>139</v>
      </c>
      <c r="N4802">
        <v>13</v>
      </c>
      <c r="O4802">
        <v>2</v>
      </c>
    </row>
    <row r="4803" spans="1:16" x14ac:dyDescent="0.25">
      <c r="A4803" s="4">
        <v>45722</v>
      </c>
      <c r="B4803" t="s">
        <v>10</v>
      </c>
      <c r="C4803">
        <v>1</v>
      </c>
      <c r="F4803">
        <v>368</v>
      </c>
      <c r="J4803">
        <v>1.1080000000000001</v>
      </c>
      <c r="K4803">
        <v>41.4</v>
      </c>
      <c r="L4803">
        <v>37.299999999999997</v>
      </c>
      <c r="M4803">
        <v>271</v>
      </c>
      <c r="N4803">
        <v>26</v>
      </c>
      <c r="O4803">
        <v>4</v>
      </c>
      <c r="P4803">
        <v>4</v>
      </c>
    </row>
    <row r="4804" spans="1:16" x14ac:dyDescent="0.25">
      <c r="A4804" s="4">
        <v>45722</v>
      </c>
      <c r="B4804" t="s">
        <v>9</v>
      </c>
      <c r="C4804">
        <v>1</v>
      </c>
      <c r="F4804">
        <v>203</v>
      </c>
      <c r="J4804">
        <v>0.59499999999999997</v>
      </c>
      <c r="K4804">
        <v>22.8</v>
      </c>
      <c r="L4804">
        <v>38.299999999999997</v>
      </c>
      <c r="M4804">
        <v>175</v>
      </c>
      <c r="N4804">
        <v>14</v>
      </c>
    </row>
    <row r="4805" spans="1:16" x14ac:dyDescent="0.25">
      <c r="A4805" s="4">
        <v>45723</v>
      </c>
      <c r="B4805" t="s">
        <v>10</v>
      </c>
      <c r="C4805">
        <v>1</v>
      </c>
      <c r="F4805">
        <v>372</v>
      </c>
      <c r="J4805">
        <v>1.1100000000000001</v>
      </c>
      <c r="K4805">
        <v>41.8</v>
      </c>
      <c r="L4805">
        <v>37.700000000000003</v>
      </c>
      <c r="M4805">
        <v>251</v>
      </c>
      <c r="N4805">
        <v>31</v>
      </c>
      <c r="O4805">
        <v>11</v>
      </c>
      <c r="P4805">
        <v>3</v>
      </c>
    </row>
    <row r="4806" spans="1:16" x14ac:dyDescent="0.25">
      <c r="A4806" s="4">
        <v>45723</v>
      </c>
      <c r="B4806" t="s">
        <v>9</v>
      </c>
      <c r="C4806">
        <v>1</v>
      </c>
      <c r="F4806">
        <v>154</v>
      </c>
      <c r="J4806">
        <v>0.47399999999999998</v>
      </c>
      <c r="K4806">
        <v>17.3</v>
      </c>
      <c r="L4806">
        <v>36.5</v>
      </c>
      <c r="M4806">
        <v>138</v>
      </c>
      <c r="N4806">
        <v>5</v>
      </c>
      <c r="O4806">
        <v>2</v>
      </c>
    </row>
    <row r="4807" spans="1:16" x14ac:dyDescent="0.25">
      <c r="A4807" s="4">
        <v>45724</v>
      </c>
      <c r="B4807" t="s">
        <v>10</v>
      </c>
      <c r="C4807">
        <v>1</v>
      </c>
    </row>
    <row r="4808" spans="1:16" x14ac:dyDescent="0.25">
      <c r="A4808" s="4">
        <v>45724</v>
      </c>
      <c r="B4808" t="s">
        <v>9</v>
      </c>
      <c r="C4808">
        <v>1</v>
      </c>
      <c r="F4808">
        <v>85</v>
      </c>
      <c r="J4808">
        <v>0.628</v>
      </c>
      <c r="K4808">
        <v>22.4</v>
      </c>
      <c r="L4808">
        <v>35.6</v>
      </c>
      <c r="M4808">
        <v>77</v>
      </c>
      <c r="N4808">
        <v>4</v>
      </c>
    </row>
    <row r="4809" spans="1:16" x14ac:dyDescent="0.25">
      <c r="A4809" s="4">
        <v>45726</v>
      </c>
      <c r="B4809" t="s">
        <v>10</v>
      </c>
      <c r="C4809">
        <v>1</v>
      </c>
      <c r="F4809">
        <v>305</v>
      </c>
      <c r="J4809">
        <v>1.1659999999999999</v>
      </c>
      <c r="K4809">
        <v>42.4</v>
      </c>
      <c r="L4809">
        <v>36.299999999999997</v>
      </c>
      <c r="M4809">
        <v>228</v>
      </c>
      <c r="N4809">
        <v>24</v>
      </c>
      <c r="O4809">
        <v>7</v>
      </c>
    </row>
    <row r="4810" spans="1:16" x14ac:dyDescent="0.25">
      <c r="A4810" s="4">
        <v>45726</v>
      </c>
      <c r="B4810" t="s">
        <v>9</v>
      </c>
      <c r="C4810">
        <v>1</v>
      </c>
      <c r="F4810">
        <v>123</v>
      </c>
      <c r="J4810">
        <v>0.50900000000000001</v>
      </c>
      <c r="K4810">
        <v>18.899999999999999</v>
      </c>
      <c r="L4810">
        <v>37.200000000000003</v>
      </c>
      <c r="M4810">
        <v>91</v>
      </c>
      <c r="N4810">
        <v>10</v>
      </c>
      <c r="O4810">
        <v>3</v>
      </c>
    </row>
    <row r="4811" spans="1:16" x14ac:dyDescent="0.25">
      <c r="A4811" s="4">
        <v>45727</v>
      </c>
      <c r="B4811" t="s">
        <v>10</v>
      </c>
      <c r="C4811">
        <v>1</v>
      </c>
      <c r="F4811">
        <v>325</v>
      </c>
      <c r="J4811">
        <v>1.2509999999999999</v>
      </c>
      <c r="K4811">
        <v>45.1</v>
      </c>
      <c r="L4811">
        <v>36.1</v>
      </c>
      <c r="M4811">
        <v>251</v>
      </c>
      <c r="N4811">
        <v>23</v>
      </c>
      <c r="O4811">
        <v>6</v>
      </c>
      <c r="P4811">
        <v>1</v>
      </c>
    </row>
    <row r="4812" spans="1:16" x14ac:dyDescent="0.25">
      <c r="A4812" s="4">
        <v>45727</v>
      </c>
      <c r="B4812" t="s">
        <v>9</v>
      </c>
      <c r="C4812">
        <v>1</v>
      </c>
      <c r="F4812">
        <v>139</v>
      </c>
      <c r="J4812">
        <v>0.47499999999999998</v>
      </c>
      <c r="K4812">
        <v>19.3</v>
      </c>
      <c r="L4812">
        <v>40.700000000000003</v>
      </c>
      <c r="M4812">
        <v>95</v>
      </c>
      <c r="N4812">
        <v>7</v>
      </c>
      <c r="O4812">
        <v>8</v>
      </c>
    </row>
    <row r="4813" spans="1:16" x14ac:dyDescent="0.25">
      <c r="A4813" s="4">
        <v>45728</v>
      </c>
      <c r="B4813" t="s">
        <v>10</v>
      </c>
      <c r="C4813">
        <v>1</v>
      </c>
      <c r="F4813">
        <v>385</v>
      </c>
      <c r="J4813">
        <v>1.21</v>
      </c>
      <c r="K4813">
        <v>43.3</v>
      </c>
      <c r="L4813">
        <v>35.799999999999997</v>
      </c>
      <c r="M4813">
        <v>297</v>
      </c>
      <c r="N4813">
        <v>26</v>
      </c>
      <c r="O4813">
        <v>9</v>
      </c>
      <c r="P4813">
        <v>1</v>
      </c>
    </row>
    <row r="4814" spans="1:16" x14ac:dyDescent="0.25">
      <c r="A4814" s="4">
        <v>45728</v>
      </c>
      <c r="B4814" t="s">
        <v>9</v>
      </c>
      <c r="C4814">
        <v>1</v>
      </c>
      <c r="F4814">
        <v>187</v>
      </c>
      <c r="J4814">
        <v>0.54300000000000004</v>
      </c>
      <c r="K4814">
        <v>21</v>
      </c>
      <c r="L4814">
        <v>38.700000000000003</v>
      </c>
      <c r="M4814">
        <v>140</v>
      </c>
      <c r="N4814">
        <v>14</v>
      </c>
      <c r="O4814">
        <v>5</v>
      </c>
    </row>
    <row r="4815" spans="1:16" x14ac:dyDescent="0.25">
      <c r="A4815" s="4">
        <v>45729</v>
      </c>
      <c r="B4815" t="s">
        <v>10</v>
      </c>
      <c r="C4815">
        <v>1</v>
      </c>
      <c r="F4815">
        <v>288</v>
      </c>
      <c r="J4815">
        <v>1.087</v>
      </c>
      <c r="K4815">
        <v>40</v>
      </c>
      <c r="L4815">
        <v>36.799999999999997</v>
      </c>
      <c r="M4815">
        <v>209</v>
      </c>
      <c r="N4815">
        <v>25</v>
      </c>
      <c r="O4815">
        <v>5</v>
      </c>
      <c r="P4815">
        <v>2</v>
      </c>
    </row>
    <row r="4816" spans="1:16" x14ac:dyDescent="0.25">
      <c r="A4816" s="4">
        <v>45729</v>
      </c>
      <c r="B4816" t="s">
        <v>9</v>
      </c>
      <c r="C4816">
        <v>1</v>
      </c>
      <c r="F4816">
        <v>136</v>
      </c>
      <c r="J4816">
        <v>0.503</v>
      </c>
      <c r="K4816">
        <v>18.899999999999999</v>
      </c>
      <c r="L4816">
        <v>37.6</v>
      </c>
      <c r="M4816">
        <v>118</v>
      </c>
      <c r="N4816">
        <v>7</v>
      </c>
      <c r="O4816">
        <v>1</v>
      </c>
    </row>
    <row r="4817" spans="1:16" x14ac:dyDescent="0.25">
      <c r="A4817" s="4">
        <v>45730</v>
      </c>
      <c r="B4817" t="s">
        <v>10</v>
      </c>
      <c r="C4817">
        <v>1</v>
      </c>
      <c r="F4817">
        <v>365</v>
      </c>
      <c r="J4817">
        <v>1.145</v>
      </c>
      <c r="K4817">
        <v>41</v>
      </c>
      <c r="L4817">
        <v>35.799999999999997</v>
      </c>
      <c r="M4817">
        <v>283</v>
      </c>
      <c r="N4817">
        <v>26</v>
      </c>
      <c r="O4817">
        <v>6</v>
      </c>
      <c r="P4817">
        <v>1</v>
      </c>
    </row>
    <row r="4818" spans="1:16" x14ac:dyDescent="0.25">
      <c r="A4818" s="4">
        <v>45730</v>
      </c>
      <c r="B4818" t="s">
        <v>9</v>
      </c>
      <c r="C4818">
        <v>1</v>
      </c>
      <c r="F4818">
        <v>199</v>
      </c>
      <c r="J4818">
        <v>0.58199999999999996</v>
      </c>
      <c r="K4818">
        <v>22.4</v>
      </c>
      <c r="L4818">
        <v>38.4</v>
      </c>
      <c r="M4818">
        <v>165</v>
      </c>
      <c r="N4818">
        <v>11</v>
      </c>
      <c r="O4818">
        <v>3</v>
      </c>
    </row>
    <row r="4819" spans="1:16" x14ac:dyDescent="0.25">
      <c r="A4819" s="4">
        <v>45733</v>
      </c>
      <c r="B4819" t="s">
        <v>10</v>
      </c>
      <c r="C4819">
        <v>1</v>
      </c>
      <c r="F4819">
        <v>267</v>
      </c>
      <c r="J4819">
        <v>1.0429999999999999</v>
      </c>
      <c r="K4819">
        <v>37.1</v>
      </c>
      <c r="L4819">
        <v>35.6</v>
      </c>
      <c r="M4819">
        <v>200</v>
      </c>
      <c r="N4819">
        <v>24</v>
      </c>
      <c r="O4819">
        <v>5</v>
      </c>
    </row>
    <row r="4820" spans="1:16" x14ac:dyDescent="0.25">
      <c r="A4820" s="4">
        <v>45733</v>
      </c>
      <c r="B4820" t="s">
        <v>9</v>
      </c>
      <c r="C4820">
        <v>1</v>
      </c>
      <c r="F4820">
        <v>161</v>
      </c>
      <c r="J4820">
        <v>0.52400000000000002</v>
      </c>
      <c r="K4820">
        <v>22.4</v>
      </c>
      <c r="L4820">
        <v>42.7</v>
      </c>
      <c r="M4820">
        <v>110</v>
      </c>
      <c r="N4820">
        <v>7</v>
      </c>
      <c r="O4820">
        <v>4</v>
      </c>
      <c r="P4820">
        <v>3</v>
      </c>
    </row>
    <row r="4821" spans="1:16" x14ac:dyDescent="0.25">
      <c r="A4821" s="4">
        <v>45734</v>
      </c>
      <c r="B4821" t="s">
        <v>10</v>
      </c>
      <c r="C4821">
        <v>1</v>
      </c>
      <c r="F4821">
        <v>347</v>
      </c>
      <c r="J4821">
        <v>1.0549999999999999</v>
      </c>
      <c r="K4821">
        <v>39</v>
      </c>
      <c r="L4821">
        <v>37</v>
      </c>
      <c r="M4821">
        <v>249</v>
      </c>
      <c r="N4821">
        <v>33</v>
      </c>
      <c r="O4821">
        <v>5</v>
      </c>
      <c r="P4821">
        <v>2</v>
      </c>
    </row>
    <row r="4822" spans="1:16" x14ac:dyDescent="0.25">
      <c r="A4822" s="4">
        <v>45734</v>
      </c>
      <c r="B4822" t="s">
        <v>9</v>
      </c>
      <c r="C4822">
        <v>1</v>
      </c>
      <c r="F4822">
        <v>140</v>
      </c>
      <c r="J4822">
        <v>0.42399999999999999</v>
      </c>
      <c r="K4822">
        <v>15.7</v>
      </c>
      <c r="L4822">
        <v>37.1</v>
      </c>
      <c r="M4822">
        <v>120</v>
      </c>
      <c r="N4822">
        <v>8</v>
      </c>
      <c r="O4822">
        <v>1</v>
      </c>
    </row>
    <row r="4823" spans="1:16" x14ac:dyDescent="0.25">
      <c r="A4823" s="4">
        <v>45735</v>
      </c>
      <c r="B4823" t="s">
        <v>10</v>
      </c>
      <c r="C4823">
        <v>1</v>
      </c>
      <c r="F4823">
        <v>329</v>
      </c>
      <c r="J4823">
        <v>1.0549999999999999</v>
      </c>
      <c r="K4823">
        <v>37</v>
      </c>
      <c r="L4823">
        <v>35</v>
      </c>
      <c r="M4823">
        <v>269</v>
      </c>
      <c r="N4823">
        <v>24</v>
      </c>
      <c r="O4823">
        <v>3</v>
      </c>
    </row>
    <row r="4824" spans="1:16" x14ac:dyDescent="0.25">
      <c r="A4824" s="4">
        <v>45735</v>
      </c>
      <c r="B4824" t="s">
        <v>9</v>
      </c>
      <c r="C4824">
        <v>1</v>
      </c>
      <c r="F4824">
        <v>121</v>
      </c>
      <c r="J4824">
        <v>0.36799999999999999</v>
      </c>
      <c r="K4824">
        <v>13.6</v>
      </c>
      <c r="L4824">
        <v>36.9</v>
      </c>
      <c r="M4824">
        <v>102</v>
      </c>
      <c r="N4824">
        <v>4</v>
      </c>
      <c r="O4824">
        <v>3</v>
      </c>
    </row>
    <row r="4825" spans="1:16" x14ac:dyDescent="0.25">
      <c r="A4825" s="4">
        <v>45736</v>
      </c>
      <c r="B4825" t="s">
        <v>10</v>
      </c>
      <c r="C4825">
        <v>1</v>
      </c>
      <c r="F4825">
        <v>401</v>
      </c>
      <c r="J4825">
        <v>1.204</v>
      </c>
      <c r="K4825">
        <v>45.1</v>
      </c>
      <c r="L4825">
        <v>37.4</v>
      </c>
      <c r="M4825">
        <v>262</v>
      </c>
      <c r="N4825">
        <v>28</v>
      </c>
      <c r="O4825">
        <v>26</v>
      </c>
    </row>
    <row r="4826" spans="1:16" x14ac:dyDescent="0.25">
      <c r="A4826" s="4">
        <v>45736</v>
      </c>
      <c r="B4826" t="s">
        <v>9</v>
      </c>
      <c r="C4826">
        <v>1</v>
      </c>
      <c r="F4826">
        <v>137</v>
      </c>
      <c r="J4826">
        <v>0.40300000000000002</v>
      </c>
      <c r="K4826">
        <v>15.4</v>
      </c>
      <c r="L4826">
        <v>38.200000000000003</v>
      </c>
      <c r="M4826">
        <v>94</v>
      </c>
      <c r="N4826">
        <v>14</v>
      </c>
      <c r="O4826">
        <v>5</v>
      </c>
    </row>
    <row r="4827" spans="1:16" x14ac:dyDescent="0.25">
      <c r="A4827" s="4">
        <v>45737</v>
      </c>
      <c r="B4827" t="s">
        <v>10</v>
      </c>
      <c r="C4827">
        <v>1</v>
      </c>
      <c r="F4827">
        <v>377</v>
      </c>
      <c r="J4827">
        <v>1.1679999999999999</v>
      </c>
      <c r="K4827">
        <v>42.4</v>
      </c>
      <c r="L4827">
        <v>36.299999999999997</v>
      </c>
      <c r="M4827">
        <v>278</v>
      </c>
      <c r="N4827">
        <v>25</v>
      </c>
      <c r="O4827">
        <v>6</v>
      </c>
      <c r="P4827">
        <v>4</v>
      </c>
    </row>
    <row r="4828" spans="1:16" x14ac:dyDescent="0.25">
      <c r="A4828" s="4">
        <v>45737</v>
      </c>
      <c r="B4828" t="s">
        <v>9</v>
      </c>
      <c r="C4828">
        <v>1</v>
      </c>
      <c r="F4828">
        <v>151</v>
      </c>
      <c r="J4828">
        <v>0.56399999999999995</v>
      </c>
      <c r="K4828">
        <v>21</v>
      </c>
      <c r="L4828">
        <v>37.200000000000003</v>
      </c>
      <c r="M4828">
        <v>133</v>
      </c>
      <c r="N4828">
        <v>7</v>
      </c>
      <c r="O4828">
        <v>1</v>
      </c>
    </row>
    <row r="4829" spans="1:16" x14ac:dyDescent="0.25">
      <c r="A4829" s="4">
        <v>45738</v>
      </c>
      <c r="B4829" t="s">
        <v>10</v>
      </c>
      <c r="C4829">
        <v>1</v>
      </c>
      <c r="F4829">
        <v>95</v>
      </c>
      <c r="J4829">
        <v>0.65800000000000003</v>
      </c>
      <c r="K4829">
        <v>25</v>
      </c>
      <c r="L4829">
        <v>38</v>
      </c>
      <c r="M4829">
        <v>85</v>
      </c>
      <c r="N4829">
        <v>5</v>
      </c>
    </row>
    <row r="4830" spans="1:16" x14ac:dyDescent="0.25">
      <c r="A4830" s="4">
        <v>45738</v>
      </c>
      <c r="B4830" t="s">
        <v>9</v>
      </c>
      <c r="C4830">
        <v>1</v>
      </c>
    </row>
    <row r="4831" spans="1:16" x14ac:dyDescent="0.25">
      <c r="A4831" s="4">
        <v>45740</v>
      </c>
      <c r="B4831" t="s">
        <v>10</v>
      </c>
      <c r="C4831">
        <v>1</v>
      </c>
      <c r="F4831">
        <v>351</v>
      </c>
      <c r="J4831">
        <v>1.087</v>
      </c>
      <c r="K4831">
        <v>39.44</v>
      </c>
      <c r="L4831">
        <v>36.299999999999997</v>
      </c>
      <c r="M4831">
        <v>254</v>
      </c>
      <c r="N4831">
        <v>35</v>
      </c>
      <c r="O4831">
        <v>7</v>
      </c>
    </row>
    <row r="4832" spans="1:16" x14ac:dyDescent="0.25">
      <c r="A4832" s="4">
        <v>45740</v>
      </c>
      <c r="B4832" t="s">
        <v>9</v>
      </c>
      <c r="C4832">
        <v>1</v>
      </c>
      <c r="F4832">
        <v>222</v>
      </c>
      <c r="J4832">
        <v>0.621</v>
      </c>
      <c r="K4832">
        <v>24.9</v>
      </c>
      <c r="L4832">
        <v>40.200000000000003</v>
      </c>
      <c r="M4832">
        <v>143</v>
      </c>
      <c r="N4832">
        <v>33</v>
      </c>
      <c r="O4832">
        <v>4</v>
      </c>
    </row>
    <row r="4833" spans="1:16" x14ac:dyDescent="0.25">
      <c r="A4833" s="4">
        <v>45741</v>
      </c>
      <c r="B4833" t="s">
        <v>10</v>
      </c>
      <c r="C4833">
        <v>1</v>
      </c>
      <c r="F4833">
        <v>348</v>
      </c>
      <c r="J4833">
        <v>1.046</v>
      </c>
      <c r="K4833">
        <v>39.1</v>
      </c>
      <c r="L4833">
        <v>37.4</v>
      </c>
      <c r="M4833">
        <v>238</v>
      </c>
      <c r="N4833">
        <v>25</v>
      </c>
      <c r="O4833">
        <v>17</v>
      </c>
      <c r="P4833">
        <v>1</v>
      </c>
    </row>
    <row r="4834" spans="1:16" x14ac:dyDescent="0.25">
      <c r="A4834" s="4">
        <v>45741</v>
      </c>
      <c r="B4834" t="s">
        <v>9</v>
      </c>
      <c r="C4834">
        <v>1</v>
      </c>
      <c r="F4834">
        <v>178</v>
      </c>
      <c r="J4834">
        <v>0.51400000000000001</v>
      </c>
      <c r="K4834">
        <v>20</v>
      </c>
      <c r="L4834">
        <v>38.9</v>
      </c>
      <c r="M4834">
        <v>141</v>
      </c>
      <c r="N4834">
        <v>17</v>
      </c>
      <c r="O4834">
        <v>1</v>
      </c>
    </row>
    <row r="4835" spans="1:16" x14ac:dyDescent="0.25">
      <c r="A4835" s="4">
        <v>45742</v>
      </c>
      <c r="B4835" t="s">
        <v>10</v>
      </c>
      <c r="C4835">
        <v>1</v>
      </c>
      <c r="F4835">
        <v>336</v>
      </c>
      <c r="J4835">
        <v>1.044</v>
      </c>
      <c r="K4835">
        <v>37.799999999999997</v>
      </c>
      <c r="L4835">
        <v>36.200000000000003</v>
      </c>
      <c r="M4835">
        <v>251</v>
      </c>
      <c r="N4835">
        <v>29</v>
      </c>
      <c r="O4835">
        <v>8</v>
      </c>
    </row>
    <row r="4836" spans="1:16" x14ac:dyDescent="0.25">
      <c r="A4836" s="4">
        <v>45742</v>
      </c>
      <c r="B4836" t="s">
        <v>9</v>
      </c>
      <c r="C4836">
        <v>1</v>
      </c>
      <c r="F4836">
        <v>199</v>
      </c>
      <c r="J4836">
        <v>0.61099999999999999</v>
      </c>
      <c r="K4836">
        <v>22.4</v>
      </c>
      <c r="L4836">
        <v>36.6</v>
      </c>
      <c r="M4836">
        <v>185</v>
      </c>
      <c r="N4836">
        <v>7</v>
      </c>
    </row>
    <row r="4837" spans="1:16" x14ac:dyDescent="0.25">
      <c r="A4837" s="4">
        <v>45743</v>
      </c>
      <c r="B4837" t="s">
        <v>10</v>
      </c>
      <c r="C4837">
        <v>1</v>
      </c>
      <c r="F4837">
        <v>384</v>
      </c>
      <c r="J4837">
        <v>1.22</v>
      </c>
      <c r="K4837">
        <v>43.2</v>
      </c>
      <c r="L4837">
        <v>35.4</v>
      </c>
      <c r="M4837">
        <v>294</v>
      </c>
      <c r="N4837">
        <v>19</v>
      </c>
      <c r="O4837">
        <v>10</v>
      </c>
      <c r="P4837">
        <v>2</v>
      </c>
    </row>
    <row r="4838" spans="1:16" x14ac:dyDescent="0.25">
      <c r="A4838" s="4">
        <v>45743</v>
      </c>
      <c r="B4838" t="s">
        <v>9</v>
      </c>
      <c r="C4838">
        <v>1</v>
      </c>
      <c r="F4838">
        <v>174</v>
      </c>
      <c r="J4838">
        <v>0.52</v>
      </c>
      <c r="K4838">
        <v>19.600000000000001</v>
      </c>
      <c r="L4838">
        <v>37.6</v>
      </c>
      <c r="M4838">
        <v>138</v>
      </c>
      <c r="N4838">
        <v>15</v>
      </c>
      <c r="O4838">
        <v>2</v>
      </c>
    </row>
    <row r="4839" spans="1:16" x14ac:dyDescent="0.25">
      <c r="A4839" s="4">
        <v>45744</v>
      </c>
      <c r="B4839" t="s">
        <v>10</v>
      </c>
      <c r="C4839">
        <v>1</v>
      </c>
      <c r="F4839">
        <v>273</v>
      </c>
      <c r="J4839">
        <v>0.87</v>
      </c>
      <c r="K4839">
        <v>30.7</v>
      </c>
      <c r="L4839">
        <v>35.299999999999997</v>
      </c>
      <c r="M4839">
        <v>216</v>
      </c>
      <c r="N4839">
        <v>20</v>
      </c>
      <c r="O4839">
        <v>5</v>
      </c>
    </row>
    <row r="4840" spans="1:16" x14ac:dyDescent="0.25">
      <c r="A4840" s="4">
        <v>45744</v>
      </c>
      <c r="B4840" t="s">
        <v>9</v>
      </c>
      <c r="C4840">
        <v>1</v>
      </c>
      <c r="F4840">
        <v>77</v>
      </c>
      <c r="J4840">
        <v>0.55600000000000005</v>
      </c>
      <c r="K4840">
        <v>20.8</v>
      </c>
      <c r="L4840">
        <v>37.4</v>
      </c>
      <c r="M4840">
        <v>57</v>
      </c>
      <c r="N4840">
        <v>5</v>
      </c>
      <c r="O4840">
        <v>1</v>
      </c>
      <c r="P4840">
        <v>1</v>
      </c>
    </row>
    <row r="4841" spans="1:16" x14ac:dyDescent="0.25">
      <c r="A4841" s="4">
        <v>45745</v>
      </c>
      <c r="B4841" t="s">
        <v>10</v>
      </c>
      <c r="C4841">
        <v>1</v>
      </c>
      <c r="F4841">
        <v>122</v>
      </c>
      <c r="J4841">
        <v>0.92600000000000005</v>
      </c>
      <c r="K4841">
        <v>32.1</v>
      </c>
      <c r="L4841">
        <v>34.700000000000003</v>
      </c>
      <c r="M4841">
        <v>97</v>
      </c>
      <c r="N4841">
        <v>11</v>
      </c>
      <c r="O4841">
        <v>1</v>
      </c>
    </row>
    <row r="4842" spans="1:16" x14ac:dyDescent="0.25">
      <c r="A4842" s="4">
        <v>45745</v>
      </c>
      <c r="B4842" t="s">
        <v>9</v>
      </c>
      <c r="C4842">
        <v>1</v>
      </c>
    </row>
    <row r="4843" spans="1:16" x14ac:dyDescent="0.25">
      <c r="A4843" s="4">
        <v>45747</v>
      </c>
      <c r="B4843" t="s">
        <v>10</v>
      </c>
      <c r="C4843">
        <v>1</v>
      </c>
      <c r="F4843">
        <v>284</v>
      </c>
      <c r="J4843">
        <v>1.121</v>
      </c>
      <c r="K4843">
        <v>39.4</v>
      </c>
      <c r="L4843">
        <v>35.200000000000003</v>
      </c>
      <c r="M4843">
        <v>222</v>
      </c>
      <c r="N4843">
        <v>25</v>
      </c>
      <c r="O4843">
        <v>2</v>
      </c>
      <c r="P4843">
        <v>1</v>
      </c>
    </row>
    <row r="4844" spans="1:16" x14ac:dyDescent="0.25">
      <c r="A4844" s="4">
        <v>45747</v>
      </c>
      <c r="B4844" t="s">
        <v>9</v>
      </c>
      <c r="C4844">
        <v>1</v>
      </c>
      <c r="F4844">
        <v>135</v>
      </c>
      <c r="J4844">
        <v>0.48199999999999998</v>
      </c>
      <c r="K4844">
        <v>18.8</v>
      </c>
      <c r="L4844">
        <v>38.9</v>
      </c>
      <c r="M4844">
        <v>112</v>
      </c>
      <c r="N4844">
        <v>6</v>
      </c>
      <c r="O4844">
        <v>1</v>
      </c>
      <c r="P4844">
        <v>1</v>
      </c>
    </row>
    <row r="4845" spans="1:16" x14ac:dyDescent="0.25">
      <c r="A4845" s="4">
        <v>45748</v>
      </c>
      <c r="B4845" t="s">
        <v>10</v>
      </c>
      <c r="C4845">
        <v>1</v>
      </c>
      <c r="F4845">
        <v>366</v>
      </c>
      <c r="J4845">
        <v>1.1779999999999999</v>
      </c>
      <c r="K4845">
        <v>41.1</v>
      </c>
      <c r="L4845">
        <v>34.9</v>
      </c>
      <c r="M4845">
        <v>287</v>
      </c>
      <c r="N4845">
        <v>30</v>
      </c>
      <c r="O4845">
        <v>4</v>
      </c>
      <c r="P4845">
        <v>1</v>
      </c>
    </row>
    <row r="4846" spans="1:16" x14ac:dyDescent="0.25">
      <c r="A4846" s="4">
        <v>45748</v>
      </c>
      <c r="B4846" t="s">
        <v>9</v>
      </c>
      <c r="C4846">
        <v>1</v>
      </c>
      <c r="F4846">
        <v>100</v>
      </c>
      <c r="J4846">
        <v>0.315</v>
      </c>
      <c r="K4846">
        <v>11.2</v>
      </c>
      <c r="L4846">
        <v>35.700000000000003</v>
      </c>
      <c r="M4846">
        <v>94</v>
      </c>
      <c r="N4846">
        <v>3</v>
      </c>
    </row>
    <row r="4847" spans="1:16" x14ac:dyDescent="0.25">
      <c r="A4847" s="4">
        <v>45749</v>
      </c>
      <c r="B4847" t="s">
        <v>10</v>
      </c>
      <c r="C4847">
        <v>1</v>
      </c>
      <c r="F4847">
        <v>306</v>
      </c>
      <c r="J4847">
        <v>1.179</v>
      </c>
      <c r="K4847">
        <v>42.5</v>
      </c>
      <c r="L4847">
        <v>36.1</v>
      </c>
      <c r="M4847">
        <v>233</v>
      </c>
      <c r="N4847">
        <v>17</v>
      </c>
      <c r="O4847">
        <v>9</v>
      </c>
      <c r="P4847">
        <v>1</v>
      </c>
    </row>
    <row r="4848" spans="1:16" x14ac:dyDescent="0.25">
      <c r="A4848" s="4">
        <v>45749</v>
      </c>
      <c r="B4848" t="s">
        <v>9</v>
      </c>
      <c r="C4848">
        <v>1</v>
      </c>
      <c r="F4848">
        <v>197</v>
      </c>
      <c r="J4848">
        <v>0.59699999999999998</v>
      </c>
      <c r="K4848">
        <v>22.1</v>
      </c>
      <c r="L4848">
        <v>37.1</v>
      </c>
      <c r="M4848">
        <v>165</v>
      </c>
      <c r="N4848">
        <v>16</v>
      </c>
    </row>
    <row r="4849" spans="1:16" x14ac:dyDescent="0.25">
      <c r="A4849" s="4">
        <v>45750</v>
      </c>
      <c r="B4849" t="s">
        <v>10</v>
      </c>
      <c r="C4849">
        <v>1</v>
      </c>
      <c r="F4849">
        <v>293</v>
      </c>
      <c r="J4849">
        <v>1.1859999999999999</v>
      </c>
      <c r="K4849">
        <v>40.700000000000003</v>
      </c>
      <c r="L4849">
        <v>34.299999999999997</v>
      </c>
      <c r="M4849">
        <v>251</v>
      </c>
      <c r="N4849">
        <v>15</v>
      </c>
      <c r="O4849">
        <v>3</v>
      </c>
    </row>
    <row r="4850" spans="1:16" x14ac:dyDescent="0.25">
      <c r="A4850" s="4">
        <v>45750</v>
      </c>
      <c r="B4850" t="s">
        <v>9</v>
      </c>
      <c r="C4850">
        <v>1</v>
      </c>
      <c r="F4850">
        <v>182</v>
      </c>
      <c r="J4850">
        <v>0.54100000000000004</v>
      </c>
      <c r="K4850">
        <v>20.5</v>
      </c>
      <c r="L4850">
        <v>37.799999999999997</v>
      </c>
      <c r="M4850">
        <v>158</v>
      </c>
      <c r="N4850">
        <v>10</v>
      </c>
      <c r="O4850">
        <v>1</v>
      </c>
    </row>
    <row r="4851" spans="1:16" x14ac:dyDescent="0.25">
      <c r="A4851" s="4">
        <v>45751</v>
      </c>
      <c r="B4851" t="s">
        <v>10</v>
      </c>
      <c r="C4851">
        <v>1</v>
      </c>
      <c r="F4851">
        <v>360</v>
      </c>
      <c r="J4851">
        <v>1.1220000000000001</v>
      </c>
      <c r="K4851">
        <v>40.5</v>
      </c>
      <c r="L4851">
        <v>36.1</v>
      </c>
      <c r="M4851">
        <v>284</v>
      </c>
      <c r="N4851">
        <v>24</v>
      </c>
      <c r="O4851">
        <v>7</v>
      </c>
      <c r="P4851">
        <v>1</v>
      </c>
    </row>
    <row r="4852" spans="1:16" x14ac:dyDescent="0.25">
      <c r="A4852" s="4">
        <v>45751</v>
      </c>
      <c r="B4852" t="s">
        <v>9</v>
      </c>
      <c r="C4852">
        <v>1</v>
      </c>
      <c r="F4852">
        <v>199</v>
      </c>
      <c r="J4852">
        <v>0.55700000000000005</v>
      </c>
      <c r="K4852">
        <v>22.4</v>
      </c>
      <c r="L4852">
        <v>40.200000000000003</v>
      </c>
      <c r="M4852">
        <v>164</v>
      </c>
      <c r="N4852">
        <v>12</v>
      </c>
      <c r="O4852">
        <v>1</v>
      </c>
      <c r="P4852">
        <v>1</v>
      </c>
    </row>
    <row r="4853" spans="1:16" x14ac:dyDescent="0.25">
      <c r="A4853" s="4">
        <v>45754</v>
      </c>
      <c r="B4853" t="s">
        <v>10</v>
      </c>
      <c r="C4853">
        <v>1</v>
      </c>
      <c r="F4853">
        <v>312</v>
      </c>
      <c r="J4853">
        <v>1.204</v>
      </c>
      <c r="K4853">
        <v>43.3</v>
      </c>
      <c r="L4853">
        <v>36</v>
      </c>
      <c r="M4853">
        <v>235</v>
      </c>
      <c r="N4853">
        <v>23</v>
      </c>
      <c r="O4853">
        <v>9</v>
      </c>
    </row>
    <row r="4854" spans="1:16" x14ac:dyDescent="0.25">
      <c r="A4854" s="4">
        <v>45754</v>
      </c>
      <c r="B4854" t="s">
        <v>9</v>
      </c>
      <c r="C4854">
        <v>1</v>
      </c>
      <c r="F4854">
        <v>147</v>
      </c>
      <c r="J4854">
        <v>0.53100000000000003</v>
      </c>
      <c r="K4854">
        <v>20.399999999999999</v>
      </c>
      <c r="L4854">
        <v>38.5</v>
      </c>
      <c r="M4854">
        <v>112</v>
      </c>
      <c r="N4854">
        <v>16</v>
      </c>
      <c r="O4854">
        <v>1</v>
      </c>
    </row>
    <row r="4855" spans="1:16" x14ac:dyDescent="0.25">
      <c r="A4855" s="4">
        <v>45755</v>
      </c>
      <c r="B4855" t="s">
        <v>10</v>
      </c>
      <c r="C4855">
        <v>1</v>
      </c>
      <c r="F4855">
        <v>427</v>
      </c>
      <c r="J4855">
        <v>1.3220000000000001</v>
      </c>
      <c r="K4855">
        <v>48</v>
      </c>
      <c r="L4855">
        <v>36.299999999999997</v>
      </c>
      <c r="M4855">
        <v>300</v>
      </c>
      <c r="N4855">
        <v>34</v>
      </c>
      <c r="O4855">
        <v>8</v>
      </c>
      <c r="P4855">
        <v>3</v>
      </c>
    </row>
    <row r="4856" spans="1:16" x14ac:dyDescent="0.25">
      <c r="A4856" s="4">
        <v>45755</v>
      </c>
      <c r="B4856" t="s">
        <v>9</v>
      </c>
      <c r="C4856">
        <v>1</v>
      </c>
      <c r="F4856">
        <v>197</v>
      </c>
      <c r="J4856">
        <v>0.57699999999999996</v>
      </c>
      <c r="K4856">
        <v>22.1</v>
      </c>
      <c r="L4856">
        <v>38.299999999999997</v>
      </c>
      <c r="M4856">
        <v>166</v>
      </c>
      <c r="N4856">
        <v>10</v>
      </c>
      <c r="O4856">
        <v>1</v>
      </c>
      <c r="P4856">
        <v>1</v>
      </c>
    </row>
    <row r="4857" spans="1:16" x14ac:dyDescent="0.25">
      <c r="A4857" s="4">
        <v>45756</v>
      </c>
      <c r="B4857" t="s">
        <v>10</v>
      </c>
      <c r="C4857">
        <v>1</v>
      </c>
      <c r="F4857">
        <v>383</v>
      </c>
      <c r="J4857">
        <v>1.1459999999999999</v>
      </c>
      <c r="K4857">
        <v>43</v>
      </c>
      <c r="L4857">
        <v>37.6</v>
      </c>
      <c r="M4857">
        <v>273</v>
      </c>
      <c r="N4857">
        <v>21</v>
      </c>
      <c r="O4857">
        <v>5</v>
      </c>
      <c r="P4857">
        <v>6</v>
      </c>
    </row>
    <row r="4858" spans="1:16" x14ac:dyDescent="0.25">
      <c r="A4858" s="4">
        <v>45756</v>
      </c>
      <c r="B4858" t="s">
        <v>9</v>
      </c>
      <c r="C4858">
        <v>1</v>
      </c>
      <c r="F4858">
        <v>182</v>
      </c>
      <c r="J4858">
        <v>0.50700000000000001</v>
      </c>
      <c r="K4858">
        <v>20.5</v>
      </c>
      <c r="L4858">
        <v>40.299999999999997</v>
      </c>
      <c r="M4858">
        <v>126</v>
      </c>
      <c r="N4858">
        <v>16</v>
      </c>
      <c r="O4858">
        <v>3</v>
      </c>
      <c r="P4858">
        <v>2</v>
      </c>
    </row>
    <row r="4859" spans="1:16" x14ac:dyDescent="0.25">
      <c r="A4859" s="4">
        <v>45757</v>
      </c>
      <c r="B4859" t="s">
        <v>10</v>
      </c>
      <c r="C4859">
        <v>1</v>
      </c>
      <c r="F4859">
        <v>419</v>
      </c>
      <c r="J4859">
        <v>1.3360000000000001</v>
      </c>
      <c r="K4859">
        <v>47.1</v>
      </c>
      <c r="L4859">
        <v>35.200000000000003</v>
      </c>
      <c r="M4859">
        <v>312</v>
      </c>
      <c r="N4859">
        <v>36</v>
      </c>
      <c r="O4859">
        <v>7</v>
      </c>
      <c r="P4859">
        <v>2</v>
      </c>
    </row>
    <row r="4860" spans="1:16" x14ac:dyDescent="0.25">
      <c r="A4860" s="4">
        <v>45757</v>
      </c>
      <c r="B4860" t="s">
        <v>9</v>
      </c>
      <c r="C4860">
        <v>1</v>
      </c>
      <c r="F4860">
        <v>175</v>
      </c>
      <c r="J4860">
        <v>0.53600000000000003</v>
      </c>
      <c r="K4860">
        <v>19.7</v>
      </c>
      <c r="L4860">
        <v>36.700000000000003</v>
      </c>
      <c r="M4860">
        <v>152</v>
      </c>
      <c r="N4860">
        <v>5</v>
      </c>
      <c r="O4860">
        <v>2</v>
      </c>
      <c r="P4860">
        <v>1</v>
      </c>
    </row>
    <row r="4861" spans="1:16" x14ac:dyDescent="0.25">
      <c r="A4861" s="4">
        <v>45758</v>
      </c>
      <c r="B4861" t="s">
        <v>10</v>
      </c>
      <c r="C4861">
        <v>1</v>
      </c>
      <c r="F4861">
        <v>365</v>
      </c>
      <c r="J4861">
        <v>1.1220000000000001</v>
      </c>
      <c r="K4861">
        <v>41</v>
      </c>
      <c r="L4861">
        <v>36.6</v>
      </c>
      <c r="M4861">
        <v>276</v>
      </c>
      <c r="N4861">
        <v>24</v>
      </c>
      <c r="O4861">
        <v>9</v>
      </c>
      <c r="P4861">
        <v>1</v>
      </c>
    </row>
    <row r="4862" spans="1:16" x14ac:dyDescent="0.25">
      <c r="A4862" s="4">
        <v>45758</v>
      </c>
      <c r="B4862" t="s">
        <v>9</v>
      </c>
      <c r="C4862">
        <v>1</v>
      </c>
      <c r="F4862">
        <v>184</v>
      </c>
      <c r="J4862">
        <v>0.53200000000000003</v>
      </c>
      <c r="K4862">
        <v>20.7</v>
      </c>
      <c r="L4862">
        <v>38.9</v>
      </c>
      <c r="M4862">
        <v>148</v>
      </c>
      <c r="N4862">
        <v>10</v>
      </c>
      <c r="O4862">
        <v>1</v>
      </c>
      <c r="P4862">
        <v>2</v>
      </c>
    </row>
    <row r="4863" spans="1:16" x14ac:dyDescent="0.25">
      <c r="A4863" s="4">
        <v>45761</v>
      </c>
      <c r="B4863" t="s">
        <v>10</v>
      </c>
      <c r="C4863">
        <v>1</v>
      </c>
      <c r="F4863">
        <v>341</v>
      </c>
      <c r="J4863">
        <v>1.3460000000000001</v>
      </c>
      <c r="K4863">
        <v>47.4</v>
      </c>
      <c r="L4863">
        <v>35.200000000000003</v>
      </c>
      <c r="M4863">
        <v>259</v>
      </c>
      <c r="N4863">
        <v>26</v>
      </c>
      <c r="O4863">
        <v>9</v>
      </c>
    </row>
    <row r="4864" spans="1:16" x14ac:dyDescent="0.25">
      <c r="A4864" s="4">
        <v>45761</v>
      </c>
      <c r="B4864" t="s">
        <v>9</v>
      </c>
      <c r="C4864">
        <v>1</v>
      </c>
      <c r="F4864">
        <v>155</v>
      </c>
      <c r="J4864">
        <v>0.56499999999999995</v>
      </c>
      <c r="K4864">
        <v>21.5</v>
      </c>
      <c r="L4864">
        <v>38.1</v>
      </c>
      <c r="M4864">
        <v>122</v>
      </c>
      <c r="N4864">
        <v>9</v>
      </c>
      <c r="O4864">
        <v>4</v>
      </c>
    </row>
    <row r="4865" spans="1:16" x14ac:dyDescent="0.25">
      <c r="A4865" s="4">
        <v>45762</v>
      </c>
      <c r="B4865" t="s">
        <v>10</v>
      </c>
      <c r="C4865">
        <v>1</v>
      </c>
      <c r="F4865">
        <v>380</v>
      </c>
      <c r="J4865">
        <v>1.125</v>
      </c>
      <c r="K4865">
        <v>42.2</v>
      </c>
      <c r="L4865">
        <v>37.5</v>
      </c>
      <c r="M4865">
        <v>266</v>
      </c>
      <c r="N4865">
        <v>25</v>
      </c>
      <c r="O4865">
        <v>13</v>
      </c>
      <c r="P4865">
        <v>2</v>
      </c>
    </row>
    <row r="4866" spans="1:16" x14ac:dyDescent="0.25">
      <c r="A4866" s="4">
        <v>45762</v>
      </c>
      <c r="B4866" t="s">
        <v>9</v>
      </c>
      <c r="C4866">
        <v>1</v>
      </c>
      <c r="F4866">
        <v>200</v>
      </c>
      <c r="J4866">
        <v>0.61099999999999999</v>
      </c>
      <c r="K4866">
        <v>22.2</v>
      </c>
      <c r="L4866">
        <v>36.4</v>
      </c>
      <c r="M4866">
        <v>166</v>
      </c>
      <c r="N4866">
        <v>8</v>
      </c>
      <c r="O4866">
        <v>3</v>
      </c>
      <c r="P4866">
        <v>1</v>
      </c>
    </row>
    <row r="4867" spans="1:16" x14ac:dyDescent="0.25">
      <c r="A4867" s="4">
        <v>45763</v>
      </c>
      <c r="B4867" t="s">
        <v>10</v>
      </c>
      <c r="C4867">
        <v>1</v>
      </c>
      <c r="F4867">
        <v>325</v>
      </c>
      <c r="J4867">
        <v>1.1879999999999999</v>
      </c>
      <c r="K4867">
        <v>45.1</v>
      </c>
      <c r="L4867">
        <v>38</v>
      </c>
      <c r="M4867">
        <v>210</v>
      </c>
      <c r="N4867">
        <v>31</v>
      </c>
      <c r="O4867">
        <v>10</v>
      </c>
      <c r="P4867">
        <v>2</v>
      </c>
    </row>
    <row r="4868" spans="1:16" x14ac:dyDescent="0.25">
      <c r="A4868" s="4">
        <v>45763</v>
      </c>
      <c r="B4868" t="s">
        <v>9</v>
      </c>
      <c r="C4868">
        <v>1</v>
      </c>
      <c r="F4868">
        <v>139</v>
      </c>
      <c r="J4868">
        <v>0.52800000000000002</v>
      </c>
      <c r="K4868">
        <v>19.3</v>
      </c>
      <c r="L4868">
        <v>36.6</v>
      </c>
      <c r="M4868">
        <v>114</v>
      </c>
      <c r="N4868">
        <v>9</v>
      </c>
      <c r="O4868">
        <v>2</v>
      </c>
    </row>
    <row r="4869" spans="1:16" x14ac:dyDescent="0.25">
      <c r="A4869" s="4">
        <v>45764</v>
      </c>
      <c r="B4869" t="s">
        <v>10</v>
      </c>
      <c r="C4869">
        <v>1</v>
      </c>
      <c r="F4869">
        <v>302</v>
      </c>
      <c r="J4869">
        <v>1.2270000000000001</v>
      </c>
      <c r="K4869">
        <v>41.9</v>
      </c>
      <c r="L4869">
        <v>34.200000000000003</v>
      </c>
      <c r="M4869">
        <v>249</v>
      </c>
      <c r="N4869">
        <v>15</v>
      </c>
      <c r="O4869">
        <v>6</v>
      </c>
    </row>
    <row r="4870" spans="1:16" x14ac:dyDescent="0.25">
      <c r="A4870" s="4">
        <v>45764</v>
      </c>
      <c r="B4870" t="s">
        <v>9</v>
      </c>
      <c r="C4870">
        <v>1</v>
      </c>
      <c r="F4870">
        <v>137</v>
      </c>
      <c r="J4870">
        <v>0.501</v>
      </c>
      <c r="K4870">
        <v>19</v>
      </c>
      <c r="L4870">
        <v>38</v>
      </c>
      <c r="M4870">
        <v>105</v>
      </c>
      <c r="N4870">
        <v>13</v>
      </c>
      <c r="O4870">
        <v>2</v>
      </c>
    </row>
    <row r="4871" spans="1:16" x14ac:dyDescent="0.25">
      <c r="A4871" s="4">
        <v>45768</v>
      </c>
      <c r="B4871" t="s">
        <v>10</v>
      </c>
      <c r="C4871">
        <v>1</v>
      </c>
      <c r="F4871">
        <v>331</v>
      </c>
      <c r="J4871">
        <v>1.046</v>
      </c>
      <c r="K4871">
        <v>37.200000000000003</v>
      </c>
      <c r="L4871">
        <v>35.6</v>
      </c>
      <c r="M4871">
        <v>220</v>
      </c>
      <c r="N4871">
        <v>38</v>
      </c>
      <c r="O4871">
        <v>10</v>
      </c>
    </row>
    <row r="4872" spans="1:16" x14ac:dyDescent="0.25">
      <c r="A4872" s="4">
        <v>45768</v>
      </c>
      <c r="B4872" t="s">
        <v>9</v>
      </c>
      <c r="C4872">
        <v>1</v>
      </c>
      <c r="F4872">
        <v>252</v>
      </c>
      <c r="J4872">
        <v>0.67800000000000005</v>
      </c>
      <c r="K4872">
        <v>28.3</v>
      </c>
      <c r="L4872">
        <v>41.8</v>
      </c>
      <c r="M4872">
        <v>162</v>
      </c>
      <c r="N4872">
        <v>33</v>
      </c>
      <c r="O4872">
        <v>6</v>
      </c>
    </row>
    <row r="4873" spans="1:16" x14ac:dyDescent="0.25">
      <c r="A4873" s="4">
        <v>45769</v>
      </c>
      <c r="B4873" t="s">
        <v>10</v>
      </c>
      <c r="C4873">
        <v>1</v>
      </c>
      <c r="F4873">
        <v>388</v>
      </c>
      <c r="J4873">
        <v>1.2350000000000001</v>
      </c>
      <c r="K4873">
        <v>43.6</v>
      </c>
      <c r="L4873">
        <v>35.299999999999997</v>
      </c>
      <c r="M4873">
        <v>289</v>
      </c>
      <c r="N4873">
        <v>34</v>
      </c>
      <c r="O4873">
        <v>10</v>
      </c>
    </row>
    <row r="4874" spans="1:16" x14ac:dyDescent="0.25">
      <c r="A4874" s="4">
        <v>45769</v>
      </c>
      <c r="B4874" t="s">
        <v>9</v>
      </c>
      <c r="C4874">
        <v>1</v>
      </c>
      <c r="F4874">
        <v>153</v>
      </c>
      <c r="J4874">
        <v>0.47199999999999998</v>
      </c>
      <c r="K4874">
        <v>17.2</v>
      </c>
      <c r="L4874">
        <v>36.5</v>
      </c>
      <c r="M4874">
        <v>122</v>
      </c>
      <c r="N4874">
        <v>8</v>
      </c>
      <c r="O4874">
        <v>5</v>
      </c>
    </row>
    <row r="4875" spans="1:16" x14ac:dyDescent="0.25">
      <c r="A4875" s="4">
        <v>45770</v>
      </c>
      <c r="B4875" t="s">
        <v>10</v>
      </c>
      <c r="C4875">
        <v>1</v>
      </c>
      <c r="F4875">
        <v>366</v>
      </c>
      <c r="J4875">
        <v>1.2010000000000001</v>
      </c>
      <c r="K4875">
        <v>40.700000000000003</v>
      </c>
      <c r="L4875">
        <v>33.9</v>
      </c>
      <c r="M4875">
        <v>275</v>
      </c>
      <c r="N4875">
        <v>37</v>
      </c>
      <c r="O4875">
        <v>5</v>
      </c>
    </row>
    <row r="4876" spans="1:16" x14ac:dyDescent="0.25">
      <c r="A4876" s="4">
        <v>45770</v>
      </c>
      <c r="B4876" t="s">
        <v>9</v>
      </c>
      <c r="C4876">
        <v>1</v>
      </c>
      <c r="F4876">
        <v>176</v>
      </c>
      <c r="J4876">
        <v>0.48399999999999999</v>
      </c>
      <c r="K4876">
        <v>19.600000000000001</v>
      </c>
      <c r="L4876">
        <v>40.4</v>
      </c>
      <c r="M4876">
        <v>130</v>
      </c>
      <c r="N4876">
        <v>13</v>
      </c>
      <c r="O4876">
        <v>6</v>
      </c>
    </row>
    <row r="4877" spans="1:16" x14ac:dyDescent="0.25">
      <c r="A4877" s="4">
        <v>45771</v>
      </c>
      <c r="B4877" t="s">
        <v>10</v>
      </c>
      <c r="C4877">
        <v>1</v>
      </c>
      <c r="F4877">
        <v>389</v>
      </c>
      <c r="J4877">
        <v>1.1559999999999999</v>
      </c>
      <c r="K4877">
        <v>43.2</v>
      </c>
      <c r="L4877">
        <v>37.4</v>
      </c>
      <c r="M4877">
        <v>288</v>
      </c>
      <c r="N4877">
        <v>26</v>
      </c>
      <c r="O4877">
        <v>9</v>
      </c>
      <c r="P4877">
        <v>3</v>
      </c>
    </row>
    <row r="4878" spans="1:16" x14ac:dyDescent="0.25">
      <c r="A4878" s="4">
        <v>45771</v>
      </c>
      <c r="B4878" t="s">
        <v>9</v>
      </c>
      <c r="C4878">
        <v>1</v>
      </c>
      <c r="F4878">
        <v>157</v>
      </c>
      <c r="J4878">
        <v>0.47299999999999998</v>
      </c>
      <c r="K4878">
        <v>17.399999999999999</v>
      </c>
      <c r="L4878">
        <v>36.9</v>
      </c>
      <c r="M4878">
        <v>132</v>
      </c>
      <c r="N4878">
        <v>11</v>
      </c>
      <c r="O4878">
        <v>1</v>
      </c>
    </row>
    <row r="4879" spans="1:16" x14ac:dyDescent="0.25">
      <c r="A4879" s="4">
        <v>45772</v>
      </c>
      <c r="B4879" t="s">
        <v>10</v>
      </c>
      <c r="C4879">
        <v>1</v>
      </c>
      <c r="F4879">
        <v>300</v>
      </c>
      <c r="J4879">
        <v>1.167</v>
      </c>
      <c r="K4879">
        <v>41.7</v>
      </c>
      <c r="L4879">
        <v>35.700000000000003</v>
      </c>
      <c r="M4879">
        <v>224</v>
      </c>
      <c r="N4879">
        <v>31</v>
      </c>
      <c r="O4879">
        <v>4</v>
      </c>
    </row>
    <row r="4880" spans="1:16" x14ac:dyDescent="0.25">
      <c r="A4880" s="4">
        <v>45772</v>
      </c>
      <c r="B4880" t="s">
        <v>9</v>
      </c>
      <c r="C4880">
        <v>1</v>
      </c>
      <c r="F4880">
        <v>160</v>
      </c>
      <c r="J4880">
        <v>0.60899999999999999</v>
      </c>
      <c r="K4880">
        <v>22.2</v>
      </c>
      <c r="L4880">
        <v>36.5</v>
      </c>
      <c r="M4880">
        <v>136</v>
      </c>
      <c r="N4880">
        <v>8</v>
      </c>
      <c r="O4880">
        <v>2</v>
      </c>
    </row>
    <row r="4881" spans="1:16" x14ac:dyDescent="0.25">
      <c r="A4881" s="4">
        <v>45773</v>
      </c>
      <c r="B4881" t="s">
        <v>10</v>
      </c>
      <c r="C4881">
        <v>1</v>
      </c>
      <c r="F4881">
        <v>221</v>
      </c>
      <c r="J4881">
        <v>1.1160000000000001</v>
      </c>
      <c r="K4881">
        <v>40.200000000000003</v>
      </c>
      <c r="L4881">
        <v>36</v>
      </c>
      <c r="M4881">
        <v>196</v>
      </c>
      <c r="N4881">
        <v>11</v>
      </c>
      <c r="O4881">
        <v>1</v>
      </c>
    </row>
    <row r="4882" spans="1:16" x14ac:dyDescent="0.25">
      <c r="A4882" s="4">
        <v>45773</v>
      </c>
      <c r="B4882" t="s">
        <v>9</v>
      </c>
      <c r="C4882">
        <v>1</v>
      </c>
      <c r="F4882">
        <v>104</v>
      </c>
      <c r="J4882">
        <v>0.49299999999999999</v>
      </c>
      <c r="K4882">
        <v>18.899999999999999</v>
      </c>
      <c r="L4882">
        <v>38.4</v>
      </c>
      <c r="M4882">
        <v>87</v>
      </c>
      <c r="N4882">
        <v>7</v>
      </c>
      <c r="O4882">
        <v>1</v>
      </c>
    </row>
    <row r="4883" spans="1:16" x14ac:dyDescent="0.25">
      <c r="A4883" s="4">
        <v>45775</v>
      </c>
      <c r="B4883" t="s">
        <v>10</v>
      </c>
      <c r="C4883">
        <v>1</v>
      </c>
      <c r="F4883">
        <v>300</v>
      </c>
      <c r="J4883">
        <v>1.1659999999999999</v>
      </c>
      <c r="K4883">
        <v>41.7</v>
      </c>
      <c r="L4883">
        <v>35.700000000000003</v>
      </c>
      <c r="M4883">
        <v>223</v>
      </c>
      <c r="N4883">
        <v>29</v>
      </c>
      <c r="O4883">
        <v>5</v>
      </c>
    </row>
    <row r="4884" spans="1:16" x14ac:dyDescent="0.25">
      <c r="A4884" s="4">
        <v>45775</v>
      </c>
      <c r="B4884" t="s">
        <v>9</v>
      </c>
      <c r="C4884">
        <v>1</v>
      </c>
      <c r="F4884">
        <v>119</v>
      </c>
      <c r="J4884">
        <v>0.44800000000000001</v>
      </c>
      <c r="K4884">
        <v>16.5</v>
      </c>
      <c r="L4884">
        <v>36.9</v>
      </c>
      <c r="M4884">
        <v>90</v>
      </c>
      <c r="N4884">
        <v>13</v>
      </c>
      <c r="O4884">
        <v>1</v>
      </c>
    </row>
    <row r="4885" spans="1:16" x14ac:dyDescent="0.25">
      <c r="A4885" s="4">
        <v>45776</v>
      </c>
      <c r="B4885" t="s">
        <v>10</v>
      </c>
      <c r="C4885">
        <v>1</v>
      </c>
      <c r="F4885">
        <v>341</v>
      </c>
      <c r="J4885">
        <v>1.085</v>
      </c>
      <c r="K4885">
        <v>38.299999999999997</v>
      </c>
      <c r="L4885">
        <v>35.299999999999997</v>
      </c>
      <c r="M4885">
        <v>261</v>
      </c>
      <c r="N4885">
        <v>29</v>
      </c>
      <c r="O4885">
        <v>7</v>
      </c>
    </row>
    <row r="4886" spans="1:16" x14ac:dyDescent="0.25">
      <c r="A4886" s="4">
        <v>45776</v>
      </c>
      <c r="B4886" t="s">
        <v>9</v>
      </c>
      <c r="C4886">
        <v>1</v>
      </c>
      <c r="F4886">
        <v>165</v>
      </c>
      <c r="J4886">
        <v>0.496</v>
      </c>
      <c r="K4886">
        <v>18.5</v>
      </c>
      <c r="L4886">
        <v>37.4</v>
      </c>
      <c r="M4886">
        <v>136</v>
      </c>
      <c r="N4886">
        <v>10</v>
      </c>
      <c r="O4886">
        <v>3</v>
      </c>
    </row>
    <row r="4887" spans="1:16" x14ac:dyDescent="0.25">
      <c r="A4887" s="4">
        <v>45777</v>
      </c>
      <c r="B4887" t="s">
        <v>10</v>
      </c>
      <c r="C4887">
        <v>1</v>
      </c>
      <c r="F4887">
        <v>258</v>
      </c>
      <c r="J4887">
        <v>0.76800000000000002</v>
      </c>
      <c r="K4887">
        <v>29</v>
      </c>
      <c r="L4887">
        <v>37.700000000000003</v>
      </c>
      <c r="M4887">
        <v>194</v>
      </c>
      <c r="N4887">
        <v>13</v>
      </c>
      <c r="O4887">
        <v>8</v>
      </c>
      <c r="P4887">
        <v>1</v>
      </c>
    </row>
    <row r="4888" spans="1:16" x14ac:dyDescent="0.25">
      <c r="A4888" s="4">
        <v>45777</v>
      </c>
      <c r="B4888" t="s">
        <v>9</v>
      </c>
      <c r="C4888">
        <v>1</v>
      </c>
      <c r="F4888">
        <v>231</v>
      </c>
      <c r="J4888">
        <v>0.67600000000000005</v>
      </c>
      <c r="K4888">
        <v>26</v>
      </c>
      <c r="L4888">
        <v>38.4</v>
      </c>
      <c r="M4888">
        <v>182</v>
      </c>
      <c r="N4888">
        <v>23</v>
      </c>
      <c r="O4888">
        <v>1</v>
      </c>
    </row>
    <row r="4889" spans="1:16" x14ac:dyDescent="0.25">
      <c r="A4889" s="4">
        <v>45778</v>
      </c>
      <c r="B4889" t="s">
        <v>10</v>
      </c>
      <c r="C4889">
        <v>1</v>
      </c>
      <c r="F4889">
        <v>363</v>
      </c>
      <c r="J4889">
        <v>1.1639999999999999</v>
      </c>
      <c r="K4889">
        <v>40.799999999999997</v>
      </c>
      <c r="L4889">
        <v>35</v>
      </c>
      <c r="M4889">
        <v>283</v>
      </c>
      <c r="N4889">
        <v>29</v>
      </c>
      <c r="O4889">
        <v>5</v>
      </c>
      <c r="P4889">
        <v>1</v>
      </c>
    </row>
    <row r="4890" spans="1:16" x14ac:dyDescent="0.25">
      <c r="A4890" s="4">
        <v>45778</v>
      </c>
      <c r="B4890" t="s">
        <v>9</v>
      </c>
      <c r="C4890">
        <v>1</v>
      </c>
      <c r="F4890">
        <v>156</v>
      </c>
      <c r="J4890">
        <v>0.499</v>
      </c>
      <c r="K4890">
        <v>17.5</v>
      </c>
      <c r="L4890">
        <v>35.1</v>
      </c>
      <c r="M4890">
        <v>136</v>
      </c>
      <c r="N4890">
        <v>7</v>
      </c>
      <c r="O4890">
        <v>2</v>
      </c>
    </row>
    <row r="4891" spans="1:16" x14ac:dyDescent="0.25">
      <c r="A4891" s="4">
        <v>45779</v>
      </c>
      <c r="B4891" t="s">
        <v>10</v>
      </c>
      <c r="C4891">
        <v>1</v>
      </c>
      <c r="F4891">
        <v>280</v>
      </c>
      <c r="J4891">
        <v>1.107</v>
      </c>
      <c r="K4891">
        <v>38.9</v>
      </c>
      <c r="L4891">
        <v>35.1</v>
      </c>
      <c r="M4891">
        <v>219</v>
      </c>
      <c r="N4891">
        <v>14</v>
      </c>
      <c r="O4891">
        <v>9</v>
      </c>
    </row>
    <row r="4892" spans="1:16" x14ac:dyDescent="0.25">
      <c r="A4892" s="4">
        <v>45779</v>
      </c>
      <c r="B4892" t="s">
        <v>9</v>
      </c>
      <c r="C4892">
        <v>1</v>
      </c>
      <c r="F4892">
        <v>108</v>
      </c>
      <c r="J4892">
        <v>0.39</v>
      </c>
      <c r="K4892">
        <v>15</v>
      </c>
      <c r="L4892">
        <v>38.5</v>
      </c>
      <c r="M4892">
        <v>96</v>
      </c>
      <c r="N4892">
        <v>3</v>
      </c>
      <c r="O4892">
        <v>2</v>
      </c>
    </row>
    <row r="4893" spans="1:16" x14ac:dyDescent="0.25">
      <c r="A4893" s="4">
        <v>45782</v>
      </c>
      <c r="B4893" t="s">
        <v>10</v>
      </c>
      <c r="C4893">
        <v>1</v>
      </c>
      <c r="F4893">
        <v>303</v>
      </c>
      <c r="J4893">
        <v>1.125</v>
      </c>
      <c r="K4893">
        <v>42.1</v>
      </c>
      <c r="L4893">
        <v>37.4</v>
      </c>
      <c r="M4893">
        <v>210</v>
      </c>
      <c r="N4893">
        <v>26</v>
      </c>
      <c r="O4893">
        <v>7</v>
      </c>
      <c r="P4893">
        <v>1</v>
      </c>
    </row>
    <row r="4894" spans="1:16" x14ac:dyDescent="0.25">
      <c r="A4894" s="4">
        <v>45782</v>
      </c>
      <c r="B4894" t="s">
        <v>9</v>
      </c>
      <c r="C4894">
        <v>1</v>
      </c>
      <c r="F4894">
        <v>167</v>
      </c>
      <c r="J4894">
        <v>0.52300000000000002</v>
      </c>
      <c r="K4894">
        <v>23.2</v>
      </c>
      <c r="L4894">
        <v>44.4</v>
      </c>
      <c r="M4894">
        <v>114</v>
      </c>
      <c r="N4894">
        <v>4</v>
      </c>
      <c r="O4894">
        <v>1</v>
      </c>
      <c r="P4894">
        <v>6</v>
      </c>
    </row>
    <row r="4895" spans="1:16" x14ac:dyDescent="0.25">
      <c r="A4895" s="4">
        <v>45783</v>
      </c>
      <c r="B4895" t="s">
        <v>10</v>
      </c>
      <c r="C4895">
        <v>1</v>
      </c>
      <c r="F4895">
        <v>443</v>
      </c>
      <c r="J4895">
        <v>1.3120000000000001</v>
      </c>
      <c r="K4895">
        <v>49.8</v>
      </c>
      <c r="L4895">
        <v>38</v>
      </c>
      <c r="M4895">
        <v>299</v>
      </c>
      <c r="N4895">
        <v>41</v>
      </c>
      <c r="O4895">
        <v>13</v>
      </c>
      <c r="P4895">
        <v>2</v>
      </c>
    </row>
    <row r="4896" spans="1:16" x14ac:dyDescent="0.25">
      <c r="A4896" s="4">
        <v>45783</v>
      </c>
      <c r="B4896" t="s">
        <v>9</v>
      </c>
      <c r="C4896">
        <v>1</v>
      </c>
      <c r="F4896">
        <v>214</v>
      </c>
      <c r="J4896">
        <v>0.57699999999999996</v>
      </c>
      <c r="K4896">
        <v>24</v>
      </c>
      <c r="L4896">
        <v>41.6</v>
      </c>
      <c r="M4896">
        <v>123</v>
      </c>
      <c r="N4896">
        <v>15</v>
      </c>
      <c r="O4896">
        <v>20</v>
      </c>
    </row>
    <row r="4897" spans="1:16" x14ac:dyDescent="0.25">
      <c r="A4897" s="4">
        <v>45784</v>
      </c>
      <c r="B4897" t="s">
        <v>10</v>
      </c>
      <c r="C4897">
        <v>1</v>
      </c>
      <c r="F4897">
        <v>411</v>
      </c>
      <c r="J4897">
        <v>1.274</v>
      </c>
      <c r="K4897">
        <v>46.2</v>
      </c>
      <c r="L4897">
        <v>36.200000000000003</v>
      </c>
      <c r="M4897">
        <v>293</v>
      </c>
      <c r="N4897">
        <v>36</v>
      </c>
      <c r="O4897">
        <v>11</v>
      </c>
      <c r="P4897">
        <v>1</v>
      </c>
    </row>
    <row r="4898" spans="1:16" x14ac:dyDescent="0.25">
      <c r="A4898" s="4">
        <v>45784</v>
      </c>
      <c r="B4898" t="s">
        <v>9</v>
      </c>
      <c r="C4898">
        <v>1</v>
      </c>
      <c r="F4898">
        <v>174</v>
      </c>
      <c r="J4898">
        <v>0.501</v>
      </c>
      <c r="K4898">
        <v>19.600000000000001</v>
      </c>
      <c r="L4898">
        <v>39</v>
      </c>
      <c r="M4898">
        <v>129</v>
      </c>
      <c r="N4898">
        <v>11</v>
      </c>
      <c r="O4898">
        <v>7</v>
      </c>
    </row>
    <row r="4899" spans="1:16" x14ac:dyDescent="0.25">
      <c r="A4899" s="4">
        <v>45785</v>
      </c>
      <c r="B4899" t="s">
        <v>10</v>
      </c>
      <c r="C4899">
        <v>1</v>
      </c>
      <c r="F4899">
        <v>326</v>
      </c>
      <c r="J4899">
        <v>1.3029999999999999</v>
      </c>
      <c r="K4899">
        <v>45.3</v>
      </c>
      <c r="L4899">
        <v>34.700000000000003</v>
      </c>
      <c r="M4899">
        <v>263</v>
      </c>
      <c r="N4899">
        <v>28</v>
      </c>
      <c r="O4899">
        <v>2</v>
      </c>
    </row>
    <row r="4900" spans="1:16" x14ac:dyDescent="0.25">
      <c r="A4900" s="4">
        <v>45785</v>
      </c>
      <c r="B4900" t="s">
        <v>9</v>
      </c>
      <c r="C4900">
        <v>1</v>
      </c>
      <c r="F4900">
        <v>138</v>
      </c>
      <c r="J4900">
        <v>0.48599999999999999</v>
      </c>
      <c r="K4900">
        <v>19.2</v>
      </c>
      <c r="L4900">
        <v>39.5</v>
      </c>
      <c r="M4900">
        <v>97</v>
      </c>
      <c r="N4900">
        <v>17</v>
      </c>
      <c r="O4900">
        <v>2</v>
      </c>
    </row>
    <row r="4901" spans="1:16" x14ac:dyDescent="0.25">
      <c r="A4901" s="4">
        <v>45786</v>
      </c>
      <c r="B4901" t="s">
        <v>10</v>
      </c>
      <c r="C4901">
        <v>1</v>
      </c>
      <c r="F4901">
        <v>392</v>
      </c>
      <c r="J4901">
        <v>1.1830000000000001</v>
      </c>
      <c r="K4901">
        <v>44</v>
      </c>
      <c r="L4901">
        <v>37.200000000000003</v>
      </c>
      <c r="M4901">
        <v>287</v>
      </c>
      <c r="N4901">
        <v>33</v>
      </c>
      <c r="O4901">
        <v>11</v>
      </c>
    </row>
    <row r="4902" spans="1:16" x14ac:dyDescent="0.25">
      <c r="A4902" s="4">
        <v>45786</v>
      </c>
      <c r="B4902" t="s">
        <v>9</v>
      </c>
      <c r="C4902">
        <v>1</v>
      </c>
      <c r="F4902">
        <v>140</v>
      </c>
      <c r="J4902">
        <v>0.41199999999999998</v>
      </c>
      <c r="K4902">
        <v>15.7</v>
      </c>
      <c r="L4902">
        <v>38.200000000000003</v>
      </c>
      <c r="M4902">
        <v>118</v>
      </c>
      <c r="N4902">
        <v>4</v>
      </c>
      <c r="O4902">
        <v>4</v>
      </c>
    </row>
    <row r="4903" spans="1:16" x14ac:dyDescent="0.25">
      <c r="A4903" s="4">
        <v>45789</v>
      </c>
      <c r="B4903" t="s">
        <v>10</v>
      </c>
      <c r="C4903">
        <v>1</v>
      </c>
      <c r="F4903">
        <v>413</v>
      </c>
      <c r="J4903">
        <v>1.2629999999999999</v>
      </c>
      <c r="K4903">
        <v>46.4</v>
      </c>
      <c r="L4903">
        <v>36.700000000000003</v>
      </c>
      <c r="M4903">
        <v>326</v>
      </c>
      <c r="N4903">
        <v>25</v>
      </c>
      <c r="O4903">
        <v>9</v>
      </c>
      <c r="P4903">
        <v>1</v>
      </c>
    </row>
    <row r="4904" spans="1:16" x14ac:dyDescent="0.25">
      <c r="A4904" s="4">
        <v>45789</v>
      </c>
      <c r="B4904" t="s">
        <v>9</v>
      </c>
      <c r="C4904">
        <v>1</v>
      </c>
      <c r="F4904">
        <v>178</v>
      </c>
      <c r="J4904">
        <v>0.51200000000000001</v>
      </c>
      <c r="K4904">
        <v>20</v>
      </c>
      <c r="L4904">
        <v>39.1</v>
      </c>
      <c r="M4904">
        <v>136</v>
      </c>
      <c r="N4904">
        <v>21</v>
      </c>
    </row>
    <row r="4905" spans="1:16" x14ac:dyDescent="0.25">
      <c r="A4905" s="4">
        <v>45790</v>
      </c>
      <c r="B4905" t="s">
        <v>10</v>
      </c>
      <c r="C4905">
        <v>1</v>
      </c>
      <c r="F4905">
        <v>355</v>
      </c>
      <c r="J4905">
        <v>1.399</v>
      </c>
      <c r="K4905">
        <v>49.3</v>
      </c>
      <c r="L4905">
        <v>35.299999999999997</v>
      </c>
      <c r="M4905">
        <v>262</v>
      </c>
      <c r="N4905">
        <v>33</v>
      </c>
      <c r="O4905">
        <v>8</v>
      </c>
    </row>
    <row r="4906" spans="1:16" x14ac:dyDescent="0.25">
      <c r="A4906" s="4">
        <v>45790</v>
      </c>
      <c r="B4906" t="s">
        <v>9</v>
      </c>
      <c r="C4906">
        <v>1</v>
      </c>
      <c r="F4906">
        <v>129</v>
      </c>
      <c r="J4906">
        <v>0.47799999999999998</v>
      </c>
      <c r="K4906">
        <v>17.899999999999999</v>
      </c>
      <c r="L4906">
        <v>37.5</v>
      </c>
      <c r="M4906">
        <v>108</v>
      </c>
      <c r="N4906">
        <v>6</v>
      </c>
      <c r="O4906">
        <v>3</v>
      </c>
    </row>
    <row r="4907" spans="1:16" x14ac:dyDescent="0.25">
      <c r="A4907" s="4">
        <v>45791</v>
      </c>
      <c r="B4907" t="s">
        <v>10</v>
      </c>
      <c r="C4907">
        <v>1</v>
      </c>
      <c r="F4907">
        <v>274</v>
      </c>
      <c r="J4907">
        <v>0.88400000000000001</v>
      </c>
      <c r="K4907">
        <v>30.8</v>
      </c>
      <c r="L4907">
        <v>34.799999999999997</v>
      </c>
      <c r="M4907">
        <v>221</v>
      </c>
      <c r="N4907">
        <v>20</v>
      </c>
      <c r="O4907">
        <v>4</v>
      </c>
    </row>
    <row r="4908" spans="1:16" x14ac:dyDescent="0.25">
      <c r="A4908" s="4">
        <v>45791</v>
      </c>
      <c r="B4908" t="s">
        <v>9</v>
      </c>
      <c r="C4908">
        <v>1</v>
      </c>
      <c r="F4908">
        <v>133</v>
      </c>
      <c r="J4908">
        <v>0.35699999999999998</v>
      </c>
      <c r="K4908">
        <v>14.9</v>
      </c>
      <c r="L4908">
        <v>41.9</v>
      </c>
      <c r="M4908">
        <v>91</v>
      </c>
      <c r="N4908">
        <v>10</v>
      </c>
      <c r="O4908">
        <v>3</v>
      </c>
      <c r="P4908">
        <v>1</v>
      </c>
    </row>
    <row r="4909" spans="1:16" x14ac:dyDescent="0.25">
      <c r="A4909" s="4">
        <v>45792</v>
      </c>
      <c r="B4909" t="s">
        <v>10</v>
      </c>
      <c r="C4909">
        <v>1</v>
      </c>
      <c r="F4909">
        <v>368</v>
      </c>
      <c r="J4909">
        <v>1.1200000000000001</v>
      </c>
      <c r="K4909">
        <v>41.4</v>
      </c>
      <c r="L4909">
        <v>36.9</v>
      </c>
      <c r="M4909">
        <v>270</v>
      </c>
      <c r="N4909">
        <v>36</v>
      </c>
      <c r="O4909">
        <v>6</v>
      </c>
      <c r="P4909">
        <v>1</v>
      </c>
    </row>
    <row r="4910" spans="1:16" x14ac:dyDescent="0.25">
      <c r="A4910" s="4">
        <v>45792</v>
      </c>
      <c r="B4910" t="s">
        <v>9</v>
      </c>
      <c r="C4910">
        <v>1</v>
      </c>
      <c r="F4910">
        <v>172</v>
      </c>
      <c r="J4910">
        <v>0.51100000000000001</v>
      </c>
      <c r="K4910">
        <v>19.3</v>
      </c>
      <c r="L4910">
        <v>37.799999999999997</v>
      </c>
      <c r="M4910">
        <v>155</v>
      </c>
      <c r="N4910">
        <v>4</v>
      </c>
      <c r="O4910">
        <v>3</v>
      </c>
    </row>
    <row r="4911" spans="1:16" x14ac:dyDescent="0.25">
      <c r="A4911" s="4">
        <v>45793</v>
      </c>
      <c r="B4911" t="s">
        <v>10</v>
      </c>
      <c r="C4911">
        <v>1</v>
      </c>
      <c r="F4911">
        <v>324</v>
      </c>
      <c r="J4911">
        <v>1.038</v>
      </c>
      <c r="K4911">
        <v>36.4</v>
      </c>
      <c r="L4911">
        <v>35.1</v>
      </c>
      <c r="M4911">
        <v>258</v>
      </c>
      <c r="N4911">
        <v>20</v>
      </c>
      <c r="O4911">
        <v>6</v>
      </c>
      <c r="P4911">
        <v>1</v>
      </c>
    </row>
    <row r="4912" spans="1:16" x14ac:dyDescent="0.25">
      <c r="A4912" s="4">
        <v>45793</v>
      </c>
      <c r="B4912" t="s">
        <v>9</v>
      </c>
      <c r="C4912">
        <v>1</v>
      </c>
      <c r="F4912">
        <v>153</v>
      </c>
      <c r="J4912">
        <v>0.45700000000000002</v>
      </c>
      <c r="K4912">
        <v>17.2</v>
      </c>
      <c r="L4912">
        <v>37.6</v>
      </c>
      <c r="M4912">
        <v>126</v>
      </c>
      <c r="N4912">
        <v>8</v>
      </c>
      <c r="O4912">
        <v>3</v>
      </c>
    </row>
    <row r="4913" spans="1:16" x14ac:dyDescent="0.25">
      <c r="A4913" s="4">
        <v>45796</v>
      </c>
      <c r="B4913" t="s">
        <v>10</v>
      </c>
      <c r="C4913">
        <v>1</v>
      </c>
      <c r="F4913">
        <v>300</v>
      </c>
      <c r="J4913">
        <v>1.18</v>
      </c>
      <c r="K4913">
        <v>41.7</v>
      </c>
      <c r="L4913">
        <v>35.299999999999997</v>
      </c>
      <c r="M4913">
        <v>234</v>
      </c>
      <c r="N4913">
        <v>21</v>
      </c>
      <c r="O4913">
        <v>7</v>
      </c>
    </row>
    <row r="4914" spans="1:16" x14ac:dyDescent="0.25">
      <c r="A4914" s="4">
        <v>45796</v>
      </c>
      <c r="B4914" t="s">
        <v>9</v>
      </c>
      <c r="C4914">
        <v>1</v>
      </c>
      <c r="F4914">
        <v>110</v>
      </c>
      <c r="J4914">
        <v>0.439</v>
      </c>
      <c r="K4914">
        <v>15.3</v>
      </c>
      <c r="L4914">
        <v>34.799999999999997</v>
      </c>
      <c r="M4914">
        <v>99</v>
      </c>
      <c r="N4914">
        <v>4</v>
      </c>
      <c r="O4914">
        <v>1</v>
      </c>
    </row>
    <row r="4915" spans="1:16" x14ac:dyDescent="0.25">
      <c r="A4915" s="4">
        <v>45797</v>
      </c>
      <c r="B4915" t="s">
        <v>10</v>
      </c>
      <c r="C4915">
        <v>1</v>
      </c>
      <c r="F4915">
        <v>317</v>
      </c>
      <c r="J4915">
        <v>1.2210000000000001</v>
      </c>
      <c r="K4915">
        <v>44</v>
      </c>
      <c r="L4915">
        <v>36.1</v>
      </c>
      <c r="M4915">
        <v>228</v>
      </c>
      <c r="N4915">
        <v>28</v>
      </c>
      <c r="O4915">
        <v>6</v>
      </c>
      <c r="P4915">
        <v>2</v>
      </c>
    </row>
    <row r="4916" spans="1:16" x14ac:dyDescent="0.25">
      <c r="A4916" s="4">
        <v>45797</v>
      </c>
      <c r="B4916" t="s">
        <v>9</v>
      </c>
      <c r="C4916">
        <v>1</v>
      </c>
      <c r="F4916">
        <v>119</v>
      </c>
      <c r="J4916">
        <v>0.42699999999999999</v>
      </c>
      <c r="K4916">
        <v>16.5</v>
      </c>
      <c r="L4916">
        <v>38.700000000000003</v>
      </c>
      <c r="M4916">
        <v>83</v>
      </c>
      <c r="N4916">
        <v>7</v>
      </c>
      <c r="O4916">
        <v>2</v>
      </c>
      <c r="P4916">
        <v>2</v>
      </c>
    </row>
    <row r="4917" spans="1:16" x14ac:dyDescent="0.25">
      <c r="A4917" s="4">
        <v>45798</v>
      </c>
      <c r="B4917" t="s">
        <v>10</v>
      </c>
      <c r="C4917">
        <v>1</v>
      </c>
      <c r="F4917">
        <v>349</v>
      </c>
      <c r="J4917">
        <v>1.2729999999999999</v>
      </c>
      <c r="K4917">
        <v>48.5</v>
      </c>
      <c r="L4917">
        <v>38.1</v>
      </c>
      <c r="M4917">
        <v>266</v>
      </c>
      <c r="N4917">
        <v>16</v>
      </c>
      <c r="O4917">
        <v>9</v>
      </c>
      <c r="P4917">
        <v>3</v>
      </c>
    </row>
    <row r="4918" spans="1:16" x14ac:dyDescent="0.25">
      <c r="A4918" s="4">
        <v>45798</v>
      </c>
      <c r="B4918" t="s">
        <v>9</v>
      </c>
      <c r="C4918">
        <v>1</v>
      </c>
      <c r="F4918">
        <v>98</v>
      </c>
      <c r="J4918">
        <v>0.36499999999999999</v>
      </c>
      <c r="K4918">
        <v>13.6</v>
      </c>
      <c r="L4918">
        <v>37.299999999999997</v>
      </c>
      <c r="M4918">
        <v>84</v>
      </c>
      <c r="N4918">
        <v>3</v>
      </c>
      <c r="O4918">
        <v>2</v>
      </c>
    </row>
    <row r="4919" spans="1:16" x14ac:dyDescent="0.25">
      <c r="A4919" s="4">
        <v>45799</v>
      </c>
      <c r="B4919" t="s">
        <v>10</v>
      </c>
      <c r="C4919">
        <v>1</v>
      </c>
      <c r="F4919">
        <v>309</v>
      </c>
      <c r="J4919">
        <v>1.252</v>
      </c>
      <c r="K4919">
        <v>46.1</v>
      </c>
      <c r="L4919">
        <v>36.9</v>
      </c>
      <c r="M4919">
        <v>219</v>
      </c>
      <c r="N4919">
        <v>30</v>
      </c>
      <c r="O4919">
        <v>9</v>
      </c>
    </row>
    <row r="4920" spans="1:16" x14ac:dyDescent="0.25">
      <c r="A4920" s="4">
        <v>45799</v>
      </c>
      <c r="B4920" t="s">
        <v>9</v>
      </c>
      <c r="C4920">
        <v>1</v>
      </c>
      <c r="F4920">
        <v>117</v>
      </c>
      <c r="J4920">
        <v>0.45300000000000001</v>
      </c>
      <c r="K4920">
        <v>17.5</v>
      </c>
      <c r="L4920">
        <v>38.5</v>
      </c>
      <c r="M4920">
        <v>97</v>
      </c>
      <c r="N4920">
        <v>7</v>
      </c>
      <c r="O4920">
        <v>2</v>
      </c>
    </row>
    <row r="4921" spans="1:16" x14ac:dyDescent="0.25">
      <c r="A4921" s="4">
        <v>45800</v>
      </c>
      <c r="B4921" t="s">
        <v>10</v>
      </c>
      <c r="C4921">
        <v>1</v>
      </c>
      <c r="F4921">
        <v>350</v>
      </c>
      <c r="J4921">
        <v>1.3440000000000001</v>
      </c>
      <c r="K4921">
        <v>48.6</v>
      </c>
      <c r="L4921">
        <v>36.200000000000003</v>
      </c>
      <c r="M4921">
        <v>247</v>
      </c>
      <c r="N4921">
        <v>32</v>
      </c>
      <c r="O4921">
        <v>12</v>
      </c>
    </row>
    <row r="4922" spans="1:16" x14ac:dyDescent="0.25">
      <c r="A4922" s="4">
        <v>45800</v>
      </c>
      <c r="B4922" t="s">
        <v>9</v>
      </c>
      <c r="C4922">
        <v>1</v>
      </c>
      <c r="F4922">
        <v>122</v>
      </c>
      <c r="J4922">
        <v>0.45600000000000002</v>
      </c>
      <c r="K4922">
        <v>16.899999999999999</v>
      </c>
      <c r="L4922">
        <v>37.200000000000003</v>
      </c>
      <c r="M4922">
        <v>103</v>
      </c>
      <c r="N4922">
        <v>6</v>
      </c>
      <c r="O4922">
        <v>2</v>
      </c>
    </row>
    <row r="4923" spans="1:16" x14ac:dyDescent="0.25">
      <c r="A4923" s="4">
        <v>45804</v>
      </c>
      <c r="B4923" t="s">
        <v>10</v>
      </c>
      <c r="C4923">
        <v>1</v>
      </c>
      <c r="F4923">
        <v>313</v>
      </c>
      <c r="J4923">
        <v>1.171</v>
      </c>
      <c r="K4923">
        <v>43.5</v>
      </c>
      <c r="L4923">
        <v>37.1</v>
      </c>
      <c r="M4923">
        <v>218</v>
      </c>
      <c r="N4923">
        <v>32</v>
      </c>
      <c r="O4923">
        <v>5</v>
      </c>
      <c r="P4923">
        <v>2</v>
      </c>
    </row>
    <row r="4924" spans="1:16" x14ac:dyDescent="0.25">
      <c r="A4924" s="4">
        <v>45804</v>
      </c>
      <c r="B4924" t="s">
        <v>9</v>
      </c>
      <c r="C4924">
        <v>1</v>
      </c>
      <c r="F4924">
        <v>131</v>
      </c>
      <c r="J4924">
        <v>0.47799999999999998</v>
      </c>
      <c r="K4924">
        <v>18.2</v>
      </c>
      <c r="L4924">
        <v>38</v>
      </c>
      <c r="M4924">
        <v>102</v>
      </c>
      <c r="N4924">
        <v>13</v>
      </c>
      <c r="O4924">
        <v>1</v>
      </c>
    </row>
    <row r="4925" spans="1:16" x14ac:dyDescent="0.25">
      <c r="A4925" s="4">
        <v>45805</v>
      </c>
      <c r="B4925" t="s">
        <v>10</v>
      </c>
      <c r="C4925">
        <v>1</v>
      </c>
      <c r="F4925">
        <v>368</v>
      </c>
      <c r="J4925">
        <v>1.3380000000000001</v>
      </c>
      <c r="K4925">
        <v>51.1</v>
      </c>
      <c r="L4925">
        <v>38.200000000000003</v>
      </c>
      <c r="M4925">
        <v>242</v>
      </c>
      <c r="N4925">
        <v>42</v>
      </c>
      <c r="O4925">
        <v>10</v>
      </c>
      <c r="P4925">
        <v>1</v>
      </c>
    </row>
    <row r="4926" spans="1:16" x14ac:dyDescent="0.25">
      <c r="A4926" s="4">
        <v>45805</v>
      </c>
      <c r="B4926" t="s">
        <v>9</v>
      </c>
      <c r="C4926">
        <v>1</v>
      </c>
      <c r="F4926">
        <v>154</v>
      </c>
      <c r="J4926">
        <v>0.59299999999999997</v>
      </c>
      <c r="K4926">
        <v>21.4</v>
      </c>
      <c r="L4926">
        <v>36</v>
      </c>
      <c r="M4926">
        <v>136</v>
      </c>
      <c r="N4926">
        <v>9</v>
      </c>
    </row>
    <row r="4927" spans="1:16" x14ac:dyDescent="0.25">
      <c r="A4927" s="4">
        <v>45806</v>
      </c>
      <c r="B4927" t="s">
        <v>10</v>
      </c>
      <c r="C4927">
        <v>1</v>
      </c>
      <c r="F4927">
        <v>343</v>
      </c>
      <c r="J4927">
        <v>1.296</v>
      </c>
      <c r="K4927">
        <v>47.6</v>
      </c>
      <c r="L4927">
        <v>36.799999999999997</v>
      </c>
      <c r="M4927">
        <v>244</v>
      </c>
      <c r="N4927">
        <v>25</v>
      </c>
      <c r="O4927">
        <v>9</v>
      </c>
      <c r="P4927">
        <v>2</v>
      </c>
    </row>
    <row r="4928" spans="1:16" x14ac:dyDescent="0.25">
      <c r="A4928" s="4">
        <v>45806</v>
      </c>
      <c r="B4928" t="s">
        <v>9</v>
      </c>
      <c r="C4928">
        <v>1</v>
      </c>
      <c r="F4928">
        <v>159</v>
      </c>
      <c r="J4928">
        <v>0.57299999999999995</v>
      </c>
      <c r="K4928">
        <v>22.1</v>
      </c>
      <c r="L4928">
        <v>38.5</v>
      </c>
      <c r="M4928">
        <v>118</v>
      </c>
      <c r="N4928">
        <v>12</v>
      </c>
      <c r="O4928">
        <v>5</v>
      </c>
    </row>
    <row r="4929" spans="1:16" x14ac:dyDescent="0.25">
      <c r="A4929" s="4">
        <v>45807</v>
      </c>
      <c r="B4929" t="s">
        <v>10</v>
      </c>
      <c r="C4929">
        <v>1</v>
      </c>
      <c r="F4929">
        <v>334</v>
      </c>
      <c r="J4929">
        <v>1.31</v>
      </c>
      <c r="K4929">
        <v>46.4</v>
      </c>
      <c r="L4929">
        <v>35.4</v>
      </c>
      <c r="M4929">
        <v>249</v>
      </c>
      <c r="N4929">
        <v>24</v>
      </c>
      <c r="O4929">
        <v>9</v>
      </c>
      <c r="P4929">
        <v>1</v>
      </c>
    </row>
    <row r="4930" spans="1:16" x14ac:dyDescent="0.25">
      <c r="A4930" s="4">
        <v>45807</v>
      </c>
      <c r="B4930" t="s">
        <v>9</v>
      </c>
      <c r="C4930">
        <v>1</v>
      </c>
      <c r="F4930">
        <v>146</v>
      </c>
      <c r="J4930">
        <v>0.51900000000000002</v>
      </c>
      <c r="K4930">
        <v>20.3</v>
      </c>
      <c r="L4930">
        <v>39.1</v>
      </c>
      <c r="M4930">
        <v>115</v>
      </c>
      <c r="N4930">
        <v>9</v>
      </c>
      <c r="O4930">
        <v>2</v>
      </c>
      <c r="P4930">
        <v>1</v>
      </c>
    </row>
    <row r="4931" spans="1:16" x14ac:dyDescent="0.25">
      <c r="A4931" s="4">
        <v>45810</v>
      </c>
      <c r="B4931" t="s">
        <v>10</v>
      </c>
      <c r="C4931">
        <v>1</v>
      </c>
      <c r="F4931">
        <v>270</v>
      </c>
      <c r="J4931">
        <v>1.08</v>
      </c>
      <c r="K4931">
        <v>37.5</v>
      </c>
      <c r="L4931">
        <v>34.700000000000003</v>
      </c>
      <c r="M4931">
        <v>201</v>
      </c>
      <c r="N4931">
        <v>31</v>
      </c>
      <c r="O4931">
        <v>2</v>
      </c>
    </row>
    <row r="4932" spans="1:16" x14ac:dyDescent="0.25">
      <c r="A4932" s="4">
        <v>45810</v>
      </c>
      <c r="B4932" t="s">
        <v>9</v>
      </c>
      <c r="C4932">
        <v>1</v>
      </c>
      <c r="F4932">
        <v>170</v>
      </c>
      <c r="J4932">
        <v>0.65200000000000002</v>
      </c>
      <c r="K4932">
        <v>23.6</v>
      </c>
      <c r="L4932">
        <v>36.200000000000003</v>
      </c>
      <c r="M4932">
        <v>150</v>
      </c>
      <c r="N4932">
        <v>7</v>
      </c>
      <c r="O4932">
        <v>2</v>
      </c>
    </row>
    <row r="4933" spans="1:16" x14ac:dyDescent="0.25">
      <c r="A4933" s="4">
        <v>45811</v>
      </c>
      <c r="B4933" t="s">
        <v>10</v>
      </c>
      <c r="C4933">
        <v>1</v>
      </c>
      <c r="F4933">
        <v>379</v>
      </c>
      <c r="J4933">
        <v>1.1919999999999999</v>
      </c>
      <c r="K4933">
        <v>42.6</v>
      </c>
      <c r="L4933">
        <v>35.700000000000003</v>
      </c>
      <c r="M4933">
        <v>273</v>
      </c>
      <c r="N4933">
        <v>33</v>
      </c>
      <c r="O4933">
        <v>9</v>
      </c>
      <c r="P4933">
        <v>1</v>
      </c>
    </row>
    <row r="4934" spans="1:16" x14ac:dyDescent="0.25">
      <c r="A4934" s="4">
        <v>45811</v>
      </c>
      <c r="B4934" t="s">
        <v>9</v>
      </c>
      <c r="C4934">
        <v>1</v>
      </c>
      <c r="F4934">
        <v>160</v>
      </c>
      <c r="J4934">
        <v>0.48199999999999998</v>
      </c>
      <c r="K4934">
        <v>18</v>
      </c>
      <c r="L4934">
        <v>37.299999999999997</v>
      </c>
      <c r="M4934">
        <v>123</v>
      </c>
      <c r="N4934">
        <v>11</v>
      </c>
      <c r="O4934">
        <v>4</v>
      </c>
    </row>
    <row r="4935" spans="1:16" x14ac:dyDescent="0.25">
      <c r="A4935" s="4">
        <v>45812</v>
      </c>
      <c r="B4935" t="s">
        <v>10</v>
      </c>
      <c r="C4935">
        <v>1</v>
      </c>
      <c r="F4935">
        <v>334</v>
      </c>
      <c r="J4935">
        <v>1.33</v>
      </c>
      <c r="K4935">
        <v>46.4</v>
      </c>
      <c r="L4935">
        <v>34.9</v>
      </c>
      <c r="M4935">
        <v>269</v>
      </c>
      <c r="N4935">
        <v>25</v>
      </c>
      <c r="O4935">
        <v>3</v>
      </c>
      <c r="P4935">
        <v>1</v>
      </c>
    </row>
    <row r="4936" spans="1:16" x14ac:dyDescent="0.25">
      <c r="A4936" s="4">
        <v>45812</v>
      </c>
      <c r="B4936" t="s">
        <v>9</v>
      </c>
      <c r="C4936">
        <v>1</v>
      </c>
      <c r="F4936">
        <v>133</v>
      </c>
      <c r="J4936">
        <v>0.48599999999999999</v>
      </c>
      <c r="K4936">
        <v>18.5</v>
      </c>
      <c r="L4936">
        <v>38</v>
      </c>
      <c r="M4936">
        <v>115</v>
      </c>
      <c r="N4936">
        <v>9</v>
      </c>
    </row>
    <row r="4937" spans="1:16" x14ac:dyDescent="0.25">
      <c r="A4937" s="4">
        <v>45813</v>
      </c>
      <c r="B4937" t="s">
        <v>10</v>
      </c>
      <c r="C4937">
        <v>1</v>
      </c>
      <c r="F4937">
        <v>317</v>
      </c>
      <c r="J4937">
        <v>1.2450000000000001</v>
      </c>
      <c r="K4937">
        <v>44</v>
      </c>
      <c r="L4937">
        <v>35.4</v>
      </c>
      <c r="M4937">
        <v>257</v>
      </c>
      <c r="N4937">
        <v>23</v>
      </c>
      <c r="O4937">
        <v>4</v>
      </c>
    </row>
    <row r="4938" spans="1:16" x14ac:dyDescent="0.25">
      <c r="A4938" s="4">
        <v>45813</v>
      </c>
      <c r="B4938" t="s">
        <v>9</v>
      </c>
      <c r="C4938">
        <v>1</v>
      </c>
      <c r="F4938">
        <v>133</v>
      </c>
      <c r="J4938">
        <v>0.47199999999999998</v>
      </c>
      <c r="K4938">
        <v>18.5</v>
      </c>
      <c r="L4938">
        <v>39.200000000000003</v>
      </c>
      <c r="M4938">
        <v>95</v>
      </c>
      <c r="N4938">
        <v>11</v>
      </c>
      <c r="O4938">
        <v>3</v>
      </c>
      <c r="P4938">
        <v>1</v>
      </c>
    </row>
    <row r="4939" spans="1:16" x14ac:dyDescent="0.25">
      <c r="A4939" s="4">
        <v>45814</v>
      </c>
      <c r="B4939" t="s">
        <v>10</v>
      </c>
      <c r="C4939">
        <v>1</v>
      </c>
      <c r="F4939">
        <v>354</v>
      </c>
      <c r="J4939">
        <v>1.087</v>
      </c>
      <c r="K4939">
        <v>39.799999999999997</v>
      </c>
      <c r="L4939">
        <v>36.6</v>
      </c>
      <c r="M4939">
        <v>260</v>
      </c>
      <c r="N4939">
        <v>24</v>
      </c>
      <c r="O4939">
        <v>11</v>
      </c>
      <c r="P4939">
        <v>1</v>
      </c>
    </row>
    <row r="4940" spans="1:16" x14ac:dyDescent="0.25">
      <c r="A4940" s="4">
        <v>45814</v>
      </c>
      <c r="B4940" t="s">
        <v>9</v>
      </c>
      <c r="C4940">
        <v>1</v>
      </c>
      <c r="F4940">
        <v>143</v>
      </c>
      <c r="J4940">
        <v>0.42899999999999999</v>
      </c>
      <c r="K4940">
        <v>16.100000000000001</v>
      </c>
      <c r="L4940">
        <v>37.4</v>
      </c>
      <c r="M4940">
        <v>127</v>
      </c>
      <c r="N4940">
        <v>8</v>
      </c>
    </row>
    <row r="4941" spans="1:16" x14ac:dyDescent="0.25">
      <c r="A4941" s="4">
        <v>45817</v>
      </c>
      <c r="B4941" t="s">
        <v>10</v>
      </c>
      <c r="C4941">
        <v>1</v>
      </c>
      <c r="F4941">
        <v>326</v>
      </c>
      <c r="J4941">
        <v>1.123</v>
      </c>
      <c r="K4941">
        <v>39.299999999999997</v>
      </c>
      <c r="L4941">
        <v>35</v>
      </c>
      <c r="M4941">
        <v>253</v>
      </c>
      <c r="N4941">
        <v>22</v>
      </c>
      <c r="O4941">
        <v>4</v>
      </c>
      <c r="P4941">
        <v>2</v>
      </c>
    </row>
    <row r="4942" spans="1:16" x14ac:dyDescent="0.25">
      <c r="A4942" s="4">
        <v>45817</v>
      </c>
      <c r="B4942" t="s">
        <v>9</v>
      </c>
      <c r="C4942">
        <v>1</v>
      </c>
      <c r="F4942">
        <v>151</v>
      </c>
      <c r="J4942">
        <v>0.47099999999999997</v>
      </c>
      <c r="K4942">
        <v>18.2</v>
      </c>
      <c r="L4942">
        <v>38.6</v>
      </c>
      <c r="M4942">
        <v>115</v>
      </c>
      <c r="N4942">
        <v>13</v>
      </c>
      <c r="O4942">
        <v>3</v>
      </c>
    </row>
    <row r="4943" spans="1:16" x14ac:dyDescent="0.25">
      <c r="A4943" s="4">
        <v>45818</v>
      </c>
      <c r="B4943" t="s">
        <v>10</v>
      </c>
      <c r="C4943">
        <v>1</v>
      </c>
      <c r="F4943">
        <v>376</v>
      </c>
      <c r="J4943">
        <v>1.1279999999999999</v>
      </c>
      <c r="K4943">
        <v>42.7</v>
      </c>
      <c r="L4943">
        <v>37.9</v>
      </c>
      <c r="M4943">
        <v>242</v>
      </c>
      <c r="N4943">
        <v>34</v>
      </c>
      <c r="O4943">
        <v>15</v>
      </c>
      <c r="P4943">
        <v>2</v>
      </c>
    </row>
    <row r="4944" spans="1:16" x14ac:dyDescent="0.25">
      <c r="A4944" s="4">
        <v>45818</v>
      </c>
      <c r="B4944" t="s">
        <v>9</v>
      </c>
      <c r="C4944">
        <v>1</v>
      </c>
      <c r="F4944">
        <v>128</v>
      </c>
      <c r="J4944">
        <v>0.41799999999999998</v>
      </c>
      <c r="K4944">
        <v>16.2</v>
      </c>
      <c r="L4944">
        <v>38.700000000000003</v>
      </c>
      <c r="M4944">
        <v>111</v>
      </c>
      <c r="N4944">
        <v>7</v>
      </c>
      <c r="O4944">
        <v>1</v>
      </c>
    </row>
    <row r="4945" spans="1:16" x14ac:dyDescent="0.25">
      <c r="A4945" s="4">
        <v>45819</v>
      </c>
      <c r="B4945" t="s">
        <v>10</v>
      </c>
      <c r="C4945">
        <v>1</v>
      </c>
      <c r="F4945">
        <v>346</v>
      </c>
      <c r="J4945">
        <v>1.204</v>
      </c>
      <c r="K4945">
        <v>45.8</v>
      </c>
      <c r="L4945">
        <v>38.1</v>
      </c>
      <c r="M4945">
        <v>303</v>
      </c>
      <c r="N4945">
        <v>35</v>
      </c>
      <c r="O4945">
        <v>5</v>
      </c>
      <c r="P4945">
        <v>3</v>
      </c>
    </row>
    <row r="4946" spans="1:16" x14ac:dyDescent="0.25">
      <c r="A4946" s="4">
        <v>45819</v>
      </c>
      <c r="B4946" t="s">
        <v>9</v>
      </c>
      <c r="C4946">
        <v>1</v>
      </c>
      <c r="F4946">
        <v>124</v>
      </c>
      <c r="J4946">
        <v>0.35899999999999999</v>
      </c>
      <c r="K4946">
        <v>13.9</v>
      </c>
      <c r="L4946">
        <v>38.799999999999997</v>
      </c>
      <c r="M4946">
        <v>96</v>
      </c>
      <c r="N4946">
        <v>11</v>
      </c>
      <c r="O4946">
        <v>2</v>
      </c>
    </row>
    <row r="4947" spans="1:16" x14ac:dyDescent="0.25">
      <c r="A4947" s="4">
        <v>45820</v>
      </c>
      <c r="B4947" t="s">
        <v>10</v>
      </c>
      <c r="C4947">
        <v>1</v>
      </c>
      <c r="F4947">
        <v>385</v>
      </c>
      <c r="J4947">
        <v>1.218</v>
      </c>
      <c r="K4947">
        <v>43.3</v>
      </c>
      <c r="L4947">
        <v>35.5</v>
      </c>
      <c r="M4947">
        <v>297</v>
      </c>
      <c r="N4947">
        <v>32</v>
      </c>
      <c r="O4947">
        <v>8</v>
      </c>
    </row>
    <row r="4948" spans="1:16" x14ac:dyDescent="0.25">
      <c r="A4948" s="4">
        <v>45820</v>
      </c>
      <c r="B4948" t="s">
        <v>9</v>
      </c>
      <c r="C4948">
        <v>1</v>
      </c>
      <c r="F4948">
        <v>149</v>
      </c>
      <c r="J4948">
        <v>0.45600000000000002</v>
      </c>
      <c r="K4948">
        <v>16.7</v>
      </c>
      <c r="L4948">
        <v>36.700000000000003</v>
      </c>
      <c r="M4948">
        <v>115</v>
      </c>
      <c r="N4948">
        <v>15</v>
      </c>
      <c r="O4948">
        <v>1</v>
      </c>
    </row>
    <row r="4949" spans="1:16" x14ac:dyDescent="0.25">
      <c r="A4949" s="4">
        <v>45821</v>
      </c>
      <c r="B4949" t="s">
        <v>10</v>
      </c>
      <c r="C4949">
        <v>1</v>
      </c>
      <c r="F4949">
        <v>397</v>
      </c>
      <c r="J4949">
        <v>1.2030000000000001</v>
      </c>
      <c r="K4949">
        <v>44.6</v>
      </c>
      <c r="L4949">
        <v>37.1</v>
      </c>
      <c r="M4949">
        <v>273</v>
      </c>
      <c r="N4949">
        <v>40</v>
      </c>
      <c r="O4949">
        <v>12</v>
      </c>
    </row>
    <row r="4950" spans="1:16" x14ac:dyDescent="0.25">
      <c r="A4950" s="4">
        <v>45821</v>
      </c>
      <c r="B4950" t="s">
        <v>9</v>
      </c>
      <c r="C4950">
        <v>1</v>
      </c>
      <c r="F4950">
        <v>163</v>
      </c>
      <c r="J4950">
        <v>0.51800000000000002</v>
      </c>
      <c r="K4950">
        <v>18.3</v>
      </c>
      <c r="L4950">
        <v>35.4</v>
      </c>
      <c r="M4950">
        <v>126</v>
      </c>
      <c r="N4950">
        <v>10</v>
      </c>
      <c r="O4950">
        <v>3</v>
      </c>
      <c r="P4950">
        <v>1</v>
      </c>
    </row>
    <row r="4951" spans="1:16" x14ac:dyDescent="0.25">
      <c r="A4951" s="4">
        <v>45824</v>
      </c>
      <c r="B4951" t="s">
        <v>10</v>
      </c>
      <c r="C4951">
        <v>1</v>
      </c>
      <c r="F4951">
        <v>312</v>
      </c>
      <c r="J4951">
        <v>0.94899999999999995</v>
      </c>
      <c r="K4951">
        <v>35.1</v>
      </c>
      <c r="L4951">
        <v>36.9</v>
      </c>
      <c r="M4951">
        <v>232</v>
      </c>
      <c r="N4951">
        <v>23</v>
      </c>
      <c r="O4951">
        <v>7</v>
      </c>
      <c r="P4951">
        <v>1</v>
      </c>
    </row>
    <row r="4952" spans="1:16" x14ac:dyDescent="0.25">
      <c r="A4952" s="4">
        <v>45824</v>
      </c>
      <c r="B4952" t="s">
        <v>9</v>
      </c>
      <c r="C4952">
        <v>1</v>
      </c>
      <c r="F4952">
        <v>160</v>
      </c>
      <c r="J4952">
        <v>0.50700000000000001</v>
      </c>
      <c r="K4952">
        <v>18</v>
      </c>
      <c r="L4952">
        <v>35.5</v>
      </c>
      <c r="M4952">
        <v>126</v>
      </c>
      <c r="N4952">
        <v>14</v>
      </c>
      <c r="O4952">
        <v>2</v>
      </c>
    </row>
    <row r="4953" spans="1:16" x14ac:dyDescent="0.25">
      <c r="A4953" s="4">
        <v>45825</v>
      </c>
      <c r="B4953" t="s">
        <v>10</v>
      </c>
      <c r="C4953">
        <v>1</v>
      </c>
      <c r="F4953">
        <v>318</v>
      </c>
      <c r="J4953">
        <v>1.226</v>
      </c>
      <c r="K4953">
        <v>44.2</v>
      </c>
      <c r="L4953">
        <v>36</v>
      </c>
      <c r="M4953">
        <v>226</v>
      </c>
      <c r="N4953">
        <v>35</v>
      </c>
      <c r="O4953">
        <v>5</v>
      </c>
      <c r="P4953">
        <v>1</v>
      </c>
    </row>
    <row r="4954" spans="1:16" x14ac:dyDescent="0.25">
      <c r="A4954" s="4">
        <v>45825</v>
      </c>
      <c r="B4954" t="s">
        <v>9</v>
      </c>
      <c r="C4954">
        <v>1</v>
      </c>
      <c r="F4954">
        <v>114</v>
      </c>
      <c r="J4954">
        <v>0.433</v>
      </c>
      <c r="K4954">
        <v>15.8</v>
      </c>
      <c r="L4954">
        <v>36.5</v>
      </c>
      <c r="M4954">
        <v>98</v>
      </c>
      <c r="N4954">
        <v>8</v>
      </c>
    </row>
    <row r="4955" spans="1:16" x14ac:dyDescent="0.25">
      <c r="A4955" s="4">
        <v>45826</v>
      </c>
      <c r="B4955" t="s">
        <v>10</v>
      </c>
      <c r="C4955">
        <v>1</v>
      </c>
      <c r="F4955">
        <v>323</v>
      </c>
      <c r="J4955">
        <v>1.244</v>
      </c>
      <c r="K4955">
        <v>44.9</v>
      </c>
      <c r="L4955">
        <v>36.1</v>
      </c>
      <c r="M4955">
        <v>229</v>
      </c>
      <c r="N4955">
        <v>29</v>
      </c>
      <c r="O4955">
        <v>9</v>
      </c>
      <c r="P4955">
        <v>1</v>
      </c>
    </row>
    <row r="4956" spans="1:16" x14ac:dyDescent="0.25">
      <c r="A4956" s="4">
        <v>45826</v>
      </c>
      <c r="B4956" t="s">
        <v>9</v>
      </c>
      <c r="C4956">
        <v>1</v>
      </c>
      <c r="F4956">
        <v>123</v>
      </c>
      <c r="J4956">
        <v>0.45900000000000002</v>
      </c>
      <c r="K4956">
        <v>17.100000000000001</v>
      </c>
      <c r="L4956">
        <v>37.299999999999997</v>
      </c>
      <c r="M4956">
        <v>104</v>
      </c>
      <c r="N4956">
        <v>8</v>
      </c>
      <c r="O4956">
        <v>1</v>
      </c>
    </row>
    <row r="4957" spans="1:16" x14ac:dyDescent="0.25">
      <c r="A4957" s="4">
        <v>45827</v>
      </c>
      <c r="B4957" t="s">
        <v>10</v>
      </c>
      <c r="C4957">
        <v>1</v>
      </c>
      <c r="F4957">
        <v>327</v>
      </c>
      <c r="J4957">
        <v>1.28</v>
      </c>
      <c r="K4957">
        <v>45.4</v>
      </c>
      <c r="L4957">
        <v>35.5</v>
      </c>
      <c r="M4957">
        <v>269</v>
      </c>
      <c r="N4957">
        <v>22</v>
      </c>
      <c r="O4957">
        <v>4</v>
      </c>
    </row>
    <row r="4958" spans="1:16" x14ac:dyDescent="0.25">
      <c r="A4958" s="4">
        <v>45827</v>
      </c>
      <c r="B4958" t="s">
        <v>9</v>
      </c>
      <c r="C4958">
        <v>1</v>
      </c>
      <c r="F4958">
        <v>130</v>
      </c>
      <c r="J4958">
        <v>0.47299999999999998</v>
      </c>
      <c r="K4958">
        <v>18.100000000000001</v>
      </c>
      <c r="L4958">
        <v>38.200000000000003</v>
      </c>
      <c r="M4958">
        <v>91</v>
      </c>
      <c r="N4958">
        <v>18</v>
      </c>
      <c r="O4958">
        <v>1</v>
      </c>
    </row>
    <row r="4959" spans="1:16" x14ac:dyDescent="0.25">
      <c r="A4959" s="4">
        <v>45828</v>
      </c>
      <c r="B4959" t="s">
        <v>10</v>
      </c>
      <c r="C4959">
        <v>1</v>
      </c>
      <c r="F4959">
        <v>378</v>
      </c>
      <c r="J4959">
        <v>1.2010000000000001</v>
      </c>
      <c r="K4959">
        <v>42.5</v>
      </c>
      <c r="L4959">
        <v>35.4</v>
      </c>
      <c r="M4959">
        <v>296</v>
      </c>
      <c r="N4959">
        <v>29</v>
      </c>
      <c r="O4959">
        <v>7</v>
      </c>
    </row>
    <row r="4960" spans="1:16" x14ac:dyDescent="0.25">
      <c r="A4960" s="4">
        <v>45828</v>
      </c>
      <c r="B4960" t="s">
        <v>9</v>
      </c>
      <c r="C4960">
        <v>1</v>
      </c>
      <c r="F4960">
        <v>165</v>
      </c>
      <c r="J4960">
        <v>0.48</v>
      </c>
      <c r="K4960">
        <v>18.5</v>
      </c>
      <c r="L4960">
        <v>38.6</v>
      </c>
      <c r="M4960">
        <v>126</v>
      </c>
      <c r="N4960">
        <v>18</v>
      </c>
      <c r="O4960">
        <v>1</v>
      </c>
    </row>
    <row r="4961" spans="1:16" x14ac:dyDescent="0.25">
      <c r="A4961" s="4">
        <v>45831</v>
      </c>
      <c r="B4961" t="s">
        <v>10</v>
      </c>
      <c r="C4961">
        <v>1</v>
      </c>
      <c r="F4961">
        <v>356</v>
      </c>
      <c r="J4961">
        <v>1.111</v>
      </c>
      <c r="K4961">
        <v>40</v>
      </c>
      <c r="L4961">
        <v>36</v>
      </c>
      <c r="M4961">
        <v>241</v>
      </c>
      <c r="N4961">
        <v>32</v>
      </c>
      <c r="O4961">
        <v>13</v>
      </c>
      <c r="P4961">
        <v>1</v>
      </c>
    </row>
    <row r="4962" spans="1:16" x14ac:dyDescent="0.25">
      <c r="A4962" s="4">
        <v>45831</v>
      </c>
      <c r="B4962" t="s">
        <v>9</v>
      </c>
      <c r="C4962">
        <v>1</v>
      </c>
      <c r="F4962">
        <v>208</v>
      </c>
      <c r="J4962">
        <v>0.6</v>
      </c>
      <c r="K4962">
        <v>23.4</v>
      </c>
      <c r="L4962">
        <v>39</v>
      </c>
      <c r="M4962">
        <v>158</v>
      </c>
      <c r="N4962">
        <v>16</v>
      </c>
      <c r="O4962">
        <v>5</v>
      </c>
    </row>
    <row r="4963" spans="1:16" x14ac:dyDescent="0.25">
      <c r="A4963" s="4">
        <v>45832</v>
      </c>
      <c r="B4963" t="s">
        <v>10</v>
      </c>
      <c r="C4963">
        <v>1</v>
      </c>
      <c r="F4963">
        <v>296</v>
      </c>
      <c r="J4963">
        <v>1.1579999999999999</v>
      </c>
      <c r="K4963">
        <v>41.1</v>
      </c>
      <c r="L4963">
        <v>35.5</v>
      </c>
      <c r="M4963">
        <v>233</v>
      </c>
      <c r="N4963">
        <v>23</v>
      </c>
      <c r="O4963">
        <v>5</v>
      </c>
    </row>
    <row r="4964" spans="1:16" x14ac:dyDescent="0.25">
      <c r="A4964" s="4">
        <v>45832</v>
      </c>
      <c r="B4964" t="s">
        <v>9</v>
      </c>
      <c r="C4964">
        <v>1</v>
      </c>
      <c r="F4964">
        <v>152</v>
      </c>
      <c r="J4964">
        <v>0.55300000000000005</v>
      </c>
      <c r="K4964">
        <v>21.1</v>
      </c>
      <c r="L4964">
        <v>38.200000000000003</v>
      </c>
      <c r="M4964">
        <v>105</v>
      </c>
      <c r="N4964">
        <v>20</v>
      </c>
      <c r="O4964">
        <v>2</v>
      </c>
    </row>
    <row r="4965" spans="1:16" x14ac:dyDescent="0.25">
      <c r="A4965" s="4">
        <v>45833</v>
      </c>
      <c r="B4965" t="s">
        <v>10</v>
      </c>
      <c r="C4965">
        <v>1</v>
      </c>
      <c r="F4965">
        <v>318</v>
      </c>
      <c r="J4965">
        <v>1.252</v>
      </c>
      <c r="K4965">
        <v>44.2</v>
      </c>
      <c r="L4965">
        <v>35.299999999999997</v>
      </c>
      <c r="M4965">
        <v>233</v>
      </c>
      <c r="N4965">
        <v>23</v>
      </c>
      <c r="O4965">
        <v>11</v>
      </c>
    </row>
    <row r="4966" spans="1:16" x14ac:dyDescent="0.25">
      <c r="A4966" s="4">
        <v>45833</v>
      </c>
      <c r="B4966" t="s">
        <v>9</v>
      </c>
      <c r="C4966">
        <v>1</v>
      </c>
      <c r="F4966">
        <v>139</v>
      </c>
      <c r="J4966">
        <v>0.47799999999999998</v>
      </c>
      <c r="K4966">
        <v>19.3</v>
      </c>
      <c r="L4966">
        <v>40.4</v>
      </c>
      <c r="M4966">
        <v>108</v>
      </c>
      <c r="N4966">
        <v>6</v>
      </c>
      <c r="O4966">
        <v>5</v>
      </c>
    </row>
    <row r="4967" spans="1:16" x14ac:dyDescent="0.25">
      <c r="A4967" s="4">
        <v>45834</v>
      </c>
      <c r="B4967" t="s">
        <v>10</v>
      </c>
      <c r="C4967">
        <v>1</v>
      </c>
      <c r="F4967">
        <v>338</v>
      </c>
      <c r="J4967">
        <v>1.0589999999999999</v>
      </c>
      <c r="K4967">
        <v>38.4</v>
      </c>
      <c r="L4967">
        <v>36.299999999999997</v>
      </c>
      <c r="M4967">
        <v>233</v>
      </c>
      <c r="N4967">
        <v>30</v>
      </c>
      <c r="O4967">
        <v>12</v>
      </c>
      <c r="P4967">
        <v>1</v>
      </c>
    </row>
    <row r="4968" spans="1:16" x14ac:dyDescent="0.25">
      <c r="A4968" s="4">
        <v>45834</v>
      </c>
      <c r="B4968" t="s">
        <v>9</v>
      </c>
      <c r="C4968">
        <v>1</v>
      </c>
      <c r="F4968">
        <v>147</v>
      </c>
      <c r="J4968">
        <v>0.442</v>
      </c>
      <c r="K4968">
        <v>16.7</v>
      </c>
      <c r="L4968">
        <v>37.799999999999997</v>
      </c>
      <c r="M4968">
        <v>120</v>
      </c>
      <c r="N4968">
        <v>8</v>
      </c>
      <c r="O4968">
        <v>3</v>
      </c>
    </row>
    <row r="4969" spans="1:16" x14ac:dyDescent="0.25">
      <c r="A4969" s="4">
        <v>45835</v>
      </c>
      <c r="B4969" t="s">
        <v>10</v>
      </c>
      <c r="C4969">
        <v>1</v>
      </c>
      <c r="F4969">
        <v>423</v>
      </c>
      <c r="J4969">
        <v>1.278</v>
      </c>
      <c r="K4969">
        <v>47.5</v>
      </c>
      <c r="L4969">
        <v>37.200000000000003</v>
      </c>
      <c r="M4969">
        <v>297</v>
      </c>
      <c r="N4969">
        <v>33</v>
      </c>
      <c r="O4969">
        <v>10</v>
      </c>
      <c r="P4969">
        <v>3</v>
      </c>
    </row>
    <row r="4970" spans="1:16" x14ac:dyDescent="0.25">
      <c r="A4970" s="4">
        <v>45835</v>
      </c>
      <c r="B4970" t="s">
        <v>9</v>
      </c>
      <c r="C4970">
        <v>1</v>
      </c>
      <c r="F4970">
        <v>151</v>
      </c>
      <c r="J4970">
        <v>0.45</v>
      </c>
      <c r="K4970">
        <v>17</v>
      </c>
      <c r="L4970">
        <v>37.700000000000003</v>
      </c>
      <c r="M4970">
        <v>127</v>
      </c>
      <c r="N4970">
        <v>9</v>
      </c>
      <c r="O4970">
        <v>2</v>
      </c>
    </row>
    <row r="4971" spans="1:16" x14ac:dyDescent="0.25">
      <c r="A4971" s="4">
        <v>45838</v>
      </c>
      <c r="B4971" t="s">
        <v>10</v>
      </c>
      <c r="C4971">
        <v>1</v>
      </c>
      <c r="F4971">
        <v>369</v>
      </c>
      <c r="J4971">
        <v>1.0680000000000001</v>
      </c>
      <c r="K4971">
        <v>41.5</v>
      </c>
      <c r="L4971">
        <v>38.799999999999997</v>
      </c>
      <c r="M4971">
        <v>257</v>
      </c>
      <c r="N4971">
        <v>22</v>
      </c>
      <c r="O4971">
        <v>11</v>
      </c>
      <c r="P4971">
        <v>4</v>
      </c>
    </row>
    <row r="4972" spans="1:16" x14ac:dyDescent="0.25">
      <c r="A4972" s="4">
        <v>45838</v>
      </c>
      <c r="B4972" t="s">
        <v>9</v>
      </c>
      <c r="C4972">
        <v>1</v>
      </c>
      <c r="F4972">
        <v>162</v>
      </c>
      <c r="J4972">
        <v>0.47699999999999998</v>
      </c>
      <c r="K4972">
        <v>18.2</v>
      </c>
      <c r="L4972">
        <v>38.200000000000003</v>
      </c>
      <c r="M4972">
        <v>140</v>
      </c>
      <c r="N4972">
        <v>8</v>
      </c>
      <c r="O4972">
        <v>2</v>
      </c>
    </row>
    <row r="4973" spans="1:16" x14ac:dyDescent="0.25">
      <c r="A4973" s="4">
        <v>45839</v>
      </c>
      <c r="B4973" t="s">
        <v>10</v>
      </c>
      <c r="C4973">
        <v>1</v>
      </c>
      <c r="F4973">
        <v>356</v>
      </c>
      <c r="J4973">
        <v>1.1599999999999999</v>
      </c>
      <c r="K4973">
        <v>40.9</v>
      </c>
      <c r="L4973">
        <v>35.299999999999997</v>
      </c>
      <c r="M4973">
        <v>260</v>
      </c>
      <c r="N4973">
        <v>34</v>
      </c>
      <c r="O4973">
        <v>9</v>
      </c>
    </row>
    <row r="4974" spans="1:16" x14ac:dyDescent="0.25">
      <c r="A4974" s="4">
        <v>45839</v>
      </c>
      <c r="B4974" t="s">
        <v>9</v>
      </c>
      <c r="C4974">
        <v>1</v>
      </c>
      <c r="F4974">
        <v>132</v>
      </c>
      <c r="J4974">
        <v>0.41299999999999998</v>
      </c>
      <c r="K4974">
        <v>15.2</v>
      </c>
      <c r="L4974">
        <v>36.799999999999997</v>
      </c>
      <c r="M4974">
        <v>113</v>
      </c>
      <c r="N4974">
        <v>8</v>
      </c>
      <c r="O4974">
        <v>1</v>
      </c>
    </row>
    <row r="4975" spans="1:16" x14ac:dyDescent="0.25">
      <c r="A4975" s="4">
        <v>45840</v>
      </c>
      <c r="B4975" t="s">
        <v>10</v>
      </c>
      <c r="C4975">
        <v>1</v>
      </c>
      <c r="F4975">
        <v>370</v>
      </c>
      <c r="J4975">
        <v>1.2110000000000001</v>
      </c>
      <c r="K4975">
        <v>44.1</v>
      </c>
      <c r="L4975">
        <v>36.4</v>
      </c>
      <c r="M4975">
        <v>275</v>
      </c>
      <c r="N4975">
        <v>32</v>
      </c>
      <c r="O4975">
        <v>3</v>
      </c>
      <c r="P4975">
        <v>2</v>
      </c>
    </row>
    <row r="4976" spans="1:16" x14ac:dyDescent="0.25">
      <c r="A4976" s="4">
        <v>45840</v>
      </c>
      <c r="B4976" t="s">
        <v>9</v>
      </c>
      <c r="C4976">
        <v>1</v>
      </c>
      <c r="F4976">
        <v>153</v>
      </c>
      <c r="J4976">
        <v>0.46600000000000003</v>
      </c>
      <c r="K4976">
        <v>18.2</v>
      </c>
      <c r="L4976">
        <v>39.1</v>
      </c>
      <c r="M4976">
        <v>114</v>
      </c>
      <c r="N4976">
        <v>17</v>
      </c>
      <c r="O4976">
        <v>1</v>
      </c>
    </row>
    <row r="4977" spans="1:16" x14ac:dyDescent="0.25">
      <c r="A4977" s="4">
        <v>45841</v>
      </c>
      <c r="B4977" t="s">
        <v>10</v>
      </c>
      <c r="C4977">
        <v>1</v>
      </c>
      <c r="F4977">
        <v>351</v>
      </c>
      <c r="J4977">
        <v>1.1890000000000001</v>
      </c>
      <c r="K4977">
        <v>42.8</v>
      </c>
      <c r="L4977">
        <v>36</v>
      </c>
      <c r="M4977">
        <v>276</v>
      </c>
      <c r="N4977">
        <v>20</v>
      </c>
      <c r="O4977">
        <v>8</v>
      </c>
      <c r="P4977">
        <v>1</v>
      </c>
    </row>
    <row r="4978" spans="1:16" x14ac:dyDescent="0.25">
      <c r="A4978" s="4">
        <v>45841</v>
      </c>
      <c r="B4978" t="s">
        <v>9</v>
      </c>
      <c r="C4978">
        <v>1</v>
      </c>
      <c r="F4978">
        <v>111</v>
      </c>
      <c r="J4978">
        <v>0.46500000000000002</v>
      </c>
      <c r="K4978">
        <v>16.600000000000001</v>
      </c>
      <c r="L4978">
        <v>35.6</v>
      </c>
      <c r="M4978">
        <v>94</v>
      </c>
      <c r="N4978">
        <v>5</v>
      </c>
      <c r="O4978">
        <v>2</v>
      </c>
    </row>
    <row r="4979" spans="1:16" x14ac:dyDescent="0.25">
      <c r="A4979" s="4">
        <v>45845</v>
      </c>
      <c r="B4979" t="s">
        <v>10</v>
      </c>
      <c r="C4979">
        <v>1</v>
      </c>
      <c r="F4979">
        <v>271</v>
      </c>
      <c r="J4979">
        <v>1.1659999999999999</v>
      </c>
      <c r="K4979">
        <v>40.5</v>
      </c>
      <c r="L4979">
        <v>34.700000000000003</v>
      </c>
      <c r="M4979">
        <v>230</v>
      </c>
      <c r="N4979">
        <v>15</v>
      </c>
      <c r="O4979">
        <v>3</v>
      </c>
    </row>
    <row r="4980" spans="1:16" x14ac:dyDescent="0.25">
      <c r="A4980" s="4">
        <v>45845</v>
      </c>
      <c r="B4980" t="s">
        <v>9</v>
      </c>
      <c r="C4980">
        <v>1</v>
      </c>
      <c r="F4980">
        <v>126</v>
      </c>
      <c r="J4980">
        <v>0.52100000000000002</v>
      </c>
      <c r="K4980">
        <v>18.8</v>
      </c>
      <c r="L4980">
        <v>36.1</v>
      </c>
      <c r="M4980">
        <v>107</v>
      </c>
      <c r="N4980">
        <v>8</v>
      </c>
      <c r="O4980">
        <v>1</v>
      </c>
    </row>
    <row r="4981" spans="1:16" x14ac:dyDescent="0.25">
      <c r="A4981" s="4">
        <v>45846</v>
      </c>
      <c r="B4981" t="s">
        <v>10</v>
      </c>
      <c r="C4981">
        <v>1</v>
      </c>
      <c r="F4981">
        <v>250</v>
      </c>
      <c r="J4981">
        <v>1.1279999999999999</v>
      </c>
      <c r="K4981">
        <v>37.9</v>
      </c>
      <c r="L4981">
        <v>33.6</v>
      </c>
      <c r="M4981">
        <v>226</v>
      </c>
      <c r="N4981">
        <v>7</v>
      </c>
      <c r="O4981">
        <v>3</v>
      </c>
    </row>
    <row r="4982" spans="1:16" x14ac:dyDescent="0.25">
      <c r="A4982" s="4">
        <v>45846</v>
      </c>
      <c r="B4982" t="s">
        <v>9</v>
      </c>
      <c r="C4982">
        <v>1</v>
      </c>
      <c r="F4982">
        <v>114</v>
      </c>
      <c r="J4982">
        <v>0.46</v>
      </c>
      <c r="K4982">
        <v>17.3</v>
      </c>
      <c r="L4982">
        <v>37.6</v>
      </c>
      <c r="M4982">
        <v>96</v>
      </c>
      <c r="N4982">
        <v>9</v>
      </c>
    </row>
    <row r="4983" spans="1:16" x14ac:dyDescent="0.25">
      <c r="A4983" s="4">
        <v>45847</v>
      </c>
      <c r="B4983" t="s">
        <v>10</v>
      </c>
      <c r="C4983">
        <v>1</v>
      </c>
      <c r="F4983">
        <v>282</v>
      </c>
      <c r="J4983">
        <v>1.198</v>
      </c>
      <c r="K4983">
        <v>42.1</v>
      </c>
      <c r="L4983">
        <v>35.200000000000003</v>
      </c>
      <c r="M4983">
        <v>214</v>
      </c>
      <c r="N4983">
        <v>21</v>
      </c>
      <c r="O4983">
        <v>6</v>
      </c>
      <c r="P4983">
        <v>1</v>
      </c>
    </row>
    <row r="4984" spans="1:16" x14ac:dyDescent="0.25">
      <c r="A4984" s="4">
        <v>45847</v>
      </c>
      <c r="B4984" t="s">
        <v>9</v>
      </c>
      <c r="C4984">
        <v>1</v>
      </c>
      <c r="F4984">
        <v>126</v>
      </c>
      <c r="J4984">
        <v>0.502</v>
      </c>
      <c r="K4984">
        <v>18.8</v>
      </c>
      <c r="L4984">
        <v>37.4</v>
      </c>
      <c r="M4984">
        <v>112</v>
      </c>
      <c r="N4984">
        <v>7</v>
      </c>
    </row>
    <row r="4985" spans="1:16" x14ac:dyDescent="0.25">
      <c r="A4985" s="4">
        <v>45848</v>
      </c>
      <c r="B4985" t="s">
        <v>10</v>
      </c>
      <c r="C4985">
        <v>1</v>
      </c>
      <c r="F4985">
        <v>353</v>
      </c>
      <c r="J4985">
        <v>1.2050000000000001</v>
      </c>
      <c r="K4985">
        <v>42</v>
      </c>
      <c r="L4985">
        <v>34.9</v>
      </c>
      <c r="M4985">
        <v>294</v>
      </c>
      <c r="N4985">
        <v>20</v>
      </c>
      <c r="O4985">
        <v>4</v>
      </c>
      <c r="P4985">
        <v>1</v>
      </c>
    </row>
    <row r="4986" spans="1:16" x14ac:dyDescent="0.25">
      <c r="A4986" s="4">
        <v>45848</v>
      </c>
      <c r="B4986" t="s">
        <v>9</v>
      </c>
      <c r="C4986">
        <v>1</v>
      </c>
      <c r="F4986">
        <v>167</v>
      </c>
      <c r="J4986">
        <v>0.53100000000000003</v>
      </c>
      <c r="K4986">
        <v>19.899999999999999</v>
      </c>
      <c r="L4986">
        <v>37.5</v>
      </c>
      <c r="M4986">
        <v>151</v>
      </c>
      <c r="N4986">
        <v>8</v>
      </c>
    </row>
    <row r="4987" spans="1:16" x14ac:dyDescent="0.25">
      <c r="A4987" s="4">
        <v>45849</v>
      </c>
      <c r="B4987" t="s">
        <v>10</v>
      </c>
      <c r="C4987">
        <v>1</v>
      </c>
      <c r="F4987">
        <v>327</v>
      </c>
      <c r="J4987">
        <v>1.26</v>
      </c>
      <c r="K4987">
        <v>48.8</v>
      </c>
      <c r="L4987">
        <v>38.700000000000003</v>
      </c>
      <c r="M4987">
        <v>219</v>
      </c>
      <c r="N4987">
        <v>21</v>
      </c>
      <c r="O4987">
        <v>10</v>
      </c>
      <c r="P4987">
        <v>3</v>
      </c>
    </row>
    <row r="4988" spans="1:16" x14ac:dyDescent="0.25">
      <c r="A4988" s="4">
        <v>45849</v>
      </c>
      <c r="B4988" t="s">
        <v>9</v>
      </c>
      <c r="C4988">
        <v>1</v>
      </c>
      <c r="F4988">
        <v>145</v>
      </c>
      <c r="J4988">
        <v>0.57199999999999995</v>
      </c>
      <c r="K4988">
        <v>21.6</v>
      </c>
      <c r="L4988">
        <v>37.9</v>
      </c>
      <c r="M4988">
        <v>124</v>
      </c>
      <c r="N4988">
        <v>6</v>
      </c>
      <c r="O4988">
        <v>3</v>
      </c>
    </row>
    <row r="4989" spans="1:16" x14ac:dyDescent="0.25">
      <c r="A4989" s="4">
        <v>45852</v>
      </c>
      <c r="B4989" t="s">
        <v>10</v>
      </c>
      <c r="C4989">
        <v>1</v>
      </c>
      <c r="F4989">
        <v>387</v>
      </c>
      <c r="J4989">
        <v>1.2929999999999999</v>
      </c>
      <c r="K4989">
        <v>46.1</v>
      </c>
      <c r="L4989">
        <v>35.6</v>
      </c>
      <c r="M4989">
        <v>302</v>
      </c>
      <c r="N4989">
        <v>26</v>
      </c>
      <c r="O4989">
        <v>4</v>
      </c>
      <c r="P4989">
        <v>3</v>
      </c>
    </row>
    <row r="4990" spans="1:16" x14ac:dyDescent="0.25">
      <c r="A4990" s="4">
        <v>45852</v>
      </c>
      <c r="B4990" t="s">
        <v>9</v>
      </c>
      <c r="C4990">
        <v>1</v>
      </c>
      <c r="F4990">
        <v>110</v>
      </c>
      <c r="J4990">
        <v>0.33500000000000002</v>
      </c>
      <c r="K4990">
        <v>13.1</v>
      </c>
      <c r="L4990">
        <v>39.1</v>
      </c>
      <c r="M4990">
        <v>87</v>
      </c>
      <c r="N4990">
        <v>10</v>
      </c>
      <c r="O4990">
        <v>1</v>
      </c>
    </row>
    <row r="4991" spans="1:16" x14ac:dyDescent="0.25">
      <c r="A4991" s="4">
        <v>45853</v>
      </c>
      <c r="B4991" t="s">
        <v>10</v>
      </c>
      <c r="C4991">
        <v>1</v>
      </c>
      <c r="F4991">
        <v>376</v>
      </c>
      <c r="J4991">
        <v>1.212</v>
      </c>
      <c r="K4991">
        <v>44.8</v>
      </c>
      <c r="L4991">
        <v>36.9</v>
      </c>
      <c r="M4991">
        <v>252</v>
      </c>
      <c r="N4991">
        <v>40</v>
      </c>
      <c r="O4991">
        <v>11</v>
      </c>
      <c r="P4991">
        <v>1</v>
      </c>
    </row>
    <row r="4992" spans="1:16" x14ac:dyDescent="0.25">
      <c r="A4992" s="4">
        <v>45853</v>
      </c>
      <c r="B4992" t="s">
        <v>9</v>
      </c>
      <c r="C4992">
        <v>1</v>
      </c>
      <c r="F4992">
        <v>87</v>
      </c>
      <c r="J4992">
        <v>0.254</v>
      </c>
      <c r="K4992">
        <v>10.4</v>
      </c>
      <c r="L4992">
        <v>40.799999999999997</v>
      </c>
      <c r="M4992">
        <v>68</v>
      </c>
      <c r="N4992">
        <v>8</v>
      </c>
      <c r="O4992">
        <v>1</v>
      </c>
    </row>
    <row r="4993" spans="1:16" x14ac:dyDescent="0.25">
      <c r="A4993" s="4">
        <v>45854</v>
      </c>
      <c r="B4993" t="s">
        <v>10</v>
      </c>
      <c r="C4993">
        <v>1</v>
      </c>
      <c r="F4993">
        <v>384</v>
      </c>
      <c r="J4993">
        <v>1.331</v>
      </c>
      <c r="K4993">
        <v>45.7</v>
      </c>
      <c r="L4993">
        <v>34.4</v>
      </c>
      <c r="M4993">
        <v>302</v>
      </c>
      <c r="N4993">
        <v>32</v>
      </c>
      <c r="O4993">
        <v>6</v>
      </c>
    </row>
    <row r="4994" spans="1:16" x14ac:dyDescent="0.25">
      <c r="A4994" s="4">
        <v>45854</v>
      </c>
      <c r="B4994" t="s">
        <v>9</v>
      </c>
      <c r="C4994">
        <v>1</v>
      </c>
      <c r="F4994">
        <v>154</v>
      </c>
      <c r="J4994">
        <v>0.46100000000000002</v>
      </c>
      <c r="K4994">
        <v>18.3</v>
      </c>
      <c r="L4994">
        <v>39.700000000000003</v>
      </c>
      <c r="M4994">
        <v>122</v>
      </c>
      <c r="N4994">
        <v>11</v>
      </c>
      <c r="O4994">
        <v>1</v>
      </c>
      <c r="P4994">
        <v>1</v>
      </c>
    </row>
    <row r="4995" spans="1:16" x14ac:dyDescent="0.25">
      <c r="A4995" s="4">
        <v>45855</v>
      </c>
      <c r="B4995" t="s">
        <v>10</v>
      </c>
      <c r="C4995">
        <v>1</v>
      </c>
      <c r="F4995">
        <v>343</v>
      </c>
      <c r="J4995">
        <v>1.169</v>
      </c>
      <c r="K4995">
        <v>40.799999999999997</v>
      </c>
      <c r="L4995">
        <v>34.9</v>
      </c>
      <c r="M4995">
        <v>281</v>
      </c>
      <c r="N4995">
        <v>17</v>
      </c>
      <c r="O4995">
        <v>8</v>
      </c>
    </row>
    <row r="4996" spans="1:16" x14ac:dyDescent="0.25">
      <c r="A4996" s="4">
        <v>45855</v>
      </c>
      <c r="B4996" t="s">
        <v>9</v>
      </c>
      <c r="C4996">
        <v>1</v>
      </c>
      <c r="F4996">
        <v>112</v>
      </c>
      <c r="J4996">
        <v>0.35499999999999998</v>
      </c>
      <c r="K4996">
        <v>13.3</v>
      </c>
      <c r="L4996">
        <v>37.5</v>
      </c>
      <c r="M4996">
        <v>92</v>
      </c>
      <c r="N4996">
        <v>5</v>
      </c>
      <c r="O4996">
        <v>3</v>
      </c>
    </row>
    <row r="4997" spans="1:16" x14ac:dyDescent="0.25">
      <c r="A4997" s="4">
        <v>45856</v>
      </c>
      <c r="B4997" t="s">
        <v>10</v>
      </c>
      <c r="C4997">
        <v>1</v>
      </c>
      <c r="F4997">
        <v>394</v>
      </c>
      <c r="J4997">
        <v>1.3080000000000001</v>
      </c>
      <c r="K4997">
        <v>46.9</v>
      </c>
      <c r="L4997">
        <v>35.9</v>
      </c>
      <c r="M4997">
        <v>272</v>
      </c>
      <c r="N4997">
        <v>34</v>
      </c>
      <c r="O4997">
        <v>14</v>
      </c>
      <c r="P4997">
        <v>1</v>
      </c>
    </row>
    <row r="4998" spans="1:16" x14ac:dyDescent="0.25">
      <c r="A4998" s="4">
        <v>45856</v>
      </c>
      <c r="B4998" t="s">
        <v>9</v>
      </c>
      <c r="C4998">
        <v>1</v>
      </c>
      <c r="F4998">
        <v>135</v>
      </c>
      <c r="J4998">
        <v>0.42399999999999999</v>
      </c>
      <c r="K4998">
        <v>16.100000000000001</v>
      </c>
      <c r="L4998">
        <v>37.9</v>
      </c>
      <c r="M4998">
        <v>110</v>
      </c>
      <c r="N4998">
        <v>10</v>
      </c>
      <c r="O4998">
        <v>1</v>
      </c>
    </row>
    <row r="4999" spans="1:16" x14ac:dyDescent="0.25">
      <c r="A4999" s="4">
        <v>45859</v>
      </c>
      <c r="B4999" t="s">
        <v>10</v>
      </c>
      <c r="C4999">
        <v>1</v>
      </c>
      <c r="F4999">
        <v>334</v>
      </c>
      <c r="J4999">
        <v>1.321</v>
      </c>
      <c r="K4999">
        <v>49.1</v>
      </c>
      <c r="L4999">
        <v>37.200000000000003</v>
      </c>
      <c r="M4999">
        <v>221</v>
      </c>
      <c r="N4999">
        <v>25</v>
      </c>
      <c r="O4999">
        <v>14</v>
      </c>
      <c r="P4999">
        <v>2</v>
      </c>
    </row>
    <row r="5000" spans="1:16" x14ac:dyDescent="0.25">
      <c r="A5000" s="4">
        <v>45859</v>
      </c>
      <c r="B5000" t="s">
        <v>9</v>
      </c>
      <c r="C5000">
        <v>1</v>
      </c>
      <c r="F5000">
        <v>113</v>
      </c>
      <c r="J5000">
        <v>0.41399999999999998</v>
      </c>
      <c r="K5000">
        <v>16.600000000000001</v>
      </c>
      <c r="L5000">
        <v>40.200000000000003</v>
      </c>
      <c r="M5000">
        <v>82</v>
      </c>
      <c r="N5000">
        <v>12</v>
      </c>
      <c r="P5000">
        <v>1</v>
      </c>
    </row>
    <row r="5001" spans="1:16" x14ac:dyDescent="0.25">
      <c r="A5001" s="4">
        <v>45860</v>
      </c>
      <c r="B5001" t="s">
        <v>10</v>
      </c>
      <c r="C5001">
        <v>1</v>
      </c>
      <c r="F5001">
        <v>331</v>
      </c>
      <c r="J5001">
        <v>1.117</v>
      </c>
      <c r="K5001">
        <v>41.4</v>
      </c>
      <c r="L5001">
        <v>37.1</v>
      </c>
      <c r="M5001">
        <v>246</v>
      </c>
      <c r="N5001">
        <v>22</v>
      </c>
      <c r="O5001">
        <v>6</v>
      </c>
      <c r="P5001">
        <v>3</v>
      </c>
    </row>
    <row r="5002" spans="1:16" x14ac:dyDescent="0.25">
      <c r="A5002" s="4">
        <v>45860</v>
      </c>
      <c r="B5002" t="s">
        <v>9</v>
      </c>
      <c r="C5002">
        <v>1</v>
      </c>
      <c r="F5002">
        <v>154</v>
      </c>
      <c r="J5002">
        <v>0.53500000000000003</v>
      </c>
      <c r="K5002">
        <v>19.3</v>
      </c>
      <c r="L5002">
        <v>36</v>
      </c>
      <c r="M5002">
        <v>130</v>
      </c>
      <c r="N5002">
        <v>10</v>
      </c>
      <c r="O5002">
        <v>1</v>
      </c>
    </row>
    <row r="5003" spans="1:16" x14ac:dyDescent="0.25">
      <c r="A5003" s="4">
        <v>45861</v>
      </c>
      <c r="B5003" t="s">
        <v>10</v>
      </c>
      <c r="C5003">
        <v>1</v>
      </c>
      <c r="F5003">
        <v>308</v>
      </c>
      <c r="J5003">
        <v>1.0309999999999999</v>
      </c>
      <c r="K5003">
        <v>36.700000000000003</v>
      </c>
      <c r="L5003">
        <v>35.6</v>
      </c>
      <c r="M5003">
        <v>248</v>
      </c>
      <c r="N5003">
        <v>17</v>
      </c>
      <c r="O5003">
        <v>5</v>
      </c>
      <c r="P5003">
        <v>1</v>
      </c>
    </row>
    <row r="5004" spans="1:16" x14ac:dyDescent="0.25">
      <c r="A5004" s="4">
        <v>45861</v>
      </c>
      <c r="B5004" t="s">
        <v>9</v>
      </c>
      <c r="C5004">
        <v>1</v>
      </c>
      <c r="F5004">
        <v>155</v>
      </c>
      <c r="J5004">
        <v>0.48199999999999998</v>
      </c>
      <c r="K5004">
        <v>18.5</v>
      </c>
      <c r="L5004">
        <v>38.299999999999997</v>
      </c>
      <c r="M5004">
        <v>120</v>
      </c>
      <c r="N5004">
        <v>8</v>
      </c>
      <c r="O5004">
        <v>6</v>
      </c>
    </row>
    <row r="5005" spans="1:16" x14ac:dyDescent="0.25">
      <c r="A5005" s="4">
        <v>45862</v>
      </c>
      <c r="B5005" t="s">
        <v>10</v>
      </c>
      <c r="C5005">
        <v>1</v>
      </c>
      <c r="F5005">
        <v>284</v>
      </c>
      <c r="J5005">
        <v>1.1679999999999999</v>
      </c>
      <c r="K5005">
        <v>42.4</v>
      </c>
      <c r="L5005">
        <v>36.299999999999997</v>
      </c>
      <c r="M5005">
        <v>199</v>
      </c>
      <c r="N5005">
        <v>28</v>
      </c>
      <c r="O5005">
        <v>6</v>
      </c>
      <c r="P5005">
        <v>1</v>
      </c>
    </row>
    <row r="5006" spans="1:16" x14ac:dyDescent="0.25">
      <c r="A5006" s="4">
        <v>45862</v>
      </c>
      <c r="B5006" t="s">
        <v>9</v>
      </c>
      <c r="C5006">
        <v>1</v>
      </c>
      <c r="F5006">
        <v>94</v>
      </c>
      <c r="J5006">
        <v>0.38700000000000001</v>
      </c>
      <c r="K5006">
        <v>14</v>
      </c>
      <c r="L5006">
        <v>36.299999999999997</v>
      </c>
      <c r="M5006">
        <v>79</v>
      </c>
      <c r="N5006">
        <v>6</v>
      </c>
      <c r="O5006">
        <v>1</v>
      </c>
    </row>
    <row r="5007" spans="1:16" x14ac:dyDescent="0.25">
      <c r="A5007" s="4">
        <v>45863</v>
      </c>
      <c r="B5007" t="s">
        <v>10</v>
      </c>
      <c r="C5007">
        <v>1</v>
      </c>
      <c r="F5007">
        <v>365</v>
      </c>
      <c r="J5007">
        <v>1.2509999999999999</v>
      </c>
      <c r="K5007">
        <v>43.5</v>
      </c>
      <c r="L5007">
        <v>34.700000000000003</v>
      </c>
      <c r="M5007">
        <v>292</v>
      </c>
      <c r="N5007">
        <v>24</v>
      </c>
      <c r="O5007">
        <v>5</v>
      </c>
      <c r="P5007">
        <v>1</v>
      </c>
    </row>
    <row r="5008" spans="1:16" x14ac:dyDescent="0.25">
      <c r="A5008" s="4">
        <v>45863</v>
      </c>
      <c r="B5008" t="s">
        <v>9</v>
      </c>
      <c r="C5008">
        <v>1</v>
      </c>
      <c r="F5008">
        <v>127</v>
      </c>
      <c r="J5008">
        <v>0.39</v>
      </c>
      <c r="K5008">
        <v>15.1</v>
      </c>
      <c r="L5008">
        <v>38.700000000000003</v>
      </c>
      <c r="M5008">
        <v>15.1</v>
      </c>
      <c r="N5008">
        <v>38.700000000000003</v>
      </c>
      <c r="O5008">
        <v>107</v>
      </c>
      <c r="P5008">
        <v>10</v>
      </c>
    </row>
    <row r="5009" spans="1:16" x14ac:dyDescent="0.25">
      <c r="A5009" s="4">
        <v>45866</v>
      </c>
      <c r="B5009" t="s">
        <v>10</v>
      </c>
      <c r="C5009">
        <v>1</v>
      </c>
      <c r="F5009">
        <v>264</v>
      </c>
      <c r="J5009">
        <v>0.91900000000000004</v>
      </c>
      <c r="K5009">
        <v>31.4</v>
      </c>
      <c r="L5009">
        <v>34.200000000000003</v>
      </c>
      <c r="M5009">
        <v>217</v>
      </c>
      <c r="N5009">
        <v>18</v>
      </c>
      <c r="O5009">
        <v>3</v>
      </c>
    </row>
    <row r="5010" spans="1:16" x14ac:dyDescent="0.25">
      <c r="A5010" s="4">
        <v>45866</v>
      </c>
      <c r="B5010" t="s">
        <v>9</v>
      </c>
      <c r="C5010">
        <v>1</v>
      </c>
      <c r="F5010">
        <v>152</v>
      </c>
      <c r="J5010">
        <v>0.48599999999999999</v>
      </c>
      <c r="K5010">
        <v>18.100000000000001</v>
      </c>
      <c r="L5010">
        <v>37.200000000000003</v>
      </c>
      <c r="M5010">
        <v>130</v>
      </c>
      <c r="N5010">
        <v>8</v>
      </c>
      <c r="P5010">
        <v>1</v>
      </c>
    </row>
    <row r="5011" spans="1:16" x14ac:dyDescent="0.25">
      <c r="A5011" s="4">
        <v>45867</v>
      </c>
      <c r="B5011" t="s">
        <v>10</v>
      </c>
      <c r="C5011">
        <v>1</v>
      </c>
      <c r="F5011">
        <v>370</v>
      </c>
      <c r="J5011">
        <v>1.206</v>
      </c>
      <c r="K5011">
        <v>44.1</v>
      </c>
      <c r="L5011">
        <v>36.5</v>
      </c>
      <c r="M5011">
        <v>262</v>
      </c>
      <c r="N5011">
        <v>36</v>
      </c>
      <c r="O5011">
        <v>9</v>
      </c>
      <c r="P5011">
        <v>1</v>
      </c>
    </row>
    <row r="5012" spans="1:16" x14ac:dyDescent="0.25">
      <c r="A5012" s="4">
        <v>45867</v>
      </c>
      <c r="B5012" t="s">
        <v>9</v>
      </c>
      <c r="C5012">
        <v>1</v>
      </c>
      <c r="F5012">
        <v>145</v>
      </c>
      <c r="J5012">
        <v>0.45500000000000002</v>
      </c>
      <c r="K5012">
        <v>17.3</v>
      </c>
      <c r="L5012">
        <v>38</v>
      </c>
      <c r="M5012">
        <v>120</v>
      </c>
      <c r="N5012">
        <v>8</v>
      </c>
      <c r="O5012">
        <v>3</v>
      </c>
    </row>
    <row r="5013" spans="1:16" x14ac:dyDescent="0.25">
      <c r="A5013" s="4">
        <v>45868</v>
      </c>
      <c r="B5013" t="s">
        <v>10</v>
      </c>
      <c r="C5013">
        <v>1</v>
      </c>
      <c r="F5013">
        <v>367</v>
      </c>
      <c r="J5013">
        <v>1.1819999999999999</v>
      </c>
      <c r="K5013">
        <v>43.7</v>
      </c>
      <c r="L5013">
        <v>37</v>
      </c>
      <c r="M5013">
        <v>274</v>
      </c>
      <c r="N5013">
        <v>25</v>
      </c>
      <c r="O5013">
        <v>10</v>
      </c>
      <c r="P5013">
        <v>1</v>
      </c>
    </row>
    <row r="5014" spans="1:16" x14ac:dyDescent="0.25">
      <c r="A5014" s="4">
        <v>45868</v>
      </c>
      <c r="B5014" t="s">
        <v>9</v>
      </c>
      <c r="C5014">
        <v>1</v>
      </c>
      <c r="F5014">
        <v>184</v>
      </c>
      <c r="J5014">
        <v>0.58199999999999996</v>
      </c>
      <c r="K5014">
        <v>21.9</v>
      </c>
      <c r="L5014">
        <v>37.700000000000003</v>
      </c>
      <c r="M5014">
        <v>160</v>
      </c>
      <c r="N5014">
        <v>5</v>
      </c>
      <c r="O5014">
        <v>2</v>
      </c>
      <c r="P5014">
        <v>1</v>
      </c>
    </row>
    <row r="5015" spans="1:16" x14ac:dyDescent="0.25">
      <c r="A5015" s="4">
        <v>45869</v>
      </c>
      <c r="B5015" t="s">
        <v>10</v>
      </c>
      <c r="C5015">
        <v>1</v>
      </c>
      <c r="F5015">
        <v>369</v>
      </c>
      <c r="J5015">
        <v>1.2170000000000001</v>
      </c>
      <c r="K5015">
        <v>43.9</v>
      </c>
      <c r="L5015">
        <v>36.1</v>
      </c>
      <c r="M5015">
        <v>281</v>
      </c>
      <c r="N5015">
        <v>23</v>
      </c>
      <c r="O5015">
        <v>5</v>
      </c>
      <c r="P5015">
        <v>3</v>
      </c>
    </row>
    <row r="5016" spans="1:16" x14ac:dyDescent="0.25">
      <c r="A5016" s="4">
        <v>45869</v>
      </c>
      <c r="B5016" t="s">
        <v>9</v>
      </c>
      <c r="C5016">
        <v>1</v>
      </c>
      <c r="F5016">
        <v>164</v>
      </c>
      <c r="J5016">
        <v>0.49299999999999999</v>
      </c>
      <c r="K5016">
        <v>19.5</v>
      </c>
      <c r="L5016">
        <v>39.6</v>
      </c>
      <c r="M5016">
        <v>125</v>
      </c>
      <c r="N5016">
        <v>9</v>
      </c>
      <c r="O5016">
        <v>6</v>
      </c>
    </row>
    <row r="5017" spans="1:16" x14ac:dyDescent="0.25">
      <c r="A5017" s="4">
        <v>45870</v>
      </c>
      <c r="B5017" t="s">
        <v>10</v>
      </c>
      <c r="C5017">
        <v>1</v>
      </c>
      <c r="F5017">
        <v>280</v>
      </c>
      <c r="J5017">
        <v>1.1020000000000001</v>
      </c>
      <c r="K5017">
        <v>41.8</v>
      </c>
      <c r="L5017">
        <v>37.9</v>
      </c>
      <c r="M5017">
        <v>194</v>
      </c>
      <c r="N5017">
        <v>20</v>
      </c>
      <c r="O5017">
        <v>9</v>
      </c>
      <c r="P5017">
        <v>1</v>
      </c>
    </row>
    <row r="5018" spans="1:16" x14ac:dyDescent="0.25">
      <c r="A5018" s="4">
        <v>45870</v>
      </c>
      <c r="B5018" t="s">
        <v>9</v>
      </c>
      <c r="C5018">
        <v>1</v>
      </c>
      <c r="F5018">
        <v>116</v>
      </c>
      <c r="J5018">
        <v>0.47599999999999998</v>
      </c>
      <c r="K5018">
        <v>17.3</v>
      </c>
      <c r="L5018">
        <v>36.4</v>
      </c>
      <c r="M5018">
        <v>92</v>
      </c>
      <c r="N5018">
        <v>7</v>
      </c>
      <c r="O5018">
        <v>1</v>
      </c>
      <c r="P5018">
        <v>1</v>
      </c>
    </row>
    <row r="5019" spans="1:16" x14ac:dyDescent="0.25">
      <c r="A5019" s="4">
        <v>45870</v>
      </c>
      <c r="B5019" t="s">
        <v>10</v>
      </c>
      <c r="C5019">
        <v>1</v>
      </c>
      <c r="F5019">
        <v>280</v>
      </c>
      <c r="J5019">
        <v>1.1020000000000001</v>
      </c>
      <c r="K5019">
        <v>41.8</v>
      </c>
      <c r="L5019">
        <v>37.9</v>
      </c>
      <c r="M5019">
        <v>194</v>
      </c>
      <c r="N5019">
        <v>20</v>
      </c>
      <c r="O5019">
        <v>9</v>
      </c>
      <c r="P5019">
        <v>1</v>
      </c>
    </row>
    <row r="5020" spans="1:16" x14ac:dyDescent="0.25">
      <c r="A5020" s="4">
        <v>45870</v>
      </c>
      <c r="B5020" t="s">
        <v>9</v>
      </c>
      <c r="C5020">
        <v>1</v>
      </c>
      <c r="F5020">
        <v>116</v>
      </c>
      <c r="J5020">
        <v>0.47599999999999998</v>
      </c>
      <c r="K5020">
        <v>17.3</v>
      </c>
      <c r="L5020">
        <v>36.4</v>
      </c>
      <c r="M5020">
        <v>92</v>
      </c>
      <c r="N5020">
        <v>7</v>
      </c>
      <c r="O5020">
        <v>1</v>
      </c>
      <c r="P5020">
        <v>1</v>
      </c>
    </row>
    <row r="5021" spans="1:16" x14ac:dyDescent="0.25">
      <c r="A5021" s="4">
        <v>45873</v>
      </c>
      <c r="B5021" t="s">
        <v>10</v>
      </c>
      <c r="C5021">
        <v>1</v>
      </c>
      <c r="F5021">
        <v>276</v>
      </c>
      <c r="J5021">
        <v>1.1830000000000001</v>
      </c>
      <c r="K5021">
        <v>41.2</v>
      </c>
      <c r="L5021">
        <v>34.799999999999997</v>
      </c>
      <c r="M5021">
        <v>218</v>
      </c>
      <c r="N5021">
        <v>22</v>
      </c>
      <c r="O5021">
        <v>2</v>
      </c>
      <c r="P5021">
        <v>1</v>
      </c>
    </row>
    <row r="5022" spans="1:16" x14ac:dyDescent="0.25">
      <c r="A5022" s="4">
        <v>45873</v>
      </c>
      <c r="B5022" t="s">
        <v>9</v>
      </c>
      <c r="C5022">
        <v>1</v>
      </c>
      <c r="F5022">
        <v>127</v>
      </c>
      <c r="J5022">
        <v>0.48799999999999999</v>
      </c>
      <c r="K5022">
        <v>19</v>
      </c>
      <c r="L5022">
        <v>38.9</v>
      </c>
      <c r="M5022">
        <v>107</v>
      </c>
      <c r="N5022">
        <v>8</v>
      </c>
      <c r="O5022">
        <v>1</v>
      </c>
    </row>
    <row r="5023" spans="1:16" x14ac:dyDescent="0.25">
      <c r="A5023" s="4">
        <v>45874</v>
      </c>
      <c r="B5023" t="s">
        <v>10</v>
      </c>
      <c r="C5023">
        <v>1</v>
      </c>
      <c r="F5023">
        <v>287</v>
      </c>
      <c r="J5023">
        <v>1.1639999999999999</v>
      </c>
      <c r="K5023">
        <v>42.8</v>
      </c>
      <c r="L5023">
        <v>36.799999999999997</v>
      </c>
      <c r="M5023">
        <v>198</v>
      </c>
      <c r="N5023">
        <v>22</v>
      </c>
      <c r="O5023">
        <v>9</v>
      </c>
      <c r="P5023">
        <v>2</v>
      </c>
    </row>
    <row r="5024" spans="1:16" x14ac:dyDescent="0.25">
      <c r="A5024" s="4">
        <v>45874</v>
      </c>
      <c r="B5024" t="s">
        <v>9</v>
      </c>
      <c r="C5024">
        <v>1</v>
      </c>
      <c r="F5024">
        <v>149</v>
      </c>
      <c r="J5024">
        <v>0.59599999999999997</v>
      </c>
      <c r="K5024">
        <v>22.2</v>
      </c>
      <c r="L5024">
        <v>37.299999999999997</v>
      </c>
      <c r="M5024">
        <v>128</v>
      </c>
      <c r="N5024">
        <v>5</v>
      </c>
      <c r="O5024">
        <v>3</v>
      </c>
    </row>
    <row r="5025" spans="1:16" x14ac:dyDescent="0.25">
      <c r="A5025" s="4">
        <v>45875</v>
      </c>
      <c r="B5025" t="s">
        <v>10</v>
      </c>
      <c r="C5025">
        <v>1</v>
      </c>
      <c r="F5025">
        <v>321</v>
      </c>
      <c r="J5025">
        <v>1.3</v>
      </c>
      <c r="K5025">
        <v>44.6</v>
      </c>
      <c r="L5025">
        <v>34.299999999999997</v>
      </c>
      <c r="M5025">
        <v>258</v>
      </c>
      <c r="N5025">
        <v>25</v>
      </c>
      <c r="O5025">
        <v>4</v>
      </c>
    </row>
    <row r="5026" spans="1:16" x14ac:dyDescent="0.25">
      <c r="A5026" s="4">
        <v>45875</v>
      </c>
      <c r="B5026" t="s">
        <v>9</v>
      </c>
      <c r="C5026">
        <v>1</v>
      </c>
      <c r="F5026">
        <v>131</v>
      </c>
      <c r="J5026">
        <v>0.46400000000000002</v>
      </c>
      <c r="K5026">
        <v>18.2</v>
      </c>
      <c r="L5026">
        <v>39.200000000000003</v>
      </c>
      <c r="M5026">
        <v>110</v>
      </c>
      <c r="N5026">
        <v>6</v>
      </c>
      <c r="O5026">
        <v>1</v>
      </c>
      <c r="P5026">
        <v>1</v>
      </c>
    </row>
    <row r="5027" spans="1:16" x14ac:dyDescent="0.25">
      <c r="A5027" s="4">
        <v>45876</v>
      </c>
      <c r="B5027" t="s">
        <v>10</v>
      </c>
      <c r="C5027">
        <v>1</v>
      </c>
      <c r="F5027">
        <v>284</v>
      </c>
      <c r="J5027">
        <v>1.153</v>
      </c>
      <c r="K5027">
        <v>39.4</v>
      </c>
      <c r="L5027">
        <v>34.200000000000003</v>
      </c>
      <c r="M5027">
        <v>248</v>
      </c>
      <c r="N5027">
        <v>13</v>
      </c>
      <c r="O5027">
        <v>3</v>
      </c>
    </row>
    <row r="5028" spans="1:16" x14ac:dyDescent="0.25">
      <c r="A5028" s="4">
        <v>45876</v>
      </c>
      <c r="B5028" t="s">
        <v>9</v>
      </c>
      <c r="C5028">
        <v>1</v>
      </c>
      <c r="F5028">
        <v>109</v>
      </c>
      <c r="J5028">
        <v>0.42899999999999999</v>
      </c>
      <c r="K5028">
        <v>15.1</v>
      </c>
      <c r="L5028">
        <v>35.299999999999997</v>
      </c>
      <c r="M5028">
        <v>98</v>
      </c>
      <c r="N5028">
        <v>2</v>
      </c>
      <c r="O5028">
        <v>2</v>
      </c>
    </row>
    <row r="5029" spans="1:16" x14ac:dyDescent="0.25">
      <c r="A5029" s="4">
        <v>45877</v>
      </c>
      <c r="B5029" t="s">
        <v>10</v>
      </c>
      <c r="C5029">
        <v>1</v>
      </c>
      <c r="F5029">
        <v>284</v>
      </c>
      <c r="J5029">
        <v>1.2390000000000001</v>
      </c>
      <c r="K5029">
        <v>42.4</v>
      </c>
      <c r="L5029">
        <v>34.200000000000003</v>
      </c>
      <c r="M5029">
        <v>248</v>
      </c>
      <c r="N5029">
        <v>13</v>
      </c>
      <c r="O5029">
        <v>3</v>
      </c>
    </row>
    <row r="5030" spans="1:16" x14ac:dyDescent="0.25">
      <c r="A5030" s="4">
        <v>45877</v>
      </c>
      <c r="B5030" t="s">
        <v>9</v>
      </c>
      <c r="C5030">
        <v>1</v>
      </c>
      <c r="F5030">
        <v>109</v>
      </c>
      <c r="J5030">
        <v>0.46100000000000002</v>
      </c>
      <c r="K5030">
        <v>16.3</v>
      </c>
      <c r="L5030">
        <v>35.299999999999997</v>
      </c>
      <c r="M5030">
        <v>98</v>
      </c>
      <c r="N5030">
        <v>2</v>
      </c>
      <c r="O5030">
        <v>2</v>
      </c>
    </row>
    <row r="5031" spans="1:16" x14ac:dyDescent="0.25">
      <c r="A5031" s="4">
        <v>45880</v>
      </c>
      <c r="B5031" t="s">
        <v>10</v>
      </c>
      <c r="C5031">
        <v>1</v>
      </c>
      <c r="F5031">
        <v>92</v>
      </c>
      <c r="J5031">
        <v>0.378</v>
      </c>
      <c r="K5031">
        <v>12.8</v>
      </c>
      <c r="L5031">
        <v>33.799999999999997</v>
      </c>
      <c r="M5031">
        <v>83</v>
      </c>
      <c r="N5031">
        <v>3</v>
      </c>
      <c r="O5031">
        <v>1</v>
      </c>
    </row>
    <row r="5032" spans="1:16" x14ac:dyDescent="0.25">
      <c r="A5032" s="4">
        <v>45880</v>
      </c>
      <c r="B5032" t="s">
        <v>9</v>
      </c>
      <c r="C5032">
        <v>1</v>
      </c>
      <c r="F5032">
        <v>193</v>
      </c>
      <c r="J5032">
        <v>0.747</v>
      </c>
      <c r="K5032">
        <v>26.8</v>
      </c>
      <c r="L5032">
        <v>35.9</v>
      </c>
      <c r="M5032">
        <v>174</v>
      </c>
      <c r="N5032">
        <v>8</v>
      </c>
      <c r="O5032">
        <v>1</v>
      </c>
    </row>
    <row r="5033" spans="1:16" x14ac:dyDescent="0.25">
      <c r="A5033" s="4">
        <v>45881</v>
      </c>
      <c r="B5033" t="s">
        <v>10</v>
      </c>
      <c r="C5033">
        <v>1</v>
      </c>
      <c r="F5033">
        <v>314</v>
      </c>
      <c r="J5033">
        <v>1.218</v>
      </c>
      <c r="K5033">
        <v>43.6</v>
      </c>
      <c r="L5033">
        <v>35.799999999999997</v>
      </c>
      <c r="M5033">
        <v>236</v>
      </c>
      <c r="N5033">
        <v>29</v>
      </c>
      <c r="O5033">
        <v>6</v>
      </c>
    </row>
    <row r="5034" spans="1:16" x14ac:dyDescent="0.25">
      <c r="A5034" s="4">
        <v>45881</v>
      </c>
      <c r="B5034" t="s">
        <v>9</v>
      </c>
      <c r="C5034">
        <v>1</v>
      </c>
      <c r="F5034">
        <v>139</v>
      </c>
      <c r="J5034">
        <v>0.53</v>
      </c>
      <c r="K5034">
        <v>19.3</v>
      </c>
      <c r="L5034">
        <v>36.5</v>
      </c>
      <c r="M5034">
        <v>121</v>
      </c>
      <c r="N5034">
        <v>6</v>
      </c>
      <c r="O5034">
        <v>2</v>
      </c>
    </row>
    <row r="5035" spans="1:16" x14ac:dyDescent="0.25">
      <c r="A5035" s="4">
        <v>45882</v>
      </c>
      <c r="B5035" t="s">
        <v>10</v>
      </c>
      <c r="C5035">
        <v>1</v>
      </c>
      <c r="F5035">
        <v>350</v>
      </c>
      <c r="J5035">
        <v>1.3680000000000001</v>
      </c>
      <c r="K5035">
        <v>48.6</v>
      </c>
      <c r="L5035">
        <v>35.5</v>
      </c>
      <c r="M5035">
        <v>260</v>
      </c>
      <c r="N5035">
        <v>22</v>
      </c>
      <c r="O5035">
        <v>12</v>
      </c>
      <c r="P5035">
        <v>1</v>
      </c>
    </row>
    <row r="5036" spans="1:16" x14ac:dyDescent="0.25">
      <c r="A5036" s="4">
        <v>45882</v>
      </c>
      <c r="B5036" t="s">
        <v>9</v>
      </c>
      <c r="C5036">
        <v>1</v>
      </c>
      <c r="F5036">
        <v>190</v>
      </c>
      <c r="J5036">
        <v>0.69499999999999995</v>
      </c>
      <c r="K5036">
        <v>26.4</v>
      </c>
      <c r="L5036">
        <v>37.9</v>
      </c>
      <c r="M5036">
        <v>150</v>
      </c>
      <c r="N5036">
        <v>14</v>
      </c>
      <c r="O5036">
        <v>4</v>
      </c>
    </row>
    <row r="5037" spans="1:16" x14ac:dyDescent="0.25">
      <c r="A5037" s="4">
        <v>45883</v>
      </c>
      <c r="B5037" t="s">
        <v>10</v>
      </c>
      <c r="C5037">
        <v>1</v>
      </c>
      <c r="F5037">
        <v>391</v>
      </c>
      <c r="J5037">
        <v>1.153</v>
      </c>
      <c r="K5037">
        <v>43.9</v>
      </c>
      <c r="L5037">
        <v>38.1</v>
      </c>
      <c r="M5037">
        <v>265</v>
      </c>
      <c r="N5037">
        <v>25</v>
      </c>
      <c r="O5037">
        <v>15</v>
      </c>
      <c r="P5037">
        <v>4</v>
      </c>
    </row>
    <row r="5038" spans="1:16" x14ac:dyDescent="0.25">
      <c r="A5038" s="4">
        <v>45883</v>
      </c>
      <c r="B5038" t="s">
        <v>9</v>
      </c>
      <c r="C5038">
        <v>1</v>
      </c>
      <c r="F5038">
        <v>159</v>
      </c>
      <c r="J5038">
        <v>0.47699999999999998</v>
      </c>
      <c r="K5038">
        <v>17.899999999999999</v>
      </c>
      <c r="L5038">
        <v>37.4</v>
      </c>
      <c r="M5038">
        <v>143</v>
      </c>
      <c r="N5038">
        <v>3</v>
      </c>
      <c r="O5038">
        <v>3</v>
      </c>
    </row>
    <row r="5039" spans="1:16" x14ac:dyDescent="0.25">
      <c r="A5039" s="4">
        <v>45884</v>
      </c>
      <c r="B5039" t="s">
        <v>10</v>
      </c>
      <c r="C5039">
        <v>1</v>
      </c>
      <c r="F5039">
        <v>303</v>
      </c>
      <c r="J5039">
        <v>0.94299999999999995</v>
      </c>
      <c r="K5039">
        <v>34.799999999999997</v>
      </c>
      <c r="L5039">
        <v>36.9</v>
      </c>
      <c r="M5039">
        <v>233</v>
      </c>
      <c r="N5039">
        <v>16</v>
      </c>
      <c r="O5039">
        <v>7</v>
      </c>
      <c r="P5039">
        <v>2</v>
      </c>
    </row>
    <row r="5040" spans="1:16" x14ac:dyDescent="0.25">
      <c r="A5040" s="4">
        <v>45884</v>
      </c>
      <c r="B5040" t="s">
        <v>9</v>
      </c>
      <c r="C5040">
        <v>1</v>
      </c>
      <c r="F5040">
        <v>161</v>
      </c>
      <c r="J5040">
        <v>0.48</v>
      </c>
      <c r="K5040">
        <v>18.5</v>
      </c>
      <c r="L5040">
        <v>38.6</v>
      </c>
      <c r="M5040">
        <v>127</v>
      </c>
      <c r="N5040">
        <v>13</v>
      </c>
      <c r="O5040">
        <v>2</v>
      </c>
    </row>
    <row r="5041" spans="1:16" x14ac:dyDescent="0.25">
      <c r="A5041" s="4">
        <v>45885</v>
      </c>
      <c r="B5041" t="s">
        <v>10</v>
      </c>
      <c r="C5041">
        <v>1</v>
      </c>
      <c r="F5041">
        <v>146</v>
      </c>
      <c r="J5041">
        <v>1.1240000000000001</v>
      </c>
      <c r="K5041">
        <v>42.9</v>
      </c>
      <c r="L5041">
        <v>38.200000000000003</v>
      </c>
      <c r="M5041">
        <v>101</v>
      </c>
      <c r="N5041">
        <v>12</v>
      </c>
      <c r="O5041">
        <v>6</v>
      </c>
    </row>
    <row r="5042" spans="1:16" x14ac:dyDescent="0.25">
      <c r="A5042" s="4">
        <v>45885</v>
      </c>
      <c r="B5042" t="s">
        <v>9</v>
      </c>
      <c r="C5042">
        <v>1</v>
      </c>
      <c r="F5042">
        <v>50</v>
      </c>
      <c r="J5042">
        <v>0.40300000000000002</v>
      </c>
      <c r="K5042">
        <v>14.7</v>
      </c>
      <c r="L5042">
        <v>36.5</v>
      </c>
      <c r="M5042">
        <v>48</v>
      </c>
      <c r="N5042">
        <v>1</v>
      </c>
    </row>
    <row r="5043" spans="1:16" x14ac:dyDescent="0.25">
      <c r="A5043" s="4">
        <v>45887</v>
      </c>
      <c r="B5043" t="s">
        <v>10</v>
      </c>
      <c r="C5043">
        <v>1</v>
      </c>
      <c r="F5043">
        <v>205</v>
      </c>
      <c r="J5043">
        <v>0.877</v>
      </c>
      <c r="K5043">
        <v>31.1</v>
      </c>
      <c r="L5043">
        <v>35.4</v>
      </c>
      <c r="M5043">
        <v>168</v>
      </c>
      <c r="N5043">
        <v>13</v>
      </c>
      <c r="O5043">
        <v>3</v>
      </c>
    </row>
    <row r="5044" spans="1:16" x14ac:dyDescent="0.25">
      <c r="A5044" s="4">
        <v>45887</v>
      </c>
      <c r="B5044" t="s">
        <v>9</v>
      </c>
      <c r="C5044">
        <v>1</v>
      </c>
      <c r="F5044">
        <v>130</v>
      </c>
      <c r="J5044">
        <v>0.46600000000000003</v>
      </c>
      <c r="K5044">
        <v>18.100000000000001</v>
      </c>
      <c r="L5044">
        <v>38.799999999999997</v>
      </c>
      <c r="M5044">
        <v>105</v>
      </c>
      <c r="N5044">
        <v>10</v>
      </c>
      <c r="O5044">
        <v>1</v>
      </c>
    </row>
    <row r="5045" spans="1:16" x14ac:dyDescent="0.25">
      <c r="A5045" s="4">
        <v>45888</v>
      </c>
      <c r="B5045" t="s">
        <v>10</v>
      </c>
      <c r="C5045">
        <v>1</v>
      </c>
      <c r="F5045">
        <v>372</v>
      </c>
      <c r="J5045">
        <v>1.1359999999999999</v>
      </c>
      <c r="K5045">
        <v>42.8</v>
      </c>
      <c r="L5045">
        <v>37.6</v>
      </c>
      <c r="M5045">
        <v>249</v>
      </c>
      <c r="N5045">
        <v>35</v>
      </c>
      <c r="O5045">
        <v>10</v>
      </c>
      <c r="P5045">
        <v>3</v>
      </c>
    </row>
    <row r="5046" spans="1:16" x14ac:dyDescent="0.25">
      <c r="A5046" s="4">
        <v>45888</v>
      </c>
      <c r="B5046" t="s">
        <v>9</v>
      </c>
      <c r="C5046">
        <v>1</v>
      </c>
      <c r="F5046">
        <v>181</v>
      </c>
      <c r="J5046">
        <v>0.56200000000000006</v>
      </c>
      <c r="K5046">
        <v>20.8</v>
      </c>
      <c r="L5046">
        <v>37</v>
      </c>
      <c r="M5046">
        <v>150</v>
      </c>
      <c r="N5046">
        <v>14</v>
      </c>
      <c r="O5046">
        <v>1</v>
      </c>
    </row>
    <row r="5047" spans="1:16" x14ac:dyDescent="0.25">
      <c r="A5047" s="4">
        <v>45889</v>
      </c>
      <c r="B5047" t="s">
        <v>10</v>
      </c>
      <c r="C5047">
        <v>1</v>
      </c>
      <c r="F5047">
        <v>344</v>
      </c>
      <c r="J5047">
        <v>1.1679999999999999</v>
      </c>
      <c r="K5047">
        <v>40</v>
      </c>
      <c r="L5047">
        <v>34.299999999999997</v>
      </c>
      <c r="M5047">
        <v>272</v>
      </c>
      <c r="N5047">
        <v>28</v>
      </c>
      <c r="O5047">
        <v>5</v>
      </c>
    </row>
    <row r="5048" spans="1:16" x14ac:dyDescent="0.25">
      <c r="A5048" s="4">
        <v>45889</v>
      </c>
      <c r="B5048" t="s">
        <v>9</v>
      </c>
      <c r="C5048">
        <v>1</v>
      </c>
      <c r="F5048">
        <v>178</v>
      </c>
      <c r="J5048">
        <v>0.55900000000000005</v>
      </c>
      <c r="K5048">
        <v>20.7</v>
      </c>
      <c r="L5048">
        <v>37</v>
      </c>
      <c r="M5048">
        <v>154</v>
      </c>
      <c r="N5048">
        <v>6</v>
      </c>
      <c r="O5048">
        <v>3</v>
      </c>
    </row>
    <row r="5049" spans="1:16" x14ac:dyDescent="0.25">
      <c r="A5049" s="4">
        <v>45890</v>
      </c>
      <c r="B5049" t="s">
        <v>10</v>
      </c>
      <c r="C5049">
        <v>1</v>
      </c>
      <c r="F5049">
        <v>344</v>
      </c>
      <c r="J5049">
        <v>1.036</v>
      </c>
      <c r="K5049">
        <v>40</v>
      </c>
      <c r="L5049">
        <v>38.6</v>
      </c>
      <c r="M5049">
        <v>222</v>
      </c>
      <c r="N5049">
        <v>26</v>
      </c>
      <c r="O5049">
        <v>16</v>
      </c>
      <c r="P5049">
        <v>2</v>
      </c>
    </row>
    <row r="5050" spans="1:16" x14ac:dyDescent="0.25">
      <c r="A5050" s="4">
        <v>45890</v>
      </c>
      <c r="B5050" t="s">
        <v>9</v>
      </c>
      <c r="C5050">
        <v>1</v>
      </c>
      <c r="F5050">
        <v>167</v>
      </c>
      <c r="J5050">
        <v>0.503</v>
      </c>
      <c r="K5050">
        <v>19.399999999999999</v>
      </c>
      <c r="L5050">
        <v>38.6</v>
      </c>
      <c r="M5050">
        <v>138</v>
      </c>
      <c r="N5050">
        <v>8</v>
      </c>
      <c r="O5050">
        <v>4</v>
      </c>
    </row>
    <row r="5051" spans="1:16" x14ac:dyDescent="0.25">
      <c r="A5051" s="4">
        <v>45891</v>
      </c>
      <c r="B5051" t="s">
        <v>10</v>
      </c>
      <c r="C5051">
        <v>1</v>
      </c>
      <c r="F5051">
        <v>355</v>
      </c>
      <c r="J5051">
        <v>1.125</v>
      </c>
      <c r="K5051">
        <v>41.3</v>
      </c>
      <c r="L5051">
        <v>36.700000000000003</v>
      </c>
      <c r="M5051">
        <v>244</v>
      </c>
      <c r="N5051">
        <v>35</v>
      </c>
      <c r="O5051">
        <v>10</v>
      </c>
      <c r="P5051">
        <v>1</v>
      </c>
    </row>
    <row r="5052" spans="1:16" x14ac:dyDescent="0.25">
      <c r="A5052" s="4">
        <v>45891</v>
      </c>
      <c r="B5052" t="s">
        <v>9</v>
      </c>
      <c r="C5052">
        <v>1</v>
      </c>
      <c r="F5052">
        <v>176</v>
      </c>
      <c r="J5052">
        <v>0.51400000000000001</v>
      </c>
      <c r="K5052">
        <v>20.5</v>
      </c>
      <c r="L5052">
        <v>39.799999999999997</v>
      </c>
      <c r="M5052">
        <v>139</v>
      </c>
      <c r="N5052">
        <v>14</v>
      </c>
      <c r="O5052">
        <v>3</v>
      </c>
    </row>
    <row r="5053" spans="1:16" x14ac:dyDescent="0.25">
      <c r="A5053" s="4">
        <v>45892</v>
      </c>
      <c r="B5053" t="s">
        <v>10</v>
      </c>
      <c r="C5053">
        <v>1</v>
      </c>
      <c r="F5053">
        <v>231</v>
      </c>
      <c r="J5053">
        <v>1.179</v>
      </c>
      <c r="K5053">
        <v>42</v>
      </c>
      <c r="L5053">
        <v>35.6</v>
      </c>
      <c r="M5053">
        <v>218</v>
      </c>
      <c r="N5053">
        <v>5</v>
      </c>
      <c r="O5053">
        <v>1</v>
      </c>
    </row>
    <row r="5054" spans="1:16" x14ac:dyDescent="0.25">
      <c r="A5054" s="4">
        <v>45892</v>
      </c>
      <c r="B5054" t="s">
        <v>9</v>
      </c>
      <c r="C5054">
        <v>1</v>
      </c>
      <c r="F5054">
        <v>122</v>
      </c>
      <c r="J5054">
        <v>0.61599999999999999</v>
      </c>
      <c r="K5054">
        <v>23.5</v>
      </c>
      <c r="L5054">
        <v>38.1</v>
      </c>
      <c r="M5054">
        <v>112</v>
      </c>
      <c r="N5054">
        <v>5</v>
      </c>
    </row>
    <row r="5055" spans="1:16" x14ac:dyDescent="0.25">
      <c r="A5055" s="4">
        <v>45894</v>
      </c>
      <c r="B5055" t="s">
        <v>10</v>
      </c>
      <c r="C5055">
        <v>1</v>
      </c>
      <c r="F5055">
        <v>281</v>
      </c>
      <c r="J5055">
        <v>1.2130000000000001</v>
      </c>
      <c r="K5055">
        <v>41.9</v>
      </c>
      <c r="L5055">
        <v>34.6</v>
      </c>
      <c r="M5055">
        <v>225</v>
      </c>
      <c r="N5055">
        <v>21</v>
      </c>
      <c r="O5055">
        <v>2</v>
      </c>
      <c r="P5055">
        <v>1</v>
      </c>
    </row>
    <row r="5056" spans="1:16" x14ac:dyDescent="0.25">
      <c r="A5056" s="4">
        <v>45894</v>
      </c>
      <c r="B5056" t="s">
        <v>9</v>
      </c>
      <c r="C5056">
        <v>1</v>
      </c>
      <c r="F5056">
        <v>170</v>
      </c>
      <c r="J5056">
        <v>0.66</v>
      </c>
      <c r="K5056">
        <v>25.4</v>
      </c>
      <c r="L5056">
        <v>38.4</v>
      </c>
      <c r="M5056">
        <v>158</v>
      </c>
      <c r="N5056">
        <v>6</v>
      </c>
    </row>
    <row r="5057" spans="1:16" x14ac:dyDescent="0.25">
      <c r="A5057" s="4">
        <v>45895</v>
      </c>
      <c r="B5057" t="s">
        <v>10</v>
      </c>
      <c r="C5057">
        <v>1</v>
      </c>
      <c r="F5057">
        <v>315</v>
      </c>
      <c r="J5057">
        <v>1.333</v>
      </c>
      <c r="K5057">
        <v>47</v>
      </c>
      <c r="L5057">
        <v>35.299999999999997</v>
      </c>
      <c r="M5057">
        <v>236</v>
      </c>
      <c r="N5057">
        <v>26</v>
      </c>
      <c r="O5057">
        <v>8</v>
      </c>
    </row>
    <row r="5058" spans="1:16" x14ac:dyDescent="0.25">
      <c r="A5058" s="4">
        <v>45895</v>
      </c>
      <c r="B5058" t="s">
        <v>9</v>
      </c>
      <c r="C5058">
        <v>1</v>
      </c>
      <c r="F5058">
        <v>152</v>
      </c>
      <c r="J5058">
        <v>0.58799999999999997</v>
      </c>
      <c r="K5058">
        <v>22.7</v>
      </c>
      <c r="L5058">
        <v>38.6</v>
      </c>
      <c r="M5058">
        <v>127</v>
      </c>
      <c r="N5058">
        <v>8</v>
      </c>
      <c r="O5058">
        <v>3</v>
      </c>
    </row>
    <row r="5059" spans="1:16" x14ac:dyDescent="0.25">
      <c r="A5059" s="4">
        <v>45896</v>
      </c>
      <c r="B5059" t="s">
        <v>10</v>
      </c>
      <c r="C5059">
        <v>1</v>
      </c>
      <c r="F5059">
        <v>333</v>
      </c>
      <c r="J5059">
        <v>1.3859999999999999</v>
      </c>
      <c r="K5059">
        <v>49</v>
      </c>
      <c r="L5059">
        <v>35.4</v>
      </c>
      <c r="M5059">
        <v>254</v>
      </c>
      <c r="N5059">
        <v>16</v>
      </c>
      <c r="O5059">
        <v>10</v>
      </c>
      <c r="P5059">
        <v>2</v>
      </c>
    </row>
    <row r="5060" spans="1:16" x14ac:dyDescent="0.25">
      <c r="A5060" s="4">
        <v>45896</v>
      </c>
      <c r="B5060" t="s">
        <v>9</v>
      </c>
      <c r="C5060">
        <v>1</v>
      </c>
      <c r="F5060">
        <v>119</v>
      </c>
      <c r="J5060">
        <v>0.47399999999999998</v>
      </c>
      <c r="K5060">
        <v>17.5</v>
      </c>
      <c r="L5060">
        <v>36.9</v>
      </c>
      <c r="M5060">
        <v>98</v>
      </c>
      <c r="N5060">
        <v>7</v>
      </c>
      <c r="O5060">
        <v>2</v>
      </c>
    </row>
    <row r="5061" spans="1:16" x14ac:dyDescent="0.25">
      <c r="A5061" s="4">
        <v>45897</v>
      </c>
      <c r="B5061" t="s">
        <v>10</v>
      </c>
      <c r="C5061">
        <v>1</v>
      </c>
      <c r="F5061">
        <v>410</v>
      </c>
      <c r="J5061">
        <v>1.256</v>
      </c>
      <c r="K5061">
        <v>46.1</v>
      </c>
      <c r="L5061">
        <v>36.700000000000003</v>
      </c>
      <c r="M5061">
        <v>296</v>
      </c>
      <c r="N5061">
        <v>35</v>
      </c>
      <c r="O5061">
        <v>11</v>
      </c>
      <c r="P5061">
        <v>1</v>
      </c>
    </row>
    <row r="5062" spans="1:16" x14ac:dyDescent="0.25">
      <c r="A5062" s="4">
        <v>45897</v>
      </c>
      <c r="B5062" t="s">
        <v>9</v>
      </c>
      <c r="C5062">
        <v>1</v>
      </c>
      <c r="F5062">
        <v>157</v>
      </c>
      <c r="J5062">
        <v>0.42399999999999999</v>
      </c>
      <c r="K5062">
        <v>18.100000000000001</v>
      </c>
      <c r="L5062">
        <v>42.6</v>
      </c>
      <c r="M5062">
        <v>96</v>
      </c>
      <c r="N5062">
        <v>9</v>
      </c>
      <c r="O5062">
        <v>2</v>
      </c>
      <c r="P5062">
        <v>3</v>
      </c>
    </row>
    <row r="5063" spans="1:16" x14ac:dyDescent="0.25">
      <c r="A5063" s="4">
        <v>45898</v>
      </c>
      <c r="B5063" t="s">
        <v>10</v>
      </c>
      <c r="C5063">
        <v>1</v>
      </c>
      <c r="F5063">
        <v>326</v>
      </c>
      <c r="J5063">
        <v>1.3979999999999999</v>
      </c>
      <c r="K5063">
        <v>47.9</v>
      </c>
      <c r="L5063">
        <v>34.299999999999997</v>
      </c>
      <c r="M5063">
        <v>265</v>
      </c>
      <c r="N5063">
        <v>26</v>
      </c>
      <c r="O5063">
        <v>3</v>
      </c>
    </row>
    <row r="5064" spans="1:16" x14ac:dyDescent="0.25">
      <c r="A5064" s="4">
        <v>45898</v>
      </c>
      <c r="B5064" t="s">
        <v>9</v>
      </c>
      <c r="C5064">
        <v>1</v>
      </c>
      <c r="F5064">
        <v>138</v>
      </c>
      <c r="J5064">
        <v>0.55700000000000005</v>
      </c>
      <c r="K5064">
        <v>20.3</v>
      </c>
      <c r="L5064">
        <v>36.4</v>
      </c>
      <c r="M5064">
        <v>124</v>
      </c>
      <c r="N5064">
        <v>7</v>
      </c>
    </row>
    <row r="5065" spans="1:16" x14ac:dyDescent="0.25">
      <c r="A5065" s="4">
        <v>45902</v>
      </c>
      <c r="B5065" t="s">
        <v>10</v>
      </c>
      <c r="C5065">
        <v>1</v>
      </c>
      <c r="F5065">
        <v>306</v>
      </c>
      <c r="J5065">
        <v>1.3029999999999999</v>
      </c>
      <c r="K5065">
        <v>46.4</v>
      </c>
      <c r="L5065">
        <v>35.6</v>
      </c>
      <c r="M5065">
        <v>226</v>
      </c>
      <c r="N5065">
        <v>24</v>
      </c>
      <c r="O5065">
        <v>7</v>
      </c>
      <c r="P5065">
        <v>1</v>
      </c>
    </row>
    <row r="5066" spans="1:16" x14ac:dyDescent="0.25">
      <c r="A5066" s="4">
        <v>45902</v>
      </c>
      <c r="B5066" t="s">
        <v>9</v>
      </c>
      <c r="C5066">
        <v>1</v>
      </c>
      <c r="F5066">
        <v>156</v>
      </c>
      <c r="J5066">
        <v>0.628</v>
      </c>
      <c r="K5066">
        <v>23.6</v>
      </c>
      <c r="L5066">
        <v>37.6</v>
      </c>
      <c r="M5066">
        <v>139</v>
      </c>
      <c r="N5066">
        <v>7</v>
      </c>
      <c r="O5066">
        <v>1</v>
      </c>
    </row>
    <row r="5067" spans="1:16" x14ac:dyDescent="0.25">
      <c r="A5067" s="4">
        <v>45903</v>
      </c>
      <c r="B5067" t="s">
        <v>10</v>
      </c>
      <c r="C5067">
        <v>1</v>
      </c>
      <c r="F5067">
        <v>327</v>
      </c>
      <c r="J5067">
        <v>1.3440000000000001</v>
      </c>
      <c r="K5067">
        <v>48.8</v>
      </c>
      <c r="L5067">
        <v>36.299999999999997</v>
      </c>
      <c r="M5067">
        <v>229</v>
      </c>
      <c r="N5067">
        <v>32</v>
      </c>
      <c r="O5067">
        <v>10</v>
      </c>
    </row>
    <row r="5068" spans="1:16" x14ac:dyDescent="0.25">
      <c r="A5068" s="4">
        <v>45903</v>
      </c>
      <c r="B5068" t="s">
        <v>9</v>
      </c>
      <c r="C5068">
        <v>1</v>
      </c>
      <c r="F5068">
        <v>168</v>
      </c>
      <c r="J5068">
        <v>0.67100000000000004</v>
      </c>
      <c r="K5068">
        <v>25.1</v>
      </c>
      <c r="L5068">
        <v>37.4</v>
      </c>
      <c r="M5068">
        <v>142</v>
      </c>
      <c r="N5068">
        <v>8</v>
      </c>
      <c r="O5068">
        <v>3</v>
      </c>
    </row>
    <row r="5069" spans="1:16" x14ac:dyDescent="0.25">
      <c r="A5069" s="4">
        <v>45904</v>
      </c>
      <c r="B5069" t="s">
        <v>10</v>
      </c>
      <c r="C5069">
        <v>1</v>
      </c>
      <c r="F5069">
        <v>379</v>
      </c>
      <c r="J5069">
        <v>1.234</v>
      </c>
      <c r="K5069">
        <v>43.6</v>
      </c>
      <c r="L5069">
        <v>35.299999999999997</v>
      </c>
      <c r="M5069">
        <v>288</v>
      </c>
      <c r="N5069">
        <v>28</v>
      </c>
      <c r="O5069">
        <v>8</v>
      </c>
      <c r="P5069">
        <v>1</v>
      </c>
    </row>
    <row r="5070" spans="1:16" x14ac:dyDescent="0.25">
      <c r="A5070" s="4">
        <v>45904</v>
      </c>
      <c r="B5070" t="s">
        <v>9</v>
      </c>
      <c r="C5070">
        <v>1</v>
      </c>
      <c r="F5070">
        <v>185</v>
      </c>
      <c r="J5070">
        <v>0.53800000000000003</v>
      </c>
      <c r="K5070">
        <v>21.3</v>
      </c>
      <c r="L5070">
        <v>39.6</v>
      </c>
      <c r="M5070">
        <v>147</v>
      </c>
      <c r="N5070">
        <v>15</v>
      </c>
      <c r="O5070">
        <v>2</v>
      </c>
    </row>
    <row r="5071" spans="1:16" x14ac:dyDescent="0.25">
      <c r="A5071" s="4">
        <v>45905</v>
      </c>
      <c r="B5071" t="s">
        <v>10</v>
      </c>
      <c r="C5071">
        <v>1</v>
      </c>
      <c r="F5071">
        <v>322</v>
      </c>
      <c r="J5071">
        <v>1.3280000000000001</v>
      </c>
      <c r="K5071">
        <v>47.4</v>
      </c>
      <c r="L5071">
        <v>35.700000000000003</v>
      </c>
      <c r="M5071">
        <v>255</v>
      </c>
      <c r="N5071">
        <v>22</v>
      </c>
      <c r="O5071">
        <v>3</v>
      </c>
      <c r="P5071">
        <v>1</v>
      </c>
    </row>
    <row r="5072" spans="1:16" x14ac:dyDescent="0.25">
      <c r="A5072" s="4">
        <v>45905</v>
      </c>
      <c r="B5072" t="s">
        <v>9</v>
      </c>
      <c r="C5072">
        <v>1</v>
      </c>
      <c r="F5072">
        <v>123</v>
      </c>
      <c r="J5072">
        <v>0.46200000000000002</v>
      </c>
      <c r="K5072">
        <v>18.100000000000001</v>
      </c>
      <c r="L5072">
        <v>39.200000000000003</v>
      </c>
      <c r="M5072">
        <v>104</v>
      </c>
      <c r="N5072">
        <v>5</v>
      </c>
      <c r="O5072">
        <v>3</v>
      </c>
    </row>
    <row r="5073" spans="1:16" x14ac:dyDescent="0.25">
      <c r="A5073" s="4">
        <v>45908</v>
      </c>
      <c r="B5073" t="s">
        <v>10</v>
      </c>
      <c r="C5073">
        <v>1</v>
      </c>
      <c r="F5073">
        <v>320</v>
      </c>
      <c r="J5073">
        <v>1.319</v>
      </c>
      <c r="K5073">
        <v>47.1</v>
      </c>
      <c r="L5073">
        <v>35.700000000000003</v>
      </c>
      <c r="M5073">
        <v>232</v>
      </c>
      <c r="N5073">
        <v>31</v>
      </c>
      <c r="O5073">
        <v>8</v>
      </c>
    </row>
    <row r="5074" spans="1:16" x14ac:dyDescent="0.25">
      <c r="A5074" s="4">
        <v>45908</v>
      </c>
      <c r="B5074" t="s">
        <v>9</v>
      </c>
      <c r="C5074">
        <v>1</v>
      </c>
      <c r="F5074">
        <v>147</v>
      </c>
      <c r="J5074">
        <v>0.55700000000000005</v>
      </c>
      <c r="K5074">
        <v>21.6</v>
      </c>
      <c r="L5074">
        <v>38.799999999999997</v>
      </c>
      <c r="M5074">
        <v>105</v>
      </c>
      <c r="N5074">
        <v>14</v>
      </c>
      <c r="O5074">
        <v>4</v>
      </c>
    </row>
    <row r="5075" spans="1:16" x14ac:dyDescent="0.25">
      <c r="A5075" s="4">
        <v>45909</v>
      </c>
      <c r="B5075" t="s">
        <v>10</v>
      </c>
      <c r="C5075">
        <v>1</v>
      </c>
      <c r="F5075">
        <v>310</v>
      </c>
      <c r="J5075">
        <v>1.282</v>
      </c>
      <c r="K5075">
        <v>46.3</v>
      </c>
      <c r="L5075">
        <v>36.1</v>
      </c>
      <c r="M5075">
        <v>243</v>
      </c>
      <c r="N5075">
        <v>18</v>
      </c>
      <c r="O5075">
        <v>5</v>
      </c>
      <c r="P5075">
        <v>2</v>
      </c>
    </row>
    <row r="5076" spans="1:16" x14ac:dyDescent="0.25">
      <c r="A5076" s="4">
        <v>45909</v>
      </c>
      <c r="B5076" t="s">
        <v>9</v>
      </c>
      <c r="C5076">
        <v>1</v>
      </c>
      <c r="F5076">
        <v>157</v>
      </c>
      <c r="J5076">
        <v>0.61299999999999999</v>
      </c>
      <c r="K5076">
        <v>23.4</v>
      </c>
      <c r="L5076">
        <v>38.200000000000003</v>
      </c>
      <c r="M5076">
        <v>121</v>
      </c>
      <c r="N5076">
        <v>13</v>
      </c>
      <c r="O5076">
        <v>3</v>
      </c>
    </row>
    <row r="5077" spans="1:16" x14ac:dyDescent="0.25">
      <c r="A5077" s="4">
        <v>45910</v>
      </c>
      <c r="B5077" t="s">
        <v>10</v>
      </c>
      <c r="C5077">
        <v>1</v>
      </c>
      <c r="F5077">
        <v>397</v>
      </c>
      <c r="J5077">
        <v>1.2350000000000001</v>
      </c>
      <c r="K5077">
        <v>45.6</v>
      </c>
      <c r="L5077">
        <v>36.9</v>
      </c>
      <c r="M5077">
        <v>290</v>
      </c>
      <c r="N5077">
        <v>35</v>
      </c>
      <c r="O5077">
        <v>8</v>
      </c>
      <c r="P5077">
        <v>1</v>
      </c>
    </row>
    <row r="5078" spans="1:16" x14ac:dyDescent="0.25">
      <c r="A5078" s="4">
        <v>45910</v>
      </c>
      <c r="B5078" t="s">
        <v>9</v>
      </c>
      <c r="C5078">
        <v>1</v>
      </c>
      <c r="F5078">
        <v>199</v>
      </c>
      <c r="J5078">
        <v>0.61299999999999999</v>
      </c>
      <c r="K5078">
        <v>22.9</v>
      </c>
      <c r="L5078">
        <v>37.299999999999997</v>
      </c>
      <c r="M5078">
        <v>159</v>
      </c>
      <c r="N5078">
        <v>10</v>
      </c>
      <c r="O5078">
        <v>6</v>
      </c>
    </row>
    <row r="5079" spans="1:16" x14ac:dyDescent="0.25">
      <c r="A5079" s="4">
        <v>45911</v>
      </c>
      <c r="B5079" t="s">
        <v>10</v>
      </c>
      <c r="C5079">
        <v>1</v>
      </c>
      <c r="F5079">
        <v>340</v>
      </c>
      <c r="J5079">
        <v>1.2849999999999999</v>
      </c>
      <c r="K5079">
        <v>49.3</v>
      </c>
      <c r="L5079">
        <v>38.299999999999997</v>
      </c>
      <c r="M5079">
        <v>225</v>
      </c>
      <c r="N5079">
        <v>26</v>
      </c>
      <c r="O5079">
        <v>12</v>
      </c>
      <c r="P5079">
        <v>3</v>
      </c>
    </row>
    <row r="5080" spans="1:16" x14ac:dyDescent="0.25">
      <c r="A5080" s="4">
        <v>45911</v>
      </c>
      <c r="B5080" t="s">
        <v>9</v>
      </c>
      <c r="C5080">
        <v>1</v>
      </c>
      <c r="F5080">
        <v>141</v>
      </c>
      <c r="J5080">
        <v>0.53500000000000003</v>
      </c>
      <c r="K5080">
        <v>20.399999999999999</v>
      </c>
      <c r="L5080">
        <v>38.200000000000003</v>
      </c>
      <c r="M5080">
        <v>99</v>
      </c>
      <c r="N5080">
        <v>21</v>
      </c>
    </row>
    <row r="5081" spans="1:16" x14ac:dyDescent="0.25">
      <c r="A5081" s="4">
        <v>45912</v>
      </c>
      <c r="B5081" t="s">
        <v>10</v>
      </c>
      <c r="C5081">
        <v>1</v>
      </c>
      <c r="F5081">
        <v>326</v>
      </c>
      <c r="J5081">
        <v>1.351</v>
      </c>
      <c r="K5081">
        <v>47.9</v>
      </c>
      <c r="L5081">
        <v>35.5</v>
      </c>
      <c r="M5081">
        <v>256</v>
      </c>
      <c r="N5081">
        <v>14</v>
      </c>
      <c r="O5081">
        <v>8</v>
      </c>
      <c r="P5081">
        <v>2</v>
      </c>
    </row>
    <row r="5082" spans="1:16" x14ac:dyDescent="0.25">
      <c r="A5082" s="4">
        <v>45912</v>
      </c>
      <c r="B5082" t="s">
        <v>9</v>
      </c>
      <c r="C5082">
        <v>1</v>
      </c>
      <c r="F5082">
        <v>133</v>
      </c>
      <c r="J5082">
        <v>0.50800000000000001</v>
      </c>
      <c r="K5082">
        <v>19.600000000000001</v>
      </c>
      <c r="L5082">
        <v>38.5</v>
      </c>
      <c r="M5082">
        <v>112</v>
      </c>
      <c r="N5082">
        <v>4</v>
      </c>
      <c r="O5082">
        <v>4</v>
      </c>
    </row>
    <row r="5083" spans="1:16" x14ac:dyDescent="0.25">
      <c r="A5083" s="4">
        <v>45915</v>
      </c>
      <c r="B5083" t="s">
        <v>10</v>
      </c>
      <c r="C5083">
        <v>1</v>
      </c>
      <c r="F5083">
        <v>423</v>
      </c>
      <c r="J5083">
        <v>1.2749999999999999</v>
      </c>
      <c r="K5083">
        <v>48.6</v>
      </c>
      <c r="L5083">
        <v>38.1</v>
      </c>
      <c r="M5083">
        <v>275</v>
      </c>
      <c r="N5083">
        <v>44</v>
      </c>
      <c r="O5083">
        <v>8</v>
      </c>
      <c r="P5083">
        <v>5</v>
      </c>
    </row>
    <row r="5084" spans="1:16" x14ac:dyDescent="0.25">
      <c r="A5084" s="4">
        <v>45915</v>
      </c>
      <c r="B5084" t="s">
        <v>9</v>
      </c>
      <c r="C5084">
        <v>1</v>
      </c>
      <c r="F5084">
        <v>187</v>
      </c>
      <c r="J5084">
        <v>0.57299999999999995</v>
      </c>
      <c r="K5084">
        <v>21.5</v>
      </c>
      <c r="L5084">
        <v>37.5</v>
      </c>
      <c r="M5084">
        <v>157</v>
      </c>
      <c r="N5084">
        <v>10</v>
      </c>
      <c r="O5084">
        <v>3</v>
      </c>
    </row>
    <row r="5085" spans="1:16" x14ac:dyDescent="0.25">
      <c r="A5085" s="4">
        <v>45916</v>
      </c>
      <c r="B5085" t="s">
        <v>10</v>
      </c>
      <c r="C5085">
        <v>1</v>
      </c>
      <c r="F5085">
        <v>372</v>
      </c>
      <c r="J5085">
        <v>1.1870000000000001</v>
      </c>
      <c r="K5085">
        <v>42.8</v>
      </c>
      <c r="L5085">
        <v>36</v>
      </c>
      <c r="M5085">
        <v>288</v>
      </c>
      <c r="N5085">
        <v>33</v>
      </c>
      <c r="O5085">
        <v>4</v>
      </c>
      <c r="P5085">
        <v>1</v>
      </c>
    </row>
    <row r="5086" spans="1:16" x14ac:dyDescent="0.25">
      <c r="A5086" s="4">
        <v>45916</v>
      </c>
      <c r="B5086" t="s">
        <v>9</v>
      </c>
      <c r="C5086">
        <v>1</v>
      </c>
      <c r="F5086">
        <v>181</v>
      </c>
      <c r="J5086">
        <v>0.59199999999999997</v>
      </c>
      <c r="K5086">
        <v>20.8</v>
      </c>
      <c r="L5086">
        <v>35.200000000000003</v>
      </c>
      <c r="M5086">
        <v>166</v>
      </c>
      <c r="N5086">
        <v>4</v>
      </c>
      <c r="O5086">
        <v>1</v>
      </c>
    </row>
    <row r="5087" spans="1:16" x14ac:dyDescent="0.25">
      <c r="A5087" s="4">
        <v>45917</v>
      </c>
      <c r="B5087" t="s">
        <v>10</v>
      </c>
      <c r="C5087">
        <v>1</v>
      </c>
      <c r="F5087">
        <v>310</v>
      </c>
      <c r="J5087">
        <v>1.292</v>
      </c>
      <c r="K5087">
        <v>45.6</v>
      </c>
      <c r="L5087">
        <v>35.299999999999997</v>
      </c>
      <c r="M5087">
        <v>248</v>
      </c>
      <c r="N5087">
        <v>25</v>
      </c>
      <c r="O5087">
        <v>3</v>
      </c>
    </row>
    <row r="5088" spans="1:16" x14ac:dyDescent="0.25">
      <c r="A5088" s="4">
        <v>45917</v>
      </c>
      <c r="B5088" t="s">
        <v>9</v>
      </c>
      <c r="C5088">
        <v>1</v>
      </c>
      <c r="F5088">
        <v>110</v>
      </c>
      <c r="J5088">
        <v>0.44700000000000001</v>
      </c>
      <c r="K5088">
        <v>16.2</v>
      </c>
      <c r="L5088">
        <v>36.200000000000003</v>
      </c>
      <c r="M5088">
        <v>101</v>
      </c>
      <c r="N5088">
        <v>3</v>
      </c>
      <c r="O5088">
        <v>1</v>
      </c>
    </row>
    <row r="5089" spans="1:16" x14ac:dyDescent="0.25">
      <c r="A5089" s="4">
        <v>45918</v>
      </c>
      <c r="B5089" t="s">
        <v>10</v>
      </c>
      <c r="C5089">
        <v>1</v>
      </c>
      <c r="F5089">
        <v>331</v>
      </c>
      <c r="J5089">
        <v>1.125</v>
      </c>
      <c r="K5089">
        <v>39.4</v>
      </c>
      <c r="L5089">
        <v>35</v>
      </c>
      <c r="M5089">
        <v>263</v>
      </c>
      <c r="N5089">
        <v>32</v>
      </c>
      <c r="O5089">
        <v>1</v>
      </c>
    </row>
    <row r="5090" spans="1:16" x14ac:dyDescent="0.25">
      <c r="A5090" s="4">
        <v>45918</v>
      </c>
      <c r="B5090" t="s">
        <v>9</v>
      </c>
      <c r="C5090">
        <v>1</v>
      </c>
      <c r="F5090">
        <v>151</v>
      </c>
      <c r="J5090">
        <v>0.53</v>
      </c>
      <c r="K5090">
        <v>18.899999999999999</v>
      </c>
      <c r="L5090">
        <v>35.700000000000003</v>
      </c>
      <c r="M5090">
        <v>144</v>
      </c>
      <c r="N5090">
        <v>6</v>
      </c>
      <c r="O5090">
        <v>1</v>
      </c>
    </row>
    <row r="5091" spans="1:16" x14ac:dyDescent="0.25">
      <c r="A5091" s="4">
        <v>45919</v>
      </c>
      <c r="B5091" t="s">
        <v>10</v>
      </c>
      <c r="C5091">
        <v>1</v>
      </c>
      <c r="F5091">
        <v>317</v>
      </c>
      <c r="J5091">
        <v>1.2689999999999999</v>
      </c>
      <c r="K5091">
        <v>46.6</v>
      </c>
      <c r="L5091">
        <v>36.700000000000003</v>
      </c>
      <c r="M5091">
        <v>225</v>
      </c>
      <c r="N5091">
        <v>25</v>
      </c>
      <c r="O5091">
        <v>10</v>
      </c>
      <c r="P5091">
        <v>1</v>
      </c>
    </row>
    <row r="5092" spans="1:16" x14ac:dyDescent="0.25">
      <c r="A5092" s="4">
        <v>45919</v>
      </c>
      <c r="B5092" t="s">
        <v>9</v>
      </c>
      <c r="C5092">
        <v>1</v>
      </c>
      <c r="F5092">
        <v>85</v>
      </c>
      <c r="J5092">
        <v>0.32200000000000001</v>
      </c>
      <c r="K5092">
        <v>12.5</v>
      </c>
      <c r="L5092">
        <v>38.799999999999997</v>
      </c>
      <c r="M5092">
        <v>65</v>
      </c>
      <c r="N5092">
        <v>4</v>
      </c>
      <c r="O5092">
        <v>4</v>
      </c>
    </row>
    <row r="5093" spans="1:16" x14ac:dyDescent="0.25">
      <c r="A5093" s="4">
        <v>45922</v>
      </c>
      <c r="B5093" t="s">
        <v>10</v>
      </c>
      <c r="C5093">
        <v>1</v>
      </c>
      <c r="F5093">
        <v>402</v>
      </c>
      <c r="J5093">
        <v>1.2809999999999999</v>
      </c>
      <c r="K5093">
        <v>47.29</v>
      </c>
      <c r="L5093">
        <v>36.9</v>
      </c>
      <c r="M5093">
        <v>295</v>
      </c>
      <c r="N5093">
        <v>33</v>
      </c>
      <c r="O5093">
        <v>12</v>
      </c>
    </row>
    <row r="5094" spans="1:16" x14ac:dyDescent="0.25">
      <c r="A5094" s="4">
        <v>45922</v>
      </c>
      <c r="B5094" t="s">
        <v>9</v>
      </c>
      <c r="C5094">
        <v>1</v>
      </c>
      <c r="F5094">
        <v>131</v>
      </c>
      <c r="J5094">
        <v>0.495</v>
      </c>
      <c r="K5094">
        <v>19.3</v>
      </c>
      <c r="L5094">
        <v>38.9</v>
      </c>
      <c r="M5094">
        <v>109</v>
      </c>
      <c r="N5094">
        <v>8</v>
      </c>
      <c r="O5094">
        <v>2</v>
      </c>
    </row>
    <row r="5095" spans="1:16" x14ac:dyDescent="0.25">
      <c r="A5095" s="4">
        <v>45923</v>
      </c>
      <c r="B5095" t="s">
        <v>10</v>
      </c>
      <c r="C5095">
        <v>1</v>
      </c>
      <c r="F5095">
        <v>365</v>
      </c>
      <c r="J5095">
        <v>1.1220000000000001</v>
      </c>
      <c r="K5095">
        <v>44.5</v>
      </c>
      <c r="L5095">
        <v>36.4</v>
      </c>
      <c r="M5095">
        <v>272</v>
      </c>
      <c r="N5095">
        <v>32</v>
      </c>
      <c r="O5095">
        <v>5</v>
      </c>
      <c r="P5095">
        <v>3</v>
      </c>
    </row>
    <row r="5096" spans="1:16" x14ac:dyDescent="0.25">
      <c r="A5096" s="4">
        <v>45923</v>
      </c>
      <c r="B5096" t="s">
        <v>9</v>
      </c>
      <c r="C5096">
        <v>1</v>
      </c>
      <c r="F5096">
        <v>102</v>
      </c>
      <c r="J5096">
        <v>0.33</v>
      </c>
      <c r="K5096">
        <v>12.4</v>
      </c>
      <c r="L5096">
        <v>37.700000000000003</v>
      </c>
      <c r="M5096">
        <v>60</v>
      </c>
      <c r="N5096">
        <v>16</v>
      </c>
      <c r="O5096">
        <v>3</v>
      </c>
    </row>
    <row r="5097" spans="1:16" x14ac:dyDescent="0.25">
      <c r="A5097" s="4">
        <v>45924</v>
      </c>
      <c r="B5097" t="s">
        <v>10</v>
      </c>
      <c r="C5097">
        <v>1</v>
      </c>
      <c r="F5097">
        <v>415</v>
      </c>
      <c r="J5097">
        <v>1.3380000000000001</v>
      </c>
      <c r="K5097">
        <v>48.8</v>
      </c>
      <c r="L5097">
        <v>36.5</v>
      </c>
      <c r="M5097">
        <v>298</v>
      </c>
      <c r="N5097">
        <v>25</v>
      </c>
      <c r="O5097">
        <v>14</v>
      </c>
      <c r="P5097">
        <v>2</v>
      </c>
    </row>
    <row r="5098" spans="1:16" x14ac:dyDescent="0.25">
      <c r="A5098" s="4">
        <v>45924</v>
      </c>
      <c r="B5098" t="s">
        <v>9</v>
      </c>
      <c r="C5098">
        <v>1</v>
      </c>
      <c r="F5098">
        <v>143</v>
      </c>
      <c r="J5098">
        <v>0.42899999999999999</v>
      </c>
      <c r="K5098">
        <v>16.8</v>
      </c>
      <c r="L5098">
        <v>39.22</v>
      </c>
      <c r="M5098">
        <v>113</v>
      </c>
      <c r="N5098">
        <v>12</v>
      </c>
      <c r="O5098">
        <v>2</v>
      </c>
    </row>
    <row r="5099" spans="1:16" x14ac:dyDescent="0.25">
      <c r="A5099" s="4">
        <v>45925</v>
      </c>
      <c r="B5099" t="s">
        <v>10</v>
      </c>
      <c r="C5099">
        <v>1</v>
      </c>
      <c r="F5099">
        <v>338</v>
      </c>
      <c r="J5099">
        <v>1.1120000000000001</v>
      </c>
      <c r="K5099">
        <v>40.200000000000003</v>
      </c>
      <c r="L5099">
        <v>36.200000000000003</v>
      </c>
      <c r="M5099">
        <v>243</v>
      </c>
      <c r="N5099">
        <v>32</v>
      </c>
      <c r="O5099">
        <v>6</v>
      </c>
      <c r="P5099">
        <v>1</v>
      </c>
    </row>
    <row r="5100" spans="1:16" x14ac:dyDescent="0.25">
      <c r="A5100" s="4">
        <v>45925</v>
      </c>
      <c r="B5100" t="s">
        <v>9</v>
      </c>
      <c r="C5100">
        <v>1</v>
      </c>
      <c r="F5100">
        <v>162</v>
      </c>
      <c r="J5100">
        <v>0.502</v>
      </c>
      <c r="K5100">
        <v>19.3</v>
      </c>
      <c r="L5100">
        <v>38.4</v>
      </c>
      <c r="M5100">
        <v>116</v>
      </c>
      <c r="N5100">
        <v>9</v>
      </c>
      <c r="O5100">
        <v>7</v>
      </c>
      <c r="P5100">
        <v>1</v>
      </c>
    </row>
    <row r="5101" spans="1:16" x14ac:dyDescent="0.25">
      <c r="A5101" s="4">
        <v>45926</v>
      </c>
      <c r="B5101" t="s">
        <v>10</v>
      </c>
      <c r="C5101">
        <v>1</v>
      </c>
      <c r="F5101">
        <v>293</v>
      </c>
      <c r="J5101">
        <v>1.103</v>
      </c>
      <c r="K5101">
        <v>40.700000000000003</v>
      </c>
      <c r="L5101">
        <v>36.9</v>
      </c>
      <c r="M5101">
        <v>215</v>
      </c>
      <c r="N5101">
        <v>26</v>
      </c>
      <c r="O5101">
        <v>7</v>
      </c>
    </row>
    <row r="5102" spans="1:16" x14ac:dyDescent="0.25">
      <c r="A5102" s="4">
        <v>45926</v>
      </c>
      <c r="B5102" t="s">
        <v>9</v>
      </c>
      <c r="C5102">
        <v>1</v>
      </c>
      <c r="F5102">
        <v>123</v>
      </c>
      <c r="J5102">
        <v>0.505</v>
      </c>
      <c r="K5102">
        <v>17.100000000000001</v>
      </c>
      <c r="L5102">
        <v>33.799999999999997</v>
      </c>
      <c r="M5102">
        <v>109</v>
      </c>
      <c r="N5102">
        <v>5</v>
      </c>
      <c r="O5102">
        <v>1</v>
      </c>
    </row>
    <row r="5103" spans="1:16" x14ac:dyDescent="0.25">
      <c r="A5103" s="4">
        <v>45929</v>
      </c>
      <c r="B5103" t="s">
        <v>10</v>
      </c>
      <c r="C5103">
        <v>1</v>
      </c>
      <c r="F5103">
        <v>284</v>
      </c>
      <c r="J5103">
        <v>0.90600000000000003</v>
      </c>
      <c r="K5103">
        <v>33.799999999999997</v>
      </c>
      <c r="L5103">
        <v>37.299999999999997</v>
      </c>
      <c r="M5103">
        <v>188</v>
      </c>
      <c r="N5103">
        <v>27</v>
      </c>
      <c r="O5103">
        <v>10</v>
      </c>
      <c r="P5103">
        <v>1</v>
      </c>
    </row>
    <row r="5104" spans="1:16" x14ac:dyDescent="0.25">
      <c r="A5104" s="4">
        <v>45929</v>
      </c>
      <c r="B5104" t="s">
        <v>9</v>
      </c>
      <c r="C5104">
        <v>1</v>
      </c>
      <c r="F5104">
        <v>166</v>
      </c>
      <c r="J5104">
        <v>0.51300000000000001</v>
      </c>
      <c r="K5104">
        <v>19.8</v>
      </c>
      <c r="L5104">
        <v>38.5</v>
      </c>
      <c r="M5104">
        <v>121</v>
      </c>
      <c r="N5104">
        <v>14</v>
      </c>
      <c r="O5104">
        <v>3</v>
      </c>
      <c r="P5104">
        <v>1</v>
      </c>
    </row>
    <row r="5105" spans="1:16" x14ac:dyDescent="0.25">
      <c r="A5105" s="4">
        <v>45930</v>
      </c>
      <c r="B5105" t="s">
        <v>10</v>
      </c>
      <c r="C5105">
        <v>1</v>
      </c>
      <c r="F5105">
        <v>362</v>
      </c>
      <c r="J5105">
        <v>1.2150000000000001</v>
      </c>
      <c r="K5105">
        <v>43.1</v>
      </c>
      <c r="L5105">
        <v>35.5</v>
      </c>
      <c r="M5105">
        <v>283</v>
      </c>
      <c r="N5105">
        <v>31</v>
      </c>
      <c r="O5105">
        <v>5</v>
      </c>
    </row>
    <row r="5106" spans="1:16" x14ac:dyDescent="0.25">
      <c r="A5106" s="4">
        <v>45930</v>
      </c>
      <c r="B5106" t="s">
        <v>9</v>
      </c>
      <c r="C5106">
        <v>1</v>
      </c>
      <c r="F5106">
        <v>160</v>
      </c>
      <c r="J5106">
        <v>0.56200000000000006</v>
      </c>
      <c r="K5106">
        <v>21.6</v>
      </c>
      <c r="L5106">
        <v>38.5</v>
      </c>
      <c r="M5106">
        <v>127</v>
      </c>
      <c r="N5106">
        <v>8</v>
      </c>
      <c r="O5106">
        <v>3</v>
      </c>
      <c r="P5106">
        <v>1</v>
      </c>
    </row>
    <row r="5107" spans="1:16" x14ac:dyDescent="0.25">
      <c r="A5107" s="4">
        <v>45931</v>
      </c>
      <c r="B5107" t="s">
        <v>10</v>
      </c>
      <c r="C5107">
        <v>1</v>
      </c>
      <c r="F5107">
        <v>381</v>
      </c>
      <c r="J5107">
        <v>1.234</v>
      </c>
      <c r="K5107">
        <v>45.4</v>
      </c>
      <c r="L5107">
        <v>36.799999999999997</v>
      </c>
      <c r="M5107">
        <v>270</v>
      </c>
      <c r="N5107">
        <v>30</v>
      </c>
      <c r="O5107">
        <v>14</v>
      </c>
      <c r="P5107">
        <v>1</v>
      </c>
    </row>
    <row r="5108" spans="1:16" x14ac:dyDescent="0.25">
      <c r="A5108" s="4">
        <v>45931</v>
      </c>
      <c r="B5108" t="s">
        <v>9</v>
      </c>
      <c r="C5108">
        <v>1</v>
      </c>
      <c r="F5108">
        <v>178</v>
      </c>
      <c r="J5108">
        <v>0.54</v>
      </c>
      <c r="K5108">
        <v>21.2</v>
      </c>
      <c r="L5108">
        <v>39.299999999999997</v>
      </c>
      <c r="M5108">
        <v>144</v>
      </c>
      <c r="N5108">
        <v>11</v>
      </c>
      <c r="O5108">
        <v>2</v>
      </c>
      <c r="P5108">
        <v>1</v>
      </c>
    </row>
    <row r="5109" spans="1:16" x14ac:dyDescent="0.25">
      <c r="A5109" s="4">
        <v>45932</v>
      </c>
      <c r="B5109" t="s">
        <v>10</v>
      </c>
      <c r="C5109">
        <v>1</v>
      </c>
      <c r="F5109">
        <v>414</v>
      </c>
      <c r="J5109">
        <v>1.357</v>
      </c>
      <c r="K5109">
        <v>48.7</v>
      </c>
      <c r="L5109">
        <v>35.9</v>
      </c>
      <c r="M5109">
        <v>317</v>
      </c>
      <c r="N5109">
        <v>30</v>
      </c>
      <c r="O5109">
        <v>7</v>
      </c>
      <c r="P5109">
        <v>2</v>
      </c>
    </row>
    <row r="5110" spans="1:16" x14ac:dyDescent="0.25">
      <c r="A5110" s="4">
        <v>45932</v>
      </c>
      <c r="B5110" t="s">
        <v>9</v>
      </c>
      <c r="C5110">
        <v>1</v>
      </c>
      <c r="F5110">
        <v>162</v>
      </c>
      <c r="J5110">
        <v>0.48499999999999999</v>
      </c>
      <c r="K5110">
        <v>19.100000000000001</v>
      </c>
      <c r="L5110">
        <v>39.299999999999997</v>
      </c>
      <c r="M5110">
        <v>135</v>
      </c>
      <c r="N5110">
        <v>12</v>
      </c>
      <c r="O5110">
        <v>1</v>
      </c>
    </row>
    <row r="5111" spans="1:16" x14ac:dyDescent="0.25">
      <c r="A5111" s="4">
        <v>45933</v>
      </c>
      <c r="B5111" t="s">
        <v>10</v>
      </c>
      <c r="C5111">
        <v>1</v>
      </c>
      <c r="F5111">
        <v>382</v>
      </c>
      <c r="J5111">
        <v>1.198</v>
      </c>
      <c r="K5111">
        <v>44.9</v>
      </c>
      <c r="L5111">
        <v>37.5</v>
      </c>
      <c r="M5111">
        <v>244</v>
      </c>
      <c r="N5111">
        <v>46</v>
      </c>
      <c r="O5111">
        <v>11</v>
      </c>
      <c r="P5111">
        <v>1</v>
      </c>
    </row>
    <row r="5112" spans="1:16" x14ac:dyDescent="0.25">
      <c r="A5112" s="4">
        <v>45933</v>
      </c>
      <c r="B5112" t="s">
        <v>9</v>
      </c>
      <c r="C5112">
        <v>1</v>
      </c>
      <c r="F5112">
        <v>191</v>
      </c>
      <c r="J5112">
        <v>0.59599999999999997</v>
      </c>
      <c r="K5112">
        <v>22.5</v>
      </c>
      <c r="L5112">
        <v>37.700000000000003</v>
      </c>
      <c r="M5112">
        <v>152</v>
      </c>
      <c r="N5112">
        <v>14</v>
      </c>
      <c r="O5112">
        <v>3</v>
      </c>
    </row>
    <row r="5113" spans="1:16" x14ac:dyDescent="0.25">
      <c r="A5113" s="4">
        <v>45934</v>
      </c>
      <c r="B5113" t="s">
        <v>10</v>
      </c>
      <c r="C5113">
        <v>1</v>
      </c>
      <c r="F5113">
        <v>175</v>
      </c>
      <c r="J5113">
        <v>1.3069999999999999</v>
      </c>
      <c r="K5113">
        <v>47.3</v>
      </c>
      <c r="L5113">
        <v>36.200000000000003</v>
      </c>
      <c r="M5113">
        <v>51</v>
      </c>
      <c r="N5113">
        <v>19</v>
      </c>
    </row>
    <row r="5114" spans="1:16" x14ac:dyDescent="0.25">
      <c r="A5114" s="4">
        <v>45936</v>
      </c>
      <c r="B5114" t="s">
        <v>10</v>
      </c>
      <c r="C5114">
        <v>1</v>
      </c>
      <c r="F5114">
        <v>318</v>
      </c>
      <c r="J5114">
        <v>1.325</v>
      </c>
      <c r="K5114">
        <v>46.7</v>
      </c>
      <c r="L5114">
        <v>35.299999999999997</v>
      </c>
      <c r="M5114">
        <v>245</v>
      </c>
      <c r="N5114">
        <v>20</v>
      </c>
      <c r="O5114">
        <v>7</v>
      </c>
      <c r="P5114">
        <v>1</v>
      </c>
    </row>
    <row r="5115" spans="1:16" x14ac:dyDescent="0.25">
      <c r="A5115" s="4">
        <v>45936</v>
      </c>
      <c r="B5115" t="s">
        <v>9</v>
      </c>
      <c r="C5115">
        <v>1</v>
      </c>
      <c r="F5115">
        <v>143</v>
      </c>
      <c r="J5115">
        <v>0.54100000000000004</v>
      </c>
      <c r="K5115">
        <v>21</v>
      </c>
      <c r="L5115">
        <v>38.799999999999997</v>
      </c>
      <c r="M5115">
        <v>108</v>
      </c>
      <c r="N5115">
        <v>16</v>
      </c>
      <c r="O5115">
        <v>1</v>
      </c>
    </row>
    <row r="5116" spans="1:16" x14ac:dyDescent="0.25">
      <c r="A5116" s="4">
        <v>45937</v>
      </c>
      <c r="B5116" t="s">
        <v>10</v>
      </c>
      <c r="C5116">
        <v>1</v>
      </c>
      <c r="F5116">
        <v>300</v>
      </c>
      <c r="J5116">
        <v>1.1859999999999999</v>
      </c>
      <c r="K5116">
        <v>44.1</v>
      </c>
      <c r="L5116">
        <v>37.200000000000003</v>
      </c>
      <c r="M5116">
        <v>206</v>
      </c>
      <c r="N5116">
        <v>32</v>
      </c>
      <c r="O5116">
        <v>5</v>
      </c>
      <c r="P5116">
        <v>1</v>
      </c>
    </row>
    <row r="5117" spans="1:16" x14ac:dyDescent="0.25">
      <c r="A5117" s="4">
        <v>45937</v>
      </c>
      <c r="B5117" t="s">
        <v>9</v>
      </c>
      <c r="C5117">
        <v>1</v>
      </c>
      <c r="F5117">
        <v>128</v>
      </c>
      <c r="J5117">
        <v>0.497</v>
      </c>
      <c r="K5117">
        <v>18.8</v>
      </c>
      <c r="L5117">
        <v>39.9</v>
      </c>
      <c r="M5117">
        <v>102</v>
      </c>
      <c r="N5117">
        <v>10</v>
      </c>
      <c r="O5117">
        <v>2</v>
      </c>
    </row>
    <row r="5118" spans="1:16" x14ac:dyDescent="0.25">
      <c r="A5118" s="4">
        <v>45938</v>
      </c>
      <c r="B5118" t="s">
        <v>10</v>
      </c>
      <c r="C5118">
        <v>1</v>
      </c>
      <c r="F5118">
        <v>238</v>
      </c>
      <c r="J5118">
        <v>0.81</v>
      </c>
      <c r="K5118">
        <v>28.3</v>
      </c>
      <c r="L5118">
        <v>35</v>
      </c>
      <c r="M5118">
        <v>214</v>
      </c>
      <c r="N5118">
        <v>9</v>
      </c>
      <c r="O5118">
        <v>2</v>
      </c>
    </row>
    <row r="5119" spans="1:16" x14ac:dyDescent="0.25">
      <c r="A5119" s="4">
        <v>45938</v>
      </c>
      <c r="B5119" t="s">
        <v>9</v>
      </c>
      <c r="C5119">
        <v>1</v>
      </c>
      <c r="F5119">
        <v>210</v>
      </c>
      <c r="J5119">
        <v>0.70199999999999996</v>
      </c>
      <c r="K5119">
        <v>25</v>
      </c>
      <c r="L5119">
        <v>35.6</v>
      </c>
      <c r="M5119">
        <v>182</v>
      </c>
      <c r="N5119">
        <v>12</v>
      </c>
      <c r="O5119">
        <v>1</v>
      </c>
    </row>
    <row r="5120" spans="1:16" x14ac:dyDescent="0.25">
      <c r="A5120" s="4">
        <v>45939</v>
      </c>
      <c r="B5120" t="s">
        <v>10</v>
      </c>
      <c r="C5120">
        <v>1</v>
      </c>
      <c r="F5120">
        <v>358</v>
      </c>
      <c r="J5120">
        <v>1.1759999999999999</v>
      </c>
      <c r="K5120">
        <v>42.7</v>
      </c>
      <c r="L5120">
        <v>36.200000000000003</v>
      </c>
      <c r="M5120">
        <v>241</v>
      </c>
      <c r="N5120">
        <v>37</v>
      </c>
      <c r="O5120">
        <v>11</v>
      </c>
      <c r="P5120">
        <v>1</v>
      </c>
    </row>
    <row r="5121" spans="1:16" x14ac:dyDescent="0.25">
      <c r="A5121" s="4">
        <v>45939</v>
      </c>
      <c r="B5121" t="s">
        <v>9</v>
      </c>
      <c r="C5121">
        <v>1</v>
      </c>
      <c r="F5121">
        <v>155</v>
      </c>
      <c r="J5121">
        <v>0.52</v>
      </c>
      <c r="K5121">
        <v>18.5</v>
      </c>
      <c r="L5121">
        <v>35.5</v>
      </c>
      <c r="M5121">
        <v>128</v>
      </c>
      <c r="N5121">
        <v>10</v>
      </c>
      <c r="O5121">
        <v>2</v>
      </c>
    </row>
    <row r="5122" spans="1:16" x14ac:dyDescent="0.25">
      <c r="A5122" s="4">
        <v>45940</v>
      </c>
      <c r="B5122" t="s">
        <v>10</v>
      </c>
      <c r="C5122">
        <v>1</v>
      </c>
      <c r="F5122">
        <v>400</v>
      </c>
      <c r="J5122">
        <v>1.3049999999999999</v>
      </c>
      <c r="K5122">
        <v>47.6</v>
      </c>
      <c r="L5122">
        <v>36.5</v>
      </c>
      <c r="M5122">
        <v>284</v>
      </c>
      <c r="N5122">
        <v>41</v>
      </c>
      <c r="O5122">
        <v>9</v>
      </c>
      <c r="P5122">
        <v>1</v>
      </c>
    </row>
    <row r="5123" spans="1:16" x14ac:dyDescent="0.25">
      <c r="A5123" s="4">
        <v>45940</v>
      </c>
      <c r="B5123" t="s">
        <v>9</v>
      </c>
      <c r="C5123">
        <v>1</v>
      </c>
      <c r="F5123">
        <v>164</v>
      </c>
      <c r="J5123">
        <v>0.52300000000000002</v>
      </c>
      <c r="K5123">
        <v>19.5</v>
      </c>
      <c r="L5123">
        <v>37.299999999999997</v>
      </c>
      <c r="M5123">
        <v>148</v>
      </c>
      <c r="N5123">
        <v>5</v>
      </c>
      <c r="O5123">
        <v>2</v>
      </c>
    </row>
    <row r="5124" spans="1:16" x14ac:dyDescent="0.25">
      <c r="A5124" s="4">
        <v>45943</v>
      </c>
      <c r="B5124" t="s">
        <v>10</v>
      </c>
      <c r="C5124">
        <v>1</v>
      </c>
      <c r="F5124">
        <v>328</v>
      </c>
      <c r="J5124">
        <v>1.333</v>
      </c>
      <c r="K5124">
        <v>49</v>
      </c>
      <c r="L5124">
        <v>36.700000000000003</v>
      </c>
      <c r="M5124">
        <v>240</v>
      </c>
      <c r="N5124">
        <v>22</v>
      </c>
      <c r="O5124">
        <v>10</v>
      </c>
      <c r="P5124">
        <v>1</v>
      </c>
    </row>
    <row r="5125" spans="1:16" x14ac:dyDescent="0.25">
      <c r="A5125" s="4">
        <v>45943</v>
      </c>
      <c r="B5125" t="s">
        <v>9</v>
      </c>
      <c r="C5125">
        <v>1</v>
      </c>
      <c r="F5125">
        <v>125</v>
      </c>
      <c r="J5125">
        <v>0.50900000000000001</v>
      </c>
      <c r="K5125">
        <v>18.7</v>
      </c>
      <c r="L5125">
        <v>36.700000000000003</v>
      </c>
      <c r="M5125">
        <v>109</v>
      </c>
      <c r="N5125">
        <v>8</v>
      </c>
    </row>
    <row r="5126" spans="1:16" x14ac:dyDescent="0.25">
      <c r="A5126" s="4">
        <v>45944</v>
      </c>
      <c r="B5126" t="s">
        <v>10</v>
      </c>
      <c r="C5126">
        <v>1</v>
      </c>
      <c r="F5126">
        <v>319</v>
      </c>
      <c r="J5126">
        <v>1.3049999999999999</v>
      </c>
      <c r="K5126">
        <v>47.6</v>
      </c>
      <c r="L5126">
        <v>36.5</v>
      </c>
      <c r="M5126">
        <v>239</v>
      </c>
      <c r="N5126">
        <v>20</v>
      </c>
      <c r="O5126">
        <v>5</v>
      </c>
      <c r="P5126">
        <v>3</v>
      </c>
    </row>
    <row r="5127" spans="1:16" x14ac:dyDescent="0.25">
      <c r="A5127" s="4">
        <v>45944</v>
      </c>
      <c r="B5127" t="s">
        <v>9</v>
      </c>
      <c r="C5127">
        <v>1</v>
      </c>
      <c r="F5127">
        <v>134</v>
      </c>
      <c r="J5127">
        <v>0.57499999999999996</v>
      </c>
      <c r="K5127">
        <v>20</v>
      </c>
      <c r="L5127">
        <v>34.799999999999997</v>
      </c>
      <c r="M5127">
        <v>124</v>
      </c>
      <c r="N5127">
        <v>5</v>
      </c>
    </row>
    <row r="5128" spans="1:16" x14ac:dyDescent="0.25">
      <c r="A5128" s="4">
        <v>45945</v>
      </c>
      <c r="B5128" t="s">
        <v>10</v>
      </c>
      <c r="C5128">
        <v>1</v>
      </c>
      <c r="F5128">
        <v>326</v>
      </c>
      <c r="J5128">
        <v>1.282</v>
      </c>
      <c r="K5128">
        <v>45.3</v>
      </c>
      <c r="L5128">
        <v>35.299999999999997</v>
      </c>
      <c r="M5128">
        <v>264</v>
      </c>
      <c r="N5128">
        <v>26</v>
      </c>
      <c r="O5128">
        <v>3</v>
      </c>
    </row>
    <row r="5129" spans="1:16" x14ac:dyDescent="0.25">
      <c r="A5129" s="4">
        <v>45945</v>
      </c>
      <c r="B5129" t="s">
        <v>9</v>
      </c>
      <c r="C5129">
        <v>1</v>
      </c>
      <c r="F5129">
        <v>145</v>
      </c>
      <c r="J5129">
        <v>0.57699999999999996</v>
      </c>
      <c r="K5129">
        <v>20.100000000000001</v>
      </c>
      <c r="L5129">
        <v>34.9</v>
      </c>
      <c r="M5129">
        <v>134</v>
      </c>
      <c r="N5129">
        <v>4</v>
      </c>
      <c r="O5129">
        <v>1</v>
      </c>
    </row>
    <row r="5130" spans="1:16" x14ac:dyDescent="0.25">
      <c r="A5130" s="4">
        <v>45946</v>
      </c>
      <c r="B5130" t="s">
        <v>10</v>
      </c>
      <c r="C5130">
        <v>1</v>
      </c>
      <c r="F5130">
        <v>292</v>
      </c>
      <c r="J5130">
        <v>1.1819999999999999</v>
      </c>
      <c r="K5130">
        <v>40.6</v>
      </c>
      <c r="L5130">
        <v>34.299999999999997</v>
      </c>
      <c r="M5130">
        <v>241</v>
      </c>
      <c r="N5130">
        <v>19</v>
      </c>
      <c r="O5130">
        <v>4</v>
      </c>
    </row>
    <row r="5131" spans="1:16" x14ac:dyDescent="0.25">
      <c r="A5131" s="4">
        <v>45946</v>
      </c>
      <c r="B5131" t="s">
        <v>9</v>
      </c>
      <c r="C5131">
        <v>1</v>
      </c>
      <c r="F5131">
        <v>140</v>
      </c>
      <c r="J5131">
        <v>0.53500000000000003</v>
      </c>
      <c r="K5131">
        <v>19.399999999999999</v>
      </c>
      <c r="L5131">
        <v>36.4</v>
      </c>
      <c r="M5131">
        <v>122</v>
      </c>
      <c r="N5131">
        <v>9</v>
      </c>
    </row>
    <row r="5132" spans="1:16" x14ac:dyDescent="0.25">
      <c r="A5132" s="4">
        <v>45947</v>
      </c>
      <c r="B5132" t="s">
        <v>10</v>
      </c>
      <c r="C5132">
        <v>1</v>
      </c>
      <c r="F5132">
        <v>362</v>
      </c>
      <c r="J5132">
        <v>1.403</v>
      </c>
      <c r="K5132">
        <v>50.3</v>
      </c>
      <c r="L5132">
        <v>35.799999999999997</v>
      </c>
      <c r="M5132">
        <v>274</v>
      </c>
      <c r="N5132">
        <v>31</v>
      </c>
      <c r="O5132">
        <v>6</v>
      </c>
      <c r="P5132">
        <v>1</v>
      </c>
    </row>
    <row r="5133" spans="1:16" x14ac:dyDescent="0.25">
      <c r="A5133" s="4">
        <v>45947</v>
      </c>
      <c r="B5133" t="s">
        <v>9</v>
      </c>
      <c r="C5133">
        <v>1</v>
      </c>
      <c r="F5133">
        <v>157</v>
      </c>
      <c r="J5133">
        <v>0.60099999999999998</v>
      </c>
      <c r="K5133">
        <v>21.8</v>
      </c>
      <c r="L5133">
        <v>36.299999999999997</v>
      </c>
      <c r="M5133">
        <v>125</v>
      </c>
      <c r="N5133">
        <v>10</v>
      </c>
      <c r="O5133">
        <v>1</v>
      </c>
      <c r="P5133">
        <v>1</v>
      </c>
    </row>
    <row r="5134" spans="1:16" x14ac:dyDescent="0.25">
      <c r="A5134" s="4">
        <v>45950</v>
      </c>
      <c r="B5134" t="s">
        <v>10</v>
      </c>
      <c r="C5134">
        <v>1</v>
      </c>
      <c r="F5134">
        <v>346</v>
      </c>
      <c r="J5134">
        <v>1.43</v>
      </c>
      <c r="K5134">
        <v>48.1</v>
      </c>
      <c r="L5134">
        <v>33.6</v>
      </c>
      <c r="M5134">
        <v>311</v>
      </c>
      <c r="N5134">
        <v>8</v>
      </c>
      <c r="O5134">
        <v>6</v>
      </c>
    </row>
    <row r="5135" spans="1:16" x14ac:dyDescent="0.25">
      <c r="A5135" s="4">
        <v>45950</v>
      </c>
      <c r="B5135" t="s">
        <v>9</v>
      </c>
      <c r="C5135">
        <v>1</v>
      </c>
      <c r="F5135">
        <v>140</v>
      </c>
      <c r="J5135">
        <v>0.55500000000000005</v>
      </c>
      <c r="K5135">
        <v>19.399999999999999</v>
      </c>
      <c r="L5135">
        <v>35</v>
      </c>
      <c r="M5135">
        <v>122</v>
      </c>
      <c r="N5135">
        <v>6</v>
      </c>
      <c r="O5135">
        <v>2</v>
      </c>
    </row>
    <row r="5136" spans="1:16" x14ac:dyDescent="0.25">
      <c r="A5136" s="4">
        <v>45951</v>
      </c>
      <c r="B5136" t="s">
        <v>10</v>
      </c>
      <c r="C5136">
        <v>1</v>
      </c>
      <c r="F5136">
        <v>330</v>
      </c>
      <c r="J5136">
        <v>1.228</v>
      </c>
      <c r="K5136">
        <v>45.8</v>
      </c>
      <c r="L5136">
        <v>37.299999999999997</v>
      </c>
      <c r="M5136">
        <v>239</v>
      </c>
      <c r="N5136">
        <v>21</v>
      </c>
      <c r="O5136">
        <v>10</v>
      </c>
      <c r="P5136">
        <v>1</v>
      </c>
    </row>
    <row r="5137" spans="1:16" x14ac:dyDescent="0.25">
      <c r="A5137" s="4">
        <v>45951</v>
      </c>
      <c r="B5137" t="s">
        <v>9</v>
      </c>
      <c r="C5137">
        <v>1</v>
      </c>
      <c r="F5137">
        <v>154</v>
      </c>
      <c r="J5137">
        <v>0.57599999999999996</v>
      </c>
      <c r="K5137">
        <v>21.4</v>
      </c>
      <c r="L5137">
        <v>37.1</v>
      </c>
      <c r="M5137">
        <v>118</v>
      </c>
      <c r="N5137">
        <v>16</v>
      </c>
      <c r="O5137">
        <v>1</v>
      </c>
    </row>
    <row r="5138" spans="1:16" x14ac:dyDescent="0.25">
      <c r="A5138" s="4">
        <v>45952</v>
      </c>
      <c r="B5138" t="s">
        <v>10</v>
      </c>
      <c r="C5138">
        <v>1</v>
      </c>
      <c r="F5138">
        <v>340</v>
      </c>
      <c r="J5138">
        <v>1.34</v>
      </c>
      <c r="K5138">
        <v>47.2</v>
      </c>
      <c r="L5138">
        <v>35.200000000000003</v>
      </c>
      <c r="M5138">
        <v>279</v>
      </c>
      <c r="N5138">
        <v>20</v>
      </c>
      <c r="O5138">
        <v>4</v>
      </c>
      <c r="P5138">
        <v>1</v>
      </c>
    </row>
    <row r="5139" spans="1:16" x14ac:dyDescent="0.25">
      <c r="A5139" s="4">
        <v>45952</v>
      </c>
      <c r="B5139" t="s">
        <v>9</v>
      </c>
      <c r="C5139">
        <v>1</v>
      </c>
      <c r="F5139">
        <v>160</v>
      </c>
      <c r="J5139">
        <v>0.59799999999999998</v>
      </c>
      <c r="K5139">
        <v>22.2</v>
      </c>
      <c r="L5139">
        <v>37.1</v>
      </c>
      <c r="M5139">
        <v>133</v>
      </c>
      <c r="N5139">
        <v>9</v>
      </c>
      <c r="O5139">
        <v>3</v>
      </c>
    </row>
    <row r="5140" spans="1:16" x14ac:dyDescent="0.25">
      <c r="A5140" s="4">
        <v>45953</v>
      </c>
      <c r="B5140" t="s">
        <v>10</v>
      </c>
      <c r="C5140">
        <v>1</v>
      </c>
      <c r="F5140">
        <v>306</v>
      </c>
      <c r="J5140">
        <v>1.2090000000000001</v>
      </c>
      <c r="K5140">
        <v>42.5</v>
      </c>
      <c r="L5140">
        <v>35.200000000000003</v>
      </c>
      <c r="M5140">
        <v>259</v>
      </c>
      <c r="N5140">
        <v>18</v>
      </c>
      <c r="O5140">
        <v>1</v>
      </c>
      <c r="P5140">
        <v>1</v>
      </c>
    </row>
    <row r="5141" spans="1:16" x14ac:dyDescent="0.25">
      <c r="A5141" s="4">
        <v>45953</v>
      </c>
      <c r="B5141" t="s">
        <v>9</v>
      </c>
      <c r="C5141">
        <v>1</v>
      </c>
      <c r="F5141">
        <v>50</v>
      </c>
      <c r="J5141">
        <v>1.171</v>
      </c>
      <c r="K5141">
        <v>41.7</v>
      </c>
      <c r="L5141">
        <v>35.6</v>
      </c>
      <c r="M5141">
        <v>39</v>
      </c>
      <c r="N5141">
        <v>4</v>
      </c>
      <c r="O5141">
        <v>1</v>
      </c>
    </row>
    <row r="5142" spans="1:16" x14ac:dyDescent="0.25">
      <c r="A5142" s="4">
        <v>45954</v>
      </c>
      <c r="B5142" t="s">
        <v>10</v>
      </c>
      <c r="C5142">
        <v>1</v>
      </c>
      <c r="F5142">
        <v>350</v>
      </c>
      <c r="J5142">
        <v>1.3540000000000001</v>
      </c>
      <c r="K5142">
        <v>48.6</v>
      </c>
      <c r="L5142">
        <v>35.9</v>
      </c>
      <c r="M5142">
        <v>276</v>
      </c>
      <c r="N5142">
        <v>24</v>
      </c>
      <c r="O5142">
        <v>7</v>
      </c>
    </row>
    <row r="5143" spans="1:16" x14ac:dyDescent="0.25">
      <c r="A5143" s="4">
        <v>45954</v>
      </c>
      <c r="B5143" t="s">
        <v>9</v>
      </c>
      <c r="C5143">
        <v>1</v>
      </c>
      <c r="F5143">
        <v>158</v>
      </c>
      <c r="J5143">
        <v>0.60699999999999998</v>
      </c>
      <c r="K5143">
        <v>21.9</v>
      </c>
      <c r="L5143">
        <v>36.200000000000003</v>
      </c>
      <c r="M5143">
        <v>142</v>
      </c>
      <c r="N5143">
        <v>5</v>
      </c>
      <c r="O5143">
        <v>2</v>
      </c>
    </row>
    <row r="5144" spans="1:16" x14ac:dyDescent="0.25">
      <c r="A5144" s="4">
        <v>45957</v>
      </c>
      <c r="B5144" t="s">
        <v>10</v>
      </c>
      <c r="C5144">
        <v>1</v>
      </c>
      <c r="F5144">
        <v>309</v>
      </c>
      <c r="J5144">
        <v>1.19</v>
      </c>
      <c r="K5144">
        <v>42.9</v>
      </c>
      <c r="L5144">
        <v>36.1</v>
      </c>
      <c r="M5144">
        <v>248</v>
      </c>
      <c r="N5144">
        <v>15</v>
      </c>
      <c r="O5144">
        <v>8</v>
      </c>
    </row>
    <row r="5145" spans="1:16" x14ac:dyDescent="0.25">
      <c r="A5145" s="4">
        <v>45957</v>
      </c>
      <c r="B5145" t="s">
        <v>9</v>
      </c>
      <c r="C5145">
        <v>1</v>
      </c>
      <c r="F5145">
        <v>124</v>
      </c>
      <c r="J5145">
        <v>0.52</v>
      </c>
      <c r="K5145">
        <v>18.5</v>
      </c>
      <c r="L5145">
        <v>35.6</v>
      </c>
      <c r="M5145">
        <v>116</v>
      </c>
      <c r="N5145">
        <v>4</v>
      </c>
    </row>
    <row r="5146" spans="1:16" x14ac:dyDescent="0.25">
      <c r="A5146" s="4">
        <v>45958</v>
      </c>
      <c r="B5146" t="s">
        <v>10</v>
      </c>
      <c r="C5146">
        <v>1</v>
      </c>
      <c r="F5146">
        <v>311</v>
      </c>
      <c r="J5146">
        <v>1.238</v>
      </c>
      <c r="K5146">
        <v>43.2</v>
      </c>
      <c r="L5146">
        <v>34.9</v>
      </c>
      <c r="M5146">
        <v>241</v>
      </c>
      <c r="N5146">
        <v>29</v>
      </c>
      <c r="O5146">
        <v>4</v>
      </c>
    </row>
    <row r="5147" spans="1:16" x14ac:dyDescent="0.25">
      <c r="A5147" s="4">
        <v>45958</v>
      </c>
      <c r="B5147" t="s">
        <v>9</v>
      </c>
      <c r="C5147">
        <v>1</v>
      </c>
      <c r="F5147">
        <v>111</v>
      </c>
      <c r="J5147">
        <v>0.42699999999999999</v>
      </c>
      <c r="K5147">
        <v>15.4</v>
      </c>
      <c r="L5147">
        <v>36.1</v>
      </c>
      <c r="M5147">
        <v>95</v>
      </c>
      <c r="N5147">
        <v>5</v>
      </c>
      <c r="O5147">
        <v>2</v>
      </c>
    </row>
    <row r="5148" spans="1:16" x14ac:dyDescent="0.25">
      <c r="A5148" s="4">
        <v>45959</v>
      </c>
      <c r="B5148" t="s">
        <v>10</v>
      </c>
      <c r="C5148">
        <v>1</v>
      </c>
      <c r="F5148">
        <v>434</v>
      </c>
      <c r="J5148">
        <v>1.2869999999999999</v>
      </c>
      <c r="K5148">
        <v>48.8</v>
      </c>
      <c r="L5148">
        <v>37.9</v>
      </c>
      <c r="M5148">
        <v>303</v>
      </c>
      <c r="N5148">
        <v>29</v>
      </c>
      <c r="O5148">
        <v>15</v>
      </c>
      <c r="P5148">
        <v>3</v>
      </c>
    </row>
    <row r="5149" spans="1:16" x14ac:dyDescent="0.25">
      <c r="A5149" s="4">
        <v>45959</v>
      </c>
      <c r="B5149" t="s">
        <v>9</v>
      </c>
      <c r="C5149">
        <v>1</v>
      </c>
      <c r="F5149">
        <v>152</v>
      </c>
      <c r="J5149">
        <v>0.46899999999999997</v>
      </c>
      <c r="K5149">
        <v>17.100000000000001</v>
      </c>
      <c r="L5149">
        <v>36.5</v>
      </c>
      <c r="M5149">
        <v>131</v>
      </c>
      <c r="N5149">
        <v>9</v>
      </c>
      <c r="O5149">
        <v>1</v>
      </c>
    </row>
    <row r="5150" spans="1:16" x14ac:dyDescent="0.25">
      <c r="A5150" s="4">
        <v>45960</v>
      </c>
      <c r="B5150" t="s">
        <v>10</v>
      </c>
      <c r="C5150">
        <v>1</v>
      </c>
      <c r="F5150">
        <v>384</v>
      </c>
      <c r="J5150">
        <v>1.321</v>
      </c>
      <c r="K5150">
        <v>45.7</v>
      </c>
      <c r="L5150">
        <v>34.6</v>
      </c>
      <c r="M5150">
        <v>336</v>
      </c>
      <c r="N5150">
        <v>18</v>
      </c>
      <c r="O5150">
        <v>4</v>
      </c>
    </row>
    <row r="5151" spans="1:16" x14ac:dyDescent="0.25">
      <c r="A5151" s="4">
        <v>45960</v>
      </c>
      <c r="B5151" t="s">
        <v>9</v>
      </c>
      <c r="C5151">
        <v>1</v>
      </c>
      <c r="F5151">
        <v>107</v>
      </c>
      <c r="J5151">
        <v>0.34</v>
      </c>
      <c r="K5151">
        <v>12.7</v>
      </c>
      <c r="L5151">
        <v>37.4</v>
      </c>
      <c r="M5151">
        <v>75</v>
      </c>
      <c r="N5151">
        <v>16</v>
      </c>
    </row>
    <row r="5152" spans="1:16" x14ac:dyDescent="0.25">
      <c r="A5152" s="4">
        <v>45961</v>
      </c>
      <c r="B5152" t="s">
        <v>10</v>
      </c>
      <c r="C5152">
        <v>1</v>
      </c>
      <c r="F5152">
        <v>355</v>
      </c>
      <c r="J5152">
        <v>1.343</v>
      </c>
      <c r="K5152">
        <v>47.3</v>
      </c>
      <c r="L5152">
        <v>35.299999999999997</v>
      </c>
      <c r="M5152">
        <v>262</v>
      </c>
      <c r="N5152">
        <v>33</v>
      </c>
      <c r="O5152">
        <v>8</v>
      </c>
    </row>
    <row r="5153" spans="1:16" x14ac:dyDescent="0.25">
      <c r="A5153" s="4">
        <v>45961</v>
      </c>
      <c r="B5153" t="s">
        <v>9</v>
      </c>
      <c r="C5153">
        <v>1</v>
      </c>
      <c r="F5153">
        <v>129</v>
      </c>
      <c r="J5153">
        <v>0.45900000000000002</v>
      </c>
      <c r="K5153">
        <v>17.2</v>
      </c>
      <c r="L5153">
        <v>37.5</v>
      </c>
      <c r="M5153">
        <v>108</v>
      </c>
      <c r="N5153">
        <v>6</v>
      </c>
      <c r="O5153">
        <v>3</v>
      </c>
    </row>
    <row r="5154" spans="1:16" x14ac:dyDescent="0.25">
      <c r="A5154" s="4">
        <v>45964</v>
      </c>
      <c r="B5154" t="s">
        <v>10</v>
      </c>
      <c r="C5154">
        <v>1</v>
      </c>
      <c r="F5154">
        <v>365</v>
      </c>
      <c r="J5154">
        <v>1.351</v>
      </c>
      <c r="K5154">
        <v>50.7</v>
      </c>
      <c r="L5154">
        <v>37.5</v>
      </c>
      <c r="M5154">
        <v>256</v>
      </c>
      <c r="N5154">
        <v>18</v>
      </c>
      <c r="O5154">
        <v>12</v>
      </c>
      <c r="P5154">
        <v>3</v>
      </c>
    </row>
    <row r="5155" spans="1:16" x14ac:dyDescent="0.25">
      <c r="A5155" s="4">
        <v>45964</v>
      </c>
      <c r="B5155" t="s">
        <v>9</v>
      </c>
      <c r="C5155">
        <v>1</v>
      </c>
      <c r="F5155">
        <v>121</v>
      </c>
      <c r="J5155">
        <v>0.47899999999999998</v>
      </c>
      <c r="K5155">
        <v>16.8</v>
      </c>
      <c r="L5155">
        <v>35.1</v>
      </c>
      <c r="M5155">
        <v>101</v>
      </c>
      <c r="N5155">
        <v>7</v>
      </c>
      <c r="O5155">
        <v>2</v>
      </c>
    </row>
    <row r="5156" spans="1:16" x14ac:dyDescent="0.25">
      <c r="A5156" s="4">
        <v>45965</v>
      </c>
      <c r="B5156" t="s">
        <v>10</v>
      </c>
      <c r="C5156">
        <v>1</v>
      </c>
      <c r="F5156">
        <v>408</v>
      </c>
      <c r="J5156">
        <v>1.3049999999999999</v>
      </c>
      <c r="K5156">
        <v>46.9</v>
      </c>
      <c r="L5156">
        <v>35.9</v>
      </c>
      <c r="M5156">
        <v>309</v>
      </c>
      <c r="N5156">
        <v>30</v>
      </c>
      <c r="O5156">
        <v>9</v>
      </c>
      <c r="P5156">
        <v>1</v>
      </c>
    </row>
    <row r="5157" spans="1:16" x14ac:dyDescent="0.25">
      <c r="A5157" s="4">
        <v>45965</v>
      </c>
      <c r="B5157" t="s">
        <v>9</v>
      </c>
      <c r="C5157">
        <v>1</v>
      </c>
      <c r="F5157">
        <v>167</v>
      </c>
      <c r="J5157">
        <v>0.53500000000000003</v>
      </c>
      <c r="K5157">
        <v>19.2</v>
      </c>
      <c r="L5157">
        <v>35.9</v>
      </c>
      <c r="M5157">
        <v>159</v>
      </c>
      <c r="N5157">
        <v>4</v>
      </c>
    </row>
    <row r="5158" spans="1:16" x14ac:dyDescent="0.25">
      <c r="A5158" s="4">
        <v>45966</v>
      </c>
      <c r="B5158" t="s">
        <v>10</v>
      </c>
      <c r="C5158">
        <v>1</v>
      </c>
      <c r="F5158">
        <v>341</v>
      </c>
      <c r="J5158">
        <v>1.41</v>
      </c>
      <c r="K5158">
        <v>47.4</v>
      </c>
      <c r="L5158">
        <v>33.6</v>
      </c>
      <c r="M5158">
        <v>264</v>
      </c>
      <c r="N5158">
        <v>28</v>
      </c>
      <c r="O5158">
        <v>3</v>
      </c>
      <c r="P5158">
        <v>2</v>
      </c>
    </row>
    <row r="5159" spans="1:16" x14ac:dyDescent="0.25">
      <c r="A5159" s="4">
        <v>45966</v>
      </c>
      <c r="B5159" t="s">
        <v>9</v>
      </c>
      <c r="C5159">
        <v>1</v>
      </c>
      <c r="F5159">
        <v>157</v>
      </c>
      <c r="J5159">
        <v>0.629</v>
      </c>
      <c r="K5159">
        <v>21.8</v>
      </c>
      <c r="L5159">
        <v>34.700000000000003</v>
      </c>
      <c r="M5159">
        <v>129</v>
      </c>
      <c r="N5159">
        <v>10</v>
      </c>
      <c r="O5159">
        <v>2</v>
      </c>
    </row>
    <row r="5160" spans="1:16" x14ac:dyDescent="0.25">
      <c r="A5160" s="4">
        <v>45967</v>
      </c>
      <c r="B5160" t="s">
        <v>10</v>
      </c>
      <c r="C5160">
        <v>1</v>
      </c>
      <c r="F5160">
        <v>277</v>
      </c>
      <c r="J5160">
        <v>1.1659999999999999</v>
      </c>
      <c r="K5160">
        <v>41.3</v>
      </c>
      <c r="L5160">
        <v>35.5</v>
      </c>
      <c r="M5160">
        <v>217</v>
      </c>
      <c r="N5160">
        <v>23</v>
      </c>
      <c r="O5160">
        <v>4</v>
      </c>
    </row>
    <row r="5161" spans="1:16" x14ac:dyDescent="0.25">
      <c r="A5161" s="4">
        <v>45967</v>
      </c>
      <c r="B5161" t="s">
        <v>9</v>
      </c>
      <c r="C5161">
        <v>1</v>
      </c>
      <c r="F5161">
        <v>125</v>
      </c>
      <c r="J5161">
        <v>0.49199999999999999</v>
      </c>
      <c r="K5161">
        <v>18.7</v>
      </c>
      <c r="L5161">
        <v>37.9</v>
      </c>
      <c r="M5161">
        <v>86</v>
      </c>
      <c r="N5161">
        <v>18</v>
      </c>
      <c r="O5161">
        <v>1</v>
      </c>
    </row>
    <row r="5162" spans="1:16" x14ac:dyDescent="0.25">
      <c r="A5162" s="4">
        <v>45968</v>
      </c>
      <c r="B5162" t="s">
        <v>10</v>
      </c>
      <c r="C5162">
        <v>1</v>
      </c>
      <c r="F5162">
        <v>443</v>
      </c>
      <c r="J5162">
        <v>1.3859999999999999</v>
      </c>
      <c r="K5162">
        <v>49.8</v>
      </c>
      <c r="L5162">
        <v>35.9</v>
      </c>
      <c r="M5162">
        <v>341</v>
      </c>
      <c r="N5162">
        <v>30</v>
      </c>
      <c r="O5162">
        <v>9</v>
      </c>
      <c r="P5162">
        <v>1</v>
      </c>
    </row>
    <row r="5163" spans="1:16" x14ac:dyDescent="0.25">
      <c r="A5163" s="4">
        <v>45968</v>
      </c>
      <c r="B5163" t="s">
        <v>9</v>
      </c>
      <c r="C5163">
        <v>1</v>
      </c>
      <c r="F5163">
        <v>179</v>
      </c>
      <c r="J5163">
        <v>0.56299999999999994</v>
      </c>
      <c r="K5163">
        <v>20.100000000000001</v>
      </c>
      <c r="L5163">
        <v>35.700000000000003</v>
      </c>
      <c r="M5163">
        <v>132</v>
      </c>
      <c r="N5163">
        <v>22</v>
      </c>
      <c r="O5163">
        <v>1</v>
      </c>
    </row>
    <row r="5164" spans="1:16" x14ac:dyDescent="0.25">
      <c r="A5164" s="4">
        <v>45971</v>
      </c>
      <c r="B5164" t="s">
        <v>10</v>
      </c>
      <c r="C5164">
        <v>1</v>
      </c>
      <c r="F5164">
        <v>344</v>
      </c>
      <c r="J5164">
        <v>1.323</v>
      </c>
      <c r="K5164">
        <v>47.8</v>
      </c>
      <c r="L5164">
        <v>36.1</v>
      </c>
      <c r="M5164">
        <v>261</v>
      </c>
      <c r="N5164">
        <v>28</v>
      </c>
      <c r="O5164">
        <v>5</v>
      </c>
      <c r="P5164">
        <v>3</v>
      </c>
    </row>
    <row r="5165" spans="1:16" x14ac:dyDescent="0.25">
      <c r="A5165" s="4">
        <v>45971</v>
      </c>
      <c r="B5165" t="s">
        <v>9</v>
      </c>
      <c r="C5165">
        <v>1</v>
      </c>
      <c r="F5165">
        <v>130</v>
      </c>
      <c r="J5165">
        <v>0.501</v>
      </c>
      <c r="K5165">
        <v>18.100000000000001</v>
      </c>
      <c r="L5165">
        <v>36</v>
      </c>
      <c r="M5165">
        <v>109</v>
      </c>
      <c r="N5165">
        <v>9</v>
      </c>
      <c r="O5165">
        <v>1</v>
      </c>
      <c r="P5165">
        <v>0</v>
      </c>
    </row>
    <row r="5166" spans="1:16" x14ac:dyDescent="0.25">
      <c r="A5166" s="4">
        <v>45972</v>
      </c>
      <c r="B5166" t="s">
        <v>10</v>
      </c>
      <c r="C5166">
        <v>1</v>
      </c>
      <c r="F5166">
        <v>309</v>
      </c>
      <c r="J5166">
        <v>1.1819999999999999</v>
      </c>
      <c r="K5166">
        <v>42.9</v>
      </c>
      <c r="L5166">
        <v>36.299999999999997</v>
      </c>
      <c r="M5166">
        <v>234</v>
      </c>
      <c r="N5166">
        <v>30</v>
      </c>
      <c r="O5166">
        <v>2</v>
      </c>
      <c r="P5166">
        <v>1</v>
      </c>
    </row>
    <row r="5167" spans="1:16" x14ac:dyDescent="0.25">
      <c r="A5167" s="4">
        <v>45972</v>
      </c>
      <c r="B5167" t="s">
        <v>9</v>
      </c>
      <c r="C5167">
        <v>1</v>
      </c>
      <c r="F5167">
        <v>114</v>
      </c>
      <c r="J5167">
        <v>0.44400000000000001</v>
      </c>
      <c r="K5167">
        <v>15.8</v>
      </c>
      <c r="L5167">
        <v>35.700000000000003</v>
      </c>
      <c r="M5167">
        <v>93</v>
      </c>
      <c r="N5167">
        <v>6</v>
      </c>
      <c r="O5167">
        <v>3</v>
      </c>
    </row>
    <row r="5168" spans="1:16" x14ac:dyDescent="0.25">
      <c r="A5168" s="4">
        <v>45973</v>
      </c>
      <c r="B5168" t="s">
        <v>10</v>
      </c>
      <c r="C5168">
        <v>1</v>
      </c>
      <c r="F5168">
        <v>396</v>
      </c>
      <c r="J5168">
        <v>1.268</v>
      </c>
      <c r="K5168">
        <v>44.5</v>
      </c>
      <c r="L5168">
        <v>35.1</v>
      </c>
      <c r="M5168">
        <v>325</v>
      </c>
      <c r="N5168">
        <v>24</v>
      </c>
      <c r="O5168">
        <v>7</v>
      </c>
    </row>
    <row r="5169" spans="1:16" x14ac:dyDescent="0.25">
      <c r="A5169" s="4">
        <v>45973</v>
      </c>
      <c r="B5169" t="s">
        <v>9</v>
      </c>
      <c r="C5169">
        <v>1</v>
      </c>
      <c r="F5169">
        <v>174</v>
      </c>
      <c r="J5169">
        <v>0.53900000000000003</v>
      </c>
      <c r="K5169">
        <v>19.600000000000001</v>
      </c>
      <c r="L5169">
        <v>36.299999999999997</v>
      </c>
      <c r="M5169">
        <v>137</v>
      </c>
      <c r="N5169">
        <v>12</v>
      </c>
      <c r="O5169">
        <v>4</v>
      </c>
    </row>
    <row r="5170" spans="1:16" x14ac:dyDescent="0.25">
      <c r="A5170" s="4">
        <v>45974</v>
      </c>
      <c r="B5170" t="s">
        <v>10</v>
      </c>
      <c r="C5170">
        <v>1</v>
      </c>
      <c r="F5170">
        <v>361</v>
      </c>
      <c r="J5170">
        <v>1.351</v>
      </c>
      <c r="K5170">
        <v>50.1</v>
      </c>
      <c r="L5170">
        <v>37.1</v>
      </c>
      <c r="M5170">
        <v>245</v>
      </c>
      <c r="N5170">
        <v>30</v>
      </c>
      <c r="O5170">
        <v>8</v>
      </c>
      <c r="P5170">
        <v>4</v>
      </c>
    </row>
    <row r="5171" spans="1:16" x14ac:dyDescent="0.25">
      <c r="A5171" s="4">
        <v>45974</v>
      </c>
      <c r="B5171" t="s">
        <v>9</v>
      </c>
      <c r="C5171">
        <v>1</v>
      </c>
      <c r="F5171">
        <v>175</v>
      </c>
      <c r="J5171">
        <v>0.67</v>
      </c>
      <c r="K5171">
        <v>24.3</v>
      </c>
      <c r="L5171">
        <v>36.299999999999997</v>
      </c>
      <c r="M5171">
        <v>141</v>
      </c>
      <c r="N5171">
        <v>7</v>
      </c>
      <c r="O5171">
        <v>2</v>
      </c>
      <c r="P5171">
        <v>2</v>
      </c>
    </row>
    <row r="5172" spans="1:16" x14ac:dyDescent="0.25">
      <c r="A5172" s="4">
        <v>45975</v>
      </c>
      <c r="B5172" t="s">
        <v>10</v>
      </c>
      <c r="C5172">
        <v>1</v>
      </c>
      <c r="F5172">
        <v>304</v>
      </c>
      <c r="J5172">
        <v>1.218</v>
      </c>
      <c r="K5172">
        <v>42.2</v>
      </c>
      <c r="L5172">
        <v>34.700000000000003</v>
      </c>
      <c r="M5172">
        <v>258</v>
      </c>
      <c r="N5172">
        <v>12</v>
      </c>
      <c r="O5172">
        <v>5</v>
      </c>
      <c r="P5172">
        <v>1</v>
      </c>
    </row>
    <row r="5173" spans="1:16" x14ac:dyDescent="0.25">
      <c r="A5173" s="4">
        <v>45975</v>
      </c>
      <c r="B5173" t="s">
        <v>9</v>
      </c>
      <c r="C5173">
        <v>1</v>
      </c>
      <c r="F5173">
        <v>122</v>
      </c>
      <c r="J5173">
        <v>0.48399999999999999</v>
      </c>
      <c r="K5173">
        <v>16.899999999999999</v>
      </c>
      <c r="L5173">
        <v>35</v>
      </c>
      <c r="M5173">
        <v>114</v>
      </c>
      <c r="N5173">
        <v>2</v>
      </c>
      <c r="O5173">
        <v>1</v>
      </c>
    </row>
    <row r="5174" spans="1:16" x14ac:dyDescent="0.25">
      <c r="A5174" s="4">
        <v>45978</v>
      </c>
      <c r="B5174" t="s">
        <v>10</v>
      </c>
      <c r="C5174">
        <v>1</v>
      </c>
      <c r="F5174">
        <v>308</v>
      </c>
      <c r="J5174">
        <v>1.196</v>
      </c>
      <c r="K5174">
        <v>42.8</v>
      </c>
      <c r="L5174">
        <v>35.799999999999997</v>
      </c>
      <c r="M5174">
        <v>241</v>
      </c>
      <c r="N5174">
        <v>15</v>
      </c>
      <c r="O5174">
        <v>10</v>
      </c>
    </row>
    <row r="5175" spans="1:16" x14ac:dyDescent="0.25">
      <c r="A5175" s="4">
        <v>45978</v>
      </c>
      <c r="B5175" t="s">
        <v>9</v>
      </c>
      <c r="C5175">
        <v>1</v>
      </c>
      <c r="F5175">
        <v>175</v>
      </c>
      <c r="J5175">
        <v>0.63500000000000001</v>
      </c>
      <c r="K5175">
        <v>24.3</v>
      </c>
      <c r="L5175">
        <v>38.299999999999997</v>
      </c>
      <c r="M5175">
        <v>127</v>
      </c>
      <c r="N5175">
        <v>13</v>
      </c>
      <c r="O5175">
        <v>6</v>
      </c>
    </row>
    <row r="5176" spans="1:16" x14ac:dyDescent="0.25">
      <c r="A5176" s="4">
        <v>45979</v>
      </c>
      <c r="B5176" t="s">
        <v>10</v>
      </c>
      <c r="C5176">
        <v>1</v>
      </c>
      <c r="F5176">
        <v>340</v>
      </c>
      <c r="J5176">
        <v>1.306</v>
      </c>
      <c r="K5176">
        <v>47.2</v>
      </c>
      <c r="L5176">
        <v>36.200000000000003</v>
      </c>
      <c r="M5176">
        <v>244</v>
      </c>
      <c r="N5176">
        <v>23</v>
      </c>
      <c r="O5176">
        <v>10</v>
      </c>
      <c r="P5176">
        <v>2</v>
      </c>
    </row>
    <row r="5177" spans="1:16" x14ac:dyDescent="0.25">
      <c r="A5177" s="4">
        <v>45979</v>
      </c>
      <c r="B5177" t="s">
        <v>9</v>
      </c>
      <c r="C5177">
        <v>1</v>
      </c>
      <c r="F5177">
        <v>144</v>
      </c>
      <c r="J5177">
        <v>0.53100000000000003</v>
      </c>
      <c r="K5177">
        <v>20</v>
      </c>
      <c r="L5177">
        <v>37.700000000000003</v>
      </c>
      <c r="M5177">
        <v>110</v>
      </c>
      <c r="N5177">
        <v>11</v>
      </c>
      <c r="O5177">
        <v>2</v>
      </c>
      <c r="P5177">
        <v>1</v>
      </c>
    </row>
    <row r="5178" spans="1:16" x14ac:dyDescent="0.25">
      <c r="A5178" s="4">
        <v>45980</v>
      </c>
      <c r="B5178" t="s">
        <v>10</v>
      </c>
      <c r="C5178">
        <v>1</v>
      </c>
      <c r="F5178">
        <v>305</v>
      </c>
      <c r="J5178">
        <v>1.214</v>
      </c>
      <c r="K5178">
        <v>42.4</v>
      </c>
      <c r="L5178">
        <v>34.9</v>
      </c>
      <c r="M5178">
        <v>253</v>
      </c>
      <c r="N5178">
        <v>20</v>
      </c>
      <c r="O5178">
        <v>2</v>
      </c>
      <c r="P5178">
        <v>1</v>
      </c>
    </row>
    <row r="5179" spans="1:16" x14ac:dyDescent="0.25">
      <c r="A5179" s="4">
        <v>45980</v>
      </c>
      <c r="B5179" t="s">
        <v>9</v>
      </c>
      <c r="C5179">
        <v>1</v>
      </c>
      <c r="F5179">
        <v>136</v>
      </c>
      <c r="J5179">
        <v>0.48899999999999999</v>
      </c>
      <c r="K5179">
        <v>18.899999999999999</v>
      </c>
      <c r="L5179">
        <v>38.6</v>
      </c>
      <c r="M5179">
        <v>113</v>
      </c>
      <c r="N5179">
        <v>7</v>
      </c>
      <c r="O5179">
        <v>2</v>
      </c>
    </row>
    <row r="5180" spans="1:16" x14ac:dyDescent="0.25">
      <c r="A5180" s="4">
        <v>45981</v>
      </c>
      <c r="B5180" t="s">
        <v>10</v>
      </c>
      <c r="C5180">
        <v>1</v>
      </c>
      <c r="F5180">
        <v>288</v>
      </c>
      <c r="J5180">
        <v>0.56999999999999995</v>
      </c>
      <c r="K5180">
        <v>40</v>
      </c>
      <c r="L5180">
        <v>35</v>
      </c>
      <c r="M5180">
        <v>232</v>
      </c>
      <c r="N5180">
        <v>18</v>
      </c>
      <c r="O5180">
        <v>2</v>
      </c>
      <c r="P5180">
        <v>2</v>
      </c>
    </row>
    <row r="5181" spans="1:16" x14ac:dyDescent="0.25">
      <c r="A5181" s="4">
        <v>45981</v>
      </c>
      <c r="B5181" t="s">
        <v>9</v>
      </c>
      <c r="C5181">
        <v>1</v>
      </c>
      <c r="F5181">
        <v>155</v>
      </c>
      <c r="J5181">
        <v>0.58899999999999997</v>
      </c>
      <c r="K5181">
        <v>21.5</v>
      </c>
      <c r="L5181">
        <v>36.5</v>
      </c>
      <c r="M5181">
        <v>140</v>
      </c>
      <c r="N5181">
        <v>6</v>
      </c>
      <c r="O5181">
        <v>1</v>
      </c>
    </row>
    <row r="5182" spans="1:16" x14ac:dyDescent="0.25">
      <c r="A5182" s="4">
        <v>45982</v>
      </c>
      <c r="B5182" t="s">
        <v>10</v>
      </c>
      <c r="C5182">
        <v>1</v>
      </c>
      <c r="F5182">
        <v>293</v>
      </c>
      <c r="J5182">
        <v>1.41</v>
      </c>
      <c r="K5182">
        <v>50</v>
      </c>
      <c r="L5182">
        <v>35.200000000000003</v>
      </c>
      <c r="M5182">
        <v>265</v>
      </c>
      <c r="N5182">
        <v>21</v>
      </c>
      <c r="O5182">
        <v>7</v>
      </c>
    </row>
    <row r="5183" spans="1:16" x14ac:dyDescent="0.25">
      <c r="A5183" s="4">
        <v>45982</v>
      </c>
      <c r="B5183" t="s">
        <v>9</v>
      </c>
      <c r="C5183">
        <v>1</v>
      </c>
      <c r="F5183">
        <v>141</v>
      </c>
      <c r="J5183">
        <v>0.59</v>
      </c>
      <c r="K5183">
        <v>21.4</v>
      </c>
      <c r="L5183">
        <v>36.200000000000003</v>
      </c>
      <c r="M5183">
        <v>112</v>
      </c>
      <c r="N5183">
        <v>11</v>
      </c>
      <c r="O5183">
        <v>2</v>
      </c>
    </row>
    <row r="5184" spans="1:16" x14ac:dyDescent="0.25">
      <c r="A5184" s="4">
        <v>45985</v>
      </c>
      <c r="B5184" t="s">
        <v>10</v>
      </c>
      <c r="C5184">
        <v>1</v>
      </c>
      <c r="F5184">
        <v>338</v>
      </c>
      <c r="J5184">
        <v>1.323</v>
      </c>
      <c r="K5184">
        <v>46.9</v>
      </c>
      <c r="L5184">
        <v>35.5</v>
      </c>
      <c r="M5184">
        <v>263</v>
      </c>
      <c r="N5184">
        <v>21</v>
      </c>
      <c r="O5184">
        <v>8</v>
      </c>
      <c r="P5184">
        <v>1</v>
      </c>
    </row>
    <row r="5185" spans="1:16" x14ac:dyDescent="0.25">
      <c r="A5185" s="4">
        <v>45985</v>
      </c>
      <c r="B5185" t="s">
        <v>9</v>
      </c>
      <c r="C5185">
        <v>1</v>
      </c>
      <c r="F5185">
        <v>151</v>
      </c>
      <c r="J5185">
        <v>0.57499999999999996</v>
      </c>
      <c r="K5185">
        <v>21</v>
      </c>
      <c r="L5185">
        <v>36.5</v>
      </c>
      <c r="M5185">
        <v>124</v>
      </c>
      <c r="N5185">
        <v>10</v>
      </c>
      <c r="O5185">
        <v>2</v>
      </c>
    </row>
    <row r="5186" spans="1:16" x14ac:dyDescent="0.25">
      <c r="A5186" s="4">
        <v>45986</v>
      </c>
      <c r="B5186" t="s">
        <v>10</v>
      </c>
      <c r="C5186">
        <v>1</v>
      </c>
      <c r="F5186">
        <v>423</v>
      </c>
      <c r="J5186">
        <v>1.262</v>
      </c>
      <c r="K5186">
        <v>47.5</v>
      </c>
      <c r="L5186">
        <v>37.700000000000003</v>
      </c>
      <c r="M5186">
        <v>284</v>
      </c>
      <c r="N5186">
        <v>38</v>
      </c>
      <c r="O5186">
        <v>11</v>
      </c>
      <c r="P5186">
        <v>4</v>
      </c>
    </row>
    <row r="5187" spans="1:16" x14ac:dyDescent="0.25">
      <c r="A5187" s="4">
        <v>45986</v>
      </c>
      <c r="B5187" t="s">
        <v>9</v>
      </c>
      <c r="C5187">
        <v>1</v>
      </c>
      <c r="F5187">
        <v>173</v>
      </c>
      <c r="J5187">
        <v>0.52800000000000002</v>
      </c>
      <c r="K5187">
        <v>19.399999999999999</v>
      </c>
      <c r="L5187">
        <v>36.799999999999997</v>
      </c>
      <c r="M5187">
        <v>130</v>
      </c>
      <c r="N5187">
        <v>15</v>
      </c>
      <c r="O5187">
        <v>4</v>
      </c>
    </row>
    <row r="5188" spans="1:16" x14ac:dyDescent="0.25">
      <c r="A5188" s="4">
        <v>45987</v>
      </c>
      <c r="B5188" t="s">
        <v>10</v>
      </c>
      <c r="C5188">
        <v>1</v>
      </c>
      <c r="F5188">
        <v>329</v>
      </c>
      <c r="J5188">
        <v>1.276</v>
      </c>
      <c r="K5188">
        <v>45.7</v>
      </c>
      <c r="L5188">
        <v>35.799999999999997</v>
      </c>
      <c r="M5188">
        <v>261</v>
      </c>
      <c r="N5188">
        <v>21</v>
      </c>
      <c r="O5188">
        <v>5</v>
      </c>
      <c r="P5188">
        <v>1</v>
      </c>
    </row>
    <row r="5189" spans="1:16" x14ac:dyDescent="0.25">
      <c r="A5189" s="4">
        <v>45987</v>
      </c>
      <c r="B5189" t="s">
        <v>9</v>
      </c>
      <c r="C5189">
        <v>1</v>
      </c>
      <c r="F5189">
        <v>168</v>
      </c>
      <c r="J5189">
        <v>0.65200000000000002</v>
      </c>
      <c r="K5189">
        <v>23.3</v>
      </c>
      <c r="L5189">
        <v>35.799999999999997</v>
      </c>
      <c r="M5189">
        <v>144</v>
      </c>
      <c r="N5189">
        <v>10</v>
      </c>
      <c r="O5189">
        <v>1</v>
      </c>
    </row>
    <row r="5190" spans="1:16" x14ac:dyDescent="0.25">
      <c r="A5190" s="4">
        <v>45992</v>
      </c>
      <c r="B5190" t="s">
        <v>10</v>
      </c>
      <c r="C5190">
        <v>1</v>
      </c>
      <c r="F5190">
        <v>243</v>
      </c>
      <c r="J5190">
        <v>1.2729999999999999</v>
      </c>
      <c r="K5190">
        <v>45</v>
      </c>
      <c r="L5190">
        <v>35.4</v>
      </c>
      <c r="M5190">
        <v>190</v>
      </c>
      <c r="N5190">
        <v>20</v>
      </c>
      <c r="O5190">
        <v>4</v>
      </c>
    </row>
    <row r="5191" spans="1:16" x14ac:dyDescent="0.25">
      <c r="A5191" s="4">
        <v>45992</v>
      </c>
      <c r="B5191" t="s">
        <v>9</v>
      </c>
      <c r="C5191">
        <v>1</v>
      </c>
      <c r="F5191">
        <v>92</v>
      </c>
      <c r="J5191">
        <v>0.46400000000000002</v>
      </c>
      <c r="K5191">
        <v>17</v>
      </c>
      <c r="L5191">
        <v>36.799999999999997</v>
      </c>
      <c r="M5191">
        <v>68</v>
      </c>
      <c r="N5191">
        <v>8</v>
      </c>
      <c r="O5191">
        <v>2</v>
      </c>
    </row>
    <row r="5192" spans="1:16" x14ac:dyDescent="0.25">
      <c r="A5192" s="4">
        <v>45993</v>
      </c>
      <c r="B5192" t="s">
        <v>10</v>
      </c>
      <c r="C5192">
        <v>1</v>
      </c>
      <c r="F5192">
        <v>312</v>
      </c>
      <c r="J5192">
        <v>1.2490000000000001</v>
      </c>
      <c r="K5192">
        <v>43.3</v>
      </c>
      <c r="L5192">
        <v>34.700000000000003</v>
      </c>
      <c r="M5192">
        <v>228</v>
      </c>
      <c r="N5192">
        <v>19</v>
      </c>
      <c r="O5192">
        <v>11</v>
      </c>
      <c r="P5192">
        <v>1</v>
      </c>
    </row>
    <row r="5193" spans="1:16" x14ac:dyDescent="0.25">
      <c r="A5193" s="4">
        <v>45993</v>
      </c>
      <c r="B5193" t="s">
        <v>9</v>
      </c>
      <c r="C5193">
        <v>1</v>
      </c>
      <c r="F5193">
        <v>126</v>
      </c>
      <c r="J5193">
        <v>0.51600000000000001</v>
      </c>
      <c r="K5193">
        <v>17.5</v>
      </c>
      <c r="L5193">
        <v>33.9</v>
      </c>
      <c r="M5193">
        <v>121</v>
      </c>
      <c r="N5193">
        <v>1</v>
      </c>
      <c r="O5193">
        <v>1</v>
      </c>
    </row>
    <row r="5194" spans="1:16" x14ac:dyDescent="0.25">
      <c r="A5194" s="4">
        <v>45994</v>
      </c>
      <c r="B5194" t="s">
        <v>10</v>
      </c>
      <c r="C5194">
        <v>1</v>
      </c>
      <c r="F5194">
        <v>308</v>
      </c>
      <c r="J5194">
        <v>1.236</v>
      </c>
      <c r="K5194">
        <v>42.3</v>
      </c>
      <c r="L5194">
        <v>34.6</v>
      </c>
      <c r="M5194">
        <v>268</v>
      </c>
      <c r="N5194">
        <v>20</v>
      </c>
      <c r="O5194">
        <v>0</v>
      </c>
    </row>
    <row r="5195" spans="1:16" x14ac:dyDescent="0.25">
      <c r="A5195" s="4">
        <v>45994</v>
      </c>
      <c r="B5195" t="s">
        <v>9</v>
      </c>
      <c r="C5195">
        <v>1</v>
      </c>
      <c r="F5195">
        <v>141</v>
      </c>
      <c r="J5195">
        <v>0.55400000000000005</v>
      </c>
      <c r="K5195">
        <v>19.600000000000001</v>
      </c>
      <c r="L5195">
        <v>35.299999999999997</v>
      </c>
      <c r="M5195">
        <v>131</v>
      </c>
      <c r="N5195">
        <v>5</v>
      </c>
      <c r="O5195">
        <v>0</v>
      </c>
    </row>
    <row r="5196" spans="1:16" x14ac:dyDescent="0.25">
      <c r="A5196" s="4">
        <v>45995</v>
      </c>
      <c r="B5196" t="s">
        <v>10</v>
      </c>
      <c r="C5196">
        <v>1</v>
      </c>
      <c r="F5196">
        <v>293</v>
      </c>
      <c r="J5196">
        <v>1.169</v>
      </c>
      <c r="K5196">
        <v>40.700000000000003</v>
      </c>
      <c r="L5196">
        <v>34.799999999999997</v>
      </c>
      <c r="M5196">
        <v>230</v>
      </c>
      <c r="N5196">
        <v>27</v>
      </c>
      <c r="O5196">
        <v>3</v>
      </c>
    </row>
    <row r="5197" spans="1:16" x14ac:dyDescent="0.25">
      <c r="A5197" s="4">
        <v>45995</v>
      </c>
      <c r="B5197" t="s">
        <v>9</v>
      </c>
      <c r="C5197">
        <v>1</v>
      </c>
      <c r="F5197">
        <v>118</v>
      </c>
      <c r="J5197">
        <v>0.43099999999999999</v>
      </c>
      <c r="K5197">
        <v>16.399999999999999</v>
      </c>
      <c r="L5197">
        <v>38</v>
      </c>
      <c r="M5197">
        <v>104</v>
      </c>
      <c r="N5197">
        <v>7</v>
      </c>
      <c r="O5197">
        <v>0</v>
      </c>
    </row>
    <row r="5198" spans="1:16" x14ac:dyDescent="0.25">
      <c r="A5198" s="4">
        <v>45996</v>
      </c>
      <c r="B5198" t="s">
        <v>10</v>
      </c>
      <c r="C5198">
        <v>1</v>
      </c>
      <c r="F5198">
        <v>251</v>
      </c>
      <c r="J5198">
        <v>1.163</v>
      </c>
      <c r="K5198">
        <v>37.5</v>
      </c>
      <c r="L5198">
        <v>32.200000000000003</v>
      </c>
      <c r="M5198">
        <v>221</v>
      </c>
      <c r="N5198">
        <v>12</v>
      </c>
      <c r="O5198">
        <v>0</v>
      </c>
      <c r="P5198">
        <v>1</v>
      </c>
    </row>
    <row r="5199" spans="1:16" x14ac:dyDescent="0.25">
      <c r="A5199" s="4">
        <v>45996</v>
      </c>
      <c r="B5199" t="s">
        <v>9</v>
      </c>
      <c r="C5199">
        <v>1</v>
      </c>
      <c r="F5199">
        <v>111</v>
      </c>
      <c r="J5199">
        <v>0.46600000000000003</v>
      </c>
      <c r="K5199">
        <v>16.600000000000001</v>
      </c>
      <c r="L5199">
        <v>35.4</v>
      </c>
      <c r="M5199">
        <v>101</v>
      </c>
      <c r="N5199">
        <v>2</v>
      </c>
      <c r="O5199">
        <v>2</v>
      </c>
    </row>
    <row r="5200" spans="1:16" x14ac:dyDescent="0.25">
      <c r="A5200" s="4">
        <v>45999</v>
      </c>
      <c r="B5200" t="s">
        <v>10</v>
      </c>
      <c r="C5200">
        <v>1</v>
      </c>
      <c r="F5200">
        <v>300</v>
      </c>
      <c r="J5200">
        <v>1.1819999999999999</v>
      </c>
      <c r="K5200">
        <v>41.7</v>
      </c>
      <c r="L5200">
        <v>35.299999999999997</v>
      </c>
      <c r="M5200">
        <v>240</v>
      </c>
      <c r="N5200">
        <v>25</v>
      </c>
      <c r="O5200">
        <v>3</v>
      </c>
      <c r="P5200">
        <v>0</v>
      </c>
    </row>
    <row r="5201" spans="1:16" x14ac:dyDescent="0.25">
      <c r="A5201" s="4">
        <v>45999</v>
      </c>
      <c r="B5201" t="s">
        <v>9</v>
      </c>
      <c r="C5201">
        <v>1</v>
      </c>
      <c r="F5201">
        <v>155</v>
      </c>
      <c r="J5201">
        <v>0.56499999999999995</v>
      </c>
      <c r="K5201">
        <v>21.5</v>
      </c>
      <c r="L5201">
        <v>37.1</v>
      </c>
      <c r="M5201">
        <v>129</v>
      </c>
      <c r="N5201">
        <v>10</v>
      </c>
      <c r="O5201">
        <v>2</v>
      </c>
      <c r="P5201">
        <v>0</v>
      </c>
    </row>
    <row r="5202" spans="1:16" x14ac:dyDescent="0.25">
      <c r="A5202" s="4">
        <v>46000</v>
      </c>
      <c r="B5202" t="s">
        <v>10</v>
      </c>
      <c r="C5202">
        <v>1</v>
      </c>
      <c r="F5202">
        <v>314</v>
      </c>
      <c r="J5202">
        <v>1.238</v>
      </c>
      <c r="K5202">
        <v>43.6</v>
      </c>
      <c r="L5202">
        <v>35.200000000000003</v>
      </c>
      <c r="M5202">
        <v>241</v>
      </c>
      <c r="N5202">
        <v>24</v>
      </c>
      <c r="O5202">
        <v>6</v>
      </c>
      <c r="P5202">
        <v>1</v>
      </c>
    </row>
    <row r="5203" spans="1:16" x14ac:dyDescent="0.25">
      <c r="A5203" s="4">
        <v>46000</v>
      </c>
      <c r="B5203" t="s">
        <v>9</v>
      </c>
      <c r="C5203">
        <v>1</v>
      </c>
      <c r="F5203">
        <v>142</v>
      </c>
      <c r="J5203">
        <v>0.53200000000000003</v>
      </c>
      <c r="K5203">
        <v>19.7</v>
      </c>
      <c r="L5203">
        <v>37.1</v>
      </c>
      <c r="M5203">
        <v>103</v>
      </c>
      <c r="N5203">
        <v>7</v>
      </c>
      <c r="O5203">
        <v>4</v>
      </c>
      <c r="P5203">
        <v>1</v>
      </c>
    </row>
    <row r="5204" spans="1:16" x14ac:dyDescent="0.25">
      <c r="A5204" s="4">
        <v>46001</v>
      </c>
      <c r="B5204" t="s">
        <v>10</v>
      </c>
      <c r="C5204">
        <v>1</v>
      </c>
      <c r="F5204">
        <v>347</v>
      </c>
      <c r="J5204">
        <v>1.29</v>
      </c>
      <c r="K5204">
        <v>48.2</v>
      </c>
      <c r="L5204">
        <v>37.4</v>
      </c>
      <c r="M5204">
        <v>250</v>
      </c>
      <c r="N5204">
        <v>20</v>
      </c>
      <c r="O5204">
        <v>10</v>
      </c>
      <c r="P5204">
        <v>3</v>
      </c>
    </row>
    <row r="5205" spans="1:16" x14ac:dyDescent="0.25">
      <c r="A5205" s="4">
        <v>46001</v>
      </c>
      <c r="B5205" t="s">
        <v>9</v>
      </c>
      <c r="C5205">
        <v>1</v>
      </c>
      <c r="F5205">
        <v>101</v>
      </c>
      <c r="J5205">
        <v>0.39200000000000002</v>
      </c>
      <c r="K5205">
        <v>14</v>
      </c>
      <c r="L5205">
        <v>35.799999999999997</v>
      </c>
      <c r="M5205">
        <v>97</v>
      </c>
      <c r="N5205">
        <v>2</v>
      </c>
      <c r="O5205">
        <v>0</v>
      </c>
      <c r="P5205">
        <v>0</v>
      </c>
    </row>
    <row r="5206" spans="1:16" x14ac:dyDescent="0.25">
      <c r="A5206" s="4">
        <v>46002</v>
      </c>
      <c r="B5206" t="s">
        <v>10</v>
      </c>
      <c r="C5206">
        <v>1</v>
      </c>
      <c r="F5206">
        <v>264</v>
      </c>
      <c r="J5206">
        <v>1.163</v>
      </c>
      <c r="K5206">
        <v>41.9</v>
      </c>
      <c r="L5206">
        <v>36</v>
      </c>
      <c r="M5206">
        <v>200</v>
      </c>
      <c r="N5206">
        <v>22</v>
      </c>
      <c r="O5206">
        <v>5</v>
      </c>
      <c r="P5206">
        <v>0</v>
      </c>
    </row>
    <row r="5207" spans="1:16" x14ac:dyDescent="0.25">
      <c r="A5207" s="4">
        <v>46002</v>
      </c>
      <c r="B5207" t="s">
        <v>9</v>
      </c>
      <c r="C5207">
        <v>1</v>
      </c>
      <c r="F5207">
        <v>126</v>
      </c>
      <c r="J5207">
        <v>0.52600000000000002</v>
      </c>
      <c r="K5207">
        <v>20</v>
      </c>
      <c r="L5207">
        <v>38</v>
      </c>
      <c r="M5207">
        <v>104</v>
      </c>
      <c r="N5207">
        <v>7</v>
      </c>
      <c r="O5207">
        <v>2</v>
      </c>
      <c r="P5207">
        <v>0</v>
      </c>
    </row>
    <row r="5208" spans="1:16" x14ac:dyDescent="0.25">
      <c r="A5208" s="4">
        <v>46003</v>
      </c>
      <c r="B5208" t="s">
        <v>10</v>
      </c>
      <c r="C5208">
        <v>1</v>
      </c>
      <c r="F5208">
        <v>252</v>
      </c>
      <c r="J5208">
        <v>1.28</v>
      </c>
      <c r="K5208">
        <v>45.8</v>
      </c>
      <c r="L5208">
        <v>35.799999999999997</v>
      </c>
      <c r="M5208">
        <v>195</v>
      </c>
      <c r="N5208">
        <v>18</v>
      </c>
      <c r="O5208">
        <v>4</v>
      </c>
      <c r="P5208">
        <v>1</v>
      </c>
    </row>
    <row r="5209" spans="1:16" x14ac:dyDescent="0.25">
      <c r="A5209" s="4">
        <v>46003</v>
      </c>
      <c r="B5209" t="s">
        <v>9</v>
      </c>
      <c r="C5209">
        <v>1</v>
      </c>
      <c r="F5209">
        <v>98</v>
      </c>
      <c r="J5209">
        <v>0.504</v>
      </c>
      <c r="K5209">
        <v>17.8</v>
      </c>
      <c r="L5209">
        <v>35.4</v>
      </c>
      <c r="M5209">
        <v>90</v>
      </c>
      <c r="N5209">
        <v>4</v>
      </c>
      <c r="O5209">
        <v>0</v>
      </c>
      <c r="P5209">
        <v>0</v>
      </c>
    </row>
    <row r="5210" spans="1:16" x14ac:dyDescent="0.25">
      <c r="A5210" s="4">
        <v>46006</v>
      </c>
      <c r="B5210" t="s">
        <v>10</v>
      </c>
      <c r="C5210">
        <v>1</v>
      </c>
      <c r="F5210">
        <v>287</v>
      </c>
      <c r="J5210">
        <v>1.202</v>
      </c>
      <c r="K5210">
        <v>45.6</v>
      </c>
      <c r="L5210">
        <v>37.9</v>
      </c>
      <c r="M5210">
        <v>198</v>
      </c>
      <c r="N5210">
        <v>18</v>
      </c>
      <c r="O5210">
        <v>3</v>
      </c>
      <c r="P5210">
        <v>6</v>
      </c>
    </row>
    <row r="5211" spans="1:16" x14ac:dyDescent="0.25">
      <c r="A5211" s="4">
        <v>46006</v>
      </c>
      <c r="B5211" t="s">
        <v>9</v>
      </c>
      <c r="C5211">
        <v>1</v>
      </c>
      <c r="F5211">
        <v>115</v>
      </c>
      <c r="J5211">
        <v>0.51200000000000001</v>
      </c>
      <c r="K5211">
        <v>18.3</v>
      </c>
      <c r="L5211">
        <v>35.6</v>
      </c>
      <c r="M5211">
        <v>96</v>
      </c>
      <c r="N5211">
        <v>8</v>
      </c>
      <c r="O5211">
        <v>1</v>
      </c>
    </row>
    <row r="5212" spans="1:16" x14ac:dyDescent="0.25">
      <c r="A5212" s="4">
        <v>46007</v>
      </c>
      <c r="B5212" t="s">
        <v>10</v>
      </c>
      <c r="C5212">
        <v>1</v>
      </c>
      <c r="F5212">
        <v>287</v>
      </c>
      <c r="J5212">
        <v>1.1160000000000001</v>
      </c>
      <c r="K5212">
        <v>39.9</v>
      </c>
      <c r="L5212">
        <v>35.700000000000003</v>
      </c>
      <c r="M5212">
        <v>220</v>
      </c>
      <c r="N5212">
        <v>24</v>
      </c>
      <c r="O5212">
        <v>6</v>
      </c>
    </row>
    <row r="5213" spans="1:16" x14ac:dyDescent="0.25">
      <c r="A5213" s="4">
        <v>46008</v>
      </c>
      <c r="B5213" t="s">
        <v>9</v>
      </c>
      <c r="C5213">
        <v>1</v>
      </c>
      <c r="F5213">
        <v>161</v>
      </c>
      <c r="J5213">
        <v>0.61599999999999999</v>
      </c>
      <c r="K5213">
        <v>22.4</v>
      </c>
      <c r="L5213">
        <v>36.299999999999997</v>
      </c>
      <c r="M5213">
        <v>137</v>
      </c>
      <c r="N5213">
        <v>9</v>
      </c>
      <c r="O5213">
        <v>2</v>
      </c>
    </row>
    <row r="5214" spans="1:16" x14ac:dyDescent="0.25">
      <c r="A5214" s="4">
        <v>46009</v>
      </c>
      <c r="B5214" t="s">
        <v>10</v>
      </c>
      <c r="C5214">
        <v>1</v>
      </c>
      <c r="F5214">
        <v>303</v>
      </c>
      <c r="J5214">
        <v>1.2370000000000001</v>
      </c>
      <c r="K5214">
        <v>42.1</v>
      </c>
      <c r="L5214">
        <v>34</v>
      </c>
      <c r="M5214">
        <v>270</v>
      </c>
      <c r="N5214">
        <v>12</v>
      </c>
      <c r="O5214">
        <v>3</v>
      </c>
    </row>
    <row r="5215" spans="1:16" x14ac:dyDescent="0.25">
      <c r="A5215" s="4">
        <v>46010</v>
      </c>
      <c r="B5215" t="s">
        <v>9</v>
      </c>
      <c r="C5215">
        <v>1</v>
      </c>
      <c r="F5215">
        <v>148</v>
      </c>
      <c r="J5215">
        <v>0.55900000000000005</v>
      </c>
      <c r="K5215">
        <v>20.100000000000001</v>
      </c>
      <c r="L5215">
        <v>36.799999999999997</v>
      </c>
      <c r="M5215">
        <v>130</v>
      </c>
      <c r="N5215">
        <v>7</v>
      </c>
      <c r="O5215">
        <v>1</v>
      </c>
    </row>
    <row r="5216" spans="1:16" x14ac:dyDescent="0.25">
      <c r="A5216" s="4">
        <v>46011</v>
      </c>
      <c r="B5216" t="s">
        <v>10</v>
      </c>
      <c r="C5216">
        <v>1</v>
      </c>
      <c r="F5216">
        <v>170</v>
      </c>
      <c r="J5216">
        <v>0.98599999999999999</v>
      </c>
      <c r="K5216">
        <v>34</v>
      </c>
      <c r="L5216">
        <v>34.5</v>
      </c>
      <c r="M5216">
        <v>144</v>
      </c>
      <c r="N5216">
        <v>11</v>
      </c>
      <c r="O5216">
        <v>1</v>
      </c>
    </row>
    <row r="5217" spans="1:16" x14ac:dyDescent="0.25">
      <c r="A5217" s="4">
        <v>46012</v>
      </c>
      <c r="B5217" t="s">
        <v>9</v>
      </c>
      <c r="C5217">
        <v>1</v>
      </c>
      <c r="F5217">
        <v>100</v>
      </c>
      <c r="J5217">
        <v>0.54500000000000004</v>
      </c>
      <c r="K5217">
        <v>20</v>
      </c>
      <c r="L5217">
        <v>36.700000000000003</v>
      </c>
      <c r="M5217">
        <v>82</v>
      </c>
      <c r="N5217">
        <v>5</v>
      </c>
      <c r="O5217">
        <v>2</v>
      </c>
    </row>
    <row r="5218" spans="1:16" x14ac:dyDescent="0.25">
      <c r="A5218" s="4">
        <v>46013</v>
      </c>
      <c r="B5218" t="s">
        <v>10</v>
      </c>
      <c r="C5218">
        <v>1</v>
      </c>
      <c r="F5218">
        <v>170</v>
      </c>
      <c r="J5218">
        <v>0.88</v>
      </c>
      <c r="K5218">
        <v>30.9</v>
      </c>
      <c r="L5218">
        <v>35.1</v>
      </c>
      <c r="M5218">
        <v>138</v>
      </c>
      <c r="N5218">
        <v>13</v>
      </c>
      <c r="O5218">
        <v>2</v>
      </c>
    </row>
    <row r="5219" spans="1:16" x14ac:dyDescent="0.25">
      <c r="A5219" s="4">
        <v>46014</v>
      </c>
      <c r="B5219" t="s">
        <v>9</v>
      </c>
      <c r="C5219">
        <v>1</v>
      </c>
      <c r="F5219">
        <v>69</v>
      </c>
      <c r="J5219">
        <v>0.34499999999999997</v>
      </c>
      <c r="K5219">
        <v>12.6</v>
      </c>
      <c r="L5219">
        <v>36.299999999999997</v>
      </c>
      <c r="M5219">
        <v>55</v>
      </c>
      <c r="N5219">
        <v>7</v>
      </c>
      <c r="O5219">
        <v>0</v>
      </c>
    </row>
    <row r="5220" spans="1:16" x14ac:dyDescent="0.25">
      <c r="A5220" s="4">
        <v>46015</v>
      </c>
      <c r="B5220" t="s">
        <v>10</v>
      </c>
      <c r="C5220">
        <v>1</v>
      </c>
      <c r="F5220">
        <v>273</v>
      </c>
      <c r="J5220">
        <v>1.1439999999999999</v>
      </c>
      <c r="K5220">
        <v>37.9</v>
      </c>
      <c r="L5220">
        <v>33.1</v>
      </c>
      <c r="M5220">
        <v>243</v>
      </c>
      <c r="N5220">
        <v>12</v>
      </c>
      <c r="O5220">
        <v>2</v>
      </c>
      <c r="P5220">
        <v>0</v>
      </c>
    </row>
    <row r="5221" spans="1:16" x14ac:dyDescent="0.25">
      <c r="A5221" s="4">
        <v>46016</v>
      </c>
      <c r="B5221" t="s">
        <v>9</v>
      </c>
      <c r="C5221">
        <v>1</v>
      </c>
      <c r="F5221">
        <v>99</v>
      </c>
      <c r="J5221">
        <v>0.38600000000000001</v>
      </c>
      <c r="K5221">
        <v>13.8</v>
      </c>
      <c r="L5221">
        <v>35.6</v>
      </c>
      <c r="M5221">
        <v>82</v>
      </c>
      <c r="N5221">
        <v>7</v>
      </c>
      <c r="O5221">
        <v>1</v>
      </c>
      <c r="P5221">
        <v>0</v>
      </c>
    </row>
    <row r="5222" spans="1:16" x14ac:dyDescent="0.25">
      <c r="A5222" s="4">
        <v>46017</v>
      </c>
      <c r="B5222" t="s">
        <v>10</v>
      </c>
      <c r="C5222">
        <v>1</v>
      </c>
      <c r="F5222">
        <v>302</v>
      </c>
      <c r="J5222">
        <v>1.1779999999999999</v>
      </c>
      <c r="K5222">
        <v>41.9</v>
      </c>
      <c r="L5222">
        <v>35.6</v>
      </c>
      <c r="M5222">
        <v>233</v>
      </c>
      <c r="N5222">
        <v>20</v>
      </c>
      <c r="O5222">
        <v>8</v>
      </c>
      <c r="P5222">
        <v>0</v>
      </c>
    </row>
    <row r="5223" spans="1:16" x14ac:dyDescent="0.25">
      <c r="A5223" s="4">
        <v>46018</v>
      </c>
      <c r="B5223" t="s">
        <v>9</v>
      </c>
      <c r="C5223">
        <v>1</v>
      </c>
      <c r="F5223">
        <v>6</v>
      </c>
      <c r="J5223">
        <v>2.5999999999999999E-2</v>
      </c>
      <c r="K5223">
        <v>0.83</v>
      </c>
      <c r="L5223">
        <v>31.9</v>
      </c>
      <c r="M5223">
        <v>6</v>
      </c>
      <c r="N5223">
        <v>0</v>
      </c>
      <c r="O5223">
        <v>0</v>
      </c>
      <c r="P5223">
        <v>0</v>
      </c>
    </row>
    <row r="5224" spans="1:16" x14ac:dyDescent="0.25">
      <c r="A5224" s="4">
        <v>46020</v>
      </c>
      <c r="B5224" t="s">
        <v>10</v>
      </c>
      <c r="C5224">
        <v>1</v>
      </c>
      <c r="F5224">
        <v>219</v>
      </c>
      <c r="J5224">
        <v>1.18</v>
      </c>
      <c r="K5224">
        <v>40.6</v>
      </c>
      <c r="L5224">
        <v>34.4</v>
      </c>
      <c r="M5224">
        <v>188</v>
      </c>
      <c r="N5224">
        <v>8</v>
      </c>
      <c r="O5224">
        <v>4</v>
      </c>
      <c r="P5224">
        <v>0</v>
      </c>
    </row>
    <row r="5225" spans="1:16" x14ac:dyDescent="0.25">
      <c r="A5225" s="4">
        <v>46020</v>
      </c>
      <c r="B5225" t="s">
        <v>9</v>
      </c>
      <c r="C5225">
        <v>1</v>
      </c>
      <c r="F5225">
        <v>33</v>
      </c>
      <c r="J5225">
        <v>0.161</v>
      </c>
      <c r="K5225">
        <v>6.1</v>
      </c>
      <c r="L5225">
        <v>37.9</v>
      </c>
      <c r="M5225">
        <v>27</v>
      </c>
      <c r="N5225">
        <v>3</v>
      </c>
      <c r="O5225">
        <v>0</v>
      </c>
      <c r="P5225">
        <v>0</v>
      </c>
    </row>
    <row r="5226" spans="1:16" x14ac:dyDescent="0.25">
      <c r="A5226" s="4">
        <v>46021</v>
      </c>
      <c r="B5226" t="s">
        <v>10</v>
      </c>
      <c r="C5226">
        <v>1</v>
      </c>
      <c r="F5226">
        <v>188</v>
      </c>
      <c r="J5226">
        <v>0.96799999999999997</v>
      </c>
      <c r="K5226">
        <v>35.5</v>
      </c>
      <c r="L5226">
        <v>36.700000000000003</v>
      </c>
      <c r="M5226">
        <v>143</v>
      </c>
      <c r="N5226">
        <v>10</v>
      </c>
      <c r="O5226">
        <v>5</v>
      </c>
      <c r="P5226">
        <v>1</v>
      </c>
    </row>
    <row r="5227" spans="1:16" x14ac:dyDescent="0.25">
      <c r="A5227" s="4">
        <v>46021</v>
      </c>
      <c r="B5227" t="s">
        <v>9</v>
      </c>
      <c r="C5227">
        <v>1</v>
      </c>
      <c r="F5227">
        <v>51</v>
      </c>
      <c r="J5227">
        <v>0.26300000000000001</v>
      </c>
      <c r="K5227">
        <v>9.6</v>
      </c>
      <c r="L5227">
        <v>36.6</v>
      </c>
      <c r="M5227">
        <v>43</v>
      </c>
      <c r="N5227">
        <v>2</v>
      </c>
      <c r="O5227">
        <v>1</v>
      </c>
      <c r="P5227">
        <v>1</v>
      </c>
    </row>
    <row r="5228" spans="1:16" x14ac:dyDescent="0.25">
      <c r="A5228" s="4">
        <v>46022</v>
      </c>
      <c r="B5228" t="s">
        <v>10</v>
      </c>
      <c r="C5228">
        <v>1</v>
      </c>
      <c r="F5228">
        <v>219</v>
      </c>
      <c r="J5228">
        <v>1.1080000000000001</v>
      </c>
      <c r="K5228">
        <v>14.3</v>
      </c>
      <c r="L5228">
        <v>37.299999999999997</v>
      </c>
      <c r="M5228">
        <v>159</v>
      </c>
      <c r="N5228">
        <v>16</v>
      </c>
      <c r="O5228">
        <v>7</v>
      </c>
      <c r="P5228">
        <v>0</v>
      </c>
    </row>
    <row r="5229" spans="1:16" x14ac:dyDescent="0.25">
      <c r="A5229" s="4">
        <v>46022</v>
      </c>
      <c r="B5229" t="s">
        <v>9</v>
      </c>
      <c r="C5229">
        <v>1</v>
      </c>
      <c r="F5229">
        <v>66</v>
      </c>
      <c r="J5229">
        <v>0.316</v>
      </c>
      <c r="K5229">
        <v>12.5</v>
      </c>
      <c r="L5229">
        <v>39.4</v>
      </c>
      <c r="M5229">
        <v>55</v>
      </c>
      <c r="N5229">
        <v>2</v>
      </c>
      <c r="O5229">
        <v>2</v>
      </c>
      <c r="P5229">
        <v>0</v>
      </c>
    </row>
    <row r="5230" spans="1:16" x14ac:dyDescent="0.25">
      <c r="A5230" s="4">
        <v>46023</v>
      </c>
      <c r="B5230" t="s">
        <v>10</v>
      </c>
      <c r="C5230">
        <v>1</v>
      </c>
      <c r="F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</row>
    <row r="5231" spans="1:16" x14ac:dyDescent="0.25">
      <c r="A5231" s="4">
        <v>46023</v>
      </c>
      <c r="B5231" t="s">
        <v>9</v>
      </c>
      <c r="C5231">
        <v>1</v>
      </c>
      <c r="F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</row>
    <row r="5232" spans="1:16" x14ac:dyDescent="0.25">
      <c r="A5232" s="4">
        <v>46024</v>
      </c>
      <c r="B5232" t="s">
        <v>10</v>
      </c>
      <c r="C5232">
        <v>1</v>
      </c>
      <c r="F5232">
        <v>0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</row>
    <row r="5233" spans="1:16" x14ac:dyDescent="0.25">
      <c r="A5233" s="4">
        <v>46024</v>
      </c>
      <c r="B5233" t="s">
        <v>9</v>
      </c>
      <c r="C5233">
        <v>1</v>
      </c>
      <c r="F5233">
        <v>46</v>
      </c>
      <c r="J5233">
        <v>0.33</v>
      </c>
      <c r="K5233">
        <v>12.4</v>
      </c>
      <c r="L5233">
        <v>37.700000000000003</v>
      </c>
      <c r="M5233">
        <v>41</v>
      </c>
      <c r="N5233">
        <v>1</v>
      </c>
      <c r="O5233">
        <v>1</v>
      </c>
      <c r="P5233">
        <v>0</v>
      </c>
    </row>
    <row r="5234" spans="1:16" x14ac:dyDescent="0.25">
      <c r="A5234" s="4">
        <v>46027</v>
      </c>
      <c r="B5234" t="s">
        <v>10</v>
      </c>
      <c r="C5234">
        <v>1</v>
      </c>
      <c r="F5234">
        <v>279</v>
      </c>
      <c r="J5234">
        <v>1.095</v>
      </c>
      <c r="K5234">
        <v>38.799999999999997</v>
      </c>
      <c r="L5234">
        <v>35.799999999999997</v>
      </c>
      <c r="M5234">
        <v>230</v>
      </c>
      <c r="N5234">
        <v>16</v>
      </c>
      <c r="O5234">
        <v>3</v>
      </c>
      <c r="P5234">
        <v>1</v>
      </c>
    </row>
    <row r="5235" spans="1:16" x14ac:dyDescent="0.25">
      <c r="A5235" s="4">
        <v>46027</v>
      </c>
      <c r="B5235" t="s">
        <v>9</v>
      </c>
      <c r="C5235">
        <v>1</v>
      </c>
      <c r="F5235">
        <v>122</v>
      </c>
      <c r="J5235">
        <v>0.47399999999999998</v>
      </c>
      <c r="K5235">
        <v>17</v>
      </c>
      <c r="L5235">
        <v>35.4</v>
      </c>
      <c r="M5235">
        <v>108</v>
      </c>
      <c r="N5235">
        <v>7</v>
      </c>
      <c r="O5235">
        <v>0</v>
      </c>
    </row>
    <row r="5236" spans="1:16" x14ac:dyDescent="0.25">
      <c r="A5236" s="4">
        <v>46028</v>
      </c>
      <c r="B5236" t="s">
        <v>10</v>
      </c>
      <c r="C5236">
        <v>1</v>
      </c>
      <c r="F5236">
        <v>207</v>
      </c>
      <c r="J5236">
        <v>1.1060000000000001</v>
      </c>
      <c r="K5236">
        <v>39.1</v>
      </c>
      <c r="L5236">
        <v>35.299999999999997</v>
      </c>
      <c r="M5236">
        <v>162</v>
      </c>
      <c r="N5236">
        <v>16</v>
      </c>
      <c r="O5236">
        <v>4</v>
      </c>
    </row>
    <row r="5237" spans="1:16" x14ac:dyDescent="0.25">
      <c r="A5237" s="4">
        <v>46028</v>
      </c>
      <c r="B5237" t="s">
        <v>9</v>
      </c>
      <c r="C5237">
        <v>1</v>
      </c>
      <c r="F5237">
        <v>94</v>
      </c>
      <c r="J5237">
        <v>0.499</v>
      </c>
      <c r="K5237">
        <v>17.7</v>
      </c>
      <c r="L5237">
        <v>35.6</v>
      </c>
      <c r="M5237">
        <v>86</v>
      </c>
      <c r="N5237">
        <v>4</v>
      </c>
      <c r="O5237">
        <v>0</v>
      </c>
    </row>
    <row r="5238" spans="1:16" x14ac:dyDescent="0.25">
      <c r="A5238" s="4">
        <v>46029</v>
      </c>
      <c r="B5238" t="s">
        <v>10</v>
      </c>
      <c r="C5238">
        <v>1</v>
      </c>
      <c r="F5238">
        <v>259</v>
      </c>
      <c r="J5238">
        <v>1.153</v>
      </c>
      <c r="K5238">
        <v>41.8</v>
      </c>
      <c r="L5238">
        <v>36.200000000000003</v>
      </c>
      <c r="M5238">
        <v>217</v>
      </c>
      <c r="N5238">
        <v>10</v>
      </c>
      <c r="O5238">
        <v>6</v>
      </c>
    </row>
    <row r="5239" spans="1:16" x14ac:dyDescent="0.25">
      <c r="A5239" s="4">
        <v>46029</v>
      </c>
      <c r="B5239" t="s">
        <v>9</v>
      </c>
      <c r="C5239">
        <v>1</v>
      </c>
      <c r="F5239">
        <v>135</v>
      </c>
      <c r="J5239">
        <v>0.58099999999999996</v>
      </c>
      <c r="K5239">
        <v>21.8</v>
      </c>
      <c r="L5239">
        <v>21.8</v>
      </c>
      <c r="M5239">
        <v>117</v>
      </c>
      <c r="N5239">
        <v>6</v>
      </c>
      <c r="O5239">
        <v>2</v>
      </c>
    </row>
    <row r="5240" spans="1:16" x14ac:dyDescent="0.25">
      <c r="A5240" s="4">
        <v>46030</v>
      </c>
      <c r="B5240" t="s">
        <v>10</v>
      </c>
      <c r="C5240">
        <v>1</v>
      </c>
      <c r="F5240">
        <v>299</v>
      </c>
      <c r="J5240">
        <v>1.151</v>
      </c>
      <c r="K5240">
        <v>41.5</v>
      </c>
      <c r="L5240">
        <v>36.1</v>
      </c>
      <c r="M5240">
        <v>232</v>
      </c>
      <c r="N5240">
        <v>15</v>
      </c>
      <c r="O5240">
        <v>7</v>
      </c>
      <c r="P5240">
        <v>2</v>
      </c>
    </row>
    <row r="5241" spans="1:16" x14ac:dyDescent="0.25">
      <c r="A5241" s="4">
        <v>46030</v>
      </c>
      <c r="B5241" t="s">
        <v>9</v>
      </c>
      <c r="C5241">
        <v>1</v>
      </c>
      <c r="F5241">
        <v>163</v>
      </c>
      <c r="J5241">
        <v>0.48099999999999998</v>
      </c>
      <c r="K5241">
        <v>22.6</v>
      </c>
      <c r="L5241">
        <v>47.1</v>
      </c>
      <c r="M5241">
        <v>90</v>
      </c>
      <c r="N5241">
        <v>6</v>
      </c>
      <c r="O5241">
        <v>7</v>
      </c>
      <c r="P5241">
        <v>4</v>
      </c>
    </row>
    <row r="5242" spans="1:16" x14ac:dyDescent="0.25">
      <c r="A5242" s="4">
        <v>46031</v>
      </c>
      <c r="B5242" t="s">
        <v>10</v>
      </c>
      <c r="C5242">
        <v>1</v>
      </c>
      <c r="F5242">
        <v>227</v>
      </c>
      <c r="J5242">
        <v>1.2969999999999999</v>
      </c>
      <c r="K5242">
        <v>45.4</v>
      </c>
      <c r="L5242">
        <v>35</v>
      </c>
      <c r="M5242">
        <v>189</v>
      </c>
      <c r="N5242">
        <v>14</v>
      </c>
      <c r="O5242">
        <v>3</v>
      </c>
    </row>
    <row r="5243" spans="1:16" x14ac:dyDescent="0.25">
      <c r="A5243" s="4">
        <v>46031</v>
      </c>
      <c r="B5243" t="s">
        <v>9</v>
      </c>
      <c r="C5243">
        <v>1</v>
      </c>
      <c r="F5243">
        <v>118</v>
      </c>
      <c r="J5243">
        <v>0.61899999999999999</v>
      </c>
      <c r="K5243">
        <v>23.6</v>
      </c>
      <c r="L5243">
        <v>38.1</v>
      </c>
      <c r="M5243">
        <v>90</v>
      </c>
      <c r="N5243">
        <v>4</v>
      </c>
      <c r="O5243">
        <v>3</v>
      </c>
      <c r="P5243">
        <v>1</v>
      </c>
    </row>
    <row r="5244" spans="1:16" x14ac:dyDescent="0.25">
      <c r="A5244" s="4">
        <v>46034</v>
      </c>
      <c r="B5244" t="s">
        <v>10</v>
      </c>
      <c r="C5244">
        <v>1</v>
      </c>
      <c r="F5244">
        <v>248</v>
      </c>
      <c r="J5244">
        <v>1.264</v>
      </c>
      <c r="K5244">
        <v>45.1</v>
      </c>
      <c r="L5244">
        <v>35.700000000000003</v>
      </c>
      <c r="M5244">
        <v>199</v>
      </c>
      <c r="N5244">
        <v>21</v>
      </c>
      <c r="O5244">
        <v>2</v>
      </c>
      <c r="P5244">
        <v>0</v>
      </c>
    </row>
    <row r="5245" spans="1:16" x14ac:dyDescent="0.25">
      <c r="A5245" s="4">
        <v>46034</v>
      </c>
      <c r="B5245" t="s">
        <v>9</v>
      </c>
      <c r="C5245">
        <v>1</v>
      </c>
      <c r="F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</row>
    <row r="5246" spans="1:16" x14ac:dyDescent="0.25">
      <c r="A5246" s="4">
        <v>46035</v>
      </c>
      <c r="B5246" t="s">
        <v>10</v>
      </c>
      <c r="C5246">
        <v>1</v>
      </c>
      <c r="F5246">
        <v>292</v>
      </c>
      <c r="J5246">
        <v>1.151</v>
      </c>
      <c r="K5246">
        <v>40.6</v>
      </c>
      <c r="L5246">
        <v>35.200000000000003</v>
      </c>
      <c r="M5246">
        <v>221</v>
      </c>
      <c r="N5246">
        <v>24</v>
      </c>
      <c r="O5246">
        <v>4</v>
      </c>
      <c r="P5246">
        <v>1</v>
      </c>
    </row>
    <row r="5247" spans="1:16" x14ac:dyDescent="0.25">
      <c r="A5247" s="4">
        <v>46035</v>
      </c>
      <c r="B5247" t="s">
        <v>9</v>
      </c>
      <c r="C5247">
        <v>1</v>
      </c>
      <c r="F5247">
        <v>162</v>
      </c>
      <c r="J5247">
        <v>0.60299999999999998</v>
      </c>
      <c r="K5247">
        <v>22.5</v>
      </c>
      <c r="L5247">
        <v>37.299999999999997</v>
      </c>
      <c r="M5247">
        <v>117</v>
      </c>
      <c r="N5247">
        <v>21</v>
      </c>
      <c r="O5247">
        <v>1</v>
      </c>
      <c r="P5247">
        <v>0</v>
      </c>
    </row>
    <row r="5248" spans="1:16" x14ac:dyDescent="0.25">
      <c r="A5248" s="4">
        <v>46036</v>
      </c>
      <c r="B5248" t="s">
        <v>10</v>
      </c>
      <c r="C5248">
        <v>1</v>
      </c>
      <c r="F5248">
        <v>274</v>
      </c>
      <c r="J5248">
        <v>1.2490000000000001</v>
      </c>
      <c r="K5248">
        <v>43.5</v>
      </c>
      <c r="L5248">
        <v>34.799999999999997</v>
      </c>
      <c r="M5248">
        <v>229</v>
      </c>
      <c r="N5248">
        <v>14</v>
      </c>
      <c r="O5248">
        <v>3</v>
      </c>
      <c r="P5248">
        <v>1</v>
      </c>
    </row>
    <row r="5249" spans="1:16" x14ac:dyDescent="0.25">
      <c r="A5249" s="4">
        <v>46036</v>
      </c>
      <c r="B5249" t="s">
        <v>9</v>
      </c>
      <c r="C5249">
        <v>1</v>
      </c>
      <c r="F5249">
        <v>139</v>
      </c>
      <c r="J5249">
        <v>0.60299999999999998</v>
      </c>
      <c r="K5249">
        <v>22.1</v>
      </c>
      <c r="L5249">
        <v>36.6</v>
      </c>
      <c r="M5249">
        <v>114</v>
      </c>
      <c r="N5249">
        <v>11</v>
      </c>
      <c r="O5249">
        <v>1</v>
      </c>
      <c r="P5249">
        <v>0</v>
      </c>
    </row>
    <row r="5250" spans="1:16" x14ac:dyDescent="0.25">
      <c r="A5250" s="4">
        <v>46037</v>
      </c>
      <c r="B5250" t="s">
        <v>10</v>
      </c>
      <c r="C5250">
        <v>1</v>
      </c>
      <c r="F5250">
        <v>249</v>
      </c>
      <c r="J5250">
        <v>1.141</v>
      </c>
      <c r="K5250">
        <v>39.5</v>
      </c>
      <c r="L5250">
        <v>34.6</v>
      </c>
      <c r="M5250">
        <v>207</v>
      </c>
      <c r="N5250">
        <v>12</v>
      </c>
      <c r="O5250">
        <v>3</v>
      </c>
      <c r="P5250">
        <v>1</v>
      </c>
    </row>
    <row r="5251" spans="1:16" x14ac:dyDescent="0.25">
      <c r="A5251" s="4">
        <v>46037</v>
      </c>
      <c r="B5251" t="s">
        <v>9</v>
      </c>
      <c r="C5251">
        <v>1</v>
      </c>
      <c r="F5251">
        <v>118</v>
      </c>
      <c r="J5251">
        <v>0.47299999999999998</v>
      </c>
      <c r="K5251">
        <v>18.7</v>
      </c>
      <c r="L5251">
        <v>39.6</v>
      </c>
      <c r="M5251">
        <v>91</v>
      </c>
      <c r="N5251">
        <v>7</v>
      </c>
      <c r="O5251">
        <v>1</v>
      </c>
      <c r="P5251">
        <v>1</v>
      </c>
    </row>
    <row r="5252" spans="1:16" x14ac:dyDescent="0.25">
      <c r="A5252" s="4">
        <v>46038</v>
      </c>
      <c r="B5252" t="s">
        <v>10</v>
      </c>
      <c r="C5252">
        <v>1</v>
      </c>
      <c r="F5252">
        <v>266</v>
      </c>
      <c r="J5252">
        <v>1.159</v>
      </c>
      <c r="K5252">
        <v>40.9</v>
      </c>
      <c r="L5252">
        <v>35.299999999999997</v>
      </c>
      <c r="M5252">
        <v>194</v>
      </c>
      <c r="N5252">
        <v>25</v>
      </c>
      <c r="O5252">
        <v>6</v>
      </c>
      <c r="P5252">
        <v>0</v>
      </c>
    </row>
    <row r="5253" spans="1:16" x14ac:dyDescent="0.25">
      <c r="A5253" s="4">
        <v>46038</v>
      </c>
      <c r="B5253" t="s">
        <v>9</v>
      </c>
      <c r="C5253">
        <v>1</v>
      </c>
      <c r="F5253">
        <v>100</v>
      </c>
      <c r="J5253">
        <v>0.39200000000000002</v>
      </c>
      <c r="K5253">
        <v>15.4</v>
      </c>
      <c r="L5253">
        <v>39.299999999999997</v>
      </c>
      <c r="M5253">
        <v>70</v>
      </c>
      <c r="N5253">
        <v>5</v>
      </c>
      <c r="O5253">
        <v>2</v>
      </c>
      <c r="P5253">
        <v>2</v>
      </c>
    </row>
    <row r="5254" spans="1:16" x14ac:dyDescent="0.25">
      <c r="A5254" s="4">
        <v>46041</v>
      </c>
      <c r="B5254" t="s">
        <v>10</v>
      </c>
      <c r="C5254">
        <v>1</v>
      </c>
      <c r="F5254">
        <v>237</v>
      </c>
      <c r="J5254">
        <v>1.2529999999999999</v>
      </c>
      <c r="K5254">
        <v>43.1</v>
      </c>
      <c r="L5254">
        <v>34.4</v>
      </c>
      <c r="M5254">
        <v>195</v>
      </c>
      <c r="N5254">
        <v>11</v>
      </c>
      <c r="O5254">
        <v>4</v>
      </c>
      <c r="P5254">
        <v>1</v>
      </c>
    </row>
    <row r="5255" spans="1:16" x14ac:dyDescent="0.25">
      <c r="A5255" s="4">
        <v>46041</v>
      </c>
      <c r="B5255" t="s">
        <v>9</v>
      </c>
      <c r="C5255">
        <v>1</v>
      </c>
      <c r="F5255">
        <v>116</v>
      </c>
      <c r="J5255">
        <v>0.58099999999999996</v>
      </c>
      <c r="K5255">
        <v>21.1</v>
      </c>
      <c r="L5255">
        <v>36.299999999999997</v>
      </c>
      <c r="M5255">
        <v>96</v>
      </c>
      <c r="N5255">
        <v>4</v>
      </c>
      <c r="O5255">
        <v>4</v>
      </c>
      <c r="P5255">
        <v>0</v>
      </c>
    </row>
    <row r="5256" spans="1:16" x14ac:dyDescent="0.25">
      <c r="A5256" s="4">
        <v>46042</v>
      </c>
      <c r="B5256" t="s">
        <v>10</v>
      </c>
      <c r="C5256">
        <v>1</v>
      </c>
      <c r="F5256">
        <v>309</v>
      </c>
      <c r="J5256">
        <v>1.21</v>
      </c>
      <c r="K5256">
        <v>42.9</v>
      </c>
      <c r="L5256">
        <v>35.5</v>
      </c>
      <c r="M5256">
        <v>258</v>
      </c>
      <c r="N5256">
        <v>17</v>
      </c>
      <c r="O5256">
        <v>3</v>
      </c>
      <c r="P5256">
        <v>1</v>
      </c>
    </row>
    <row r="5257" spans="1:16" x14ac:dyDescent="0.25">
      <c r="A5257" s="4">
        <v>46042</v>
      </c>
      <c r="B5257" t="s">
        <v>9</v>
      </c>
      <c r="C5257">
        <v>1</v>
      </c>
      <c r="F5257">
        <v>148</v>
      </c>
      <c r="J5257">
        <v>0.55000000000000004</v>
      </c>
      <c r="K5257">
        <v>20.6</v>
      </c>
      <c r="L5257">
        <v>37.4</v>
      </c>
      <c r="M5257">
        <v>107</v>
      </c>
      <c r="N5257">
        <v>11</v>
      </c>
      <c r="O5257">
        <v>6</v>
      </c>
      <c r="P5257">
        <v>0</v>
      </c>
    </row>
    <row r="5258" spans="1:16" x14ac:dyDescent="0.25">
      <c r="A5258" s="4">
        <v>46043</v>
      </c>
      <c r="B5258" t="s">
        <v>10</v>
      </c>
      <c r="C5258">
        <v>1</v>
      </c>
      <c r="F5258">
        <v>333</v>
      </c>
      <c r="J5258">
        <v>1.325</v>
      </c>
      <c r="K5258">
        <v>46.3</v>
      </c>
      <c r="L5258">
        <v>34.9</v>
      </c>
      <c r="M5258">
        <v>271</v>
      </c>
      <c r="N5258">
        <v>24</v>
      </c>
      <c r="O5258">
        <v>4</v>
      </c>
      <c r="P5258">
        <v>0</v>
      </c>
    </row>
    <row r="5259" spans="1:16" x14ac:dyDescent="0.25">
      <c r="A5259" s="4">
        <v>46043</v>
      </c>
      <c r="B5259" t="s">
        <v>9</v>
      </c>
      <c r="C5259">
        <v>1</v>
      </c>
      <c r="F5259">
        <v>96</v>
      </c>
      <c r="J5259">
        <v>0.46300000000000002</v>
      </c>
      <c r="K5259">
        <v>17.5</v>
      </c>
      <c r="L5259">
        <v>37.700000000000003</v>
      </c>
      <c r="M5259">
        <v>90</v>
      </c>
      <c r="N5259">
        <v>3</v>
      </c>
      <c r="O5259">
        <v>0</v>
      </c>
      <c r="P5259">
        <v>0</v>
      </c>
    </row>
    <row r="5260" spans="1:16" x14ac:dyDescent="0.25">
      <c r="A5260" s="4">
        <v>46044</v>
      </c>
      <c r="B5260" t="s">
        <v>10</v>
      </c>
      <c r="C5260">
        <v>1</v>
      </c>
      <c r="F5260">
        <v>278</v>
      </c>
      <c r="J5260">
        <v>1.1930000000000001</v>
      </c>
      <c r="K5260">
        <v>41.5</v>
      </c>
      <c r="L5260">
        <v>34.799999999999997</v>
      </c>
      <c r="M5260">
        <v>227</v>
      </c>
      <c r="N5260">
        <v>21</v>
      </c>
      <c r="O5260">
        <v>1</v>
      </c>
      <c r="P5260">
        <v>1</v>
      </c>
    </row>
    <row r="5261" spans="1:16" x14ac:dyDescent="0.25">
      <c r="A5261" s="4">
        <v>46044</v>
      </c>
      <c r="B5261" t="s">
        <v>9</v>
      </c>
      <c r="C5261">
        <v>1</v>
      </c>
      <c r="F5261">
        <v>76</v>
      </c>
      <c r="J5261">
        <v>0.29799999999999999</v>
      </c>
      <c r="K5261">
        <v>11.3</v>
      </c>
      <c r="L5261">
        <v>38.1</v>
      </c>
      <c r="M5261">
        <v>65</v>
      </c>
      <c r="N5261">
        <v>4</v>
      </c>
      <c r="O5261">
        <v>1</v>
      </c>
      <c r="P5261">
        <v>0</v>
      </c>
    </row>
    <row r="5262" spans="1:16" x14ac:dyDescent="0.25">
      <c r="A5262" s="4">
        <v>46045</v>
      </c>
      <c r="B5262" t="s">
        <v>10</v>
      </c>
      <c r="C5262">
        <v>1</v>
      </c>
      <c r="F5262">
        <v>286</v>
      </c>
      <c r="J5262">
        <v>1.337</v>
      </c>
      <c r="K5262">
        <v>46.8</v>
      </c>
      <c r="L5262">
        <v>35.1</v>
      </c>
      <c r="M5262">
        <v>227</v>
      </c>
      <c r="N5262">
        <v>18</v>
      </c>
      <c r="O5262">
        <v>3</v>
      </c>
      <c r="P5262">
        <v>2</v>
      </c>
    </row>
    <row r="5263" spans="1:16" x14ac:dyDescent="0.25">
      <c r="A5263" s="4">
        <v>46045</v>
      </c>
      <c r="B5263" t="s">
        <v>9</v>
      </c>
      <c r="C5263">
        <v>1</v>
      </c>
      <c r="F5263">
        <v>60</v>
      </c>
      <c r="J5263">
        <v>0.50600000000000001</v>
      </c>
      <c r="K5263">
        <v>17.100000000000001</v>
      </c>
      <c r="L5263">
        <v>33.9</v>
      </c>
      <c r="M5263">
        <v>56</v>
      </c>
      <c r="N5263">
        <v>2</v>
      </c>
      <c r="O5263">
        <v>0</v>
      </c>
      <c r="P5263">
        <v>0</v>
      </c>
    </row>
    <row r="5264" spans="1:16" x14ac:dyDescent="0.25">
      <c r="A5264" s="4">
        <v>46048</v>
      </c>
      <c r="B5264" t="s">
        <v>10</v>
      </c>
      <c r="C5264">
        <v>1</v>
      </c>
      <c r="F5264">
        <v>281</v>
      </c>
      <c r="J5264">
        <v>1.2450000000000001</v>
      </c>
      <c r="K5264">
        <v>44.6</v>
      </c>
      <c r="L5264">
        <v>35.799999999999997</v>
      </c>
      <c r="M5264">
        <v>214</v>
      </c>
      <c r="N5264">
        <v>17</v>
      </c>
      <c r="O5264">
        <v>5</v>
      </c>
      <c r="P5264">
        <v>2</v>
      </c>
    </row>
    <row r="5265" spans="1:16" x14ac:dyDescent="0.25">
      <c r="A5265" s="4">
        <v>46048</v>
      </c>
      <c r="B5265" t="s">
        <v>9</v>
      </c>
      <c r="C5265">
        <v>1</v>
      </c>
      <c r="F5265">
        <v>118</v>
      </c>
      <c r="J5265">
        <v>0.60099999999999998</v>
      </c>
      <c r="K5265">
        <v>21.5</v>
      </c>
      <c r="L5265">
        <v>35.700000000000003</v>
      </c>
      <c r="M5265">
        <v>92</v>
      </c>
      <c r="N5265">
        <v>13</v>
      </c>
      <c r="O5265">
        <v>0</v>
      </c>
      <c r="P5265">
        <v>0</v>
      </c>
    </row>
    <row r="5266" spans="1:16" x14ac:dyDescent="0.25">
      <c r="A5266" s="4">
        <v>46049</v>
      </c>
      <c r="B5266" t="s">
        <v>10</v>
      </c>
      <c r="C5266">
        <v>1</v>
      </c>
      <c r="F5266">
        <v>190</v>
      </c>
      <c r="J5266">
        <v>1.0569999999999999</v>
      </c>
      <c r="K5266">
        <v>37.299999999999997</v>
      </c>
      <c r="L5266">
        <v>35.299999999999997</v>
      </c>
      <c r="M5266">
        <v>161</v>
      </c>
      <c r="N5266">
        <v>6</v>
      </c>
      <c r="O5266">
        <v>4</v>
      </c>
      <c r="P5266">
        <v>0</v>
      </c>
    </row>
    <row r="5267" spans="1:16" x14ac:dyDescent="0.25">
      <c r="A5267" s="4">
        <v>46049</v>
      </c>
      <c r="B5267" t="s">
        <v>9</v>
      </c>
      <c r="C5267">
        <v>1</v>
      </c>
      <c r="F5267">
        <v>119</v>
      </c>
      <c r="J5267">
        <v>0.58899999999999997</v>
      </c>
      <c r="K5267">
        <v>21.4</v>
      </c>
      <c r="L5267">
        <v>36.299999999999997</v>
      </c>
      <c r="M5267">
        <v>69</v>
      </c>
      <c r="N5267">
        <v>17</v>
      </c>
      <c r="O5267">
        <v>2</v>
      </c>
      <c r="P5267">
        <v>0</v>
      </c>
    </row>
    <row r="5268" spans="1:16" x14ac:dyDescent="0.25">
      <c r="A5268" s="4">
        <v>46050</v>
      </c>
      <c r="B5268" t="s">
        <v>10</v>
      </c>
      <c r="C5268">
        <v>1</v>
      </c>
      <c r="F5268">
        <v>316</v>
      </c>
      <c r="J5268">
        <v>1.1859999999999999</v>
      </c>
      <c r="K5268">
        <v>43.9</v>
      </c>
      <c r="L5268">
        <v>37</v>
      </c>
      <c r="M5268">
        <v>230</v>
      </c>
      <c r="N5268">
        <v>19</v>
      </c>
      <c r="O5268">
        <v>7</v>
      </c>
      <c r="P5268">
        <v>3</v>
      </c>
    </row>
    <row r="5269" spans="1:16" x14ac:dyDescent="0.25">
      <c r="A5269" s="4">
        <v>46050</v>
      </c>
      <c r="B5269" t="s">
        <v>9</v>
      </c>
      <c r="C5269">
        <v>1</v>
      </c>
      <c r="F5269">
        <v>171</v>
      </c>
      <c r="J5269">
        <v>0.66400000000000003</v>
      </c>
      <c r="K5269">
        <v>23.8</v>
      </c>
      <c r="L5269">
        <v>35.799999999999997</v>
      </c>
      <c r="M5269">
        <v>138</v>
      </c>
      <c r="N5269">
        <v>15</v>
      </c>
      <c r="O5269">
        <v>1</v>
      </c>
      <c r="P5269">
        <v>0</v>
      </c>
    </row>
    <row r="5270" spans="1:16" x14ac:dyDescent="0.25">
      <c r="A5270" s="4">
        <v>46051</v>
      </c>
      <c r="B5270" t="s">
        <v>10</v>
      </c>
      <c r="C5270">
        <v>1</v>
      </c>
      <c r="F5270">
        <v>295</v>
      </c>
      <c r="J5270">
        <v>1.165</v>
      </c>
      <c r="K5270">
        <v>41</v>
      </c>
      <c r="L5270">
        <v>35.200000000000003</v>
      </c>
      <c r="M5270">
        <v>240</v>
      </c>
      <c r="N5270">
        <v>18</v>
      </c>
      <c r="O5270">
        <v>6</v>
      </c>
      <c r="P5270">
        <v>0</v>
      </c>
    </row>
    <row r="5271" spans="1:16" x14ac:dyDescent="0.25">
      <c r="A5271" s="4">
        <v>46051</v>
      </c>
      <c r="B5271" t="s">
        <v>9</v>
      </c>
      <c r="C5271">
        <v>1</v>
      </c>
      <c r="F5271">
        <v>129</v>
      </c>
      <c r="J5271">
        <v>0.504</v>
      </c>
      <c r="K5271">
        <v>17.899999999999999</v>
      </c>
      <c r="L5271">
        <v>35.5</v>
      </c>
      <c r="M5271">
        <v>104</v>
      </c>
      <c r="N5271">
        <v>11</v>
      </c>
      <c r="O5271">
        <v>1</v>
      </c>
      <c r="P5271">
        <v>0</v>
      </c>
    </row>
    <row r="5272" spans="1:16" x14ac:dyDescent="0.25">
      <c r="A5272" s="4">
        <v>46052</v>
      </c>
      <c r="B5272" t="s">
        <v>10</v>
      </c>
      <c r="C5272">
        <v>1</v>
      </c>
      <c r="F5272">
        <v>291</v>
      </c>
      <c r="J5272">
        <v>1.256</v>
      </c>
      <c r="K5272">
        <v>42.8</v>
      </c>
      <c r="L5272">
        <v>34.1</v>
      </c>
      <c r="M5272">
        <v>252</v>
      </c>
      <c r="N5272">
        <v>16</v>
      </c>
      <c r="O5272">
        <v>2</v>
      </c>
      <c r="P5272">
        <v>0</v>
      </c>
    </row>
    <row r="5273" spans="1:16" x14ac:dyDescent="0.25">
      <c r="A5273" s="4">
        <v>46052</v>
      </c>
      <c r="B5273" t="s">
        <v>9</v>
      </c>
      <c r="C5273">
        <v>1</v>
      </c>
      <c r="F5273">
        <v>154</v>
      </c>
      <c r="J5273">
        <v>0.624</v>
      </c>
      <c r="K5273">
        <v>22.7</v>
      </c>
      <c r="L5273">
        <v>36.299999999999997</v>
      </c>
      <c r="M5273">
        <v>110</v>
      </c>
      <c r="N5273">
        <v>20</v>
      </c>
      <c r="O5273">
        <v>1</v>
      </c>
      <c r="P5273">
        <v>0</v>
      </c>
    </row>
    <row r="5274" spans="1:16" x14ac:dyDescent="0.25">
      <c r="A5274" s="4">
        <v>46055</v>
      </c>
      <c r="B5274" t="s">
        <v>10</v>
      </c>
      <c r="C5274">
        <v>1</v>
      </c>
      <c r="F5274">
        <v>215</v>
      </c>
      <c r="J5274">
        <v>1.093</v>
      </c>
      <c r="K5274">
        <v>40.6</v>
      </c>
      <c r="L5274">
        <v>37.1</v>
      </c>
      <c r="M5274">
        <v>167</v>
      </c>
      <c r="N5274">
        <v>12</v>
      </c>
      <c r="O5274">
        <v>8</v>
      </c>
      <c r="P5274">
        <v>0</v>
      </c>
    </row>
    <row r="5275" spans="1:16" x14ac:dyDescent="0.25">
      <c r="A5275" s="4">
        <v>46055</v>
      </c>
      <c r="B5275" t="s">
        <v>9</v>
      </c>
      <c r="C5275">
        <v>1</v>
      </c>
      <c r="F5275">
        <v>118</v>
      </c>
      <c r="J5275">
        <v>0.60499999999999998</v>
      </c>
      <c r="K5275">
        <v>22.3</v>
      </c>
      <c r="L5275">
        <v>36.799999999999997</v>
      </c>
      <c r="M5275">
        <v>89</v>
      </c>
      <c r="N5275">
        <v>7</v>
      </c>
      <c r="O5275">
        <v>5</v>
      </c>
      <c r="P5275">
        <v>1</v>
      </c>
    </row>
    <row r="5276" spans="1:16" x14ac:dyDescent="0.25">
      <c r="A5276" s="4">
        <v>46056</v>
      </c>
      <c r="B5276" t="s">
        <v>10</v>
      </c>
      <c r="C5276">
        <v>1</v>
      </c>
      <c r="F5276">
        <v>288</v>
      </c>
      <c r="J5276">
        <v>1.1379999999999999</v>
      </c>
      <c r="K5276">
        <v>40</v>
      </c>
      <c r="L5276">
        <v>35.1</v>
      </c>
      <c r="M5276">
        <v>215</v>
      </c>
      <c r="N5276">
        <v>25</v>
      </c>
      <c r="O5276">
        <v>5</v>
      </c>
      <c r="P5276">
        <v>1</v>
      </c>
    </row>
    <row r="5277" spans="1:16" x14ac:dyDescent="0.25">
      <c r="A5277" s="4">
        <v>46056</v>
      </c>
      <c r="B5277" t="s">
        <v>9</v>
      </c>
      <c r="C5277">
        <v>1</v>
      </c>
      <c r="F5277">
        <v>184</v>
      </c>
      <c r="J5277">
        <v>0.65600000000000003</v>
      </c>
      <c r="K5277">
        <v>25.6</v>
      </c>
      <c r="L5277">
        <v>25.6</v>
      </c>
      <c r="M5277">
        <v>141</v>
      </c>
      <c r="N5277">
        <v>10</v>
      </c>
      <c r="O5277">
        <v>5</v>
      </c>
      <c r="P5277">
        <v>0</v>
      </c>
    </row>
    <row r="5278" spans="1:16" x14ac:dyDescent="0.25">
      <c r="A5278" s="4">
        <v>46057</v>
      </c>
      <c r="B5278" t="s">
        <v>10</v>
      </c>
      <c r="C5278">
        <v>1</v>
      </c>
      <c r="F5278">
        <v>308</v>
      </c>
      <c r="J5278">
        <v>1.2130000000000001</v>
      </c>
      <c r="K5278">
        <v>42.8</v>
      </c>
      <c r="L5278">
        <v>35.299999999999997</v>
      </c>
      <c r="M5278">
        <v>266</v>
      </c>
      <c r="N5278">
        <v>18</v>
      </c>
      <c r="O5278">
        <v>2</v>
      </c>
      <c r="P5278">
        <v>0</v>
      </c>
    </row>
    <row r="5279" spans="1:16" x14ac:dyDescent="0.25">
      <c r="A5279" s="4">
        <v>46057</v>
      </c>
      <c r="B5279" t="s">
        <v>9</v>
      </c>
      <c r="C5279">
        <v>1</v>
      </c>
      <c r="F5279">
        <v>158</v>
      </c>
      <c r="J5279">
        <v>0.63300000000000001</v>
      </c>
      <c r="K5279">
        <v>21.9</v>
      </c>
      <c r="L5279">
        <v>34.6</v>
      </c>
      <c r="M5279">
        <v>132</v>
      </c>
      <c r="N5279">
        <v>11</v>
      </c>
      <c r="O5279">
        <v>1</v>
      </c>
      <c r="P5279">
        <v>0</v>
      </c>
    </row>
    <row r="5280" spans="1:16" x14ac:dyDescent="0.25">
      <c r="A5280" s="4">
        <v>46058</v>
      </c>
      <c r="B5280" t="s">
        <v>10</v>
      </c>
      <c r="C5280">
        <v>1</v>
      </c>
      <c r="F5280">
        <v>288</v>
      </c>
      <c r="J5280">
        <v>1.1599999999999999</v>
      </c>
      <c r="K5280">
        <v>40</v>
      </c>
      <c r="L5280">
        <v>34.5</v>
      </c>
      <c r="M5280">
        <v>244</v>
      </c>
      <c r="N5280">
        <v>17</v>
      </c>
      <c r="O5280">
        <v>3</v>
      </c>
      <c r="P5280">
        <v>0</v>
      </c>
    </row>
    <row r="5281" spans="1:16" x14ac:dyDescent="0.25">
      <c r="A5281" s="4">
        <v>46058</v>
      </c>
      <c r="B5281" t="s">
        <v>9</v>
      </c>
      <c r="C5281">
        <v>1</v>
      </c>
      <c r="F5281">
        <v>178</v>
      </c>
      <c r="J5281">
        <v>0.68</v>
      </c>
      <c r="K5281">
        <v>24.7</v>
      </c>
      <c r="L5281">
        <v>36.4</v>
      </c>
      <c r="M5281">
        <v>150</v>
      </c>
      <c r="N5281">
        <v>11</v>
      </c>
      <c r="O5281">
        <v>2</v>
      </c>
      <c r="P5281">
        <v>0</v>
      </c>
    </row>
    <row r="5282" spans="1:16" x14ac:dyDescent="0.25">
      <c r="A5282" s="4">
        <v>46059</v>
      </c>
      <c r="B5282" t="s">
        <v>10</v>
      </c>
      <c r="C5282">
        <v>1</v>
      </c>
      <c r="F5282">
        <v>261</v>
      </c>
      <c r="J5282">
        <v>1.33</v>
      </c>
      <c r="K5282">
        <v>49.3</v>
      </c>
      <c r="L5282">
        <v>37</v>
      </c>
      <c r="M5282">
        <v>180</v>
      </c>
      <c r="N5282">
        <v>22</v>
      </c>
      <c r="O5282">
        <v>10</v>
      </c>
      <c r="P5282">
        <v>0</v>
      </c>
    </row>
    <row r="5283" spans="1:16" x14ac:dyDescent="0.25">
      <c r="A5283" s="4">
        <v>46059</v>
      </c>
      <c r="B5283" t="s">
        <v>9</v>
      </c>
      <c r="C5283">
        <v>1</v>
      </c>
      <c r="F5283">
        <v>119</v>
      </c>
      <c r="J5283">
        <v>0.63400000000000001</v>
      </c>
      <c r="K5283">
        <v>22.5</v>
      </c>
      <c r="L5283">
        <v>35.4</v>
      </c>
      <c r="M5283">
        <v>103</v>
      </c>
      <c r="N5283">
        <v>8</v>
      </c>
      <c r="O5283">
        <v>0</v>
      </c>
      <c r="P5283">
        <v>0</v>
      </c>
    </row>
    <row r="5284" spans="1:16" x14ac:dyDescent="0.25">
      <c r="A5284" s="4">
        <v>46062</v>
      </c>
      <c r="B5284" t="s">
        <v>10</v>
      </c>
      <c r="C5284">
        <v>1</v>
      </c>
      <c r="F5284">
        <v>231</v>
      </c>
      <c r="J5284">
        <v>1.26</v>
      </c>
      <c r="K5284">
        <v>43.6</v>
      </c>
      <c r="L5284">
        <v>34.6</v>
      </c>
      <c r="M5284">
        <v>190</v>
      </c>
      <c r="N5284">
        <v>6</v>
      </c>
      <c r="O5284">
        <v>3</v>
      </c>
      <c r="P5284">
        <v>0</v>
      </c>
    </row>
    <row r="5285" spans="1:16" x14ac:dyDescent="0.25">
      <c r="A5285" s="4">
        <v>46062</v>
      </c>
      <c r="B5285" t="s">
        <v>9</v>
      </c>
      <c r="C5285">
        <v>1</v>
      </c>
      <c r="F5285">
        <v>114</v>
      </c>
      <c r="J5285">
        <v>0.65500000000000003</v>
      </c>
      <c r="K5285">
        <v>22.6</v>
      </c>
      <c r="L5285">
        <v>34.6</v>
      </c>
      <c r="M5285">
        <v>108</v>
      </c>
      <c r="N5285">
        <v>6</v>
      </c>
      <c r="O5285">
        <v>0</v>
      </c>
      <c r="P5285">
        <v>0</v>
      </c>
    </row>
    <row r="5286" spans="1:16" x14ac:dyDescent="0.25">
      <c r="A5286" s="4">
        <v>46063</v>
      </c>
      <c r="B5286" t="s">
        <v>10</v>
      </c>
      <c r="C5286">
        <v>1</v>
      </c>
      <c r="F5286">
        <v>228</v>
      </c>
      <c r="J5286">
        <v>1.208</v>
      </c>
      <c r="K5286">
        <v>43</v>
      </c>
      <c r="L5286">
        <v>35.6</v>
      </c>
      <c r="M5286">
        <v>177</v>
      </c>
      <c r="N5286">
        <v>16</v>
      </c>
      <c r="O5286">
        <v>6</v>
      </c>
      <c r="P5286">
        <v>0</v>
      </c>
    </row>
    <row r="5287" spans="1:16" x14ac:dyDescent="0.25">
      <c r="A5287" s="4">
        <v>46063</v>
      </c>
      <c r="B5287" t="s">
        <v>9</v>
      </c>
      <c r="C5287">
        <v>1</v>
      </c>
      <c r="F5287">
        <v>117</v>
      </c>
      <c r="J5287">
        <v>0.61699999999999999</v>
      </c>
      <c r="K5287">
        <v>22</v>
      </c>
      <c r="L5287">
        <v>35.799999999999997</v>
      </c>
      <c r="M5287">
        <v>98</v>
      </c>
      <c r="N5287">
        <v>8</v>
      </c>
      <c r="O5287">
        <v>1</v>
      </c>
      <c r="P5287">
        <v>0</v>
      </c>
    </row>
    <row r="5288" spans="1:16" x14ac:dyDescent="0.25">
      <c r="A5288" s="4">
        <v>46064</v>
      </c>
      <c r="B5288" t="s">
        <v>10</v>
      </c>
      <c r="C5288">
        <v>1</v>
      </c>
      <c r="F5288">
        <v>261</v>
      </c>
      <c r="J5288">
        <v>1.264</v>
      </c>
      <c r="K5288">
        <v>42.8</v>
      </c>
      <c r="L5288">
        <v>33.799999999999997</v>
      </c>
      <c r="M5288">
        <v>224</v>
      </c>
      <c r="N5288">
        <v>17</v>
      </c>
      <c r="O5288">
        <v>1</v>
      </c>
      <c r="P5288">
        <v>0</v>
      </c>
    </row>
    <row r="5289" spans="1:16" x14ac:dyDescent="0.25">
      <c r="A5289" s="4">
        <v>46064</v>
      </c>
      <c r="B5289" t="s">
        <v>9</v>
      </c>
      <c r="C5289">
        <v>1</v>
      </c>
      <c r="F5289">
        <v>131</v>
      </c>
      <c r="J5289">
        <v>0.61599999999999999</v>
      </c>
      <c r="K5289">
        <v>21.5</v>
      </c>
      <c r="L5289">
        <v>34.9</v>
      </c>
      <c r="M5289">
        <v>115</v>
      </c>
      <c r="N5289">
        <v>8</v>
      </c>
      <c r="O5289">
        <v>0</v>
      </c>
      <c r="P5289">
        <v>0</v>
      </c>
    </row>
    <row r="5290" spans="1:16" x14ac:dyDescent="0.25">
      <c r="A5290" s="4">
        <v>46065</v>
      </c>
      <c r="B5290" t="s">
        <v>10</v>
      </c>
      <c r="C5290">
        <v>1</v>
      </c>
      <c r="F5290">
        <v>233</v>
      </c>
      <c r="J5290">
        <v>1.28</v>
      </c>
      <c r="K5290">
        <v>44</v>
      </c>
      <c r="L5290">
        <v>34.4</v>
      </c>
      <c r="M5290">
        <v>201</v>
      </c>
      <c r="N5290">
        <v>10</v>
      </c>
      <c r="O5290">
        <v>4</v>
      </c>
      <c r="P5290">
        <v>0</v>
      </c>
    </row>
    <row r="5291" spans="1:16" x14ac:dyDescent="0.25">
      <c r="A5291" s="4">
        <v>46065</v>
      </c>
      <c r="B5291" t="s">
        <v>9</v>
      </c>
      <c r="C5291">
        <v>1</v>
      </c>
      <c r="F5291">
        <v>114</v>
      </c>
      <c r="J5291">
        <v>0.59599999999999997</v>
      </c>
      <c r="K5291">
        <v>21.5</v>
      </c>
      <c r="L5291">
        <v>36.1</v>
      </c>
      <c r="M5291">
        <v>107</v>
      </c>
      <c r="N5291">
        <v>2</v>
      </c>
      <c r="O5291">
        <v>1</v>
      </c>
      <c r="P5291">
        <v>0</v>
      </c>
    </row>
    <row r="5292" spans="1:16" x14ac:dyDescent="0.25">
      <c r="A5292" s="4">
        <v>46066</v>
      </c>
      <c r="B5292" t="s">
        <v>10</v>
      </c>
      <c r="C5292">
        <v>1</v>
      </c>
      <c r="F5292">
        <v>246</v>
      </c>
      <c r="J5292">
        <v>1.3120000000000001</v>
      </c>
      <c r="K5292">
        <v>46.4</v>
      </c>
      <c r="L5292">
        <v>35.4</v>
      </c>
      <c r="M5292">
        <v>168</v>
      </c>
      <c r="N5292">
        <v>32</v>
      </c>
      <c r="O5292">
        <v>4</v>
      </c>
      <c r="P5292">
        <v>0</v>
      </c>
    </row>
    <row r="5293" spans="1:16" x14ac:dyDescent="0.25">
      <c r="A5293" s="4">
        <v>46066</v>
      </c>
      <c r="B5293" t="s">
        <v>9</v>
      </c>
      <c r="C5293">
        <v>1</v>
      </c>
      <c r="F5293">
        <v>121</v>
      </c>
      <c r="J5293">
        <v>0.63600000000000001</v>
      </c>
      <c r="K5293">
        <v>22.8</v>
      </c>
      <c r="L5293">
        <v>35.9</v>
      </c>
      <c r="M5293">
        <v>105</v>
      </c>
      <c r="N5293">
        <v>6</v>
      </c>
      <c r="O5293">
        <v>1</v>
      </c>
      <c r="P5293">
        <v>0</v>
      </c>
    </row>
    <row r="5294" spans="1:16" x14ac:dyDescent="0.25">
      <c r="A5294" s="4">
        <v>46069</v>
      </c>
      <c r="B5294" t="s">
        <v>10</v>
      </c>
      <c r="C5294">
        <v>1</v>
      </c>
      <c r="F5294">
        <v>335</v>
      </c>
      <c r="J5294">
        <v>1.222</v>
      </c>
      <c r="K5294">
        <v>46.5</v>
      </c>
      <c r="L5294">
        <v>38.1</v>
      </c>
      <c r="M5294">
        <v>231</v>
      </c>
      <c r="N5294">
        <v>21</v>
      </c>
      <c r="O5294">
        <v>10</v>
      </c>
      <c r="P5294">
        <v>4</v>
      </c>
    </row>
    <row r="5295" spans="1:16" x14ac:dyDescent="0.25">
      <c r="A5295" s="4">
        <v>46069</v>
      </c>
      <c r="B5295" t="s">
        <v>9</v>
      </c>
      <c r="C5295">
        <v>1</v>
      </c>
      <c r="F5295">
        <v>112</v>
      </c>
      <c r="J5295">
        <v>0.41599999999999998</v>
      </c>
      <c r="K5295">
        <v>15.6</v>
      </c>
      <c r="L5295">
        <v>37.4</v>
      </c>
      <c r="M5295">
        <v>87</v>
      </c>
      <c r="N5295">
        <v>5</v>
      </c>
      <c r="O5295">
        <v>4</v>
      </c>
      <c r="P5295">
        <v>0</v>
      </c>
    </row>
    <row r="5296" spans="1:16" x14ac:dyDescent="0.25">
      <c r="A5296" s="4">
        <v>46070</v>
      </c>
      <c r="B5296" t="s">
        <v>10</v>
      </c>
      <c r="C5296">
        <v>1</v>
      </c>
      <c r="F5296">
        <v>355</v>
      </c>
      <c r="J5296">
        <v>1.2969999999999999</v>
      </c>
      <c r="K5296">
        <v>49.3</v>
      </c>
      <c r="L5296">
        <v>38</v>
      </c>
      <c r="M5296">
        <v>250</v>
      </c>
      <c r="N5296">
        <v>19</v>
      </c>
      <c r="O5296">
        <v>12</v>
      </c>
      <c r="P5296">
        <v>4</v>
      </c>
    </row>
    <row r="5297" spans="1:16" x14ac:dyDescent="0.25">
      <c r="A5297" s="4">
        <v>46070</v>
      </c>
      <c r="B5297" t="s">
        <v>9</v>
      </c>
      <c r="C5297">
        <v>1</v>
      </c>
      <c r="F5297">
        <v>167</v>
      </c>
      <c r="J5297">
        <v>0.627</v>
      </c>
      <c r="K5297">
        <v>23.2</v>
      </c>
      <c r="L5297">
        <v>37</v>
      </c>
      <c r="M5297">
        <v>139</v>
      </c>
      <c r="N5297">
        <v>6</v>
      </c>
      <c r="O5297">
        <v>3</v>
      </c>
      <c r="P5297">
        <v>1</v>
      </c>
    </row>
    <row r="5298" spans="1:16" x14ac:dyDescent="0.25">
      <c r="A5298" s="4">
        <v>46071</v>
      </c>
      <c r="B5298" t="s">
        <v>10</v>
      </c>
      <c r="C5298">
        <v>1</v>
      </c>
      <c r="F5298">
        <v>339</v>
      </c>
      <c r="J5298">
        <v>1.3149999999999999</v>
      </c>
      <c r="K5298">
        <v>47.1</v>
      </c>
      <c r="L5298">
        <v>35.799999999999997</v>
      </c>
      <c r="M5298">
        <v>259</v>
      </c>
      <c r="N5298">
        <v>28</v>
      </c>
      <c r="O5298">
        <v>5</v>
      </c>
      <c r="P5298">
        <v>1</v>
      </c>
    </row>
    <row r="5299" spans="1:16" x14ac:dyDescent="0.25">
      <c r="A5299" s="4">
        <v>46071</v>
      </c>
      <c r="B5299" t="s">
        <v>9</v>
      </c>
      <c r="C5299">
        <v>1</v>
      </c>
      <c r="F5299">
        <v>161</v>
      </c>
      <c r="J5299">
        <v>0.59799999999999998</v>
      </c>
      <c r="K5299">
        <v>22.4</v>
      </c>
      <c r="L5299">
        <v>37.4</v>
      </c>
      <c r="M5299">
        <v>125</v>
      </c>
      <c r="N5299">
        <v>9</v>
      </c>
      <c r="O5299">
        <v>3</v>
      </c>
      <c r="P5299">
        <v>1</v>
      </c>
    </row>
    <row r="5300" spans="1:16" x14ac:dyDescent="0.25">
      <c r="A5300" s="4">
        <v>46072</v>
      </c>
      <c r="B5300" t="s">
        <v>10</v>
      </c>
      <c r="C5300">
        <v>1</v>
      </c>
      <c r="F5300">
        <v>385</v>
      </c>
      <c r="J5300">
        <v>1.222</v>
      </c>
      <c r="K5300">
        <v>44.8</v>
      </c>
      <c r="L5300">
        <v>35.799999999999997</v>
      </c>
      <c r="M5300">
        <v>293</v>
      </c>
      <c r="N5300">
        <v>25</v>
      </c>
      <c r="O5300">
        <v>7</v>
      </c>
      <c r="P5300">
        <v>3</v>
      </c>
    </row>
    <row r="5301" spans="1:16" x14ac:dyDescent="0.25">
      <c r="A5301" s="4">
        <v>46072</v>
      </c>
      <c r="B5301" t="s">
        <v>9</v>
      </c>
      <c r="C5301">
        <v>1</v>
      </c>
      <c r="F5301">
        <v>162</v>
      </c>
      <c r="J5301">
        <v>0.47699999999999998</v>
      </c>
      <c r="K5301">
        <v>18.5</v>
      </c>
      <c r="L5301">
        <v>38.6</v>
      </c>
      <c r="M5301">
        <v>121</v>
      </c>
      <c r="N5301">
        <v>12</v>
      </c>
      <c r="O5301">
        <v>3</v>
      </c>
      <c r="P5301">
        <v>1</v>
      </c>
    </row>
    <row r="5302" spans="1:16" x14ac:dyDescent="0.25">
      <c r="A5302" s="4">
        <v>46073</v>
      </c>
      <c r="B5302" t="s">
        <v>10</v>
      </c>
      <c r="C5302">
        <v>1</v>
      </c>
      <c r="F5302">
        <v>361</v>
      </c>
      <c r="J5302">
        <v>1.234</v>
      </c>
      <c r="K5302">
        <v>46.9</v>
      </c>
      <c r="L5302">
        <v>38</v>
      </c>
      <c r="M5302">
        <v>255</v>
      </c>
      <c r="N5302">
        <v>24</v>
      </c>
      <c r="O5302">
        <v>9</v>
      </c>
      <c r="P5302">
        <v>4</v>
      </c>
    </row>
    <row r="5303" spans="1:16" x14ac:dyDescent="0.25">
      <c r="A5303" s="4">
        <v>46073</v>
      </c>
      <c r="B5303" t="s">
        <v>9</v>
      </c>
      <c r="C5303">
        <v>1</v>
      </c>
      <c r="F5303">
        <v>172</v>
      </c>
      <c r="J5303">
        <v>0.5</v>
      </c>
      <c r="K5303">
        <v>19.100000000000001</v>
      </c>
      <c r="L5303">
        <v>38.299999999999997</v>
      </c>
      <c r="M5303">
        <v>136</v>
      </c>
      <c r="N5303">
        <v>10</v>
      </c>
      <c r="O5303">
        <v>4</v>
      </c>
      <c r="P5303">
        <v>0</v>
      </c>
    </row>
    <row r="5304" spans="1:16" x14ac:dyDescent="0.25">
      <c r="A5304" s="4">
        <v>46076</v>
      </c>
      <c r="B5304" t="s">
        <v>10</v>
      </c>
      <c r="C5304">
        <v>1</v>
      </c>
      <c r="F5304">
        <v>294</v>
      </c>
      <c r="J5304">
        <v>1.149</v>
      </c>
      <c r="K5304">
        <v>40.799999999999997</v>
      </c>
      <c r="L5304">
        <v>35.5</v>
      </c>
      <c r="M5304">
        <v>229</v>
      </c>
      <c r="N5304">
        <v>25</v>
      </c>
      <c r="O5304">
        <v>4</v>
      </c>
      <c r="P5304">
        <v>0</v>
      </c>
    </row>
    <row r="5305" spans="1:16" x14ac:dyDescent="0.25">
      <c r="A5305" s="4">
        <v>46076</v>
      </c>
      <c r="B5305" t="s">
        <v>9</v>
      </c>
      <c r="C5305">
        <v>1</v>
      </c>
      <c r="F5305">
        <v>148</v>
      </c>
      <c r="J5305">
        <v>0.57299999999999995</v>
      </c>
      <c r="K5305">
        <v>20.6</v>
      </c>
      <c r="L5305">
        <v>35.9</v>
      </c>
      <c r="M5305">
        <v>131</v>
      </c>
      <c r="N5305">
        <v>7</v>
      </c>
      <c r="O5305">
        <v>1</v>
      </c>
      <c r="P5305">
        <v>0</v>
      </c>
    </row>
    <row r="5306" spans="1:16" x14ac:dyDescent="0.25">
      <c r="A5306" s="4">
        <v>46077</v>
      </c>
      <c r="B5306" t="s">
        <v>10</v>
      </c>
      <c r="C5306">
        <v>1</v>
      </c>
      <c r="F5306">
        <v>334</v>
      </c>
      <c r="J5306">
        <v>1.2549999999999999</v>
      </c>
      <c r="K5306">
        <v>46.4</v>
      </c>
      <c r="L5306">
        <v>37</v>
      </c>
      <c r="M5306">
        <v>229</v>
      </c>
      <c r="N5306">
        <v>26</v>
      </c>
      <c r="O5306">
        <v>8</v>
      </c>
      <c r="P5306">
        <v>2</v>
      </c>
    </row>
    <row r="5307" spans="1:16" x14ac:dyDescent="0.25">
      <c r="A5307" s="4">
        <v>46077</v>
      </c>
      <c r="B5307" t="s">
        <v>9</v>
      </c>
      <c r="C5307">
        <v>1</v>
      </c>
      <c r="F5307">
        <v>161</v>
      </c>
      <c r="J5307">
        <v>0.63700000000000001</v>
      </c>
      <c r="K5307">
        <v>22.4</v>
      </c>
      <c r="L5307">
        <v>35</v>
      </c>
      <c r="M5307">
        <v>139</v>
      </c>
      <c r="N5307">
        <v>7</v>
      </c>
      <c r="O5307">
        <v>2</v>
      </c>
      <c r="P5307">
        <v>0</v>
      </c>
    </row>
    <row r="5308" spans="1:16" x14ac:dyDescent="0.25">
      <c r="A5308" s="4">
        <v>46078</v>
      </c>
      <c r="B5308" t="s">
        <v>10</v>
      </c>
      <c r="C5308">
        <v>1</v>
      </c>
      <c r="F5308">
        <v>358</v>
      </c>
      <c r="J5308">
        <v>1.3069999999999999</v>
      </c>
      <c r="K5308">
        <v>44.7</v>
      </c>
      <c r="L5308">
        <v>38.1</v>
      </c>
      <c r="M5308">
        <v>231</v>
      </c>
      <c r="N5308">
        <v>38</v>
      </c>
      <c r="O5308">
        <v>9</v>
      </c>
      <c r="P5308">
        <v>2</v>
      </c>
    </row>
    <row r="5309" spans="1:16" x14ac:dyDescent="0.25">
      <c r="A5309" s="4">
        <v>46078</v>
      </c>
      <c r="B5309" t="s">
        <v>9</v>
      </c>
      <c r="C5309">
        <v>1</v>
      </c>
      <c r="F5309">
        <v>140</v>
      </c>
      <c r="J5309">
        <v>0.56100000000000005</v>
      </c>
      <c r="K5309">
        <v>19.399999999999999</v>
      </c>
      <c r="L5309">
        <v>34.700000000000003</v>
      </c>
      <c r="M5309">
        <v>124</v>
      </c>
      <c r="N5309">
        <v>5</v>
      </c>
      <c r="O5309">
        <v>2</v>
      </c>
      <c r="P5309">
        <v>0</v>
      </c>
    </row>
    <row r="5310" spans="1:16" x14ac:dyDescent="0.25">
      <c r="A5310" s="4">
        <v>46079</v>
      </c>
      <c r="B5310" t="s">
        <v>10</v>
      </c>
      <c r="C5310">
        <v>1</v>
      </c>
      <c r="F5310">
        <v>300</v>
      </c>
      <c r="J5310">
        <v>1.131</v>
      </c>
      <c r="K5310">
        <v>40</v>
      </c>
      <c r="L5310">
        <v>35.4</v>
      </c>
      <c r="M5310">
        <v>251</v>
      </c>
      <c r="N5310">
        <v>19</v>
      </c>
      <c r="O5310">
        <v>3</v>
      </c>
      <c r="P5310">
        <v>0</v>
      </c>
    </row>
    <row r="5311" spans="1:16" x14ac:dyDescent="0.25">
      <c r="A5311" s="4">
        <v>46079</v>
      </c>
      <c r="B5311" t="s">
        <v>9</v>
      </c>
      <c r="C5311">
        <v>1</v>
      </c>
      <c r="F5311">
        <v>131</v>
      </c>
      <c r="J5311">
        <v>0.48399999999999999</v>
      </c>
      <c r="K5311">
        <v>17.5</v>
      </c>
      <c r="L5311">
        <v>36.1</v>
      </c>
      <c r="M5311">
        <v>99</v>
      </c>
      <c r="N5311">
        <v>11</v>
      </c>
      <c r="O5311">
        <v>3</v>
      </c>
      <c r="P5311">
        <v>0</v>
      </c>
    </row>
    <row r="5312" spans="1:16" x14ac:dyDescent="0.25">
      <c r="A5312" s="4">
        <v>46080</v>
      </c>
      <c r="B5312" t="s">
        <v>10</v>
      </c>
      <c r="C5312">
        <v>1</v>
      </c>
      <c r="F5312">
        <v>323</v>
      </c>
      <c r="J5312">
        <v>1.2809999999999999</v>
      </c>
      <c r="K5312">
        <v>44.9</v>
      </c>
      <c r="L5312">
        <v>36</v>
      </c>
      <c r="M5312">
        <v>265</v>
      </c>
      <c r="N5312">
        <v>17</v>
      </c>
      <c r="O5312">
        <v>6</v>
      </c>
      <c r="P5312">
        <v>1</v>
      </c>
    </row>
    <row r="5313" spans="1:16" x14ac:dyDescent="0.25">
      <c r="A5313" s="4">
        <v>46080</v>
      </c>
      <c r="B5313" t="s">
        <v>9</v>
      </c>
      <c r="C5313">
        <v>1</v>
      </c>
      <c r="F5313">
        <v>138</v>
      </c>
      <c r="J5313">
        <v>0.55000000000000004</v>
      </c>
      <c r="K5313">
        <v>19.2</v>
      </c>
      <c r="L5313">
        <v>34.9</v>
      </c>
      <c r="M5313">
        <v>110</v>
      </c>
      <c r="N5313">
        <v>11</v>
      </c>
      <c r="O5313">
        <v>2</v>
      </c>
      <c r="P5313">
        <v>0</v>
      </c>
    </row>
    <row r="5314" spans="1:16" x14ac:dyDescent="0.25">
      <c r="A5314" s="4">
        <v>46083</v>
      </c>
      <c r="B5314" t="s">
        <v>10</v>
      </c>
      <c r="C5314">
        <v>1</v>
      </c>
      <c r="F5314">
        <v>308</v>
      </c>
      <c r="J5314">
        <v>1.1359999999999999</v>
      </c>
      <c r="K5314">
        <v>42.8</v>
      </c>
      <c r="L5314">
        <v>37.700000000000003</v>
      </c>
      <c r="M5314">
        <v>210</v>
      </c>
      <c r="N5314">
        <v>34</v>
      </c>
      <c r="O5314">
        <v>7</v>
      </c>
      <c r="P5314">
        <v>1</v>
      </c>
    </row>
    <row r="5315" spans="1:16" x14ac:dyDescent="0.25">
      <c r="A5315" s="4">
        <v>46083</v>
      </c>
      <c r="B5315" t="s">
        <v>9</v>
      </c>
      <c r="C5315">
        <v>1</v>
      </c>
      <c r="F5315">
        <v>146</v>
      </c>
      <c r="J5315">
        <v>0.52200000000000002</v>
      </c>
      <c r="K5315">
        <v>20.3</v>
      </c>
      <c r="L5315">
        <v>38.799999999999997</v>
      </c>
      <c r="M5315">
        <v>117</v>
      </c>
      <c r="N5315">
        <v>12</v>
      </c>
      <c r="O5315">
        <v>1</v>
      </c>
      <c r="P5315">
        <v>0</v>
      </c>
    </row>
    <row r="5316" spans="1:16" x14ac:dyDescent="0.25">
      <c r="A5316" s="4">
        <v>46084</v>
      </c>
      <c r="B5316" t="s">
        <v>10</v>
      </c>
      <c r="C5316">
        <v>1</v>
      </c>
      <c r="F5316">
        <v>371</v>
      </c>
      <c r="J5316">
        <v>1.133</v>
      </c>
      <c r="K5316">
        <v>41.7</v>
      </c>
      <c r="L5316">
        <v>36.799999999999997</v>
      </c>
      <c r="M5316">
        <v>267</v>
      </c>
      <c r="N5316">
        <v>40</v>
      </c>
      <c r="O5316">
        <v>7</v>
      </c>
      <c r="P5316">
        <v>0</v>
      </c>
    </row>
    <row r="5317" spans="1:16" x14ac:dyDescent="0.25">
      <c r="A5317" s="4">
        <v>46084</v>
      </c>
      <c r="B5317" t="s">
        <v>9</v>
      </c>
      <c r="C5317">
        <v>1</v>
      </c>
      <c r="F5317">
        <v>145</v>
      </c>
      <c r="J5317">
        <v>0.442</v>
      </c>
      <c r="K5317">
        <v>16.3</v>
      </c>
      <c r="L5317">
        <v>36.9</v>
      </c>
      <c r="M5317">
        <v>120</v>
      </c>
      <c r="N5317">
        <v>11</v>
      </c>
      <c r="O5317">
        <v>1</v>
      </c>
      <c r="P5317">
        <v>0</v>
      </c>
    </row>
    <row r="5318" spans="1:16" x14ac:dyDescent="0.25">
      <c r="A5318" s="4">
        <v>46085</v>
      </c>
      <c r="B5318" t="s">
        <v>10</v>
      </c>
      <c r="C5318">
        <v>1</v>
      </c>
      <c r="F5318">
        <v>410</v>
      </c>
      <c r="J5318">
        <v>1.2230000000000001</v>
      </c>
      <c r="K5318">
        <v>46.1</v>
      </c>
      <c r="L5318">
        <v>37.700000000000003</v>
      </c>
      <c r="M5318">
        <v>290</v>
      </c>
      <c r="N5318">
        <v>33</v>
      </c>
      <c r="O5318">
        <v>7</v>
      </c>
      <c r="P5318">
        <v>5</v>
      </c>
    </row>
    <row r="5319" spans="1:16" x14ac:dyDescent="0.25">
      <c r="A5319" s="4">
        <v>46085</v>
      </c>
      <c r="B5319" t="s">
        <v>9</v>
      </c>
      <c r="C5319">
        <v>1</v>
      </c>
      <c r="F5319">
        <v>160</v>
      </c>
      <c r="J5319">
        <v>0.45200000000000001</v>
      </c>
      <c r="K5319">
        <v>18</v>
      </c>
      <c r="L5319">
        <v>39.799999999999997</v>
      </c>
      <c r="M5319">
        <v>115</v>
      </c>
      <c r="N5319">
        <v>17</v>
      </c>
      <c r="O5319">
        <v>3</v>
      </c>
      <c r="P5319">
        <v>0</v>
      </c>
    </row>
    <row r="5320" spans="1:16" x14ac:dyDescent="0.25">
      <c r="A5320" s="4">
        <v>46086</v>
      </c>
      <c r="B5320" t="s">
        <v>10</v>
      </c>
      <c r="C5320">
        <v>1</v>
      </c>
      <c r="F5320">
        <v>377</v>
      </c>
      <c r="J5320">
        <v>1.175</v>
      </c>
      <c r="K5320">
        <v>43.3</v>
      </c>
      <c r="L5320">
        <v>36.9</v>
      </c>
      <c r="M5320">
        <v>269</v>
      </c>
      <c r="N5320">
        <v>31</v>
      </c>
      <c r="O5320">
        <v>11</v>
      </c>
      <c r="P5320">
        <v>1</v>
      </c>
    </row>
    <row r="5321" spans="1:16" x14ac:dyDescent="0.25">
      <c r="A5321" s="4">
        <v>46086</v>
      </c>
      <c r="B5321" t="s">
        <v>9</v>
      </c>
      <c r="C5321">
        <v>1</v>
      </c>
      <c r="F5321">
        <v>91</v>
      </c>
      <c r="J5321">
        <v>0.27200000000000002</v>
      </c>
      <c r="K5321">
        <v>10.5</v>
      </c>
      <c r="L5321">
        <v>38.5</v>
      </c>
      <c r="M5321">
        <v>76</v>
      </c>
      <c r="N5321">
        <v>5</v>
      </c>
      <c r="O5321">
        <v>1</v>
      </c>
      <c r="P5321">
        <v>0</v>
      </c>
    </row>
    <row r="5322" spans="1:16" x14ac:dyDescent="0.25">
      <c r="A5322" s="4">
        <v>46087</v>
      </c>
      <c r="B5322" t="s">
        <v>10</v>
      </c>
      <c r="C5322">
        <v>1</v>
      </c>
      <c r="F5322">
        <v>388</v>
      </c>
      <c r="J5322">
        <v>1.1910000000000001</v>
      </c>
      <c r="K5322">
        <v>43.6</v>
      </c>
      <c r="L5322">
        <v>36.6</v>
      </c>
      <c r="M5322">
        <v>280</v>
      </c>
      <c r="N5322">
        <v>35</v>
      </c>
      <c r="O5322">
        <v>8</v>
      </c>
      <c r="P5322">
        <v>2</v>
      </c>
    </row>
    <row r="5323" spans="1:16" x14ac:dyDescent="0.25">
      <c r="A5323" s="4">
        <v>46087</v>
      </c>
      <c r="B5323" t="s">
        <v>9</v>
      </c>
      <c r="C5323">
        <v>1</v>
      </c>
      <c r="F5323">
        <v>194</v>
      </c>
      <c r="J5323">
        <v>0.443</v>
      </c>
      <c r="K5323">
        <v>21.8</v>
      </c>
      <c r="L5323">
        <v>49.2</v>
      </c>
      <c r="M5323">
        <v>69</v>
      </c>
      <c r="N5323">
        <v>6</v>
      </c>
      <c r="O5323">
        <v>37</v>
      </c>
      <c r="P5323">
        <v>0</v>
      </c>
    </row>
    <row r="5324" spans="1:16" x14ac:dyDescent="0.25">
      <c r="A5324" s="4">
        <v>46088</v>
      </c>
      <c r="B5324" t="s">
        <v>10</v>
      </c>
      <c r="C5324">
        <v>1</v>
      </c>
      <c r="F5324">
        <v>229</v>
      </c>
      <c r="J5324">
        <v>1.1080000000000001</v>
      </c>
      <c r="K5324">
        <v>41.6</v>
      </c>
      <c r="L5324">
        <v>37.6</v>
      </c>
      <c r="M5324">
        <v>207</v>
      </c>
      <c r="N5324">
        <v>8</v>
      </c>
      <c r="O5324">
        <v>2</v>
      </c>
      <c r="P5324">
        <v>0</v>
      </c>
    </row>
    <row r="5325" spans="1:16" x14ac:dyDescent="0.25">
      <c r="A5325" s="4">
        <v>46088</v>
      </c>
      <c r="B5325" t="s">
        <v>9</v>
      </c>
      <c r="C5325">
        <v>1</v>
      </c>
      <c r="F5325">
        <v>110</v>
      </c>
      <c r="J5325">
        <v>0.52900000000000003</v>
      </c>
      <c r="K5325">
        <v>20</v>
      </c>
      <c r="L5325">
        <v>37.799999999999997</v>
      </c>
      <c r="M5325">
        <v>104</v>
      </c>
      <c r="N5325">
        <v>3</v>
      </c>
      <c r="O5325">
        <v>0</v>
      </c>
      <c r="P5325">
        <v>0</v>
      </c>
    </row>
    <row r="5326" spans="1:16" x14ac:dyDescent="0.25">
      <c r="A5326" s="4">
        <v>46090</v>
      </c>
      <c r="B5326" t="s">
        <v>10</v>
      </c>
      <c r="C5326">
        <v>1</v>
      </c>
      <c r="F5326">
        <v>243</v>
      </c>
      <c r="J5326">
        <v>1.2769999999999999</v>
      </c>
      <c r="K5326">
        <v>44.2</v>
      </c>
      <c r="L5326">
        <v>34.6</v>
      </c>
      <c r="M5326">
        <v>184</v>
      </c>
      <c r="N5326">
        <v>14</v>
      </c>
      <c r="O5326">
        <v>10</v>
      </c>
      <c r="P5326">
        <v>0</v>
      </c>
    </row>
    <row r="5327" spans="1:16" x14ac:dyDescent="0.25">
      <c r="A5327" s="4">
        <v>46090</v>
      </c>
      <c r="B5327" t="s">
        <v>9</v>
      </c>
      <c r="C5327">
        <v>1</v>
      </c>
      <c r="F5327">
        <v>93</v>
      </c>
      <c r="J5327">
        <v>0.46899999999999997</v>
      </c>
      <c r="K5327">
        <v>16.899999999999999</v>
      </c>
      <c r="L5327">
        <v>36</v>
      </c>
      <c r="M5327">
        <v>83</v>
      </c>
      <c r="N5327">
        <v>5</v>
      </c>
      <c r="O5327">
        <v>0</v>
      </c>
      <c r="P5327">
        <v>0</v>
      </c>
    </row>
    <row r="5328" spans="1:16" x14ac:dyDescent="0.25">
      <c r="A5328" s="4">
        <v>46091</v>
      </c>
      <c r="B5328" t="s">
        <v>10</v>
      </c>
      <c r="C5328">
        <v>1</v>
      </c>
      <c r="F5328">
        <v>381</v>
      </c>
      <c r="J5328">
        <v>1.2190000000000001</v>
      </c>
      <c r="K5328">
        <v>43.8</v>
      </c>
      <c r="L5328">
        <v>36</v>
      </c>
      <c r="M5328">
        <v>272</v>
      </c>
      <c r="N5328">
        <v>37</v>
      </c>
      <c r="O5328">
        <v>7</v>
      </c>
      <c r="P5328">
        <v>2</v>
      </c>
    </row>
    <row r="5329" spans="1:16" x14ac:dyDescent="0.25">
      <c r="A5329" s="4">
        <v>46091</v>
      </c>
      <c r="B5329" t="s">
        <v>9</v>
      </c>
      <c r="C5329">
        <v>1</v>
      </c>
      <c r="F5329">
        <v>136</v>
      </c>
      <c r="J5329">
        <v>0.39900000000000002</v>
      </c>
      <c r="K5329">
        <v>15.6</v>
      </c>
      <c r="L5329">
        <v>39.200000000000003</v>
      </c>
      <c r="M5329">
        <v>100</v>
      </c>
      <c r="N5329">
        <v>15</v>
      </c>
      <c r="O5329">
        <v>2</v>
      </c>
      <c r="P5329">
        <v>0</v>
      </c>
    </row>
    <row r="5330" spans="1:16" x14ac:dyDescent="0.25">
      <c r="A5330" s="4">
        <v>46092</v>
      </c>
      <c r="B5330" t="s">
        <v>10</v>
      </c>
      <c r="C5330">
        <v>1</v>
      </c>
      <c r="F5330">
        <v>328</v>
      </c>
      <c r="J5330">
        <v>1.0609999999999999</v>
      </c>
      <c r="K5330">
        <v>36.9</v>
      </c>
      <c r="L5330">
        <v>34.799999999999997</v>
      </c>
      <c r="M5330">
        <v>264</v>
      </c>
      <c r="N5330">
        <v>24</v>
      </c>
      <c r="O5330">
        <v>4</v>
      </c>
      <c r="P5330">
        <v>0</v>
      </c>
    </row>
    <row r="5331" spans="1:16" x14ac:dyDescent="0.25">
      <c r="A5331" s="4">
        <v>46092</v>
      </c>
      <c r="B5331" t="s">
        <v>9</v>
      </c>
      <c r="C5331">
        <v>1</v>
      </c>
      <c r="F5331">
        <v>100</v>
      </c>
      <c r="J5331">
        <v>0.29399999999999998</v>
      </c>
      <c r="K5331">
        <v>11.2</v>
      </c>
      <c r="L5331">
        <v>38.200000000000003</v>
      </c>
      <c r="M5331">
        <v>85</v>
      </c>
      <c r="N5331">
        <v>6</v>
      </c>
      <c r="O5331">
        <v>1</v>
      </c>
      <c r="P5331">
        <v>0</v>
      </c>
    </row>
    <row r="5332" spans="1:16" x14ac:dyDescent="0.25">
      <c r="A5332" s="4">
        <v>46093</v>
      </c>
      <c r="B5332" t="s">
        <v>10</v>
      </c>
      <c r="C5332">
        <v>1</v>
      </c>
      <c r="F5332">
        <v>335</v>
      </c>
      <c r="J5332">
        <v>1.0900000000000001</v>
      </c>
      <c r="K5332">
        <v>37.6</v>
      </c>
      <c r="L5332">
        <v>34.6</v>
      </c>
      <c r="M5332">
        <v>274</v>
      </c>
      <c r="N5332">
        <v>23</v>
      </c>
      <c r="O5332">
        <v>4</v>
      </c>
      <c r="P5332">
        <v>0</v>
      </c>
    </row>
    <row r="5333" spans="1:16" x14ac:dyDescent="0.25">
      <c r="A5333" s="4">
        <v>46093</v>
      </c>
      <c r="B5333" t="s">
        <v>9</v>
      </c>
      <c r="C5333">
        <v>1</v>
      </c>
      <c r="F5333">
        <v>137</v>
      </c>
      <c r="J5333">
        <v>0.40200000000000002</v>
      </c>
      <c r="K5333">
        <v>15.4</v>
      </c>
      <c r="L5333">
        <v>38.299999999999997</v>
      </c>
      <c r="M5333">
        <v>105</v>
      </c>
      <c r="N5333">
        <v>10</v>
      </c>
      <c r="O5333">
        <v>2</v>
      </c>
      <c r="P5333">
        <v>1</v>
      </c>
    </row>
    <row r="5334" spans="1:16" x14ac:dyDescent="0.25">
      <c r="A5334" s="4">
        <v>46094</v>
      </c>
      <c r="B5334" t="s">
        <v>10</v>
      </c>
      <c r="C5334">
        <v>1</v>
      </c>
      <c r="F5334">
        <v>390</v>
      </c>
      <c r="J5334">
        <v>1.113</v>
      </c>
      <c r="K5334">
        <v>43.8</v>
      </c>
      <c r="L5334">
        <v>39.4</v>
      </c>
      <c r="M5334">
        <v>231</v>
      </c>
      <c r="N5334">
        <v>58</v>
      </c>
      <c r="O5334">
        <v>14</v>
      </c>
      <c r="P5334">
        <v>0</v>
      </c>
    </row>
    <row r="5335" spans="1:16" x14ac:dyDescent="0.25">
      <c r="A5335" s="4">
        <v>46094</v>
      </c>
      <c r="B5335" t="s">
        <v>9</v>
      </c>
      <c r="C5335">
        <v>1</v>
      </c>
      <c r="F5335">
        <v>126</v>
      </c>
      <c r="J5335">
        <v>0.36099999999999999</v>
      </c>
      <c r="K5335">
        <v>14.2</v>
      </c>
      <c r="L5335">
        <v>39.299999999999997</v>
      </c>
      <c r="M5335">
        <v>98</v>
      </c>
      <c r="N5335">
        <v>9</v>
      </c>
      <c r="O5335">
        <v>3</v>
      </c>
      <c r="P5335">
        <v>0</v>
      </c>
    </row>
    <row r="5336" spans="1:16" x14ac:dyDescent="0.25">
      <c r="A5336" s="4">
        <v>46095</v>
      </c>
      <c r="B5336" t="s">
        <v>10</v>
      </c>
      <c r="C5336">
        <v>1</v>
      </c>
      <c r="F5336">
        <v>138</v>
      </c>
      <c r="J5336">
        <v>0.97899999999999998</v>
      </c>
      <c r="K5336">
        <v>36.299999999999997</v>
      </c>
      <c r="L5336">
        <v>37.1</v>
      </c>
      <c r="M5336">
        <v>120</v>
      </c>
      <c r="N5336">
        <v>6</v>
      </c>
      <c r="O5336">
        <v>2</v>
      </c>
      <c r="P5336">
        <v>0</v>
      </c>
    </row>
    <row r="5337" spans="1:16" x14ac:dyDescent="0.25">
      <c r="A5337" s="4">
        <v>46095</v>
      </c>
      <c r="B5337" t="s">
        <v>9</v>
      </c>
      <c r="C5337">
        <v>1</v>
      </c>
      <c r="F5337">
        <v>93</v>
      </c>
      <c r="J5337">
        <v>0.64800000000000002</v>
      </c>
      <c r="K5337">
        <v>24.5</v>
      </c>
      <c r="L5337">
        <v>37.799999999999997</v>
      </c>
      <c r="M5337">
        <v>85</v>
      </c>
      <c r="N5337">
        <v>4</v>
      </c>
      <c r="O5337">
        <v>0</v>
      </c>
      <c r="P5337">
        <v>0</v>
      </c>
    </row>
    <row r="5338" spans="1:16" x14ac:dyDescent="0.25">
      <c r="A5338" s="4">
        <v>46097</v>
      </c>
      <c r="B5338" t="s">
        <v>10</v>
      </c>
      <c r="C5338">
        <v>1</v>
      </c>
      <c r="F5338">
        <v>292</v>
      </c>
      <c r="J5338">
        <v>1.113</v>
      </c>
      <c r="K5338">
        <v>40.6</v>
      </c>
      <c r="L5338">
        <v>36.4</v>
      </c>
      <c r="M5338">
        <v>208</v>
      </c>
      <c r="N5338">
        <v>23</v>
      </c>
      <c r="O5338">
        <v>9</v>
      </c>
      <c r="P5338">
        <v>1</v>
      </c>
    </row>
    <row r="5339" spans="1:16" x14ac:dyDescent="0.25">
      <c r="A5339" s="4">
        <v>46097</v>
      </c>
      <c r="B5339" t="s">
        <v>9</v>
      </c>
      <c r="C5339">
        <v>1</v>
      </c>
      <c r="F5339">
        <v>123</v>
      </c>
      <c r="J5339">
        <v>0.48299999999999998</v>
      </c>
      <c r="K5339">
        <v>17.100000000000001</v>
      </c>
      <c r="L5339">
        <v>35.4</v>
      </c>
      <c r="M5339">
        <v>111</v>
      </c>
      <c r="N5339">
        <v>6</v>
      </c>
      <c r="O5339">
        <v>0</v>
      </c>
      <c r="P5339">
        <v>0</v>
      </c>
    </row>
    <row r="5340" spans="1:16" x14ac:dyDescent="0.25">
      <c r="A5340" s="4">
        <v>46098</v>
      </c>
      <c r="B5340" t="s">
        <v>10</v>
      </c>
      <c r="C5340">
        <v>1</v>
      </c>
      <c r="F5340">
        <v>376</v>
      </c>
      <c r="J5340">
        <v>1.1379999999999999</v>
      </c>
      <c r="K5340">
        <v>42.3</v>
      </c>
      <c r="L5340">
        <v>37.1</v>
      </c>
      <c r="M5340">
        <v>266</v>
      </c>
      <c r="N5340">
        <v>29</v>
      </c>
      <c r="O5340">
        <v>9</v>
      </c>
      <c r="P5340">
        <v>3</v>
      </c>
    </row>
    <row r="5341" spans="1:16" x14ac:dyDescent="0.25">
      <c r="A5341" s="4">
        <v>46098</v>
      </c>
      <c r="B5341" t="s">
        <v>9</v>
      </c>
      <c r="C5341">
        <v>1</v>
      </c>
      <c r="F5341">
        <v>88</v>
      </c>
      <c r="J5341">
        <v>0.26600000000000001</v>
      </c>
      <c r="K5341">
        <v>9.9</v>
      </c>
      <c r="L5341">
        <v>37.1</v>
      </c>
      <c r="M5341">
        <v>75</v>
      </c>
      <c r="N5341">
        <v>5</v>
      </c>
      <c r="O5341">
        <v>1</v>
      </c>
      <c r="P5341">
        <v>0</v>
      </c>
    </row>
    <row r="5342" spans="1:16" x14ac:dyDescent="0.25">
      <c r="A5342" s="4">
        <v>46099</v>
      </c>
      <c r="B5342" t="s">
        <v>10</v>
      </c>
      <c r="C5342">
        <v>1</v>
      </c>
      <c r="F5342">
        <v>404</v>
      </c>
      <c r="J5342">
        <v>1.2509999999999999</v>
      </c>
      <c r="K5342">
        <v>45.4</v>
      </c>
      <c r="L5342">
        <v>36.299999999999997</v>
      </c>
      <c r="M5342">
        <v>293</v>
      </c>
      <c r="N5342">
        <v>33</v>
      </c>
      <c r="O5342">
        <v>11</v>
      </c>
      <c r="P5342">
        <v>1</v>
      </c>
    </row>
    <row r="5343" spans="1:16" x14ac:dyDescent="0.25">
      <c r="A5343" s="4">
        <v>46099</v>
      </c>
      <c r="B5343" t="s">
        <v>9</v>
      </c>
      <c r="C5343">
        <v>1</v>
      </c>
      <c r="F5343">
        <v>212</v>
      </c>
      <c r="J5343">
        <v>0.60399999999999998</v>
      </c>
      <c r="K5343">
        <v>23.8</v>
      </c>
      <c r="L5343">
        <v>39.4</v>
      </c>
      <c r="M5343">
        <v>161</v>
      </c>
      <c r="N5343">
        <v>20</v>
      </c>
      <c r="O5343">
        <v>3</v>
      </c>
      <c r="P5343">
        <v>0</v>
      </c>
    </row>
    <row r="5344" spans="1:16" x14ac:dyDescent="0.25">
      <c r="A5344" s="4">
        <v>46100</v>
      </c>
      <c r="B5344" t="s">
        <v>10</v>
      </c>
      <c r="C5344">
        <v>1</v>
      </c>
      <c r="F5344">
        <v>307</v>
      </c>
      <c r="J5344">
        <v>1.0489999999999999</v>
      </c>
      <c r="K5344">
        <v>36.6</v>
      </c>
      <c r="L5344">
        <v>34.799999999999997</v>
      </c>
      <c r="M5344">
        <v>252</v>
      </c>
      <c r="N5344">
        <v>22</v>
      </c>
      <c r="O5344">
        <v>3</v>
      </c>
      <c r="P5344">
        <v>0</v>
      </c>
    </row>
    <row r="5345" spans="1:16" x14ac:dyDescent="0.25">
      <c r="A5345" s="4">
        <v>46100</v>
      </c>
      <c r="B5345" t="s">
        <v>9</v>
      </c>
      <c r="C5345">
        <v>1</v>
      </c>
      <c r="F5345">
        <v>166</v>
      </c>
      <c r="J5345">
        <v>0.54</v>
      </c>
      <c r="K5345">
        <v>19.8</v>
      </c>
      <c r="L5345">
        <v>36.6</v>
      </c>
      <c r="M5345">
        <v>134</v>
      </c>
      <c r="N5345">
        <v>9</v>
      </c>
      <c r="O5345">
        <v>4</v>
      </c>
      <c r="P5345">
        <v>0</v>
      </c>
    </row>
    <row r="5346" spans="1:16" x14ac:dyDescent="0.25">
      <c r="A5346" s="4">
        <v>46101</v>
      </c>
      <c r="B5346" t="s">
        <v>10</v>
      </c>
      <c r="C5346">
        <v>1</v>
      </c>
      <c r="F5346">
        <v>371</v>
      </c>
      <c r="J5346">
        <v>1.153</v>
      </c>
      <c r="K5346">
        <v>41.7</v>
      </c>
      <c r="L5346">
        <v>36.6</v>
      </c>
      <c r="M5346">
        <v>294</v>
      </c>
      <c r="N5346">
        <v>23</v>
      </c>
      <c r="O5346">
        <v>8</v>
      </c>
      <c r="P5346">
        <v>1</v>
      </c>
    </row>
    <row r="5347" spans="1:16" x14ac:dyDescent="0.25">
      <c r="A5347" s="4">
        <v>46101</v>
      </c>
      <c r="B5347" t="s">
        <v>9</v>
      </c>
      <c r="C5347">
        <v>1</v>
      </c>
      <c r="F5347">
        <v>196</v>
      </c>
      <c r="J5347">
        <v>0.51400000000000001</v>
      </c>
      <c r="K5347">
        <v>22</v>
      </c>
      <c r="L5347">
        <v>42.9</v>
      </c>
      <c r="M5347">
        <v>134</v>
      </c>
      <c r="N5347">
        <v>10</v>
      </c>
      <c r="O5347">
        <v>2</v>
      </c>
      <c r="P5347">
        <v>5</v>
      </c>
    </row>
    <row r="5348" spans="1:16" x14ac:dyDescent="0.25">
      <c r="A5348" s="4">
        <v>46104</v>
      </c>
      <c r="B5348" t="s">
        <v>10</v>
      </c>
      <c r="C5348">
        <v>1</v>
      </c>
      <c r="F5348">
        <v>423</v>
      </c>
      <c r="J5348">
        <v>1.2649999999999999</v>
      </c>
      <c r="K5348">
        <v>47.5</v>
      </c>
      <c r="L5348">
        <v>37.6</v>
      </c>
      <c r="M5348">
        <v>294</v>
      </c>
      <c r="N5348">
        <v>29</v>
      </c>
      <c r="O5348">
        <v>10</v>
      </c>
      <c r="P5348">
        <v>6</v>
      </c>
    </row>
    <row r="5349" spans="1:16" x14ac:dyDescent="0.25">
      <c r="A5349" s="4">
        <v>46104</v>
      </c>
      <c r="B5349" t="s">
        <v>9</v>
      </c>
      <c r="C5349">
        <v>1</v>
      </c>
      <c r="F5349">
        <v>102</v>
      </c>
      <c r="J5349">
        <v>0.29899999999999999</v>
      </c>
      <c r="K5349">
        <v>11.5</v>
      </c>
      <c r="L5349">
        <v>38.4</v>
      </c>
      <c r="M5349">
        <v>94</v>
      </c>
      <c r="N5349">
        <v>4</v>
      </c>
      <c r="O5349">
        <v>0</v>
      </c>
      <c r="P5349">
        <v>0</v>
      </c>
    </row>
    <row r="5350" spans="1:16" x14ac:dyDescent="0.25">
      <c r="A5350" s="4">
        <v>46105</v>
      </c>
      <c r="B5350" t="s">
        <v>10</v>
      </c>
      <c r="C5350">
        <v>1</v>
      </c>
      <c r="F5350">
        <v>396</v>
      </c>
      <c r="J5350">
        <v>1.163</v>
      </c>
      <c r="K5350">
        <v>44.5</v>
      </c>
      <c r="L5350">
        <v>38.200000000000003</v>
      </c>
      <c r="M5350">
        <v>259</v>
      </c>
      <c r="N5350">
        <v>36</v>
      </c>
      <c r="O5350">
        <v>12</v>
      </c>
      <c r="P5350">
        <v>3</v>
      </c>
    </row>
    <row r="5351" spans="1:16" x14ac:dyDescent="0.25">
      <c r="A5351" s="4">
        <v>46105</v>
      </c>
      <c r="B5351" t="s">
        <v>9</v>
      </c>
      <c r="C5351">
        <v>1</v>
      </c>
      <c r="F5351">
        <v>163</v>
      </c>
      <c r="J5351">
        <v>0.48099999999999998</v>
      </c>
      <c r="K5351">
        <v>18.3</v>
      </c>
      <c r="L5351">
        <v>38.1</v>
      </c>
      <c r="M5351">
        <v>147</v>
      </c>
      <c r="N5351">
        <v>8</v>
      </c>
      <c r="O5351">
        <v>0</v>
      </c>
      <c r="P5351">
        <v>0</v>
      </c>
    </row>
    <row r="5352" spans="1:16" x14ac:dyDescent="0.25">
      <c r="A5352" s="4">
        <v>46106</v>
      </c>
      <c r="B5352" t="s">
        <v>10</v>
      </c>
      <c r="C5352">
        <v>1</v>
      </c>
      <c r="F5352">
        <v>375</v>
      </c>
      <c r="J5352">
        <v>1.1779999999999999</v>
      </c>
      <c r="K5352">
        <v>42.1</v>
      </c>
      <c r="L5352">
        <v>35.799999999999997</v>
      </c>
      <c r="M5352">
        <v>287</v>
      </c>
      <c r="N5352">
        <v>36</v>
      </c>
      <c r="O5352">
        <v>5</v>
      </c>
      <c r="P5352">
        <v>0</v>
      </c>
    </row>
    <row r="5353" spans="1:16" x14ac:dyDescent="0.25">
      <c r="A5353" s="4">
        <v>46106</v>
      </c>
      <c r="B5353" t="s">
        <v>9</v>
      </c>
      <c r="C5353">
        <v>1</v>
      </c>
      <c r="F5353">
        <v>172</v>
      </c>
      <c r="J5353">
        <v>0.48799999999999999</v>
      </c>
      <c r="K5353">
        <v>19.3</v>
      </c>
      <c r="L5353">
        <v>39.6</v>
      </c>
      <c r="M5353">
        <v>126</v>
      </c>
      <c r="N5353">
        <v>13</v>
      </c>
      <c r="O5353">
        <v>6</v>
      </c>
      <c r="P5353">
        <v>0</v>
      </c>
    </row>
    <row r="5354" spans="1:16" x14ac:dyDescent="0.25">
      <c r="A5354" s="4">
        <v>46107</v>
      </c>
      <c r="B5354" t="s">
        <v>10</v>
      </c>
      <c r="C5354">
        <v>1</v>
      </c>
      <c r="F5354">
        <v>381</v>
      </c>
      <c r="J5354">
        <v>1.17</v>
      </c>
      <c r="K5354">
        <v>42.8</v>
      </c>
      <c r="L5354">
        <v>36.6</v>
      </c>
      <c r="M5354">
        <v>279</v>
      </c>
      <c r="N5354">
        <v>34</v>
      </c>
      <c r="O5354">
        <v>8</v>
      </c>
      <c r="P5354">
        <v>1</v>
      </c>
    </row>
    <row r="5355" spans="1:16" x14ac:dyDescent="0.25">
      <c r="A5355" s="4">
        <v>46107</v>
      </c>
      <c r="B5355" t="s">
        <v>9</v>
      </c>
      <c r="C5355">
        <v>1</v>
      </c>
      <c r="F5355">
        <v>95</v>
      </c>
      <c r="J5355">
        <v>0.28499999999999998</v>
      </c>
      <c r="K5355">
        <v>10.7</v>
      </c>
      <c r="L5355">
        <v>37.4</v>
      </c>
      <c r="M5355">
        <v>81</v>
      </c>
      <c r="N5355">
        <v>4</v>
      </c>
      <c r="O5355">
        <v>2</v>
      </c>
      <c r="P5355">
        <v>0</v>
      </c>
    </row>
    <row r="5356" spans="1:16" x14ac:dyDescent="0.25">
      <c r="A5356" s="4">
        <v>46108</v>
      </c>
      <c r="B5356" t="s">
        <v>10</v>
      </c>
      <c r="C5356">
        <v>1</v>
      </c>
      <c r="F5356">
        <v>225</v>
      </c>
      <c r="J5356">
        <v>0.73499999999999999</v>
      </c>
      <c r="K5356">
        <v>25.3</v>
      </c>
      <c r="L5356">
        <v>34.4</v>
      </c>
      <c r="M5356">
        <v>182</v>
      </c>
      <c r="N5356">
        <v>20</v>
      </c>
      <c r="O5356">
        <v>1</v>
      </c>
      <c r="P5356">
        <v>0</v>
      </c>
    </row>
    <row r="5357" spans="1:16" x14ac:dyDescent="0.25">
      <c r="A5357" s="4">
        <v>46108</v>
      </c>
      <c r="B5357" t="s">
        <v>9</v>
      </c>
      <c r="C5357">
        <v>1</v>
      </c>
      <c r="F5357">
        <v>150</v>
      </c>
      <c r="J5357">
        <v>0.47899999999999998</v>
      </c>
      <c r="K5357">
        <v>16.899999999999999</v>
      </c>
      <c r="L5357">
        <v>35.200000000000003</v>
      </c>
      <c r="M5357">
        <v>123</v>
      </c>
      <c r="N5357">
        <v>12</v>
      </c>
      <c r="O5357">
        <v>1</v>
      </c>
      <c r="P5357">
        <v>0</v>
      </c>
    </row>
    <row r="5358" spans="1:16" x14ac:dyDescent="0.25">
      <c r="A5358" s="4">
        <v>46109</v>
      </c>
      <c r="B5358" t="s">
        <v>10</v>
      </c>
      <c r="C5358">
        <v>1</v>
      </c>
      <c r="F5358">
        <v>4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</row>
    <row r="5359" spans="1:16" x14ac:dyDescent="0.25">
      <c r="A5359" s="4">
        <v>46109</v>
      </c>
      <c r="B5359" t="s">
        <v>9</v>
      </c>
      <c r="C5359">
        <v>1</v>
      </c>
      <c r="F5359">
        <v>102</v>
      </c>
      <c r="J5359">
        <v>0.69299999999999995</v>
      </c>
      <c r="K5359">
        <v>26.8</v>
      </c>
      <c r="L5359">
        <v>38.700000000000003</v>
      </c>
      <c r="M5359">
        <v>94</v>
      </c>
      <c r="N5359">
        <v>4</v>
      </c>
      <c r="O5359">
        <v>0</v>
      </c>
      <c r="P5359">
        <v>0</v>
      </c>
    </row>
    <row r="5360" spans="1:16" x14ac:dyDescent="0.25">
      <c r="A5360" s="4">
        <v>46111</v>
      </c>
      <c r="B5360" t="s">
        <v>10</v>
      </c>
      <c r="C5360">
        <v>1</v>
      </c>
      <c r="F5360">
        <v>404</v>
      </c>
      <c r="J5360">
        <v>1.21</v>
      </c>
      <c r="K5360">
        <v>45.4</v>
      </c>
      <c r="L5360">
        <v>37.5</v>
      </c>
      <c r="M5360">
        <v>257</v>
      </c>
      <c r="N5360">
        <v>48</v>
      </c>
      <c r="O5360">
        <v>14</v>
      </c>
      <c r="P5360">
        <v>1</v>
      </c>
    </row>
    <row r="5361" spans="1:16" x14ac:dyDescent="0.25">
      <c r="A5361" s="4">
        <v>46111</v>
      </c>
      <c r="B5361" t="s">
        <v>9</v>
      </c>
      <c r="C5361">
        <v>1</v>
      </c>
      <c r="F5361">
        <v>220</v>
      </c>
      <c r="J5361">
        <v>0.624</v>
      </c>
      <c r="K5361">
        <v>24.7</v>
      </c>
      <c r="L5361">
        <v>39.6</v>
      </c>
      <c r="M5361">
        <v>172</v>
      </c>
      <c r="N5361">
        <v>10</v>
      </c>
      <c r="O5361">
        <v>3</v>
      </c>
      <c r="P5361">
        <v>3</v>
      </c>
    </row>
    <row r="5362" spans="1:16" x14ac:dyDescent="0.25">
      <c r="A5362" s="4">
        <v>46112</v>
      </c>
      <c r="B5362" t="s">
        <v>10</v>
      </c>
      <c r="C5362">
        <v>1</v>
      </c>
      <c r="F5362">
        <v>384</v>
      </c>
      <c r="J5362">
        <v>1.216</v>
      </c>
      <c r="K5362">
        <v>43.2</v>
      </c>
      <c r="L5362">
        <v>35.5</v>
      </c>
      <c r="M5362">
        <v>296</v>
      </c>
      <c r="N5362">
        <v>31</v>
      </c>
      <c r="O5362">
        <v>8</v>
      </c>
      <c r="P5362">
        <v>0</v>
      </c>
    </row>
    <row r="5363" spans="1:16" x14ac:dyDescent="0.25">
      <c r="A5363" s="4">
        <v>46112</v>
      </c>
      <c r="B5363" t="s">
        <v>9</v>
      </c>
      <c r="C5363">
        <v>1</v>
      </c>
      <c r="F5363">
        <v>110</v>
      </c>
      <c r="J5363">
        <v>0.435</v>
      </c>
      <c r="K5363">
        <v>15.3</v>
      </c>
      <c r="L5363">
        <v>35.1</v>
      </c>
      <c r="M5363">
        <v>103</v>
      </c>
      <c r="N5363">
        <v>2</v>
      </c>
      <c r="O5363">
        <v>1</v>
      </c>
      <c r="P5363">
        <v>0</v>
      </c>
    </row>
    <row r="5364" spans="1:16" x14ac:dyDescent="0.25">
      <c r="A5364" s="4">
        <v>46113</v>
      </c>
      <c r="B5364" t="s">
        <v>10</v>
      </c>
      <c r="C5364">
        <v>1</v>
      </c>
      <c r="F5364">
        <v>258</v>
      </c>
      <c r="J5364">
        <v>0.79900000000000004</v>
      </c>
      <c r="K5364">
        <v>29</v>
      </c>
      <c r="L5364">
        <v>36.299999999999997</v>
      </c>
      <c r="M5364">
        <v>188</v>
      </c>
      <c r="N5364">
        <v>24</v>
      </c>
      <c r="O5364">
        <v>6</v>
      </c>
      <c r="P5364">
        <v>0</v>
      </c>
    </row>
    <row r="5365" spans="1:16" x14ac:dyDescent="0.25">
      <c r="A5365" s="4">
        <v>46113</v>
      </c>
      <c r="B5365" t="s">
        <v>9</v>
      </c>
      <c r="C5365">
        <v>1</v>
      </c>
      <c r="F5365">
        <v>152</v>
      </c>
      <c r="J5365">
        <v>0.44500000000000001</v>
      </c>
      <c r="K5365">
        <v>18.100000000000001</v>
      </c>
      <c r="L5365">
        <v>38.4</v>
      </c>
      <c r="M5365">
        <v>126</v>
      </c>
      <c r="N5365">
        <v>7</v>
      </c>
      <c r="O5365">
        <v>4</v>
      </c>
      <c r="P5365">
        <v>0</v>
      </c>
    </row>
    <row r="5366" spans="1:16" x14ac:dyDescent="0.25">
      <c r="A5366" s="4">
        <v>46114</v>
      </c>
      <c r="B5366" t="s">
        <v>10</v>
      </c>
      <c r="C5366">
        <v>1</v>
      </c>
      <c r="F5366">
        <v>375</v>
      </c>
      <c r="J5366">
        <v>1.1819999999999999</v>
      </c>
      <c r="K5366">
        <v>42.1</v>
      </c>
      <c r="L5366">
        <v>35.6</v>
      </c>
      <c r="M5366">
        <v>274</v>
      </c>
      <c r="N5366">
        <v>34</v>
      </c>
      <c r="O5366">
        <v>8</v>
      </c>
      <c r="P5366">
        <v>1</v>
      </c>
    </row>
    <row r="5367" spans="1:16" x14ac:dyDescent="0.25">
      <c r="A5367" s="4">
        <v>46114</v>
      </c>
      <c r="B5367" t="s">
        <v>9</v>
      </c>
      <c r="C5367">
        <v>1</v>
      </c>
      <c r="F5367">
        <v>109</v>
      </c>
      <c r="J5367">
        <v>0.32</v>
      </c>
      <c r="K5367">
        <v>12.3</v>
      </c>
      <c r="L5367">
        <v>38.299999999999997</v>
      </c>
      <c r="M5367">
        <v>94</v>
      </c>
      <c r="N5367">
        <v>6</v>
      </c>
      <c r="O5367">
        <v>1</v>
      </c>
      <c r="P5367">
        <v>0</v>
      </c>
    </row>
    <row r="5368" spans="1:16" x14ac:dyDescent="0.25">
      <c r="A5368" s="4">
        <v>46118</v>
      </c>
      <c r="B5368" t="s">
        <v>10</v>
      </c>
      <c r="C5368">
        <v>1</v>
      </c>
      <c r="F5368">
        <v>398</v>
      </c>
      <c r="J5368">
        <v>1.1259999999999999</v>
      </c>
      <c r="K5368">
        <v>44.7</v>
      </c>
      <c r="L5368">
        <v>36.5</v>
      </c>
      <c r="M5368">
        <v>285</v>
      </c>
      <c r="N5368">
        <v>37</v>
      </c>
      <c r="O5368">
        <v>9</v>
      </c>
      <c r="P5368">
        <v>1</v>
      </c>
    </row>
    <row r="5369" spans="1:16" x14ac:dyDescent="0.25">
      <c r="A5369" s="4">
        <v>46118</v>
      </c>
      <c r="B5369" t="s">
        <v>9</v>
      </c>
      <c r="C5369">
        <v>1</v>
      </c>
      <c r="F5369">
        <v>145</v>
      </c>
      <c r="J5369">
        <v>0.41399999999999998</v>
      </c>
      <c r="K5369">
        <v>16.3</v>
      </c>
      <c r="L5369">
        <v>39.299999999999997</v>
      </c>
      <c r="M5369">
        <v>110</v>
      </c>
      <c r="N5369">
        <v>9</v>
      </c>
      <c r="O5369">
        <v>5</v>
      </c>
      <c r="P5369">
        <v>0</v>
      </c>
    </row>
    <row r="5370" spans="1:16" x14ac:dyDescent="0.25">
      <c r="A5370" s="4">
        <v>46119</v>
      </c>
      <c r="B5370" t="s">
        <v>10</v>
      </c>
      <c r="C5370">
        <v>1</v>
      </c>
      <c r="F5370">
        <v>426</v>
      </c>
      <c r="J5370">
        <v>1.292</v>
      </c>
      <c r="K5370">
        <v>47.9</v>
      </c>
      <c r="L5370">
        <v>37.1</v>
      </c>
      <c r="M5370">
        <v>302</v>
      </c>
      <c r="N5370">
        <v>37</v>
      </c>
      <c r="O5370">
        <v>6</v>
      </c>
      <c r="P5370">
        <v>4</v>
      </c>
    </row>
    <row r="5371" spans="1:16" x14ac:dyDescent="0.25">
      <c r="A5371" s="4">
        <v>46119</v>
      </c>
      <c r="B5371" t="s">
        <v>9</v>
      </c>
      <c r="C5371">
        <v>1</v>
      </c>
      <c r="F5371">
        <v>144</v>
      </c>
      <c r="J5371">
        <v>0.437</v>
      </c>
      <c r="K5371">
        <v>16.2</v>
      </c>
      <c r="L5371">
        <v>37.1</v>
      </c>
      <c r="M5371">
        <v>125</v>
      </c>
      <c r="N5371">
        <v>8</v>
      </c>
      <c r="O5371">
        <v>1</v>
      </c>
      <c r="P5371">
        <v>0</v>
      </c>
    </row>
    <row r="5372" spans="1:16" x14ac:dyDescent="0.25">
      <c r="A5372" s="4">
        <v>46120</v>
      </c>
      <c r="B5372" t="s">
        <v>10</v>
      </c>
      <c r="C5372">
        <v>1</v>
      </c>
      <c r="F5372">
        <v>418</v>
      </c>
      <c r="J5372">
        <v>1.294</v>
      </c>
      <c r="K5372">
        <v>47</v>
      </c>
      <c r="L5372">
        <v>36.299999999999997</v>
      </c>
      <c r="M5372">
        <v>275</v>
      </c>
      <c r="N5372">
        <v>52</v>
      </c>
      <c r="O5372">
        <v>9</v>
      </c>
      <c r="P5372">
        <v>1</v>
      </c>
    </row>
    <row r="5373" spans="1:16" x14ac:dyDescent="0.25">
      <c r="A5373" s="4">
        <v>46120</v>
      </c>
      <c r="B5373" t="s">
        <v>9</v>
      </c>
      <c r="C5373">
        <v>1</v>
      </c>
      <c r="F5373">
        <v>174</v>
      </c>
      <c r="J5373">
        <v>0.52</v>
      </c>
      <c r="K5373">
        <v>19.600000000000001</v>
      </c>
      <c r="L5373">
        <v>37.6</v>
      </c>
      <c r="M5373">
        <v>136</v>
      </c>
      <c r="N5373">
        <v>16</v>
      </c>
      <c r="O5373">
        <v>2</v>
      </c>
      <c r="P5373">
        <v>0</v>
      </c>
    </row>
    <row r="5374" spans="1:16" x14ac:dyDescent="0.25">
      <c r="A5374" s="4">
        <v>46121</v>
      </c>
      <c r="B5374" t="s">
        <v>10</v>
      </c>
      <c r="C5374">
        <v>1</v>
      </c>
      <c r="F5374">
        <v>375</v>
      </c>
      <c r="J5374">
        <v>1.1898</v>
      </c>
      <c r="K5374">
        <v>42.1</v>
      </c>
      <c r="L5374">
        <v>35.4</v>
      </c>
      <c r="M5374">
        <v>282</v>
      </c>
      <c r="N5374">
        <v>30</v>
      </c>
      <c r="O5374">
        <v>10</v>
      </c>
      <c r="P5374">
        <v>0</v>
      </c>
    </row>
    <row r="5375" spans="1:16" x14ac:dyDescent="0.25">
      <c r="A5375" s="4">
        <v>46121</v>
      </c>
      <c r="B5375" t="s">
        <v>9</v>
      </c>
      <c r="C5375">
        <v>1</v>
      </c>
      <c r="F5375">
        <v>153</v>
      </c>
      <c r="J5375">
        <v>0.42199999999999999</v>
      </c>
      <c r="K5375">
        <v>17.2</v>
      </c>
      <c r="L5375">
        <v>40.700000000000003</v>
      </c>
      <c r="M5375">
        <v>108</v>
      </c>
      <c r="N5375">
        <v>18</v>
      </c>
      <c r="O5375">
        <v>3</v>
      </c>
      <c r="P5375">
        <v>0</v>
      </c>
    </row>
    <row r="5376" spans="1:16" x14ac:dyDescent="0.25">
      <c r="A5376" s="4">
        <v>46122</v>
      </c>
      <c r="B5376" t="s">
        <v>10</v>
      </c>
      <c r="C5376">
        <v>1</v>
      </c>
      <c r="F5376">
        <v>431</v>
      </c>
      <c r="J5376">
        <v>1.3220000000000001</v>
      </c>
      <c r="K5376">
        <v>48.4</v>
      </c>
      <c r="L5376">
        <v>36.6</v>
      </c>
      <c r="M5376">
        <v>308</v>
      </c>
      <c r="N5376">
        <v>38</v>
      </c>
      <c r="O5376">
        <v>12</v>
      </c>
      <c r="P5376">
        <v>1</v>
      </c>
    </row>
    <row r="5377" spans="1:16" x14ac:dyDescent="0.25">
      <c r="A5377" s="4">
        <v>46122</v>
      </c>
      <c r="B5377" t="s">
        <v>9</v>
      </c>
      <c r="C5377">
        <v>1</v>
      </c>
      <c r="F5377">
        <v>148</v>
      </c>
      <c r="J5377">
        <v>0.40100000000000002</v>
      </c>
      <c r="K5377">
        <v>16.600000000000001</v>
      </c>
      <c r="L5377">
        <v>41.5</v>
      </c>
      <c r="M5377">
        <v>108</v>
      </c>
      <c r="N5377">
        <v>11</v>
      </c>
      <c r="O5377">
        <v>5</v>
      </c>
      <c r="P5377">
        <v>0</v>
      </c>
    </row>
    <row r="5378" spans="1:16" x14ac:dyDescent="0.25">
      <c r="A5378" s="4">
        <v>46123</v>
      </c>
      <c r="B5378" t="s">
        <v>10</v>
      </c>
      <c r="C5378">
        <v>1</v>
      </c>
      <c r="F5378">
        <v>151</v>
      </c>
      <c r="J5378">
        <v>1.1259999999999999</v>
      </c>
      <c r="K5378">
        <v>41.1</v>
      </c>
      <c r="L5378">
        <v>36.4</v>
      </c>
      <c r="M5378">
        <v>146</v>
      </c>
      <c r="N5378">
        <v>5</v>
      </c>
      <c r="O5378">
        <v>0</v>
      </c>
      <c r="P5378">
        <v>0</v>
      </c>
    </row>
    <row r="5379" spans="1:16" x14ac:dyDescent="0.25">
      <c r="A5379" s="4">
        <v>46123</v>
      </c>
      <c r="B5379" t="s">
        <v>9</v>
      </c>
      <c r="C5379">
        <v>1</v>
      </c>
      <c r="F5379">
        <v>79</v>
      </c>
      <c r="J5379">
        <v>0.50700000000000001</v>
      </c>
      <c r="K5379">
        <v>20.8</v>
      </c>
      <c r="L5379">
        <v>41</v>
      </c>
      <c r="M5379">
        <v>70</v>
      </c>
      <c r="N5379">
        <v>2</v>
      </c>
      <c r="O5379">
        <v>1</v>
      </c>
      <c r="P5379">
        <v>0</v>
      </c>
    </row>
    <row r="5380" spans="1:16" x14ac:dyDescent="0.25">
      <c r="A5380" s="4">
        <v>46125</v>
      </c>
      <c r="B5380" t="s">
        <v>10</v>
      </c>
      <c r="C5380">
        <v>1</v>
      </c>
      <c r="F5380">
        <v>354</v>
      </c>
      <c r="J5380">
        <v>1.155</v>
      </c>
      <c r="K5380">
        <v>43.7</v>
      </c>
      <c r="L5380">
        <v>37.799999999999997</v>
      </c>
      <c r="M5380">
        <v>270</v>
      </c>
      <c r="N5380">
        <v>15</v>
      </c>
      <c r="O5380">
        <v>10</v>
      </c>
      <c r="P5380">
        <v>2</v>
      </c>
    </row>
    <row r="5381" spans="1:16" x14ac:dyDescent="0.25">
      <c r="A5381" s="4">
        <v>46125</v>
      </c>
      <c r="B5381" t="s">
        <v>9</v>
      </c>
      <c r="C5381">
        <v>1</v>
      </c>
      <c r="F5381">
        <v>170</v>
      </c>
      <c r="J5381">
        <v>0.55600000000000005</v>
      </c>
      <c r="K5381">
        <v>21</v>
      </c>
      <c r="L5381">
        <v>37.799999999999997</v>
      </c>
      <c r="M5381">
        <v>140</v>
      </c>
      <c r="N5381">
        <v>8</v>
      </c>
      <c r="O5381">
        <v>2</v>
      </c>
      <c r="P5381">
        <v>1</v>
      </c>
    </row>
    <row r="5382" spans="1:16" x14ac:dyDescent="0.25">
      <c r="A5382" s="4">
        <v>46126</v>
      </c>
      <c r="B5382" t="s">
        <v>10</v>
      </c>
      <c r="C5382">
        <v>1</v>
      </c>
      <c r="F5382">
        <v>272</v>
      </c>
      <c r="J5382">
        <v>1.05</v>
      </c>
      <c r="K5382">
        <v>37.799999999999997</v>
      </c>
      <c r="L5382">
        <v>36</v>
      </c>
      <c r="M5382">
        <v>224</v>
      </c>
      <c r="N5382">
        <v>17</v>
      </c>
      <c r="O5382">
        <v>4</v>
      </c>
      <c r="P5382">
        <v>0</v>
      </c>
    </row>
    <row r="5383" spans="1:16" x14ac:dyDescent="0.25">
      <c r="A5383" s="4">
        <v>46126</v>
      </c>
      <c r="B5383" t="s">
        <v>9</v>
      </c>
      <c r="C5383">
        <v>1</v>
      </c>
      <c r="F5383">
        <v>114</v>
      </c>
      <c r="J5383">
        <v>0.42599999999999999</v>
      </c>
      <c r="K5383">
        <v>15.8</v>
      </c>
      <c r="L5383">
        <v>37.1</v>
      </c>
      <c r="M5383">
        <v>91</v>
      </c>
      <c r="N5383">
        <v>6</v>
      </c>
      <c r="O5383">
        <v>1</v>
      </c>
      <c r="P5383">
        <v>1</v>
      </c>
    </row>
    <row r="5384" spans="1:16" x14ac:dyDescent="0.25">
      <c r="A5384" s="4">
        <v>46127</v>
      </c>
      <c r="B5384" t="s">
        <v>10</v>
      </c>
      <c r="C5384">
        <v>1</v>
      </c>
      <c r="F5384">
        <v>430</v>
      </c>
      <c r="J5384">
        <v>1.25</v>
      </c>
      <c r="K5384">
        <v>48.3</v>
      </c>
      <c r="L5384">
        <v>38.6</v>
      </c>
      <c r="M5384">
        <v>275</v>
      </c>
      <c r="N5384">
        <v>41</v>
      </c>
      <c r="O5384">
        <v>18</v>
      </c>
      <c r="P5384">
        <v>1</v>
      </c>
    </row>
    <row r="5385" spans="1:16" x14ac:dyDescent="0.25">
      <c r="A5385" s="4">
        <v>46127</v>
      </c>
      <c r="B5385" t="s">
        <v>9</v>
      </c>
      <c r="C5385">
        <v>1</v>
      </c>
      <c r="F5385">
        <v>137</v>
      </c>
      <c r="J5385">
        <v>0.40699999999999997</v>
      </c>
      <c r="K5385">
        <v>15.4</v>
      </c>
      <c r="L5385">
        <v>37.799999999999997</v>
      </c>
      <c r="M5385">
        <v>114</v>
      </c>
      <c r="N5385">
        <v>10</v>
      </c>
      <c r="O5385">
        <v>1</v>
      </c>
      <c r="P5385">
        <v>0</v>
      </c>
    </row>
    <row r="5386" spans="1:16" x14ac:dyDescent="0.25">
      <c r="A5386" s="4">
        <v>46128</v>
      </c>
      <c r="B5386" t="s">
        <v>10</v>
      </c>
      <c r="C5386">
        <v>1</v>
      </c>
      <c r="F5386">
        <v>378</v>
      </c>
      <c r="J5386">
        <v>1.23</v>
      </c>
      <c r="K5386">
        <v>46.7</v>
      </c>
      <c r="L5386">
        <v>37.9</v>
      </c>
      <c r="M5386">
        <v>261</v>
      </c>
      <c r="N5386">
        <v>28</v>
      </c>
      <c r="O5386">
        <v>17</v>
      </c>
      <c r="P5386">
        <v>0</v>
      </c>
    </row>
    <row r="5387" spans="1:16" x14ac:dyDescent="0.25">
      <c r="A5387" s="4">
        <v>46128</v>
      </c>
      <c r="B5387" t="s">
        <v>9</v>
      </c>
      <c r="C5387">
        <v>1</v>
      </c>
      <c r="F5387">
        <v>109</v>
      </c>
      <c r="J5387">
        <v>0.34699999999999998</v>
      </c>
      <c r="K5387">
        <v>13.5</v>
      </c>
      <c r="L5387">
        <v>38.799999999999997</v>
      </c>
      <c r="M5387">
        <v>89</v>
      </c>
      <c r="N5387">
        <v>8</v>
      </c>
      <c r="O5387">
        <v>1</v>
      </c>
      <c r="P5387">
        <v>0</v>
      </c>
    </row>
    <row r="5388" spans="1:16" x14ac:dyDescent="0.25">
      <c r="A5388" s="4">
        <v>46129</v>
      </c>
      <c r="B5388" t="s">
        <v>10</v>
      </c>
      <c r="C5388">
        <v>1</v>
      </c>
      <c r="F5388">
        <v>336</v>
      </c>
      <c r="J5388">
        <v>1.0880000000000001</v>
      </c>
      <c r="K5388">
        <v>37.799999999999997</v>
      </c>
      <c r="L5388">
        <v>34.700000000000003</v>
      </c>
      <c r="M5388">
        <v>280</v>
      </c>
      <c r="N5388">
        <v>26</v>
      </c>
      <c r="O5388">
        <v>1</v>
      </c>
      <c r="P5388">
        <v>0</v>
      </c>
    </row>
    <row r="5389" spans="1:16" x14ac:dyDescent="0.25">
      <c r="A5389" s="4">
        <v>46129</v>
      </c>
      <c r="B5389" t="s">
        <v>9</v>
      </c>
      <c r="C5389">
        <v>1</v>
      </c>
      <c r="F5389">
        <v>154</v>
      </c>
      <c r="J5389">
        <v>0.51</v>
      </c>
      <c r="K5389">
        <v>19.899999999999999</v>
      </c>
      <c r="L5389">
        <v>39</v>
      </c>
      <c r="M5389">
        <v>117</v>
      </c>
      <c r="N5389">
        <v>14</v>
      </c>
      <c r="O5389">
        <v>2</v>
      </c>
      <c r="P5389">
        <v>0</v>
      </c>
    </row>
    <row r="5390" spans="1:16" x14ac:dyDescent="0.25">
      <c r="A5390" s="4">
        <v>46130</v>
      </c>
      <c r="B5390" t="s">
        <v>10</v>
      </c>
      <c r="C5390">
        <v>1</v>
      </c>
      <c r="F5390">
        <v>123</v>
      </c>
      <c r="J5390">
        <v>0.48299999999999998</v>
      </c>
      <c r="K5390">
        <v>18.600000000000001</v>
      </c>
      <c r="L5390">
        <v>38.6</v>
      </c>
      <c r="M5390">
        <v>105</v>
      </c>
      <c r="N5390">
        <v>7</v>
      </c>
      <c r="O5390">
        <v>1</v>
      </c>
      <c r="P5390">
        <v>0</v>
      </c>
    </row>
    <row r="5391" spans="1:16" x14ac:dyDescent="0.25">
      <c r="A5391" s="4">
        <v>46130</v>
      </c>
      <c r="B5391" t="s">
        <v>9</v>
      </c>
      <c r="C5391">
        <v>1</v>
      </c>
      <c r="F5391">
        <v>48</v>
      </c>
      <c r="J5391">
        <v>0.187</v>
      </c>
      <c r="K5391">
        <v>7.3</v>
      </c>
      <c r="L5391">
        <v>37</v>
      </c>
      <c r="M5391">
        <v>44</v>
      </c>
      <c r="N5391">
        <v>2</v>
      </c>
      <c r="O5391">
        <v>0</v>
      </c>
      <c r="P5391">
        <v>0</v>
      </c>
    </row>
    <row r="5392" spans="1:16" x14ac:dyDescent="0.25">
      <c r="A5392" s="4">
        <v>46132</v>
      </c>
      <c r="B5392" t="s">
        <v>10</v>
      </c>
      <c r="C5392">
        <v>1</v>
      </c>
      <c r="F5392">
        <v>338</v>
      </c>
      <c r="J5392">
        <v>1.2589999999999999</v>
      </c>
      <c r="K5392">
        <v>46.9</v>
      </c>
      <c r="L5392">
        <v>37.299999999999997</v>
      </c>
      <c r="M5392">
        <v>241</v>
      </c>
      <c r="N5392">
        <v>18</v>
      </c>
      <c r="O5392">
        <v>12</v>
      </c>
      <c r="P5392">
        <v>2</v>
      </c>
    </row>
    <row r="5393" spans="1:19" x14ac:dyDescent="0.25">
      <c r="A5393" s="4">
        <v>46132</v>
      </c>
      <c r="B5393" t="s">
        <v>9</v>
      </c>
      <c r="C5393">
        <v>1</v>
      </c>
      <c r="F5393">
        <v>51</v>
      </c>
      <c r="J5393">
        <v>0.38600000000000001</v>
      </c>
      <c r="K5393">
        <v>15.5</v>
      </c>
      <c r="L5393">
        <v>40.1</v>
      </c>
      <c r="M5393">
        <v>42</v>
      </c>
      <c r="N5393">
        <v>1</v>
      </c>
      <c r="O5393">
        <v>2</v>
      </c>
      <c r="P5393">
        <v>0</v>
      </c>
    </row>
    <row r="5394" spans="1:19" x14ac:dyDescent="0.25">
      <c r="A5394" s="4">
        <v>46133</v>
      </c>
      <c r="B5394" t="s">
        <v>10</v>
      </c>
      <c r="C5394">
        <v>1</v>
      </c>
      <c r="F5394">
        <v>406</v>
      </c>
      <c r="J5394">
        <v>1.21</v>
      </c>
      <c r="K5394">
        <v>46.7</v>
      </c>
      <c r="L5394">
        <v>38.6</v>
      </c>
      <c r="M5394">
        <v>247</v>
      </c>
      <c r="N5394">
        <v>46</v>
      </c>
      <c r="O5394">
        <v>14</v>
      </c>
      <c r="P5394">
        <v>2</v>
      </c>
    </row>
    <row r="5395" spans="1:19" x14ac:dyDescent="0.25">
      <c r="A5395" s="4">
        <v>46133</v>
      </c>
      <c r="B5395" t="s">
        <v>9</v>
      </c>
      <c r="C5395">
        <v>1</v>
      </c>
      <c r="F5395">
        <v>210</v>
      </c>
      <c r="J5395">
        <v>0.61</v>
      </c>
      <c r="K5395">
        <v>24.1</v>
      </c>
      <c r="L5395">
        <v>39.6</v>
      </c>
      <c r="M5395">
        <v>139</v>
      </c>
      <c r="N5395">
        <v>23</v>
      </c>
      <c r="O5395">
        <v>4</v>
      </c>
      <c r="P5395">
        <v>1</v>
      </c>
    </row>
    <row r="5396" spans="1:19" x14ac:dyDescent="0.25">
      <c r="A5396" s="4">
        <v>46134</v>
      </c>
      <c r="B5396" t="s">
        <v>10</v>
      </c>
      <c r="C5396">
        <v>1</v>
      </c>
      <c r="F5396">
        <v>413</v>
      </c>
      <c r="J5396">
        <v>1.256</v>
      </c>
      <c r="K5396">
        <v>46.4</v>
      </c>
      <c r="L5396">
        <v>37</v>
      </c>
      <c r="M5396">
        <v>288</v>
      </c>
      <c r="N5396">
        <v>32</v>
      </c>
      <c r="O5396">
        <v>13</v>
      </c>
      <c r="P5396">
        <v>2</v>
      </c>
    </row>
    <row r="5397" spans="1:19" x14ac:dyDescent="0.25">
      <c r="A5397" s="4">
        <v>46134</v>
      </c>
      <c r="B5397" t="s">
        <v>9</v>
      </c>
      <c r="C5397">
        <v>1</v>
      </c>
      <c r="F5397">
        <v>179</v>
      </c>
      <c r="J5397">
        <v>0.504</v>
      </c>
      <c r="K5397">
        <v>20.100000000000001</v>
      </c>
      <c r="L5397">
        <v>39.9</v>
      </c>
      <c r="M5397">
        <v>133</v>
      </c>
      <c r="N5397">
        <v>14</v>
      </c>
      <c r="O5397">
        <v>3</v>
      </c>
      <c r="P5397">
        <v>1</v>
      </c>
    </row>
    <row r="5398" spans="1:19" x14ac:dyDescent="0.25">
      <c r="A5398" s="4">
        <v>46135</v>
      </c>
      <c r="B5398" t="s">
        <v>10</v>
      </c>
      <c r="C5398">
        <v>1</v>
      </c>
      <c r="F5398">
        <v>363</v>
      </c>
      <c r="J5398">
        <v>1.123</v>
      </c>
      <c r="K5398">
        <v>40.799999999999997</v>
      </c>
      <c r="L5398">
        <v>36.299999999999997</v>
      </c>
      <c r="M5398">
        <v>271</v>
      </c>
      <c r="N5398">
        <v>24</v>
      </c>
      <c r="O5398">
        <v>11</v>
      </c>
      <c r="P5398">
        <v>1</v>
      </c>
    </row>
    <row r="5399" spans="1:19" x14ac:dyDescent="0.25">
      <c r="A5399" s="4">
        <v>46135</v>
      </c>
      <c r="B5399" t="s">
        <v>9</v>
      </c>
      <c r="C5399">
        <v>1</v>
      </c>
      <c r="F5399">
        <v>121</v>
      </c>
      <c r="J5399">
        <v>0.35099999999999998</v>
      </c>
      <c r="K5399">
        <v>13.6</v>
      </c>
      <c r="L5399">
        <v>38.799999999999997</v>
      </c>
      <c r="M5399">
        <v>90</v>
      </c>
      <c r="N5399">
        <v>13</v>
      </c>
      <c r="O5399">
        <v>1</v>
      </c>
      <c r="P5399">
        <v>0</v>
      </c>
    </row>
    <row r="5400" spans="1:19" x14ac:dyDescent="0.25">
      <c r="A5400" s="4">
        <v>46136</v>
      </c>
      <c r="B5400" t="s">
        <v>10</v>
      </c>
      <c r="C5400">
        <v>1</v>
      </c>
      <c r="F5400">
        <v>421</v>
      </c>
      <c r="J5400">
        <v>1.2609999999999999</v>
      </c>
      <c r="K5400">
        <v>47.3</v>
      </c>
      <c r="L5400">
        <v>39.6</v>
      </c>
      <c r="M5400">
        <v>281</v>
      </c>
      <c r="N5400">
        <v>39</v>
      </c>
      <c r="O5400">
        <v>12</v>
      </c>
      <c r="P5400">
        <v>3</v>
      </c>
    </row>
    <row r="5401" spans="1:19" x14ac:dyDescent="0.25">
      <c r="A5401" s="4">
        <v>46136</v>
      </c>
      <c r="B5401" t="s">
        <v>9</v>
      </c>
      <c r="C5401">
        <v>1</v>
      </c>
      <c r="F5401">
        <v>203</v>
      </c>
      <c r="J5401">
        <v>0.60599999999999998</v>
      </c>
      <c r="K5401">
        <v>22.8</v>
      </c>
      <c r="L5401">
        <v>37.700000000000003</v>
      </c>
      <c r="M5401">
        <v>169</v>
      </c>
      <c r="N5401">
        <v>15</v>
      </c>
      <c r="O5401">
        <v>1</v>
      </c>
      <c r="P5401">
        <v>0</v>
      </c>
    </row>
    <row r="5402" spans="1:19" x14ac:dyDescent="0.25">
      <c r="A5402" s="4">
        <v>46137</v>
      </c>
      <c r="B5402" t="s">
        <v>10</v>
      </c>
      <c r="C5402">
        <v>1</v>
      </c>
      <c r="F5402">
        <v>232</v>
      </c>
      <c r="J5402">
        <v>1.1830000000000001</v>
      </c>
      <c r="K5402">
        <v>43.8</v>
      </c>
      <c r="L5402">
        <v>37</v>
      </c>
      <c r="M5402">
        <v>169</v>
      </c>
      <c r="N5402">
        <v>19</v>
      </c>
      <c r="O5402">
        <v>7</v>
      </c>
      <c r="P5402">
        <v>0</v>
      </c>
    </row>
    <row r="5403" spans="1:19" x14ac:dyDescent="0.25">
      <c r="A5403" s="4">
        <v>46137</v>
      </c>
      <c r="B5403" t="s">
        <v>9</v>
      </c>
      <c r="C5403">
        <v>1</v>
      </c>
      <c r="F5403">
        <v>95</v>
      </c>
      <c r="J5403">
        <v>0.48</v>
      </c>
      <c r="K5403">
        <v>17.899999999999999</v>
      </c>
      <c r="L5403">
        <v>37.299999999999997</v>
      </c>
      <c r="M5403">
        <v>91</v>
      </c>
      <c r="N5403">
        <v>2</v>
      </c>
      <c r="O5403">
        <v>0</v>
      </c>
      <c r="P5403">
        <v>0</v>
      </c>
    </row>
    <row r="5404" spans="1:19" x14ac:dyDescent="0.25">
      <c r="A5404" s="4">
        <v>46139</v>
      </c>
      <c r="B5404" t="s">
        <v>10</v>
      </c>
      <c r="C5404">
        <v>1</v>
      </c>
      <c r="D5404">
        <v>8.9</v>
      </c>
      <c r="E5404">
        <v>323</v>
      </c>
      <c r="F5404">
        <v>393</v>
      </c>
      <c r="G5404">
        <v>1.21671826625387</v>
      </c>
      <c r="H5404">
        <v>506.35602222222229</v>
      </c>
      <c r="I5404">
        <v>424.08499999999998</v>
      </c>
      <c r="J5404">
        <v>1.1939965389538001</v>
      </c>
      <c r="K5404">
        <v>44.157303370786515</v>
      </c>
      <c r="L5404">
        <v>36.982773341602723</v>
      </c>
      <c r="M5404">
        <v>281</v>
      </c>
      <c r="N5404">
        <v>27</v>
      </c>
      <c r="O5404">
        <v>14</v>
      </c>
      <c r="P5404">
        <v>1</v>
      </c>
      <c r="Q5404" s="5">
        <v>0.29166666666666669</v>
      </c>
      <c r="R5404" s="5">
        <v>0.70833333333333337</v>
      </c>
      <c r="S5404">
        <v>8.9</v>
      </c>
    </row>
    <row r="5405" spans="1:19" x14ac:dyDescent="0.25">
      <c r="A5405" s="4">
        <v>46139</v>
      </c>
      <c r="B5405" t="s">
        <v>9</v>
      </c>
      <c r="C5405">
        <v>1</v>
      </c>
      <c r="D5405">
        <v>8.9</v>
      </c>
      <c r="E5405">
        <v>178</v>
      </c>
      <c r="F5405">
        <v>194</v>
      </c>
      <c r="G5405">
        <v>1.0898876404494382</v>
      </c>
      <c r="H5405">
        <v>253.92524444444427</v>
      </c>
      <c r="I5405">
        <v>424.08499999999998</v>
      </c>
      <c r="J5405">
        <v>0.59876025901516039</v>
      </c>
      <c r="K5405">
        <v>21.797752808988765</v>
      </c>
      <c r="L5405">
        <v>36.404808904387984</v>
      </c>
      <c r="M5405">
        <v>163</v>
      </c>
      <c r="N5405">
        <v>14</v>
      </c>
      <c r="O5405">
        <v>1</v>
      </c>
      <c r="P5405">
        <v>0</v>
      </c>
      <c r="Q5405" s="5">
        <v>0.29166666666666669</v>
      </c>
      <c r="R5405" s="5">
        <v>0.70833333333333337</v>
      </c>
      <c r="S5405">
        <v>8.9</v>
      </c>
    </row>
    <row r="5406" spans="1:19" x14ac:dyDescent="0.25">
      <c r="A5406" s="4">
        <v>46139</v>
      </c>
      <c r="B5406" t="s">
        <v>92</v>
      </c>
      <c r="C5406">
        <v>1</v>
      </c>
      <c r="D5406">
        <v>7.2</v>
      </c>
      <c r="E5406">
        <v>20</v>
      </c>
      <c r="F5406">
        <v>45</v>
      </c>
      <c r="G5406">
        <v>2.25</v>
      </c>
      <c r="H5406">
        <v>42.875888888888895</v>
      </c>
      <c r="I5406">
        <v>343.08</v>
      </c>
      <c r="J5406">
        <v>0.12497344318785385</v>
      </c>
      <c r="K5406">
        <v>6.25</v>
      </c>
      <c r="L5406">
        <v>50.010624982183707</v>
      </c>
      <c r="M5406">
        <v>11</v>
      </c>
      <c r="N5406">
        <v>3</v>
      </c>
      <c r="O5406">
        <v>4</v>
      </c>
      <c r="P5406">
        <v>2</v>
      </c>
      <c r="Q5406" s="5">
        <v>0.29166666666666669</v>
      </c>
      <c r="R5406" s="5">
        <v>0.70833333333333337</v>
      </c>
      <c r="S5406">
        <v>7.2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359"/>
  <sheetViews>
    <sheetView workbookViewId="0">
      <selection activeCell="B626" sqref="B626"/>
    </sheetView>
  </sheetViews>
  <sheetFormatPr defaultRowHeight="15" x14ac:dyDescent="0.25"/>
  <cols>
    <col min="1" max="1" width="11.140625" bestFit="1" customWidth="1"/>
    <col min="2" max="2" width="8.5703125" bestFit="1" customWidth="1"/>
    <col min="3" max="3" width="7.7109375" bestFit="1" customWidth="1"/>
    <col min="4" max="4" width="11.140625" customWidth="1"/>
    <col min="5" max="5" width="12" style="5" bestFit="1" customWidth="1"/>
    <col min="6" max="6" width="14.28515625" bestFit="1" customWidth="1"/>
    <col min="7" max="7" width="10.7109375" bestFit="1" customWidth="1"/>
    <col min="8" max="8" width="12" style="7" bestFit="1" customWidth="1"/>
    <col min="9" max="11" width="2.140625" hidden="1" customWidth="1"/>
    <col min="12" max="12" width="11.140625" bestFit="1" customWidth="1"/>
    <col min="13" max="13" width="10.28515625" bestFit="1" customWidth="1"/>
    <col min="14" max="18" width="10.28515625" style="8" bestFit="1" customWidth="1"/>
    <col min="19" max="19" width="10.28515625" bestFit="1" customWidth="1"/>
    <col min="20" max="21" width="10.5703125" style="7" bestFit="1" customWidth="1"/>
    <col min="22" max="22" width="12" bestFit="1" customWidth="1"/>
    <col min="23" max="23" width="6.5703125" style="6" customWidth="1"/>
    <col min="24" max="24" width="11.5703125" style="6" bestFit="1" customWidth="1"/>
    <col min="25" max="25" width="10.5703125" style="6" bestFit="1" customWidth="1"/>
    <col min="26" max="26" width="12.28515625" style="6" bestFit="1" customWidth="1"/>
  </cols>
  <sheetData>
    <row r="1" spans="1:27" x14ac:dyDescent="0.25">
      <c r="A1" t="s">
        <v>0</v>
      </c>
      <c r="B1" t="s">
        <v>5</v>
      </c>
      <c r="C1" t="s">
        <v>7</v>
      </c>
      <c r="D1" t="s">
        <v>1</v>
      </c>
      <c r="E1" s="5" t="s">
        <v>2</v>
      </c>
      <c r="F1" t="s">
        <v>6</v>
      </c>
      <c r="G1" t="s">
        <v>3</v>
      </c>
      <c r="H1" s="7" t="s">
        <v>4</v>
      </c>
      <c r="I1" t="s">
        <v>18</v>
      </c>
      <c r="J1" t="s">
        <v>18</v>
      </c>
      <c r="K1" t="s">
        <v>18</v>
      </c>
      <c r="L1" t="s">
        <v>8</v>
      </c>
      <c r="M1" t="s">
        <v>11</v>
      </c>
      <c r="N1" s="8" t="s">
        <v>12</v>
      </c>
      <c r="O1" s="8" t="s">
        <v>15</v>
      </c>
      <c r="P1" s="8" t="s">
        <v>16</v>
      </c>
      <c r="Q1" s="8" t="s">
        <v>13</v>
      </c>
      <c r="R1" s="8" t="s">
        <v>14</v>
      </c>
      <c r="S1" t="s">
        <v>23</v>
      </c>
      <c r="T1" s="7" t="s">
        <v>24</v>
      </c>
      <c r="U1" s="7" t="s">
        <v>17</v>
      </c>
      <c r="V1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t="s">
        <v>32</v>
      </c>
    </row>
    <row r="2" spans="1:27" x14ac:dyDescent="0.25">
      <c r="A2">
        <v>76116152</v>
      </c>
      <c r="B2" t="s">
        <v>10</v>
      </c>
      <c r="C2" t="s">
        <v>70</v>
      </c>
      <c r="D2" s="4">
        <v>46139</v>
      </c>
      <c r="E2" s="5">
        <v>0.25793981481481482</v>
      </c>
      <c r="F2">
        <v>1</v>
      </c>
      <c r="G2" t="s">
        <v>82</v>
      </c>
      <c r="H2" s="7">
        <v>13.5</v>
      </c>
      <c r="L2" t="s">
        <v>103</v>
      </c>
      <c r="M2" t="s">
        <v>71</v>
      </c>
      <c r="N2" s="8">
        <v>1</v>
      </c>
      <c r="O2" s="8">
        <v>1</v>
      </c>
      <c r="R2" s="8">
        <v>1</v>
      </c>
      <c r="S2">
        <v>1</v>
      </c>
      <c r="T2" s="7">
        <v>19.166666666666668</v>
      </c>
      <c r="W2" s="6">
        <v>0.98160000000000003</v>
      </c>
      <c r="Y2" s="6">
        <v>0.21</v>
      </c>
      <c r="AA2">
        <v>1</v>
      </c>
    </row>
    <row r="3" spans="1:27" x14ac:dyDescent="0.25">
      <c r="A3">
        <v>76116154</v>
      </c>
      <c r="B3" t="s">
        <v>10</v>
      </c>
      <c r="C3" t="s">
        <v>70</v>
      </c>
      <c r="D3" s="4">
        <v>46139</v>
      </c>
      <c r="E3" s="5">
        <v>0.25881944444444444</v>
      </c>
      <c r="F3">
        <v>1</v>
      </c>
      <c r="G3" t="s">
        <v>82</v>
      </c>
      <c r="H3" s="7">
        <v>34</v>
      </c>
      <c r="L3" t="s">
        <v>107</v>
      </c>
      <c r="M3" t="s">
        <v>71</v>
      </c>
      <c r="N3" s="8">
        <v>1</v>
      </c>
      <c r="O3" s="8">
        <v>1</v>
      </c>
      <c r="S3">
        <v>1</v>
      </c>
      <c r="T3" s="7">
        <v>40.416666666666664</v>
      </c>
      <c r="W3" s="6">
        <v>1.0362666666666667</v>
      </c>
      <c r="Z3" s="6">
        <v>0.48816666666666669</v>
      </c>
      <c r="AA3">
        <v>1</v>
      </c>
    </row>
    <row r="4" spans="1:27" x14ac:dyDescent="0.25">
      <c r="A4">
        <v>76116156</v>
      </c>
      <c r="B4" t="s">
        <v>10</v>
      </c>
      <c r="C4" t="s">
        <v>70</v>
      </c>
      <c r="D4" s="4">
        <v>46139</v>
      </c>
      <c r="E4" s="5">
        <v>0.25973379629629628</v>
      </c>
      <c r="F4">
        <v>1</v>
      </c>
      <c r="G4" t="s">
        <v>82</v>
      </c>
      <c r="H4" s="7">
        <v>9.5</v>
      </c>
      <c r="L4">
        <v>75943985</v>
      </c>
      <c r="M4" t="s">
        <v>71</v>
      </c>
      <c r="N4" s="8" t="s">
        <v>75</v>
      </c>
      <c r="O4" s="8">
        <v>1</v>
      </c>
      <c r="S4">
        <v>1</v>
      </c>
      <c r="T4" s="7">
        <v>37.75</v>
      </c>
      <c r="W4" s="6">
        <v>0.97093333333333331</v>
      </c>
      <c r="Z4" s="6">
        <v>0.42283333333333334</v>
      </c>
      <c r="AA4">
        <v>1</v>
      </c>
    </row>
    <row r="5" spans="1:27" x14ac:dyDescent="0.25">
      <c r="A5">
        <v>76116158</v>
      </c>
      <c r="B5" t="s">
        <v>10</v>
      </c>
      <c r="C5" t="s">
        <v>70</v>
      </c>
      <c r="D5" s="4">
        <v>46139</v>
      </c>
      <c r="E5" s="5">
        <v>0.26053240740740741</v>
      </c>
      <c r="F5">
        <v>1</v>
      </c>
      <c r="G5" t="s">
        <v>82</v>
      </c>
      <c r="H5" s="7">
        <v>7.25</v>
      </c>
      <c r="L5" t="s">
        <v>116</v>
      </c>
      <c r="M5" t="s">
        <v>71</v>
      </c>
      <c r="N5" s="8" t="s">
        <v>75</v>
      </c>
      <c r="O5" s="8">
        <v>1</v>
      </c>
      <c r="Q5" s="8">
        <v>1</v>
      </c>
      <c r="S5">
        <v>1</v>
      </c>
      <c r="U5" s="7">
        <v>1.75</v>
      </c>
      <c r="W5" s="6">
        <v>0.96960000000000002</v>
      </c>
      <c r="Z5" s="6">
        <v>0.41683333333333333</v>
      </c>
      <c r="AA5">
        <v>1</v>
      </c>
    </row>
    <row r="6" spans="1:27" x14ac:dyDescent="0.25">
      <c r="A6">
        <v>76116160</v>
      </c>
      <c r="B6" t="s">
        <v>10</v>
      </c>
      <c r="C6" t="s">
        <v>70</v>
      </c>
      <c r="D6" s="4">
        <v>46139</v>
      </c>
      <c r="E6" s="5">
        <v>0.26126157407407402</v>
      </c>
      <c r="F6">
        <v>1</v>
      </c>
      <c r="G6" t="s">
        <v>82</v>
      </c>
      <c r="H6" s="7">
        <v>65</v>
      </c>
      <c r="L6" t="s">
        <v>120</v>
      </c>
      <c r="M6" t="s">
        <v>71</v>
      </c>
      <c r="N6" s="8">
        <v>1</v>
      </c>
      <c r="O6" s="8">
        <v>1</v>
      </c>
      <c r="Q6" s="8">
        <v>1</v>
      </c>
      <c r="S6">
        <v>1</v>
      </c>
      <c r="U6" s="7">
        <v>0.66666666666666663</v>
      </c>
      <c r="W6" s="6">
        <v>1.1207111111111112</v>
      </c>
      <c r="Z6" s="6">
        <v>0.5708333333333333</v>
      </c>
      <c r="AA6">
        <v>1</v>
      </c>
    </row>
    <row r="7" spans="1:27" x14ac:dyDescent="0.25">
      <c r="A7">
        <v>76116161</v>
      </c>
      <c r="B7" t="s">
        <v>10</v>
      </c>
      <c r="C7" t="s">
        <v>70</v>
      </c>
      <c r="D7" s="4">
        <v>46139</v>
      </c>
      <c r="E7" s="5">
        <v>0.26186342592592587</v>
      </c>
      <c r="F7">
        <v>1</v>
      </c>
      <c r="G7" t="s">
        <v>82</v>
      </c>
      <c r="H7" s="7">
        <v>5</v>
      </c>
      <c r="L7" t="s">
        <v>122</v>
      </c>
      <c r="M7" t="s">
        <v>71</v>
      </c>
      <c r="N7" s="8" t="s">
        <v>75</v>
      </c>
      <c r="O7" s="8">
        <v>1</v>
      </c>
      <c r="S7">
        <v>1</v>
      </c>
      <c r="T7" s="7">
        <v>112</v>
      </c>
      <c r="W7" s="6">
        <v>0.9589333333333333</v>
      </c>
      <c r="Z7" s="6">
        <v>0.41083333333333333</v>
      </c>
      <c r="AA7">
        <v>1</v>
      </c>
    </row>
    <row r="8" spans="1:27" x14ac:dyDescent="0.25">
      <c r="A8">
        <v>76116162</v>
      </c>
      <c r="B8" t="s">
        <v>10</v>
      </c>
      <c r="C8" t="s">
        <v>70</v>
      </c>
      <c r="D8" s="4">
        <v>46139</v>
      </c>
      <c r="E8" s="5">
        <v>0.26248842592592592</v>
      </c>
      <c r="F8">
        <v>1</v>
      </c>
      <c r="G8" t="s">
        <v>82</v>
      </c>
      <c r="H8" s="7">
        <v>5</v>
      </c>
      <c r="L8" t="s">
        <v>124</v>
      </c>
      <c r="M8" t="s">
        <v>71</v>
      </c>
      <c r="N8" s="8">
        <v>1</v>
      </c>
      <c r="O8" s="8">
        <v>1</v>
      </c>
      <c r="S8">
        <v>1</v>
      </c>
      <c r="T8" s="7">
        <v>68.75</v>
      </c>
      <c r="W8" s="6">
        <v>0.9589333333333333</v>
      </c>
      <c r="Z8" s="6">
        <v>0.41083333333333333</v>
      </c>
      <c r="AA8">
        <v>1</v>
      </c>
    </row>
    <row r="9" spans="1:27" x14ac:dyDescent="0.25">
      <c r="A9">
        <v>76116163</v>
      </c>
      <c r="B9" t="s">
        <v>10</v>
      </c>
      <c r="C9" t="s">
        <v>70</v>
      </c>
      <c r="D9" s="4">
        <v>46139</v>
      </c>
      <c r="E9" s="5">
        <v>0.26347222222222222</v>
      </c>
      <c r="F9">
        <v>1</v>
      </c>
      <c r="G9" t="s">
        <v>82</v>
      </c>
      <c r="H9" s="7">
        <v>7</v>
      </c>
      <c r="L9" t="s">
        <v>127</v>
      </c>
      <c r="M9" t="s">
        <v>71</v>
      </c>
      <c r="N9" s="8" t="s">
        <v>75</v>
      </c>
      <c r="O9" s="8">
        <v>1</v>
      </c>
      <c r="S9">
        <v>1</v>
      </c>
      <c r="T9" s="7">
        <v>58.083333333333329</v>
      </c>
      <c r="W9" s="6">
        <v>0.96426666666666672</v>
      </c>
      <c r="Z9" s="6">
        <v>0.41616666666666668</v>
      </c>
      <c r="AA9">
        <v>1</v>
      </c>
    </row>
    <row r="10" spans="1:27" x14ac:dyDescent="0.25">
      <c r="A10">
        <v>76116164</v>
      </c>
      <c r="B10" t="s">
        <v>10</v>
      </c>
      <c r="C10" t="s">
        <v>70</v>
      </c>
      <c r="D10" s="4">
        <v>46139</v>
      </c>
      <c r="E10" s="5">
        <v>0.26456018518518515</v>
      </c>
      <c r="F10">
        <v>1</v>
      </c>
      <c r="G10" t="s">
        <v>82</v>
      </c>
      <c r="H10" s="7">
        <v>26.5</v>
      </c>
      <c r="L10" t="s">
        <v>131</v>
      </c>
      <c r="M10" t="s">
        <v>71</v>
      </c>
      <c r="N10" s="8">
        <v>1</v>
      </c>
      <c r="O10" s="8">
        <v>1</v>
      </c>
      <c r="S10">
        <v>1</v>
      </c>
      <c r="T10" s="7">
        <v>101.25</v>
      </c>
      <c r="W10" s="6">
        <v>1.0162666666666667</v>
      </c>
      <c r="Z10" s="6">
        <v>0.46816666666666668</v>
      </c>
      <c r="AA10">
        <v>1</v>
      </c>
    </row>
    <row r="11" spans="1:27" x14ac:dyDescent="0.25">
      <c r="A11">
        <v>76116166</v>
      </c>
      <c r="B11" t="s">
        <v>10</v>
      </c>
      <c r="C11" t="s">
        <v>70</v>
      </c>
      <c r="D11" s="4">
        <v>46139</v>
      </c>
      <c r="E11" s="5">
        <v>0.26593749999999999</v>
      </c>
      <c r="F11">
        <v>1</v>
      </c>
      <c r="G11" t="s">
        <v>82</v>
      </c>
      <c r="H11" s="7">
        <v>37.75</v>
      </c>
      <c r="L11" t="s">
        <v>135</v>
      </c>
      <c r="M11" t="s">
        <v>71</v>
      </c>
      <c r="N11" s="8">
        <v>1</v>
      </c>
      <c r="O11" s="8">
        <v>1</v>
      </c>
      <c r="S11">
        <v>1</v>
      </c>
      <c r="T11" s="7">
        <v>110.91666666666667</v>
      </c>
      <c r="W11" s="6">
        <v>1.0462666666666667</v>
      </c>
      <c r="Z11" s="6">
        <v>0.4981666666666667</v>
      </c>
      <c r="AA11">
        <v>1</v>
      </c>
    </row>
    <row r="12" spans="1:27" x14ac:dyDescent="0.25">
      <c r="A12">
        <v>76116168</v>
      </c>
      <c r="B12" t="s">
        <v>10</v>
      </c>
      <c r="C12" t="s">
        <v>70</v>
      </c>
      <c r="D12" s="4">
        <v>46139</v>
      </c>
      <c r="E12" s="5">
        <v>0.26672453703703702</v>
      </c>
      <c r="F12">
        <v>1</v>
      </c>
      <c r="G12" t="s">
        <v>82</v>
      </c>
      <c r="H12" s="7">
        <v>58.25</v>
      </c>
      <c r="L12" t="s">
        <v>139</v>
      </c>
      <c r="M12" t="s">
        <v>71</v>
      </c>
      <c r="N12" s="8">
        <v>1</v>
      </c>
      <c r="O12" s="8">
        <v>1</v>
      </c>
      <c r="R12" s="8">
        <v>1</v>
      </c>
      <c r="S12">
        <v>1</v>
      </c>
      <c r="T12" s="7">
        <v>16.25</v>
      </c>
      <c r="W12" s="6">
        <v>1.1009333333333333</v>
      </c>
      <c r="Y12" s="6">
        <v>0.21</v>
      </c>
      <c r="AA12">
        <v>1</v>
      </c>
    </row>
    <row r="13" spans="1:27" x14ac:dyDescent="0.25">
      <c r="A13">
        <v>76116169</v>
      </c>
      <c r="B13" t="s">
        <v>10</v>
      </c>
      <c r="C13" t="s">
        <v>70</v>
      </c>
      <c r="D13" s="4">
        <v>46139</v>
      </c>
      <c r="E13" s="5">
        <v>0.26752314814814809</v>
      </c>
      <c r="F13">
        <v>1</v>
      </c>
      <c r="G13" t="s">
        <v>82</v>
      </c>
      <c r="H13" s="7">
        <v>13</v>
      </c>
      <c r="L13" t="s">
        <v>141</v>
      </c>
      <c r="M13" t="s">
        <v>71</v>
      </c>
      <c r="N13" s="8">
        <v>1</v>
      </c>
      <c r="O13" s="8">
        <v>1</v>
      </c>
      <c r="S13">
        <v>1</v>
      </c>
      <c r="T13" s="7">
        <v>90.833333333333329</v>
      </c>
      <c r="W13" s="6">
        <v>0.98026666666666662</v>
      </c>
      <c r="Z13" s="6">
        <v>0.4321666666666667</v>
      </c>
      <c r="AA13">
        <v>1</v>
      </c>
    </row>
    <row r="14" spans="1:27" x14ac:dyDescent="0.25">
      <c r="A14">
        <v>76116171</v>
      </c>
      <c r="B14" t="s">
        <v>10</v>
      </c>
      <c r="C14" t="s">
        <v>70</v>
      </c>
      <c r="D14" s="4">
        <v>46139</v>
      </c>
      <c r="E14" s="5">
        <v>0.26862268518518517</v>
      </c>
      <c r="F14">
        <v>1</v>
      </c>
      <c r="G14" t="s">
        <v>82</v>
      </c>
      <c r="H14" s="7">
        <v>11.5</v>
      </c>
      <c r="L14" t="s">
        <v>145</v>
      </c>
      <c r="M14" t="s">
        <v>71</v>
      </c>
      <c r="N14" s="8" t="s">
        <v>81</v>
      </c>
      <c r="O14" s="8">
        <v>1</v>
      </c>
      <c r="S14">
        <v>1</v>
      </c>
      <c r="T14" s="7">
        <v>81.333333333333329</v>
      </c>
      <c r="W14" s="6">
        <v>0.97626666666666662</v>
      </c>
      <c r="Z14" s="6">
        <v>0.4281666666666667</v>
      </c>
      <c r="AA14">
        <v>1</v>
      </c>
    </row>
    <row r="15" spans="1:27" x14ac:dyDescent="0.25">
      <c r="A15">
        <v>76116173</v>
      </c>
      <c r="B15" t="s">
        <v>10</v>
      </c>
      <c r="C15" t="s">
        <v>70</v>
      </c>
      <c r="D15" s="4">
        <v>46139</v>
      </c>
      <c r="E15" s="5">
        <v>0.2694907407407407</v>
      </c>
      <c r="F15">
        <v>1</v>
      </c>
      <c r="G15" t="s">
        <v>82</v>
      </c>
      <c r="H15" s="7">
        <v>80</v>
      </c>
      <c r="L15" t="s">
        <v>150</v>
      </c>
      <c r="M15" t="s">
        <v>71</v>
      </c>
      <c r="N15" s="8" t="s">
        <v>75</v>
      </c>
      <c r="O15" s="8">
        <v>1</v>
      </c>
      <c r="S15">
        <v>1</v>
      </c>
      <c r="T15" s="7">
        <v>44.5</v>
      </c>
      <c r="W15" s="6">
        <v>1.1589333333333334</v>
      </c>
      <c r="Z15" s="6">
        <v>0.61083333333333334</v>
      </c>
      <c r="AA15">
        <v>1</v>
      </c>
    </row>
    <row r="16" spans="1:27" x14ac:dyDescent="0.25">
      <c r="A16">
        <v>76116175</v>
      </c>
      <c r="B16" t="s">
        <v>10</v>
      </c>
      <c r="C16" t="s">
        <v>70</v>
      </c>
      <c r="D16" s="4">
        <v>46139</v>
      </c>
      <c r="E16" s="5">
        <v>0.27028935185185188</v>
      </c>
      <c r="F16">
        <v>1</v>
      </c>
      <c r="G16" t="s">
        <v>82</v>
      </c>
      <c r="H16" s="7">
        <v>28.666666666666668</v>
      </c>
      <c r="L16" t="s">
        <v>154</v>
      </c>
      <c r="M16" t="s">
        <v>71</v>
      </c>
      <c r="N16" s="8" t="s">
        <v>75</v>
      </c>
      <c r="O16" s="8">
        <v>1</v>
      </c>
      <c r="S16">
        <v>1</v>
      </c>
      <c r="T16" s="7">
        <v>47.083333333333329</v>
      </c>
      <c r="W16" s="6">
        <v>1.0220444444444445</v>
      </c>
      <c r="Z16" s="6">
        <v>0.4739444444444445</v>
      </c>
      <c r="AA16">
        <v>1</v>
      </c>
    </row>
    <row r="17" spans="1:27" x14ac:dyDescent="0.25">
      <c r="A17">
        <v>76116178</v>
      </c>
      <c r="B17" t="s">
        <v>10</v>
      </c>
      <c r="C17" t="s">
        <v>70</v>
      </c>
      <c r="D17" s="4">
        <v>46139</v>
      </c>
      <c r="E17" s="5">
        <v>0.27124999999999999</v>
      </c>
      <c r="F17">
        <v>1</v>
      </c>
      <c r="G17" t="s">
        <v>82</v>
      </c>
      <c r="H17" s="7">
        <v>42</v>
      </c>
      <c r="L17">
        <v>1805166652</v>
      </c>
      <c r="M17" t="s">
        <v>71</v>
      </c>
      <c r="N17" s="8" t="s">
        <v>75</v>
      </c>
      <c r="O17" s="8">
        <v>1</v>
      </c>
      <c r="R17" s="8">
        <v>1</v>
      </c>
      <c r="S17">
        <v>1</v>
      </c>
      <c r="T17" s="7">
        <v>18.583333333333332</v>
      </c>
      <c r="W17" s="6">
        <v>1.0576000000000001</v>
      </c>
      <c r="Y17" s="6">
        <v>0.21</v>
      </c>
      <c r="AA17">
        <v>1</v>
      </c>
    </row>
    <row r="18" spans="1:27" x14ac:dyDescent="0.25">
      <c r="A18">
        <v>76116179</v>
      </c>
      <c r="B18" t="s">
        <v>10</v>
      </c>
      <c r="C18" t="s">
        <v>70</v>
      </c>
      <c r="D18" s="4">
        <v>46139</v>
      </c>
      <c r="E18" s="5">
        <v>0.27210648148148148</v>
      </c>
      <c r="F18">
        <v>1</v>
      </c>
      <c r="G18" t="s">
        <v>82</v>
      </c>
      <c r="H18" s="7">
        <v>37</v>
      </c>
      <c r="L18" t="s">
        <v>162</v>
      </c>
      <c r="M18" t="s">
        <v>71</v>
      </c>
      <c r="N18" s="8">
        <v>1</v>
      </c>
      <c r="O18" s="8">
        <v>1</v>
      </c>
      <c r="R18" s="8">
        <v>1</v>
      </c>
      <c r="S18">
        <v>1</v>
      </c>
      <c r="T18" s="7">
        <v>9.0833333333333339</v>
      </c>
      <c r="W18" s="6">
        <v>1.0442666666666667</v>
      </c>
      <c r="Y18" s="6">
        <v>0.21</v>
      </c>
      <c r="AA18">
        <v>1</v>
      </c>
    </row>
    <row r="19" spans="1:27" x14ac:dyDescent="0.25">
      <c r="A19">
        <v>76116180</v>
      </c>
      <c r="B19" t="s">
        <v>10</v>
      </c>
      <c r="C19" t="s">
        <v>70</v>
      </c>
      <c r="D19" s="4">
        <v>46139</v>
      </c>
      <c r="E19" s="5">
        <v>0.27297453703703706</v>
      </c>
      <c r="F19">
        <v>1</v>
      </c>
      <c r="G19" t="s">
        <v>82</v>
      </c>
      <c r="H19" s="7">
        <v>10</v>
      </c>
      <c r="L19" t="s">
        <v>164</v>
      </c>
      <c r="M19" t="s">
        <v>71</v>
      </c>
      <c r="N19" s="8" t="s">
        <v>75</v>
      </c>
      <c r="O19" s="8">
        <v>1</v>
      </c>
      <c r="S19">
        <v>1</v>
      </c>
      <c r="T19" s="7">
        <v>71.666666666666671</v>
      </c>
      <c r="W19" s="6">
        <v>0.97226666666666661</v>
      </c>
      <c r="Z19" s="6">
        <v>0.42416666666666669</v>
      </c>
      <c r="AA19">
        <v>1</v>
      </c>
    </row>
    <row r="20" spans="1:27" x14ac:dyDescent="0.25">
      <c r="A20">
        <v>76116181</v>
      </c>
      <c r="B20" t="s">
        <v>10</v>
      </c>
      <c r="C20" t="s">
        <v>70</v>
      </c>
      <c r="D20" s="4">
        <v>46139</v>
      </c>
      <c r="E20" s="5">
        <v>0.2742013888888889</v>
      </c>
      <c r="F20">
        <v>1</v>
      </c>
      <c r="G20" t="s">
        <v>82</v>
      </c>
      <c r="H20" s="7">
        <v>5</v>
      </c>
      <c r="L20" t="s">
        <v>166</v>
      </c>
      <c r="M20" t="s">
        <v>71</v>
      </c>
      <c r="N20" s="8" t="s">
        <v>75</v>
      </c>
      <c r="O20" s="8">
        <v>1</v>
      </c>
      <c r="S20">
        <v>1</v>
      </c>
      <c r="T20" s="7">
        <v>69.5</v>
      </c>
      <c r="W20" s="6">
        <v>0.9589333333333333</v>
      </c>
      <c r="Z20" s="6">
        <v>0.41083333333333333</v>
      </c>
      <c r="AA20">
        <v>1</v>
      </c>
    </row>
    <row r="21" spans="1:27" x14ac:dyDescent="0.25">
      <c r="A21">
        <v>76116182</v>
      </c>
      <c r="B21" t="s">
        <v>10</v>
      </c>
      <c r="C21" t="s">
        <v>70</v>
      </c>
      <c r="D21" s="4">
        <v>46139</v>
      </c>
      <c r="E21" s="5">
        <v>0.27526620370370369</v>
      </c>
      <c r="F21">
        <v>1</v>
      </c>
      <c r="G21" t="s">
        <v>82</v>
      </c>
      <c r="H21" s="7">
        <v>50</v>
      </c>
      <c r="L21" t="s">
        <v>170</v>
      </c>
      <c r="M21" t="s">
        <v>71</v>
      </c>
      <c r="N21" s="8" t="s">
        <v>75</v>
      </c>
      <c r="O21" s="8">
        <v>1</v>
      </c>
      <c r="R21" s="8">
        <v>1</v>
      </c>
      <c r="S21">
        <v>1</v>
      </c>
      <c r="T21" s="7">
        <v>20.5</v>
      </c>
      <c r="W21" s="6">
        <v>1.0789333333333333</v>
      </c>
      <c r="Y21" s="6">
        <v>0.21</v>
      </c>
      <c r="AA21">
        <v>1</v>
      </c>
    </row>
    <row r="22" spans="1:27" x14ac:dyDescent="0.25">
      <c r="A22">
        <v>76116184</v>
      </c>
      <c r="B22" t="s">
        <v>10</v>
      </c>
      <c r="C22" t="s">
        <v>70</v>
      </c>
      <c r="D22" s="4">
        <v>46139</v>
      </c>
      <c r="E22" s="5">
        <v>0.27684027777777775</v>
      </c>
      <c r="F22">
        <v>1</v>
      </c>
      <c r="G22" t="s">
        <v>82</v>
      </c>
      <c r="H22" s="7">
        <v>90</v>
      </c>
      <c r="L22" t="s">
        <v>171</v>
      </c>
      <c r="M22" t="s">
        <v>71</v>
      </c>
      <c r="N22" s="8">
        <v>1</v>
      </c>
      <c r="O22" s="8">
        <v>1</v>
      </c>
      <c r="R22" s="8">
        <v>1</v>
      </c>
      <c r="S22">
        <v>1</v>
      </c>
      <c r="T22" s="7">
        <v>5.083333333333333</v>
      </c>
      <c r="W22" s="6">
        <v>1.1856</v>
      </c>
      <c r="Y22" s="6">
        <v>0.21</v>
      </c>
      <c r="AA22">
        <v>1</v>
      </c>
    </row>
    <row r="23" spans="1:27" x14ac:dyDescent="0.25">
      <c r="A23">
        <v>76116185</v>
      </c>
      <c r="B23" t="s">
        <v>10</v>
      </c>
      <c r="C23" t="s">
        <v>70</v>
      </c>
      <c r="D23" s="4">
        <v>46139</v>
      </c>
      <c r="E23" s="5">
        <v>0.27759259259259261</v>
      </c>
      <c r="F23">
        <v>1</v>
      </c>
      <c r="G23" t="s">
        <v>82</v>
      </c>
      <c r="H23" s="7">
        <v>18</v>
      </c>
      <c r="L23" t="s">
        <v>176</v>
      </c>
      <c r="M23" t="s">
        <v>71</v>
      </c>
      <c r="N23" s="8" t="s">
        <v>75</v>
      </c>
      <c r="O23" s="8">
        <v>1</v>
      </c>
      <c r="R23" s="8">
        <v>1</v>
      </c>
      <c r="S23">
        <v>1</v>
      </c>
      <c r="T23" s="7">
        <v>14.5</v>
      </c>
      <c r="W23" s="6">
        <v>0.99360000000000004</v>
      </c>
      <c r="Y23" s="6">
        <v>0.21</v>
      </c>
      <c r="AA23">
        <v>1</v>
      </c>
    </row>
    <row r="24" spans="1:27" x14ac:dyDescent="0.25">
      <c r="A24">
        <v>76116187</v>
      </c>
      <c r="B24" t="s">
        <v>10</v>
      </c>
      <c r="C24" t="s">
        <v>70</v>
      </c>
      <c r="D24" s="4">
        <v>46139</v>
      </c>
      <c r="E24" s="5">
        <v>0.27831018518518519</v>
      </c>
      <c r="F24">
        <v>1</v>
      </c>
      <c r="G24" t="s">
        <v>82</v>
      </c>
      <c r="H24" s="7">
        <v>7.5</v>
      </c>
      <c r="L24" t="s">
        <v>181</v>
      </c>
      <c r="M24" t="s">
        <v>71</v>
      </c>
      <c r="N24" s="8" t="s">
        <v>75</v>
      </c>
      <c r="O24" s="8">
        <v>1</v>
      </c>
      <c r="Q24" s="8">
        <v>1</v>
      </c>
      <c r="S24">
        <v>1</v>
      </c>
      <c r="U24" s="7">
        <v>0.16666666666666666</v>
      </c>
      <c r="W24" s="6">
        <v>0.96604444444444448</v>
      </c>
      <c r="Z24" s="6">
        <v>0.41750000000000004</v>
      </c>
      <c r="AA24">
        <v>1</v>
      </c>
    </row>
    <row r="25" spans="1:27" x14ac:dyDescent="0.25">
      <c r="A25">
        <v>76116188</v>
      </c>
      <c r="B25" t="s">
        <v>10</v>
      </c>
      <c r="C25" t="s">
        <v>70</v>
      </c>
      <c r="D25" s="4">
        <v>46139</v>
      </c>
      <c r="E25" s="5">
        <v>0.27896990740740735</v>
      </c>
      <c r="F25">
        <v>1</v>
      </c>
      <c r="G25" t="s">
        <v>82</v>
      </c>
      <c r="H25" s="7">
        <v>28.75</v>
      </c>
      <c r="L25" t="s">
        <v>183</v>
      </c>
      <c r="M25" t="s">
        <v>71</v>
      </c>
      <c r="N25" s="8">
        <v>1</v>
      </c>
      <c r="O25" s="8">
        <v>1</v>
      </c>
      <c r="S25">
        <v>1</v>
      </c>
      <c r="T25" s="7">
        <v>83.166666666666657</v>
      </c>
      <c r="W25" s="6">
        <v>1.0222666666666667</v>
      </c>
      <c r="Z25" s="6">
        <v>0.47416666666666668</v>
      </c>
      <c r="AA25">
        <v>1</v>
      </c>
    </row>
    <row r="26" spans="1:27" x14ac:dyDescent="0.25">
      <c r="A26">
        <v>76116189</v>
      </c>
      <c r="B26" t="s">
        <v>10</v>
      </c>
      <c r="C26" t="s">
        <v>70</v>
      </c>
      <c r="D26" s="4">
        <v>46139</v>
      </c>
      <c r="E26" s="5">
        <v>0.27995370370370365</v>
      </c>
      <c r="F26">
        <v>1</v>
      </c>
      <c r="G26" t="s">
        <v>82</v>
      </c>
      <c r="H26" s="7">
        <v>6.6666666666666661</v>
      </c>
      <c r="L26">
        <v>11337518</v>
      </c>
      <c r="M26" t="s">
        <v>71</v>
      </c>
      <c r="N26" s="8" t="s">
        <v>77</v>
      </c>
      <c r="O26" s="8">
        <v>1</v>
      </c>
      <c r="S26">
        <v>1</v>
      </c>
      <c r="T26" s="7">
        <v>64.5</v>
      </c>
      <c r="W26" s="6">
        <v>0.96337777777777778</v>
      </c>
      <c r="Z26" s="6">
        <v>0.4152777777777778</v>
      </c>
      <c r="AA26">
        <v>1</v>
      </c>
    </row>
    <row r="27" spans="1:27" x14ac:dyDescent="0.25">
      <c r="A27">
        <v>76116191</v>
      </c>
      <c r="B27" t="s">
        <v>10</v>
      </c>
      <c r="C27" t="s">
        <v>70</v>
      </c>
      <c r="D27" s="4">
        <v>46139</v>
      </c>
      <c r="E27" s="5">
        <v>0.28123842592592591</v>
      </c>
      <c r="F27">
        <v>1</v>
      </c>
      <c r="G27" t="s">
        <v>82</v>
      </c>
      <c r="H27" s="7">
        <v>68.5</v>
      </c>
      <c r="L27" t="s">
        <v>189</v>
      </c>
      <c r="M27" t="s">
        <v>71</v>
      </c>
      <c r="N27" s="8" t="s">
        <v>75</v>
      </c>
      <c r="O27" s="8">
        <v>1</v>
      </c>
      <c r="R27" s="8">
        <v>1</v>
      </c>
      <c r="S27">
        <v>1</v>
      </c>
      <c r="T27" s="7">
        <v>24.5</v>
      </c>
      <c r="W27" s="6">
        <v>1.1282666666666668</v>
      </c>
      <c r="Y27" s="6">
        <v>0.21</v>
      </c>
      <c r="AA27">
        <v>1</v>
      </c>
    </row>
    <row r="28" spans="1:27" x14ac:dyDescent="0.25">
      <c r="A28">
        <v>76116192</v>
      </c>
      <c r="B28" t="s">
        <v>10</v>
      </c>
      <c r="C28" t="s">
        <v>70</v>
      </c>
      <c r="D28" s="4">
        <v>46139</v>
      </c>
      <c r="E28" s="5">
        <v>0.28201388888888884</v>
      </c>
      <c r="F28">
        <v>1</v>
      </c>
      <c r="G28" t="s">
        <v>82</v>
      </c>
      <c r="H28" s="7">
        <v>9</v>
      </c>
      <c r="L28">
        <v>80324801</v>
      </c>
      <c r="M28" t="s">
        <v>71</v>
      </c>
      <c r="N28" s="8" t="s">
        <v>77</v>
      </c>
      <c r="O28" s="8">
        <v>1</v>
      </c>
      <c r="Q28" s="8">
        <v>1</v>
      </c>
      <c r="S28">
        <v>1</v>
      </c>
      <c r="U28" s="7">
        <v>8.3333333333333329E-2</v>
      </c>
      <c r="W28" s="6">
        <v>0.96982222222222225</v>
      </c>
      <c r="Z28" s="6">
        <v>0.42150000000000004</v>
      </c>
      <c r="AA28">
        <v>1</v>
      </c>
    </row>
    <row r="29" spans="1:27" x14ac:dyDescent="0.25">
      <c r="A29">
        <v>76116194</v>
      </c>
      <c r="B29" t="s">
        <v>10</v>
      </c>
      <c r="C29" t="s">
        <v>70</v>
      </c>
      <c r="D29" s="4">
        <v>46139</v>
      </c>
      <c r="E29" s="5">
        <v>0.2828356481481481</v>
      </c>
      <c r="F29">
        <v>1</v>
      </c>
      <c r="G29" t="s">
        <v>82</v>
      </c>
      <c r="H29" s="7">
        <v>33.75</v>
      </c>
      <c r="L29">
        <v>76055232</v>
      </c>
      <c r="M29" t="s">
        <v>71</v>
      </c>
      <c r="N29" s="8">
        <v>1</v>
      </c>
      <c r="O29" s="8">
        <v>1</v>
      </c>
      <c r="Q29" s="8">
        <v>1</v>
      </c>
      <c r="S29">
        <v>1</v>
      </c>
      <c r="U29" s="7">
        <v>1.9166666666666665</v>
      </c>
      <c r="W29" s="6">
        <v>1.0407111111111111</v>
      </c>
      <c r="Z29" s="6">
        <v>0.48750000000000004</v>
      </c>
      <c r="AA29">
        <v>1</v>
      </c>
    </row>
    <row r="30" spans="1:27" x14ac:dyDescent="0.25">
      <c r="A30">
        <v>76116195</v>
      </c>
      <c r="B30" t="s">
        <v>10</v>
      </c>
      <c r="C30" t="s">
        <v>70</v>
      </c>
      <c r="D30" s="4">
        <v>46139</v>
      </c>
      <c r="E30" s="5">
        <v>0.28343749999999995</v>
      </c>
      <c r="F30">
        <v>1</v>
      </c>
      <c r="G30" t="s">
        <v>82</v>
      </c>
      <c r="H30" s="7">
        <v>14.5</v>
      </c>
      <c r="L30">
        <v>80318056</v>
      </c>
      <c r="M30" t="s">
        <v>71</v>
      </c>
      <c r="N30" s="8" t="s">
        <v>77</v>
      </c>
      <c r="O30" s="8">
        <v>1</v>
      </c>
      <c r="S30">
        <v>1</v>
      </c>
      <c r="T30" s="7">
        <v>87.75</v>
      </c>
      <c r="W30" s="6">
        <v>0.98426666666666662</v>
      </c>
      <c r="Z30" s="6">
        <v>0.4361666666666667</v>
      </c>
      <c r="AA30">
        <v>1</v>
      </c>
    </row>
    <row r="31" spans="1:27" x14ac:dyDescent="0.25">
      <c r="A31">
        <v>76116197</v>
      </c>
      <c r="B31" t="s">
        <v>10</v>
      </c>
      <c r="C31" t="s">
        <v>70</v>
      </c>
      <c r="D31" s="4">
        <v>46139</v>
      </c>
      <c r="E31" s="5">
        <v>0.28450231481481481</v>
      </c>
      <c r="F31">
        <v>1</v>
      </c>
      <c r="G31" t="s">
        <v>82</v>
      </c>
      <c r="H31" s="7">
        <v>18.5</v>
      </c>
      <c r="L31">
        <v>80318061</v>
      </c>
      <c r="M31" t="s">
        <v>71</v>
      </c>
      <c r="N31" s="8" t="s">
        <v>77</v>
      </c>
      <c r="O31" s="8">
        <v>1</v>
      </c>
      <c r="S31">
        <v>1</v>
      </c>
      <c r="T31" s="7">
        <v>30.333333333333332</v>
      </c>
      <c r="W31" s="6">
        <v>0.99493333333333334</v>
      </c>
      <c r="Z31" s="6">
        <v>0.44683333333333336</v>
      </c>
      <c r="AA31">
        <v>1</v>
      </c>
    </row>
    <row r="32" spans="1:27" x14ac:dyDescent="0.25">
      <c r="A32">
        <v>76116200</v>
      </c>
      <c r="B32" t="s">
        <v>10</v>
      </c>
      <c r="C32" t="s">
        <v>70</v>
      </c>
      <c r="D32" s="4">
        <v>46139</v>
      </c>
      <c r="E32" s="5">
        <v>0.28652777777777777</v>
      </c>
      <c r="F32">
        <v>1</v>
      </c>
      <c r="G32" t="s">
        <v>82</v>
      </c>
      <c r="H32" s="7">
        <v>10.5</v>
      </c>
      <c r="L32">
        <v>80281693</v>
      </c>
      <c r="M32" t="s">
        <v>71</v>
      </c>
      <c r="N32" s="8" t="s">
        <v>80</v>
      </c>
      <c r="O32" s="8">
        <v>1</v>
      </c>
      <c r="S32">
        <v>1</v>
      </c>
      <c r="T32" s="7">
        <v>33.666666666666664</v>
      </c>
      <c r="W32" s="6">
        <v>0.97360000000000002</v>
      </c>
      <c r="Z32" s="6">
        <v>0.42550000000000004</v>
      </c>
      <c r="AA32">
        <v>1</v>
      </c>
    </row>
    <row r="33" spans="1:27" x14ac:dyDescent="0.25">
      <c r="A33">
        <v>76116201</v>
      </c>
      <c r="B33" t="s">
        <v>10</v>
      </c>
      <c r="C33" t="s">
        <v>70</v>
      </c>
      <c r="D33" s="4">
        <v>46139</v>
      </c>
      <c r="E33" s="5">
        <v>0.28756944444444443</v>
      </c>
      <c r="F33">
        <v>1</v>
      </c>
      <c r="G33" t="s">
        <v>82</v>
      </c>
      <c r="H33" s="7">
        <v>10.5</v>
      </c>
      <c r="L33" t="s">
        <v>210</v>
      </c>
      <c r="M33" t="s">
        <v>71</v>
      </c>
      <c r="N33" s="8" t="s">
        <v>80</v>
      </c>
      <c r="O33" s="8">
        <v>1</v>
      </c>
      <c r="S33">
        <v>1</v>
      </c>
      <c r="T33" s="7">
        <v>47</v>
      </c>
      <c r="W33" s="6">
        <v>0.97360000000000002</v>
      </c>
      <c r="Z33" s="6">
        <v>0.42550000000000004</v>
      </c>
      <c r="AA33">
        <v>1</v>
      </c>
    </row>
    <row r="34" spans="1:27" x14ac:dyDescent="0.25">
      <c r="A34">
        <v>76116202</v>
      </c>
      <c r="B34" t="s">
        <v>10</v>
      </c>
      <c r="C34" t="s">
        <v>70</v>
      </c>
      <c r="D34" s="4">
        <v>46139</v>
      </c>
      <c r="E34" s="5">
        <v>0.28865740740740736</v>
      </c>
      <c r="F34">
        <v>1</v>
      </c>
      <c r="G34" t="s">
        <v>82</v>
      </c>
      <c r="H34" s="7">
        <v>14.833333333333332</v>
      </c>
      <c r="L34" t="s">
        <v>212</v>
      </c>
      <c r="M34" t="s">
        <v>71</v>
      </c>
      <c r="N34" s="8" t="s">
        <v>80</v>
      </c>
      <c r="O34" s="8">
        <v>1</v>
      </c>
      <c r="R34" s="8">
        <v>1</v>
      </c>
      <c r="S34">
        <v>1</v>
      </c>
      <c r="T34" s="7">
        <v>11.166666666666666</v>
      </c>
      <c r="W34" s="6">
        <v>0.98515555555555556</v>
      </c>
      <c r="Y34" s="6">
        <v>0.21</v>
      </c>
      <c r="AA34">
        <v>1</v>
      </c>
    </row>
    <row r="35" spans="1:27" x14ac:dyDescent="0.25">
      <c r="A35">
        <v>76116203</v>
      </c>
      <c r="B35" t="s">
        <v>10</v>
      </c>
      <c r="C35" t="s">
        <v>70</v>
      </c>
      <c r="D35" s="4">
        <v>46139</v>
      </c>
      <c r="E35" s="5">
        <v>0.28944444444444445</v>
      </c>
      <c r="F35">
        <v>1</v>
      </c>
      <c r="G35" t="s">
        <v>82</v>
      </c>
      <c r="H35" s="7">
        <v>47</v>
      </c>
      <c r="L35" t="s">
        <v>214</v>
      </c>
      <c r="M35" t="s">
        <v>71</v>
      </c>
      <c r="N35" s="8" t="s">
        <v>75</v>
      </c>
      <c r="O35" s="8">
        <v>1</v>
      </c>
      <c r="W35" s="6">
        <v>1.0709333333333333</v>
      </c>
    </row>
    <row r="36" spans="1:27" x14ac:dyDescent="0.25">
      <c r="A36">
        <v>76116204</v>
      </c>
      <c r="B36" t="s">
        <v>10</v>
      </c>
      <c r="C36" t="s">
        <v>70</v>
      </c>
      <c r="D36" s="4">
        <v>46139</v>
      </c>
      <c r="E36" s="5">
        <v>0.28979166666666667</v>
      </c>
      <c r="F36">
        <v>1</v>
      </c>
      <c r="G36" t="s">
        <v>82</v>
      </c>
      <c r="H36" s="7">
        <v>19</v>
      </c>
      <c r="L36" t="s">
        <v>214</v>
      </c>
      <c r="M36" t="s">
        <v>71</v>
      </c>
      <c r="N36" s="8" t="s">
        <v>75</v>
      </c>
      <c r="P36" s="8">
        <v>1</v>
      </c>
      <c r="S36">
        <v>1</v>
      </c>
      <c r="T36" s="7">
        <v>253.75</v>
      </c>
      <c r="X36" s="6">
        <v>0.44816666666666671</v>
      </c>
      <c r="Z36" s="6">
        <v>0.44816666666666671</v>
      </c>
      <c r="AA36">
        <v>2</v>
      </c>
    </row>
    <row r="37" spans="1:27" x14ac:dyDescent="0.25">
      <c r="A37">
        <v>76116205</v>
      </c>
      <c r="B37" t="s">
        <v>10</v>
      </c>
      <c r="C37" t="s">
        <v>70</v>
      </c>
      <c r="D37" s="4">
        <v>46139</v>
      </c>
      <c r="E37" s="5">
        <v>0.29050925925925924</v>
      </c>
      <c r="F37">
        <v>1</v>
      </c>
      <c r="G37" t="s">
        <v>82</v>
      </c>
      <c r="H37" s="7">
        <v>29.5</v>
      </c>
      <c r="L37" t="s">
        <v>217</v>
      </c>
      <c r="M37" t="s">
        <v>71</v>
      </c>
      <c r="N37" s="8">
        <v>1</v>
      </c>
      <c r="O37" s="8">
        <v>1</v>
      </c>
      <c r="S37">
        <v>1</v>
      </c>
      <c r="T37" s="7">
        <v>232.75</v>
      </c>
      <c r="W37" s="6">
        <v>1.0242666666666667</v>
      </c>
      <c r="Z37" s="6">
        <v>0.47616666666666668</v>
      </c>
      <c r="AA37">
        <v>1</v>
      </c>
    </row>
    <row r="38" spans="1:27" x14ac:dyDescent="0.25">
      <c r="A38">
        <v>76116206</v>
      </c>
      <c r="B38" t="s">
        <v>10</v>
      </c>
      <c r="C38" t="s">
        <v>70</v>
      </c>
      <c r="D38" s="4">
        <v>46139</v>
      </c>
      <c r="E38" s="5">
        <v>0.29115740740740736</v>
      </c>
      <c r="F38">
        <v>1</v>
      </c>
      <c r="G38" t="s">
        <v>82</v>
      </c>
      <c r="H38" s="7">
        <v>13</v>
      </c>
      <c r="L38" t="s">
        <v>219</v>
      </c>
      <c r="M38" t="s">
        <v>71</v>
      </c>
      <c r="N38" s="8" t="s">
        <v>75</v>
      </c>
      <c r="O38" s="8">
        <v>1</v>
      </c>
      <c r="Q38" s="8">
        <v>1</v>
      </c>
      <c r="S38">
        <v>1</v>
      </c>
      <c r="U38" s="7">
        <v>4.9166666666666661</v>
      </c>
      <c r="W38" s="6">
        <v>0.9933777777777778</v>
      </c>
      <c r="Z38" s="6">
        <v>0.4321666666666667</v>
      </c>
      <c r="AA38">
        <v>1</v>
      </c>
    </row>
    <row r="39" spans="1:27" x14ac:dyDescent="0.25">
      <c r="A39">
        <v>76116207</v>
      </c>
      <c r="B39" t="s">
        <v>10</v>
      </c>
      <c r="C39" t="s">
        <v>70</v>
      </c>
      <c r="D39" s="4">
        <v>46139</v>
      </c>
      <c r="E39" s="5">
        <v>0.29173611111111108</v>
      </c>
      <c r="F39">
        <v>1</v>
      </c>
      <c r="G39" t="s">
        <v>82</v>
      </c>
      <c r="H39" s="7">
        <v>30.75</v>
      </c>
      <c r="L39" t="s">
        <v>221</v>
      </c>
      <c r="M39" t="s">
        <v>71</v>
      </c>
      <c r="N39" s="8" t="s">
        <v>75</v>
      </c>
      <c r="O39" s="8">
        <v>1</v>
      </c>
      <c r="S39">
        <v>1</v>
      </c>
      <c r="T39" s="7">
        <v>94.25</v>
      </c>
      <c r="W39" s="6">
        <v>1.0276000000000001</v>
      </c>
      <c r="Z39" s="6">
        <v>0.47950000000000004</v>
      </c>
      <c r="AA39">
        <v>1</v>
      </c>
    </row>
    <row r="40" spans="1:27" x14ac:dyDescent="0.25">
      <c r="A40">
        <v>76116209</v>
      </c>
      <c r="B40" t="s">
        <v>10</v>
      </c>
      <c r="C40" t="s">
        <v>70</v>
      </c>
      <c r="D40" s="4">
        <v>46139</v>
      </c>
      <c r="E40" s="5">
        <v>0.29253472222222221</v>
      </c>
      <c r="F40">
        <v>1</v>
      </c>
      <c r="G40" t="s">
        <v>82</v>
      </c>
      <c r="H40" s="7">
        <v>42</v>
      </c>
      <c r="L40" t="s">
        <v>225</v>
      </c>
      <c r="M40" t="s">
        <v>71</v>
      </c>
      <c r="N40" s="8">
        <v>1</v>
      </c>
      <c r="O40" s="8">
        <v>1</v>
      </c>
      <c r="R40" s="8">
        <v>1</v>
      </c>
      <c r="S40">
        <v>1</v>
      </c>
      <c r="T40" s="7">
        <v>23.416666666666664</v>
      </c>
      <c r="W40" s="6">
        <v>1.0576000000000001</v>
      </c>
      <c r="Y40" s="6">
        <v>0.21</v>
      </c>
      <c r="AA40">
        <v>1</v>
      </c>
    </row>
    <row r="41" spans="1:27" x14ac:dyDescent="0.25">
      <c r="A41">
        <v>76116211</v>
      </c>
      <c r="B41" t="s">
        <v>10</v>
      </c>
      <c r="C41" t="s">
        <v>70</v>
      </c>
      <c r="D41" s="4">
        <v>46139</v>
      </c>
      <c r="E41" s="5">
        <v>0.2936111111111111</v>
      </c>
      <c r="F41">
        <v>1</v>
      </c>
      <c r="G41" t="s">
        <v>82</v>
      </c>
      <c r="H41" s="7">
        <v>27.25</v>
      </c>
      <c r="L41" t="s">
        <v>229</v>
      </c>
      <c r="M41" t="s">
        <v>71</v>
      </c>
      <c r="N41" s="8" t="s">
        <v>75</v>
      </c>
      <c r="O41" s="8">
        <v>1</v>
      </c>
      <c r="W41" s="6">
        <v>1.0182666666666667</v>
      </c>
    </row>
    <row r="42" spans="1:27" x14ac:dyDescent="0.25">
      <c r="A42">
        <v>76116213</v>
      </c>
      <c r="B42" t="s">
        <v>10</v>
      </c>
      <c r="C42" t="s">
        <v>70</v>
      </c>
      <c r="D42" s="4">
        <v>46139</v>
      </c>
      <c r="E42" s="5">
        <v>0.29403935185185182</v>
      </c>
      <c r="F42">
        <v>1</v>
      </c>
      <c r="G42" t="s">
        <v>82</v>
      </c>
      <c r="H42" s="7">
        <v>73</v>
      </c>
      <c r="L42" t="s">
        <v>229</v>
      </c>
      <c r="M42" t="s">
        <v>71</v>
      </c>
      <c r="N42" s="8" t="s">
        <v>75</v>
      </c>
      <c r="P42" s="8">
        <v>1</v>
      </c>
      <c r="X42" s="6">
        <v>0.59216666666666673</v>
      </c>
    </row>
    <row r="43" spans="1:27" x14ac:dyDescent="0.25">
      <c r="A43">
        <v>76116214</v>
      </c>
      <c r="B43" t="s">
        <v>10</v>
      </c>
      <c r="C43" t="s">
        <v>70</v>
      </c>
      <c r="D43" s="4">
        <v>46139</v>
      </c>
      <c r="E43" s="5">
        <v>0.29453703703703704</v>
      </c>
      <c r="F43">
        <v>1</v>
      </c>
      <c r="G43" t="s">
        <v>82</v>
      </c>
      <c r="H43" s="7">
        <v>22</v>
      </c>
      <c r="L43" t="s">
        <v>229</v>
      </c>
      <c r="M43" t="s">
        <v>71</v>
      </c>
      <c r="N43" s="8" t="s">
        <v>75</v>
      </c>
      <c r="P43" s="8">
        <v>1</v>
      </c>
      <c r="Q43" s="8">
        <v>1</v>
      </c>
      <c r="S43">
        <v>1</v>
      </c>
      <c r="U43" s="7">
        <v>1.25</v>
      </c>
      <c r="X43" s="6">
        <v>0.45950000000000002</v>
      </c>
      <c r="Z43" s="6">
        <v>0.45616666666666666</v>
      </c>
      <c r="AA43">
        <v>3</v>
      </c>
    </row>
    <row r="44" spans="1:27" x14ac:dyDescent="0.25">
      <c r="A44">
        <v>76116215</v>
      </c>
      <c r="B44" t="s">
        <v>10</v>
      </c>
      <c r="C44" t="s">
        <v>70</v>
      </c>
      <c r="D44" s="4">
        <v>46139</v>
      </c>
      <c r="E44" s="5">
        <v>0.29543981481481479</v>
      </c>
      <c r="F44">
        <v>1</v>
      </c>
      <c r="G44" t="s">
        <v>82</v>
      </c>
      <c r="H44" s="7">
        <v>103.5</v>
      </c>
      <c r="L44" t="s">
        <v>234</v>
      </c>
      <c r="M44" t="s">
        <v>71</v>
      </c>
      <c r="N44" s="8" t="s">
        <v>75</v>
      </c>
      <c r="O44" s="8">
        <v>1</v>
      </c>
      <c r="W44" s="6">
        <v>1.2216</v>
      </c>
    </row>
    <row r="45" spans="1:27" x14ac:dyDescent="0.25">
      <c r="A45">
        <v>76116217</v>
      </c>
      <c r="B45" t="s">
        <v>10</v>
      </c>
      <c r="C45" t="s">
        <v>70</v>
      </c>
      <c r="D45" s="4">
        <v>46139</v>
      </c>
      <c r="E45" s="5">
        <v>0.29677083333333332</v>
      </c>
      <c r="F45">
        <v>1</v>
      </c>
      <c r="G45" t="s">
        <v>82</v>
      </c>
      <c r="H45" s="7">
        <v>48</v>
      </c>
      <c r="L45" t="s">
        <v>234</v>
      </c>
      <c r="M45" t="s">
        <v>71</v>
      </c>
      <c r="N45" s="8" t="s">
        <v>75</v>
      </c>
      <c r="P45" s="8">
        <v>1</v>
      </c>
      <c r="Q45" s="8">
        <v>1</v>
      </c>
      <c r="S45">
        <v>1</v>
      </c>
      <c r="U45" s="7">
        <v>0.75</v>
      </c>
      <c r="X45" s="6">
        <v>0.52750000000000008</v>
      </c>
      <c r="Z45" s="6">
        <v>0.52550000000000008</v>
      </c>
      <c r="AA45">
        <v>2</v>
      </c>
    </row>
    <row r="46" spans="1:27" x14ac:dyDescent="0.25">
      <c r="A46">
        <v>76116218</v>
      </c>
      <c r="B46" t="s">
        <v>10</v>
      </c>
      <c r="C46" t="s">
        <v>70</v>
      </c>
      <c r="D46" s="4">
        <v>46139</v>
      </c>
      <c r="E46" s="5">
        <v>0.2976388888888889</v>
      </c>
      <c r="F46">
        <v>1</v>
      </c>
      <c r="G46" t="s">
        <v>82</v>
      </c>
      <c r="H46" s="7">
        <v>10.5</v>
      </c>
      <c r="L46" t="s">
        <v>239</v>
      </c>
      <c r="M46" t="s">
        <v>71</v>
      </c>
      <c r="N46" s="8" t="s">
        <v>75</v>
      </c>
      <c r="O46" s="8">
        <v>1</v>
      </c>
      <c r="R46" s="8">
        <v>1</v>
      </c>
      <c r="S46">
        <v>1</v>
      </c>
      <c r="U46" s="7">
        <v>1.25</v>
      </c>
      <c r="W46" s="6">
        <v>0.97693333333333332</v>
      </c>
      <c r="Y46" s="6">
        <v>0.21</v>
      </c>
      <c r="AA46">
        <v>1</v>
      </c>
    </row>
    <row r="47" spans="1:27" x14ac:dyDescent="0.25">
      <c r="A47">
        <v>76116219</v>
      </c>
      <c r="B47" t="s">
        <v>10</v>
      </c>
      <c r="C47" t="s">
        <v>70</v>
      </c>
      <c r="D47" s="4">
        <v>46139</v>
      </c>
      <c r="E47" s="5">
        <v>0.29824074074074075</v>
      </c>
      <c r="F47">
        <v>1</v>
      </c>
      <c r="G47" t="s">
        <v>82</v>
      </c>
      <c r="H47" s="7">
        <v>7</v>
      </c>
      <c r="L47" t="s">
        <v>242</v>
      </c>
      <c r="M47" t="s">
        <v>71</v>
      </c>
      <c r="N47" s="8" t="s">
        <v>75</v>
      </c>
      <c r="O47" s="8">
        <v>1</v>
      </c>
      <c r="S47">
        <v>1</v>
      </c>
      <c r="T47" s="7">
        <v>43.25</v>
      </c>
      <c r="W47" s="6">
        <v>0.96426666666666672</v>
      </c>
      <c r="Z47" s="6">
        <v>0.41616666666666668</v>
      </c>
      <c r="AA47">
        <v>1</v>
      </c>
    </row>
    <row r="48" spans="1:27" x14ac:dyDescent="0.25">
      <c r="A48">
        <v>76116221</v>
      </c>
      <c r="B48" t="s">
        <v>10</v>
      </c>
      <c r="C48" t="s">
        <v>70</v>
      </c>
      <c r="D48" s="4">
        <v>46139</v>
      </c>
      <c r="E48" s="5">
        <v>0.2991550925925926</v>
      </c>
      <c r="F48">
        <v>1</v>
      </c>
      <c r="G48" t="s">
        <v>82</v>
      </c>
      <c r="H48" s="7">
        <v>28</v>
      </c>
      <c r="L48" t="s">
        <v>246</v>
      </c>
      <c r="M48" t="s">
        <v>71</v>
      </c>
      <c r="N48" s="8">
        <v>1</v>
      </c>
      <c r="O48" s="8">
        <v>1</v>
      </c>
      <c r="S48">
        <v>1</v>
      </c>
      <c r="T48" s="7">
        <v>79.416666666666657</v>
      </c>
      <c r="W48" s="6">
        <v>1.0202666666666667</v>
      </c>
      <c r="Z48" s="6">
        <v>0.47216666666666668</v>
      </c>
      <c r="AA48">
        <v>1</v>
      </c>
    </row>
    <row r="49" spans="1:27" x14ac:dyDescent="0.25">
      <c r="A49">
        <v>76116223</v>
      </c>
      <c r="B49" t="s">
        <v>10</v>
      </c>
      <c r="C49" t="s">
        <v>70</v>
      </c>
      <c r="D49" s="4">
        <v>46139</v>
      </c>
      <c r="E49" s="5">
        <v>0.30078703703703702</v>
      </c>
      <c r="F49">
        <v>1</v>
      </c>
      <c r="G49" t="s">
        <v>82</v>
      </c>
      <c r="H49" s="7">
        <v>12.916666666666666</v>
      </c>
      <c r="L49" t="s">
        <v>247</v>
      </c>
      <c r="M49" t="s">
        <v>71</v>
      </c>
      <c r="N49" s="8">
        <v>1</v>
      </c>
      <c r="O49" s="8">
        <v>1</v>
      </c>
      <c r="R49" s="8">
        <v>1</v>
      </c>
      <c r="S49">
        <v>1</v>
      </c>
      <c r="T49" s="7">
        <v>9.25</v>
      </c>
      <c r="W49" s="6">
        <v>0.9800444444444445</v>
      </c>
      <c r="Y49" s="6">
        <v>0.21</v>
      </c>
      <c r="AA49">
        <v>1</v>
      </c>
    </row>
    <row r="50" spans="1:27" x14ac:dyDescent="0.25">
      <c r="A50">
        <v>76116224</v>
      </c>
      <c r="B50" t="s">
        <v>10</v>
      </c>
      <c r="C50" t="s">
        <v>70</v>
      </c>
      <c r="D50" s="4">
        <v>46139</v>
      </c>
      <c r="E50" s="5">
        <v>0.301724537037037</v>
      </c>
      <c r="F50">
        <v>1</v>
      </c>
      <c r="G50" t="s">
        <v>82</v>
      </c>
      <c r="H50" s="7">
        <v>44</v>
      </c>
      <c r="L50" t="s">
        <v>252</v>
      </c>
      <c r="M50" t="s">
        <v>71</v>
      </c>
      <c r="N50" s="8">
        <v>1</v>
      </c>
      <c r="O50" s="8">
        <v>1</v>
      </c>
      <c r="R50" s="8">
        <v>1</v>
      </c>
      <c r="S50">
        <v>1</v>
      </c>
      <c r="T50" s="7">
        <v>8.1666666666666661</v>
      </c>
      <c r="W50" s="6">
        <v>1.0629333333333333</v>
      </c>
      <c r="Y50" s="6">
        <v>0.21</v>
      </c>
      <c r="AA50">
        <v>1</v>
      </c>
    </row>
    <row r="51" spans="1:27" x14ac:dyDescent="0.25">
      <c r="A51">
        <v>76116225</v>
      </c>
      <c r="B51" t="s">
        <v>10</v>
      </c>
      <c r="C51" t="s">
        <v>70</v>
      </c>
      <c r="D51" s="4">
        <v>46139</v>
      </c>
      <c r="E51" s="5">
        <v>0.30251157407407409</v>
      </c>
      <c r="F51">
        <v>1</v>
      </c>
      <c r="G51" t="s">
        <v>82</v>
      </c>
      <c r="H51" s="7">
        <v>6.75</v>
      </c>
      <c r="L51" t="s">
        <v>256</v>
      </c>
      <c r="M51" t="s">
        <v>71</v>
      </c>
      <c r="N51" s="8">
        <v>1</v>
      </c>
      <c r="O51" s="8">
        <v>1</v>
      </c>
      <c r="Q51" s="8">
        <v>1</v>
      </c>
      <c r="S51">
        <v>1</v>
      </c>
      <c r="U51" s="7">
        <v>0.25</v>
      </c>
      <c r="W51" s="6">
        <v>0.96426666666666672</v>
      </c>
      <c r="Z51" s="6">
        <v>0.41550000000000004</v>
      </c>
      <c r="AA51">
        <v>1</v>
      </c>
    </row>
    <row r="52" spans="1:27" x14ac:dyDescent="0.25">
      <c r="A52">
        <v>76116227</v>
      </c>
      <c r="B52" t="s">
        <v>10</v>
      </c>
      <c r="C52" t="s">
        <v>70</v>
      </c>
      <c r="D52" s="4">
        <v>46139</v>
      </c>
      <c r="E52" s="5">
        <v>0.30332175925925925</v>
      </c>
      <c r="F52">
        <v>1</v>
      </c>
      <c r="G52" t="s">
        <v>82</v>
      </c>
      <c r="H52" s="7">
        <v>57.25</v>
      </c>
      <c r="L52" t="s">
        <v>260</v>
      </c>
      <c r="M52" t="s">
        <v>71</v>
      </c>
      <c r="N52" s="8">
        <v>1</v>
      </c>
      <c r="O52" s="8">
        <v>1</v>
      </c>
      <c r="W52" s="6">
        <v>1.0982666666666667</v>
      </c>
    </row>
    <row r="53" spans="1:27" x14ac:dyDescent="0.25">
      <c r="A53">
        <v>76116228</v>
      </c>
      <c r="B53" t="s">
        <v>10</v>
      </c>
      <c r="C53" t="s">
        <v>70</v>
      </c>
      <c r="D53" s="4">
        <v>46139</v>
      </c>
      <c r="E53" s="5">
        <v>0.30379629629629629</v>
      </c>
      <c r="F53">
        <v>1</v>
      </c>
      <c r="G53" t="s">
        <v>82</v>
      </c>
      <c r="H53" s="7">
        <v>123</v>
      </c>
      <c r="L53" t="s">
        <v>260</v>
      </c>
      <c r="M53" t="s">
        <v>71</v>
      </c>
      <c r="N53" s="8">
        <v>1</v>
      </c>
      <c r="P53" s="8">
        <v>1</v>
      </c>
      <c r="X53" s="6">
        <v>0.72550000000000003</v>
      </c>
    </row>
    <row r="54" spans="1:27" x14ac:dyDescent="0.25">
      <c r="A54">
        <v>76116229</v>
      </c>
      <c r="B54" t="s">
        <v>10</v>
      </c>
      <c r="C54" t="s">
        <v>70</v>
      </c>
      <c r="D54" s="4">
        <v>46139</v>
      </c>
      <c r="E54" s="5">
        <v>0.30401620370370369</v>
      </c>
      <c r="F54">
        <v>1</v>
      </c>
      <c r="G54" t="s">
        <v>82</v>
      </c>
      <c r="H54" s="7">
        <v>26</v>
      </c>
      <c r="L54" t="s">
        <v>260</v>
      </c>
      <c r="M54" t="s">
        <v>71</v>
      </c>
      <c r="N54" s="8">
        <v>1</v>
      </c>
      <c r="P54" s="8">
        <v>1</v>
      </c>
      <c r="Q54" s="8">
        <v>1</v>
      </c>
      <c r="S54">
        <v>1</v>
      </c>
      <c r="U54" s="7">
        <v>1.3333333333333333</v>
      </c>
      <c r="X54" s="6">
        <v>0.47038888888888891</v>
      </c>
      <c r="Z54" s="6">
        <v>0.46683333333333332</v>
      </c>
      <c r="AA54">
        <v>3</v>
      </c>
    </row>
    <row r="55" spans="1:27" x14ac:dyDescent="0.25">
      <c r="A55">
        <v>76116231</v>
      </c>
      <c r="B55" t="s">
        <v>10</v>
      </c>
      <c r="C55" t="s">
        <v>70</v>
      </c>
      <c r="D55" s="4">
        <v>46139</v>
      </c>
      <c r="E55" s="5">
        <v>0.30614583333333334</v>
      </c>
      <c r="F55">
        <v>1</v>
      </c>
      <c r="G55" t="s">
        <v>82</v>
      </c>
      <c r="H55" s="7">
        <v>21.25</v>
      </c>
      <c r="L55" t="s">
        <v>266</v>
      </c>
      <c r="M55" t="s">
        <v>71</v>
      </c>
      <c r="N55" s="8">
        <v>1</v>
      </c>
      <c r="O55" s="8">
        <v>1</v>
      </c>
      <c r="R55" s="8">
        <v>1</v>
      </c>
      <c r="S55">
        <v>1</v>
      </c>
      <c r="T55" s="7">
        <v>7.333333333333333</v>
      </c>
      <c r="W55" s="6">
        <v>1.0022666666666666</v>
      </c>
      <c r="Y55" s="6">
        <v>0.21</v>
      </c>
      <c r="AA55">
        <v>1</v>
      </c>
    </row>
    <row r="56" spans="1:27" x14ac:dyDescent="0.25">
      <c r="A56">
        <v>76116232</v>
      </c>
      <c r="B56" t="s">
        <v>10</v>
      </c>
      <c r="C56" t="s">
        <v>70</v>
      </c>
      <c r="D56" s="4">
        <v>46139</v>
      </c>
      <c r="E56" s="5">
        <v>0.30707175925925922</v>
      </c>
      <c r="F56">
        <v>1</v>
      </c>
      <c r="G56" t="s">
        <v>82</v>
      </c>
      <c r="H56" s="7">
        <v>37</v>
      </c>
      <c r="L56" t="s">
        <v>268</v>
      </c>
      <c r="M56" t="s">
        <v>71</v>
      </c>
      <c r="N56" s="8" t="s">
        <v>75</v>
      </c>
      <c r="O56" s="8">
        <v>1</v>
      </c>
      <c r="R56" s="8">
        <v>1</v>
      </c>
      <c r="S56">
        <v>1</v>
      </c>
      <c r="T56" s="7">
        <v>6.25</v>
      </c>
      <c r="W56" s="6">
        <v>1.0442666666666667</v>
      </c>
      <c r="Y56" s="6">
        <v>0.21</v>
      </c>
      <c r="AA56">
        <v>1</v>
      </c>
    </row>
    <row r="57" spans="1:27" x14ac:dyDescent="0.25">
      <c r="A57">
        <v>76116234</v>
      </c>
      <c r="B57" t="s">
        <v>10</v>
      </c>
      <c r="C57" t="s">
        <v>70</v>
      </c>
      <c r="D57" s="4">
        <v>46139</v>
      </c>
      <c r="E57" s="5">
        <v>0.30770833333333331</v>
      </c>
      <c r="F57">
        <v>1</v>
      </c>
      <c r="G57" t="s">
        <v>82</v>
      </c>
      <c r="H57" s="7">
        <v>7</v>
      </c>
      <c r="L57" t="s">
        <v>272</v>
      </c>
      <c r="M57" t="s">
        <v>71</v>
      </c>
      <c r="N57" s="8" t="s">
        <v>75</v>
      </c>
      <c r="O57" s="8">
        <v>1</v>
      </c>
      <c r="S57">
        <v>1</v>
      </c>
      <c r="T57" s="7">
        <v>55.833333333333329</v>
      </c>
      <c r="W57" s="6">
        <v>0.96426666666666672</v>
      </c>
      <c r="Z57" s="6">
        <v>0.41616666666666668</v>
      </c>
      <c r="AA57">
        <v>1</v>
      </c>
    </row>
    <row r="58" spans="1:27" x14ac:dyDescent="0.25">
      <c r="A58">
        <v>76116236</v>
      </c>
      <c r="B58" t="s">
        <v>10</v>
      </c>
      <c r="C58" t="s">
        <v>70</v>
      </c>
      <c r="D58" s="4">
        <v>46139</v>
      </c>
      <c r="E58" s="5">
        <v>0.30853009259259256</v>
      </c>
      <c r="F58">
        <v>1</v>
      </c>
      <c r="G58" t="s">
        <v>82</v>
      </c>
      <c r="H58" s="7">
        <v>7</v>
      </c>
      <c r="L58" t="s">
        <v>275</v>
      </c>
      <c r="M58" t="s">
        <v>71</v>
      </c>
      <c r="N58" s="8" t="s">
        <v>75</v>
      </c>
      <c r="O58" s="8">
        <v>1</v>
      </c>
      <c r="S58">
        <v>1</v>
      </c>
      <c r="T58" s="7">
        <v>53.833333333333336</v>
      </c>
      <c r="W58" s="6">
        <v>0.96426666666666672</v>
      </c>
      <c r="Z58" s="6">
        <v>0.41616666666666668</v>
      </c>
      <c r="AA58">
        <v>1</v>
      </c>
    </row>
    <row r="59" spans="1:27" x14ac:dyDescent="0.25">
      <c r="A59">
        <v>76116237</v>
      </c>
      <c r="B59" t="s">
        <v>10</v>
      </c>
      <c r="C59" t="s">
        <v>70</v>
      </c>
      <c r="D59" s="4">
        <v>46139</v>
      </c>
      <c r="E59" s="5">
        <v>0.30974537037037037</v>
      </c>
      <c r="F59">
        <v>1</v>
      </c>
      <c r="G59" t="s">
        <v>82</v>
      </c>
      <c r="H59" s="7">
        <v>5</v>
      </c>
      <c r="L59" t="s">
        <v>279</v>
      </c>
      <c r="M59" t="s">
        <v>71</v>
      </c>
      <c r="N59" s="8" t="s">
        <v>75</v>
      </c>
      <c r="O59" s="8">
        <v>1</v>
      </c>
      <c r="R59" s="8">
        <v>1</v>
      </c>
      <c r="S59">
        <v>1</v>
      </c>
      <c r="T59" s="7">
        <v>5.583333333333333</v>
      </c>
      <c r="W59" s="6">
        <v>0.9589333333333333</v>
      </c>
      <c r="Y59" s="6">
        <v>0.21</v>
      </c>
      <c r="AA59">
        <v>1</v>
      </c>
    </row>
    <row r="60" spans="1:27" x14ac:dyDescent="0.25">
      <c r="A60">
        <v>76116238</v>
      </c>
      <c r="B60" t="s">
        <v>10</v>
      </c>
      <c r="C60" t="s">
        <v>70</v>
      </c>
      <c r="D60" s="4">
        <v>46139</v>
      </c>
      <c r="E60" s="5">
        <v>0.31103009259259257</v>
      </c>
      <c r="F60">
        <v>1</v>
      </c>
      <c r="G60" t="s">
        <v>82</v>
      </c>
      <c r="H60" s="7">
        <v>25.5</v>
      </c>
      <c r="L60" t="s">
        <v>281</v>
      </c>
      <c r="M60" t="s">
        <v>71</v>
      </c>
      <c r="N60" s="8" t="s">
        <v>75</v>
      </c>
      <c r="O60" s="8">
        <v>1</v>
      </c>
      <c r="S60">
        <v>1</v>
      </c>
      <c r="T60" s="7">
        <v>95.083333333333329</v>
      </c>
      <c r="W60" s="6">
        <v>1.0136000000000001</v>
      </c>
      <c r="Z60" s="6">
        <v>0.46550000000000002</v>
      </c>
      <c r="AA60">
        <v>1</v>
      </c>
    </row>
    <row r="61" spans="1:27" x14ac:dyDescent="0.25">
      <c r="A61">
        <v>76116240</v>
      </c>
      <c r="B61" t="s">
        <v>10</v>
      </c>
      <c r="C61" t="s">
        <v>70</v>
      </c>
      <c r="D61" s="4">
        <v>46139</v>
      </c>
      <c r="E61" s="5">
        <v>0.31202546296296296</v>
      </c>
      <c r="F61">
        <v>1</v>
      </c>
      <c r="G61" t="s">
        <v>82</v>
      </c>
      <c r="H61" s="7">
        <v>60</v>
      </c>
      <c r="L61" t="s">
        <v>284</v>
      </c>
      <c r="M61" t="s">
        <v>71</v>
      </c>
      <c r="N61" s="8">
        <v>1</v>
      </c>
      <c r="O61" s="8">
        <v>1</v>
      </c>
      <c r="S61">
        <v>1</v>
      </c>
      <c r="T61" s="7">
        <v>163.83333333333331</v>
      </c>
      <c r="W61" s="6">
        <v>1.1055999999999999</v>
      </c>
      <c r="Z61" s="6">
        <v>0.5575</v>
      </c>
      <c r="AA61">
        <v>1</v>
      </c>
    </row>
    <row r="62" spans="1:27" x14ac:dyDescent="0.25">
      <c r="A62">
        <v>76116242</v>
      </c>
      <c r="B62" t="s">
        <v>10</v>
      </c>
      <c r="C62" t="s">
        <v>70</v>
      </c>
      <c r="D62" s="4">
        <v>46139</v>
      </c>
      <c r="E62" s="5">
        <v>0.31318287037037035</v>
      </c>
      <c r="F62">
        <v>1</v>
      </c>
      <c r="G62" t="s">
        <v>82</v>
      </c>
      <c r="H62" s="7">
        <v>60</v>
      </c>
      <c r="L62" t="s">
        <v>291</v>
      </c>
      <c r="M62" t="s">
        <v>71</v>
      </c>
      <c r="N62" s="8">
        <v>1</v>
      </c>
      <c r="O62" s="8">
        <v>1</v>
      </c>
      <c r="S62">
        <v>1</v>
      </c>
      <c r="T62" s="7">
        <v>105.91666666666666</v>
      </c>
      <c r="W62" s="6">
        <v>1.1055999999999999</v>
      </c>
      <c r="Z62" s="6">
        <v>0.5575</v>
      </c>
      <c r="AA62">
        <v>1</v>
      </c>
    </row>
    <row r="63" spans="1:27" x14ac:dyDescent="0.25">
      <c r="A63">
        <v>76116243</v>
      </c>
      <c r="B63" t="s">
        <v>10</v>
      </c>
      <c r="C63" t="s">
        <v>70</v>
      </c>
      <c r="D63" s="4">
        <v>46139</v>
      </c>
      <c r="E63" s="5">
        <v>0.31391203703703702</v>
      </c>
      <c r="F63">
        <v>1</v>
      </c>
      <c r="G63" t="s">
        <v>82</v>
      </c>
      <c r="H63" s="7">
        <v>86.25</v>
      </c>
      <c r="L63" t="s">
        <v>293</v>
      </c>
      <c r="M63" t="s">
        <v>71</v>
      </c>
      <c r="N63" s="8" t="s">
        <v>75</v>
      </c>
      <c r="O63" s="8">
        <v>1</v>
      </c>
      <c r="S63">
        <v>1</v>
      </c>
      <c r="T63" s="7">
        <v>169.66666666666666</v>
      </c>
      <c r="W63" s="6">
        <v>1.1756</v>
      </c>
      <c r="Z63" s="6">
        <v>0.62750000000000006</v>
      </c>
      <c r="AA63">
        <v>1</v>
      </c>
    </row>
    <row r="64" spans="1:27" x14ac:dyDescent="0.25">
      <c r="A64">
        <v>76116245</v>
      </c>
      <c r="B64" t="s">
        <v>10</v>
      </c>
      <c r="C64" t="s">
        <v>70</v>
      </c>
      <c r="D64" s="4">
        <v>46139</v>
      </c>
      <c r="E64" s="5">
        <v>0.31497685185185181</v>
      </c>
      <c r="F64">
        <v>1</v>
      </c>
      <c r="G64" t="s">
        <v>82</v>
      </c>
      <c r="H64" s="7">
        <v>26.916666666666668</v>
      </c>
      <c r="L64" t="s">
        <v>296</v>
      </c>
      <c r="M64" t="s">
        <v>71</v>
      </c>
      <c r="N64" s="8" t="s">
        <v>75</v>
      </c>
      <c r="O64" s="8">
        <v>1</v>
      </c>
      <c r="Q64" s="8">
        <v>1</v>
      </c>
      <c r="S64">
        <v>1</v>
      </c>
      <c r="U64" s="7">
        <v>0.16666666666666666</v>
      </c>
      <c r="W64" s="6">
        <v>1.0178222222222222</v>
      </c>
      <c r="Z64" s="6">
        <v>0.46927777777777779</v>
      </c>
      <c r="AA64">
        <v>1</v>
      </c>
    </row>
    <row r="65" spans="1:27" x14ac:dyDescent="0.25">
      <c r="A65">
        <v>76116246</v>
      </c>
      <c r="B65" t="s">
        <v>10</v>
      </c>
      <c r="C65" t="s">
        <v>70</v>
      </c>
      <c r="D65" s="4">
        <v>46139</v>
      </c>
      <c r="E65" s="5">
        <v>0.31623842592592594</v>
      </c>
      <c r="F65">
        <v>1</v>
      </c>
      <c r="G65" t="s">
        <v>82</v>
      </c>
      <c r="H65" s="7">
        <v>16.25</v>
      </c>
      <c r="L65" t="s">
        <v>298</v>
      </c>
      <c r="M65" t="s">
        <v>71</v>
      </c>
      <c r="N65" s="8" t="s">
        <v>77</v>
      </c>
      <c r="O65" s="8">
        <v>1</v>
      </c>
      <c r="Q65" s="8">
        <v>1</v>
      </c>
      <c r="S65">
        <v>1</v>
      </c>
      <c r="U65" s="7">
        <v>0.33333333333333331</v>
      </c>
      <c r="W65" s="6">
        <v>0.98982222222222216</v>
      </c>
      <c r="Z65" s="6">
        <v>0.44083333333333335</v>
      </c>
      <c r="AA65">
        <v>1</v>
      </c>
    </row>
    <row r="66" spans="1:27" x14ac:dyDescent="0.25">
      <c r="A66">
        <v>76116247</v>
      </c>
      <c r="B66" t="s">
        <v>10</v>
      </c>
      <c r="C66" t="s">
        <v>70</v>
      </c>
      <c r="D66" s="4">
        <v>46139</v>
      </c>
      <c r="E66" s="5">
        <v>0.31694444444444442</v>
      </c>
      <c r="F66">
        <v>1</v>
      </c>
      <c r="G66" t="s">
        <v>82</v>
      </c>
      <c r="H66" s="7">
        <v>17</v>
      </c>
      <c r="L66">
        <v>505399213</v>
      </c>
      <c r="M66" t="s">
        <v>71</v>
      </c>
      <c r="N66" s="8" t="s">
        <v>77</v>
      </c>
      <c r="O66" s="8">
        <v>1</v>
      </c>
      <c r="S66">
        <v>1</v>
      </c>
      <c r="T66" s="7">
        <v>40.75</v>
      </c>
      <c r="W66" s="6">
        <v>0.99093333333333333</v>
      </c>
      <c r="Z66" s="6">
        <v>0.44283333333333336</v>
      </c>
      <c r="AA66">
        <v>1</v>
      </c>
    </row>
    <row r="67" spans="1:27" x14ac:dyDescent="0.25">
      <c r="A67">
        <v>76116249</v>
      </c>
      <c r="B67" t="s">
        <v>10</v>
      </c>
      <c r="C67" t="s">
        <v>70</v>
      </c>
      <c r="D67" s="4">
        <v>46139</v>
      </c>
      <c r="E67" s="5">
        <v>0.3180324074074074</v>
      </c>
      <c r="F67">
        <v>1</v>
      </c>
      <c r="G67" t="s">
        <v>82</v>
      </c>
      <c r="H67" s="7">
        <v>84</v>
      </c>
      <c r="L67" t="s">
        <v>307</v>
      </c>
      <c r="M67" t="s">
        <v>71</v>
      </c>
      <c r="N67" s="8" t="s">
        <v>75</v>
      </c>
      <c r="O67" s="8">
        <v>1</v>
      </c>
      <c r="R67" s="8">
        <v>1</v>
      </c>
      <c r="S67">
        <v>1</v>
      </c>
      <c r="T67" s="7">
        <v>19.416666666666668</v>
      </c>
      <c r="W67" s="6">
        <v>1.1696</v>
      </c>
      <c r="Y67" s="6">
        <v>0.21</v>
      </c>
      <c r="AA67">
        <v>1</v>
      </c>
    </row>
    <row r="68" spans="1:27" x14ac:dyDescent="0.25">
      <c r="A68">
        <v>76116250</v>
      </c>
      <c r="B68" t="s">
        <v>10</v>
      </c>
      <c r="C68" t="s">
        <v>70</v>
      </c>
      <c r="D68" s="4">
        <v>46139</v>
      </c>
      <c r="E68" s="5">
        <v>0.31900462962962961</v>
      </c>
      <c r="F68">
        <v>1</v>
      </c>
      <c r="G68" t="s">
        <v>82</v>
      </c>
      <c r="H68" s="7">
        <v>105</v>
      </c>
      <c r="L68" t="s">
        <v>309</v>
      </c>
      <c r="M68" t="s">
        <v>71</v>
      </c>
      <c r="N68" s="8" t="s">
        <v>75</v>
      </c>
      <c r="O68" s="8">
        <v>1</v>
      </c>
      <c r="S68">
        <v>1</v>
      </c>
      <c r="T68" s="7">
        <v>117.66666666666667</v>
      </c>
      <c r="W68" s="6">
        <v>1.2256</v>
      </c>
      <c r="Z68" s="6">
        <v>0.67749999999999999</v>
      </c>
      <c r="AA68">
        <v>1</v>
      </c>
    </row>
    <row r="69" spans="1:27" x14ac:dyDescent="0.25">
      <c r="A69">
        <v>76116251</v>
      </c>
      <c r="B69" t="s">
        <v>10</v>
      </c>
      <c r="C69" t="s">
        <v>70</v>
      </c>
      <c r="D69" s="4">
        <v>46139</v>
      </c>
      <c r="E69" s="5">
        <v>0.31984953703703706</v>
      </c>
      <c r="F69">
        <v>1</v>
      </c>
      <c r="G69" t="s">
        <v>82</v>
      </c>
      <c r="H69" s="7">
        <v>37</v>
      </c>
      <c r="L69" t="s">
        <v>311</v>
      </c>
      <c r="M69" t="s">
        <v>71</v>
      </c>
      <c r="N69" s="8">
        <v>1</v>
      </c>
      <c r="O69" s="8">
        <v>1</v>
      </c>
      <c r="S69">
        <v>1</v>
      </c>
      <c r="T69" s="7">
        <v>65.75</v>
      </c>
      <c r="W69" s="6">
        <v>1.0442666666666667</v>
      </c>
      <c r="Z69" s="6">
        <v>0.4961666666666667</v>
      </c>
      <c r="AA69">
        <v>1</v>
      </c>
    </row>
    <row r="70" spans="1:27" x14ac:dyDescent="0.25">
      <c r="A70">
        <v>76116253</v>
      </c>
      <c r="B70" t="s">
        <v>10</v>
      </c>
      <c r="C70" t="s">
        <v>70</v>
      </c>
      <c r="D70" s="4">
        <v>46139</v>
      </c>
      <c r="E70" s="5">
        <v>0.32079861111111108</v>
      </c>
      <c r="F70">
        <v>1</v>
      </c>
      <c r="G70" t="s">
        <v>82</v>
      </c>
      <c r="H70" s="7">
        <v>60</v>
      </c>
      <c r="L70" t="s">
        <v>315</v>
      </c>
      <c r="M70" t="s">
        <v>71</v>
      </c>
      <c r="N70" s="8">
        <v>1</v>
      </c>
      <c r="O70" s="8">
        <v>1</v>
      </c>
      <c r="S70">
        <v>1</v>
      </c>
      <c r="T70" s="7">
        <v>89.916666666666671</v>
      </c>
      <c r="W70" s="6">
        <v>1.1055999999999999</v>
      </c>
      <c r="Z70" s="6">
        <v>0.5575</v>
      </c>
      <c r="AA70">
        <v>1</v>
      </c>
    </row>
    <row r="71" spans="1:27" x14ac:dyDescent="0.25">
      <c r="A71">
        <v>76116254</v>
      </c>
      <c r="B71" t="s">
        <v>10</v>
      </c>
      <c r="C71" t="s">
        <v>70</v>
      </c>
      <c r="D71" s="4">
        <v>46139</v>
      </c>
      <c r="E71" s="5">
        <v>0.3216087962962963</v>
      </c>
      <c r="F71">
        <v>1</v>
      </c>
      <c r="G71" t="s">
        <v>82</v>
      </c>
      <c r="H71" s="7">
        <v>38.5</v>
      </c>
      <c r="L71" t="s">
        <v>317</v>
      </c>
      <c r="M71" t="s">
        <v>71</v>
      </c>
      <c r="N71" s="8" t="s">
        <v>75</v>
      </c>
      <c r="O71" s="8">
        <v>1</v>
      </c>
      <c r="S71">
        <v>1</v>
      </c>
      <c r="T71" s="7">
        <v>96.75</v>
      </c>
      <c r="W71" s="6">
        <v>1.0482666666666667</v>
      </c>
      <c r="Z71" s="6">
        <v>0.50016666666666665</v>
      </c>
      <c r="AA71">
        <v>1</v>
      </c>
    </row>
    <row r="72" spans="1:27" x14ac:dyDescent="0.25">
      <c r="A72">
        <v>76116256</v>
      </c>
      <c r="B72" t="s">
        <v>10</v>
      </c>
      <c r="C72" t="s">
        <v>70</v>
      </c>
      <c r="D72" s="4">
        <v>46139</v>
      </c>
      <c r="E72" s="5">
        <v>0.32251157407407405</v>
      </c>
      <c r="F72">
        <v>1</v>
      </c>
      <c r="G72" t="s">
        <v>82</v>
      </c>
      <c r="H72" s="7">
        <v>46.75</v>
      </c>
      <c r="L72" t="s">
        <v>321</v>
      </c>
      <c r="M72" t="s">
        <v>71</v>
      </c>
      <c r="N72" s="8" t="s">
        <v>75</v>
      </c>
      <c r="O72" s="8">
        <v>1</v>
      </c>
      <c r="S72">
        <v>1</v>
      </c>
      <c r="T72" s="7">
        <v>85</v>
      </c>
      <c r="W72" s="6">
        <v>1.0702666666666667</v>
      </c>
      <c r="Z72" s="6">
        <v>0.52216666666666667</v>
      </c>
      <c r="AA72">
        <v>1</v>
      </c>
    </row>
    <row r="73" spans="1:27" x14ac:dyDescent="0.25">
      <c r="A73">
        <v>76116258</v>
      </c>
      <c r="B73" t="s">
        <v>10</v>
      </c>
      <c r="C73" t="s">
        <v>70</v>
      </c>
      <c r="D73" s="4">
        <v>46139</v>
      </c>
      <c r="E73" s="5">
        <v>0.32318287037037036</v>
      </c>
      <c r="F73">
        <v>1</v>
      </c>
      <c r="G73" t="s">
        <v>82</v>
      </c>
      <c r="H73" s="7">
        <v>35</v>
      </c>
      <c r="L73" t="s">
        <v>325</v>
      </c>
      <c r="M73" t="s">
        <v>71</v>
      </c>
      <c r="N73" s="8">
        <v>1</v>
      </c>
      <c r="O73" s="8">
        <v>1</v>
      </c>
      <c r="S73">
        <v>1</v>
      </c>
      <c r="T73" s="7">
        <v>48.5</v>
      </c>
      <c r="W73" s="6">
        <v>1.0389333333333333</v>
      </c>
      <c r="Z73" s="6">
        <v>0.49083333333333334</v>
      </c>
      <c r="AA73">
        <v>1</v>
      </c>
    </row>
    <row r="74" spans="1:27" x14ac:dyDescent="0.25">
      <c r="A74">
        <v>76116260</v>
      </c>
      <c r="B74" t="s">
        <v>10</v>
      </c>
      <c r="C74" t="s">
        <v>70</v>
      </c>
      <c r="D74" s="4">
        <v>46139</v>
      </c>
      <c r="E74" s="5">
        <v>0.32406249999999998</v>
      </c>
      <c r="F74">
        <v>1</v>
      </c>
      <c r="G74" t="s">
        <v>82</v>
      </c>
      <c r="H74" s="7">
        <v>7</v>
      </c>
      <c r="L74">
        <v>76074866</v>
      </c>
      <c r="M74" t="s">
        <v>71</v>
      </c>
      <c r="N74" s="8" t="s">
        <v>75</v>
      </c>
      <c r="O74" s="8">
        <v>1</v>
      </c>
      <c r="Q74" s="8">
        <v>1</v>
      </c>
      <c r="S74">
        <v>1</v>
      </c>
      <c r="U74" s="7">
        <v>1.0833333333333333</v>
      </c>
      <c r="W74" s="6">
        <v>0.96715555555555555</v>
      </c>
      <c r="Z74" s="6">
        <v>0.41616666666666668</v>
      </c>
      <c r="AA74">
        <v>1</v>
      </c>
    </row>
    <row r="75" spans="1:27" x14ac:dyDescent="0.25">
      <c r="A75">
        <v>76116261</v>
      </c>
      <c r="B75" t="s">
        <v>10</v>
      </c>
      <c r="C75" t="s">
        <v>70</v>
      </c>
      <c r="D75" s="4">
        <v>46139</v>
      </c>
      <c r="E75" s="5">
        <v>0.32454861111111105</v>
      </c>
      <c r="F75">
        <v>1</v>
      </c>
      <c r="G75" t="s">
        <v>82</v>
      </c>
      <c r="H75" s="7">
        <v>16.5</v>
      </c>
      <c r="L75" t="s">
        <v>333</v>
      </c>
      <c r="M75" t="s">
        <v>71</v>
      </c>
      <c r="N75" s="8">
        <v>1</v>
      </c>
      <c r="O75" s="8">
        <v>1</v>
      </c>
      <c r="Q75" s="8">
        <v>1</v>
      </c>
      <c r="S75">
        <v>1</v>
      </c>
      <c r="U75" s="7">
        <v>2.1666666666666665</v>
      </c>
      <c r="W75" s="6">
        <v>0.99537777777777781</v>
      </c>
      <c r="Z75" s="6">
        <v>0.4415</v>
      </c>
      <c r="AA75">
        <v>1</v>
      </c>
    </row>
    <row r="76" spans="1:27" x14ac:dyDescent="0.25">
      <c r="A76">
        <v>76116262</v>
      </c>
      <c r="B76" t="s">
        <v>10</v>
      </c>
      <c r="C76" t="s">
        <v>70</v>
      </c>
      <c r="D76" s="4">
        <v>46139</v>
      </c>
      <c r="E76" s="5">
        <v>0.32521990740740742</v>
      </c>
      <c r="F76">
        <v>1</v>
      </c>
      <c r="G76" t="s">
        <v>82</v>
      </c>
      <c r="H76" s="7">
        <v>43</v>
      </c>
      <c r="L76" t="s">
        <v>335</v>
      </c>
      <c r="M76" t="s">
        <v>71</v>
      </c>
      <c r="N76" s="8">
        <v>1</v>
      </c>
      <c r="O76" s="8">
        <v>1</v>
      </c>
      <c r="R76" s="8">
        <v>1</v>
      </c>
      <c r="S76">
        <v>1</v>
      </c>
      <c r="T76" s="7">
        <v>12.5</v>
      </c>
      <c r="W76" s="6">
        <v>1.0602666666666667</v>
      </c>
      <c r="Y76" s="6">
        <v>0.21</v>
      </c>
      <c r="AA76">
        <v>1</v>
      </c>
    </row>
    <row r="77" spans="1:27" x14ac:dyDescent="0.25">
      <c r="A77">
        <v>76116264</v>
      </c>
      <c r="B77" t="s">
        <v>10</v>
      </c>
      <c r="C77" t="s">
        <v>70</v>
      </c>
      <c r="D77" s="4">
        <v>46139</v>
      </c>
      <c r="E77" s="5">
        <v>0.32618055555555553</v>
      </c>
      <c r="F77">
        <v>1</v>
      </c>
      <c r="G77" t="s">
        <v>82</v>
      </c>
      <c r="H77" s="7">
        <v>50</v>
      </c>
      <c r="L77" t="s">
        <v>340</v>
      </c>
      <c r="M77" t="s">
        <v>71</v>
      </c>
      <c r="N77" s="8" t="s">
        <v>75</v>
      </c>
      <c r="O77" s="8">
        <v>1</v>
      </c>
      <c r="Q77" s="8">
        <v>1</v>
      </c>
      <c r="S77">
        <v>1</v>
      </c>
      <c r="U77" s="7">
        <v>2.75</v>
      </c>
      <c r="W77" s="6">
        <v>1.0862666666666667</v>
      </c>
      <c r="Z77" s="6">
        <v>0.53083333333333338</v>
      </c>
      <c r="AA77">
        <v>1</v>
      </c>
    </row>
    <row r="78" spans="1:27" x14ac:dyDescent="0.25">
      <c r="A78">
        <v>76116266</v>
      </c>
      <c r="B78" t="s">
        <v>10</v>
      </c>
      <c r="C78" t="s">
        <v>70</v>
      </c>
      <c r="D78" s="4">
        <v>46139</v>
      </c>
      <c r="E78" s="5">
        <v>0.32678240740740738</v>
      </c>
      <c r="F78">
        <v>1</v>
      </c>
      <c r="G78" t="s">
        <v>82</v>
      </c>
      <c r="H78" s="7">
        <v>22.25</v>
      </c>
      <c r="L78" t="s">
        <v>344</v>
      </c>
      <c r="M78" t="s">
        <v>71</v>
      </c>
      <c r="N78" s="8" t="s">
        <v>75</v>
      </c>
      <c r="O78" s="8">
        <v>1</v>
      </c>
      <c r="Q78" s="8">
        <v>1</v>
      </c>
      <c r="S78">
        <v>1</v>
      </c>
      <c r="U78" s="7">
        <v>8.3333333333333329E-2</v>
      </c>
      <c r="W78" s="6">
        <v>1.0051555555555556</v>
      </c>
      <c r="Z78" s="6">
        <v>0.45683333333333337</v>
      </c>
      <c r="AA78">
        <v>1</v>
      </c>
    </row>
    <row r="79" spans="1:27" x14ac:dyDescent="0.25">
      <c r="A79">
        <v>76116267</v>
      </c>
      <c r="B79" t="s">
        <v>10</v>
      </c>
      <c r="C79" t="s">
        <v>70</v>
      </c>
      <c r="D79" s="4">
        <v>46139</v>
      </c>
      <c r="E79" s="5">
        <v>0.3273726851851852</v>
      </c>
      <c r="F79">
        <v>1</v>
      </c>
      <c r="G79" t="s">
        <v>82</v>
      </c>
      <c r="H79" s="7">
        <v>56.5</v>
      </c>
      <c r="L79" t="s">
        <v>346</v>
      </c>
      <c r="M79" t="s">
        <v>71</v>
      </c>
      <c r="N79" s="8" t="s">
        <v>75</v>
      </c>
      <c r="O79" s="8">
        <v>1</v>
      </c>
      <c r="S79">
        <v>1</v>
      </c>
      <c r="T79" s="7">
        <v>32.583333333333329</v>
      </c>
      <c r="W79" s="6">
        <v>1.0962666666666667</v>
      </c>
      <c r="Z79" s="6">
        <v>0.54816666666666669</v>
      </c>
      <c r="AA79">
        <v>1</v>
      </c>
    </row>
    <row r="80" spans="1:27" x14ac:dyDescent="0.25">
      <c r="A80">
        <v>76116268</v>
      </c>
      <c r="B80" t="s">
        <v>10</v>
      </c>
      <c r="C80" t="s">
        <v>70</v>
      </c>
      <c r="D80" s="4">
        <v>46139</v>
      </c>
      <c r="E80" s="5">
        <v>0.3283564814814815</v>
      </c>
      <c r="F80">
        <v>1</v>
      </c>
      <c r="G80" t="s">
        <v>82</v>
      </c>
      <c r="H80" s="7">
        <v>16.5</v>
      </c>
      <c r="L80" t="s">
        <v>348</v>
      </c>
      <c r="M80" t="s">
        <v>71</v>
      </c>
      <c r="N80" s="8">
        <v>1</v>
      </c>
      <c r="O80" s="8">
        <v>1</v>
      </c>
      <c r="R80" s="8">
        <v>1</v>
      </c>
      <c r="S80">
        <v>1</v>
      </c>
      <c r="T80" s="7">
        <v>7.916666666666667</v>
      </c>
      <c r="W80" s="6">
        <v>0.98960000000000004</v>
      </c>
      <c r="Y80" s="6">
        <v>0.21</v>
      </c>
      <c r="AA80">
        <v>1</v>
      </c>
    </row>
    <row r="81" spans="1:27" x14ac:dyDescent="0.25">
      <c r="A81">
        <v>76116270</v>
      </c>
      <c r="B81" t="s">
        <v>10</v>
      </c>
      <c r="C81" t="s">
        <v>70</v>
      </c>
      <c r="D81" s="4">
        <v>46139</v>
      </c>
      <c r="E81" s="5">
        <v>0.32923611111111106</v>
      </c>
      <c r="F81">
        <v>1</v>
      </c>
      <c r="G81" t="s">
        <v>82</v>
      </c>
      <c r="H81" s="7">
        <v>150</v>
      </c>
      <c r="L81" t="s">
        <v>353</v>
      </c>
      <c r="M81" t="s">
        <v>71</v>
      </c>
      <c r="N81" s="8">
        <v>1</v>
      </c>
      <c r="O81" s="8">
        <v>1</v>
      </c>
      <c r="W81" s="6">
        <v>1.3456000000000001</v>
      </c>
    </row>
    <row r="82" spans="1:27" x14ac:dyDescent="0.25">
      <c r="A82">
        <v>76116271</v>
      </c>
      <c r="B82" t="s">
        <v>10</v>
      </c>
      <c r="C82" t="s">
        <v>70</v>
      </c>
      <c r="D82" s="4">
        <v>46139</v>
      </c>
      <c r="E82" s="5">
        <v>0.32943287037037033</v>
      </c>
      <c r="F82">
        <v>1</v>
      </c>
      <c r="G82" t="s">
        <v>82</v>
      </c>
      <c r="H82" s="7">
        <v>14</v>
      </c>
      <c r="L82" t="s">
        <v>353</v>
      </c>
      <c r="M82" t="s">
        <v>71</v>
      </c>
      <c r="N82" s="8">
        <v>1</v>
      </c>
      <c r="P82" s="8">
        <v>1</v>
      </c>
      <c r="R82" s="8">
        <v>1</v>
      </c>
      <c r="S82">
        <v>1</v>
      </c>
      <c r="T82" s="7">
        <v>10.166666666666666</v>
      </c>
      <c r="X82" s="6">
        <v>0.43483333333333335</v>
      </c>
      <c r="Y82" s="6">
        <v>0.21</v>
      </c>
      <c r="AA82">
        <v>2</v>
      </c>
    </row>
    <row r="83" spans="1:27" x14ac:dyDescent="0.25">
      <c r="A83">
        <v>76116272</v>
      </c>
      <c r="B83" t="s">
        <v>10</v>
      </c>
      <c r="C83" t="s">
        <v>70</v>
      </c>
      <c r="D83" s="4">
        <v>46139</v>
      </c>
      <c r="E83" s="5">
        <v>0.34203703703703703</v>
      </c>
      <c r="F83">
        <v>1</v>
      </c>
      <c r="G83" t="s">
        <v>82</v>
      </c>
      <c r="H83" s="7">
        <v>11.5</v>
      </c>
      <c r="L83" t="s">
        <v>356</v>
      </c>
      <c r="M83" t="s">
        <v>71</v>
      </c>
      <c r="N83" s="8" t="s">
        <v>75</v>
      </c>
      <c r="O83" s="8">
        <v>1</v>
      </c>
      <c r="W83" s="6">
        <v>0.97626666666666662</v>
      </c>
    </row>
    <row r="84" spans="1:27" x14ac:dyDescent="0.25">
      <c r="A84">
        <v>76116273</v>
      </c>
      <c r="B84" t="s">
        <v>10</v>
      </c>
      <c r="C84" t="s">
        <v>70</v>
      </c>
      <c r="D84" s="4">
        <v>46139</v>
      </c>
      <c r="E84" s="5">
        <v>0.34249999999999997</v>
      </c>
      <c r="F84">
        <v>1</v>
      </c>
      <c r="G84" t="s">
        <v>82</v>
      </c>
      <c r="H84" s="7">
        <v>14.333333333333334</v>
      </c>
      <c r="L84" t="s">
        <v>356</v>
      </c>
      <c r="M84" t="s">
        <v>71</v>
      </c>
      <c r="N84" s="8" t="s">
        <v>75</v>
      </c>
      <c r="P84" s="8">
        <v>1</v>
      </c>
      <c r="X84" s="6">
        <v>0.43572222222222223</v>
      </c>
    </row>
    <row r="85" spans="1:27" x14ac:dyDescent="0.25">
      <c r="A85">
        <v>76116274</v>
      </c>
      <c r="B85" t="s">
        <v>10</v>
      </c>
      <c r="C85" t="s">
        <v>70</v>
      </c>
      <c r="D85" s="4">
        <v>46139</v>
      </c>
      <c r="E85" s="5">
        <v>0.34313657407407405</v>
      </c>
      <c r="F85">
        <v>1</v>
      </c>
      <c r="G85" t="s">
        <v>82</v>
      </c>
      <c r="H85" s="7">
        <v>14.5</v>
      </c>
      <c r="L85" t="s">
        <v>356</v>
      </c>
      <c r="M85" t="s">
        <v>71</v>
      </c>
      <c r="N85" s="8" t="s">
        <v>75</v>
      </c>
      <c r="P85" s="8">
        <v>1</v>
      </c>
      <c r="X85" s="6">
        <v>0.4361666666666667</v>
      </c>
    </row>
    <row r="86" spans="1:27" x14ac:dyDescent="0.25">
      <c r="A86">
        <v>76116276</v>
      </c>
      <c r="B86" t="s">
        <v>10</v>
      </c>
      <c r="C86" t="s">
        <v>70</v>
      </c>
      <c r="D86" s="4">
        <v>46139</v>
      </c>
      <c r="E86" s="5">
        <v>0.34340277777777778</v>
      </c>
      <c r="F86">
        <v>1</v>
      </c>
      <c r="G86" t="s">
        <v>82</v>
      </c>
      <c r="H86" s="7">
        <v>18.5</v>
      </c>
      <c r="L86" t="s">
        <v>356</v>
      </c>
      <c r="M86" t="s">
        <v>71</v>
      </c>
      <c r="N86" s="8" t="s">
        <v>75</v>
      </c>
      <c r="P86" s="8">
        <v>1</v>
      </c>
      <c r="X86" s="6">
        <v>0.44683333333333336</v>
      </c>
    </row>
    <row r="87" spans="1:27" x14ac:dyDescent="0.25">
      <c r="A87">
        <v>76116277</v>
      </c>
      <c r="B87" t="s">
        <v>10</v>
      </c>
      <c r="C87" t="s">
        <v>70</v>
      </c>
      <c r="D87" s="4">
        <v>46139</v>
      </c>
      <c r="E87" s="5">
        <v>0.34362268518518518</v>
      </c>
      <c r="F87">
        <v>1</v>
      </c>
      <c r="G87" t="s">
        <v>82</v>
      </c>
      <c r="H87" s="7">
        <v>18</v>
      </c>
      <c r="L87" t="s">
        <v>356</v>
      </c>
      <c r="M87" t="s">
        <v>71</v>
      </c>
      <c r="N87" s="8" t="s">
        <v>75</v>
      </c>
      <c r="P87" s="8">
        <v>1</v>
      </c>
      <c r="R87" s="8">
        <v>1</v>
      </c>
      <c r="S87">
        <v>1</v>
      </c>
      <c r="T87" s="7">
        <v>25.833333333333332</v>
      </c>
      <c r="X87" s="6">
        <v>0.44550000000000001</v>
      </c>
      <c r="Y87" s="6">
        <v>0.21</v>
      </c>
      <c r="AA87">
        <v>5</v>
      </c>
    </row>
    <row r="88" spans="1:27" x14ac:dyDescent="0.25">
      <c r="A88">
        <v>76116278</v>
      </c>
      <c r="B88" t="s">
        <v>10</v>
      </c>
      <c r="C88" t="s">
        <v>70</v>
      </c>
      <c r="D88" s="4">
        <v>46139</v>
      </c>
      <c r="E88" s="5">
        <v>0.34464120370370366</v>
      </c>
      <c r="F88">
        <v>1</v>
      </c>
      <c r="G88" t="s">
        <v>82</v>
      </c>
      <c r="H88" s="7">
        <v>150</v>
      </c>
      <c r="L88" t="s">
        <v>364</v>
      </c>
      <c r="M88" t="s">
        <v>71</v>
      </c>
      <c r="N88" s="8" t="s">
        <v>75</v>
      </c>
      <c r="O88" s="8">
        <v>1</v>
      </c>
      <c r="S88">
        <v>1</v>
      </c>
      <c r="T88" s="7">
        <v>114.16666666666666</v>
      </c>
      <c r="W88" s="6">
        <v>1.3456000000000001</v>
      </c>
      <c r="Z88" s="6">
        <v>0.7975000000000001</v>
      </c>
      <c r="AA88">
        <v>1</v>
      </c>
    </row>
    <row r="89" spans="1:27" x14ac:dyDescent="0.25">
      <c r="A89">
        <v>76116280</v>
      </c>
      <c r="B89" t="s">
        <v>10</v>
      </c>
      <c r="C89" t="s">
        <v>70</v>
      </c>
      <c r="D89" s="4">
        <v>46139</v>
      </c>
      <c r="E89" s="5">
        <v>0.34574074074074074</v>
      </c>
      <c r="F89">
        <v>1</v>
      </c>
      <c r="G89" t="s">
        <v>82</v>
      </c>
      <c r="H89" s="7">
        <v>26.25</v>
      </c>
      <c r="L89" t="s">
        <v>369</v>
      </c>
      <c r="M89" t="s">
        <v>71</v>
      </c>
      <c r="N89" s="8" t="s">
        <v>75</v>
      </c>
      <c r="O89" s="8">
        <v>1</v>
      </c>
      <c r="W89" s="6">
        <v>1.0156000000000001</v>
      </c>
    </row>
    <row r="90" spans="1:27" x14ac:dyDescent="0.25">
      <c r="A90">
        <v>76116282</v>
      </c>
      <c r="B90" t="s">
        <v>10</v>
      </c>
      <c r="C90" t="s">
        <v>70</v>
      </c>
      <c r="D90" s="4">
        <v>46139</v>
      </c>
      <c r="E90" s="5">
        <v>0.346099537037037</v>
      </c>
      <c r="F90">
        <v>1</v>
      </c>
      <c r="G90" t="s">
        <v>82</v>
      </c>
      <c r="H90" s="7">
        <v>58</v>
      </c>
      <c r="L90" t="s">
        <v>369</v>
      </c>
      <c r="M90" t="s">
        <v>71</v>
      </c>
      <c r="N90" s="8" t="s">
        <v>75</v>
      </c>
      <c r="P90" s="8">
        <v>1</v>
      </c>
      <c r="S90">
        <v>1</v>
      </c>
      <c r="T90" s="7">
        <v>97.333333333333329</v>
      </c>
      <c r="X90" s="6">
        <v>0.55216666666666669</v>
      </c>
      <c r="Z90" s="6">
        <v>0.55216666666666669</v>
      </c>
      <c r="AA90">
        <v>2</v>
      </c>
    </row>
    <row r="91" spans="1:27" x14ac:dyDescent="0.25">
      <c r="A91">
        <v>76116283</v>
      </c>
      <c r="B91" t="s">
        <v>10</v>
      </c>
      <c r="C91" t="s">
        <v>70</v>
      </c>
      <c r="D91" s="4">
        <v>46139</v>
      </c>
      <c r="E91" s="5">
        <v>0.34697916666666667</v>
      </c>
      <c r="F91">
        <v>1</v>
      </c>
      <c r="G91" t="s">
        <v>82</v>
      </c>
      <c r="H91" s="7">
        <v>25</v>
      </c>
      <c r="L91" t="s">
        <v>373</v>
      </c>
      <c r="M91" t="s">
        <v>71</v>
      </c>
      <c r="N91" s="8" t="s">
        <v>75</v>
      </c>
      <c r="O91" s="8">
        <v>1</v>
      </c>
      <c r="W91" s="6">
        <v>1.0122666666666666</v>
      </c>
    </row>
    <row r="92" spans="1:27" x14ac:dyDescent="0.25">
      <c r="A92">
        <v>76116284</v>
      </c>
      <c r="B92" t="s">
        <v>10</v>
      </c>
      <c r="C92" t="s">
        <v>70</v>
      </c>
      <c r="D92" s="4">
        <v>46139</v>
      </c>
      <c r="E92" s="5">
        <v>0.34731481481481474</v>
      </c>
      <c r="F92">
        <v>1</v>
      </c>
      <c r="G92" t="s">
        <v>82</v>
      </c>
      <c r="H92" s="7">
        <v>75</v>
      </c>
      <c r="L92" t="s">
        <v>373</v>
      </c>
      <c r="M92" t="s">
        <v>71</v>
      </c>
      <c r="N92" s="8" t="s">
        <v>75</v>
      </c>
      <c r="P92" s="8">
        <v>1</v>
      </c>
      <c r="R92" s="8">
        <v>1</v>
      </c>
      <c r="S92">
        <v>1</v>
      </c>
      <c r="T92" s="7">
        <v>16</v>
      </c>
      <c r="X92" s="6">
        <v>0.59750000000000003</v>
      </c>
      <c r="Y92" s="6">
        <v>0.21</v>
      </c>
      <c r="AA92">
        <v>2</v>
      </c>
    </row>
    <row r="93" spans="1:27" x14ac:dyDescent="0.25">
      <c r="A93">
        <v>76116286</v>
      </c>
      <c r="B93" t="s">
        <v>10</v>
      </c>
      <c r="C93" t="s">
        <v>70</v>
      </c>
      <c r="D93" s="4">
        <v>46139</v>
      </c>
      <c r="E93" s="5">
        <v>0.34826388888888887</v>
      </c>
      <c r="F93">
        <v>1</v>
      </c>
      <c r="G93" t="s">
        <v>82</v>
      </c>
      <c r="H93" s="7">
        <v>45.5</v>
      </c>
      <c r="L93" t="s">
        <v>379</v>
      </c>
      <c r="M93" t="s">
        <v>71</v>
      </c>
      <c r="N93" s="8" t="s">
        <v>75</v>
      </c>
      <c r="O93" s="8">
        <v>1</v>
      </c>
      <c r="W93" s="6">
        <v>1.0669333333333333</v>
      </c>
    </row>
    <row r="94" spans="1:27" x14ac:dyDescent="0.25">
      <c r="A94">
        <v>76116287</v>
      </c>
      <c r="B94" t="s">
        <v>10</v>
      </c>
      <c r="C94" t="s">
        <v>70</v>
      </c>
      <c r="D94" s="4">
        <v>46139</v>
      </c>
      <c r="E94" s="5">
        <v>0.34855324074074073</v>
      </c>
      <c r="F94">
        <v>1</v>
      </c>
      <c r="G94" t="s">
        <v>82</v>
      </c>
      <c r="H94" s="7">
        <v>48</v>
      </c>
      <c r="L94" t="s">
        <v>379</v>
      </c>
      <c r="M94" t="s">
        <v>71</v>
      </c>
      <c r="N94" s="8" t="s">
        <v>75</v>
      </c>
      <c r="P94" s="8">
        <v>1</v>
      </c>
      <c r="X94" s="6">
        <v>0.52550000000000008</v>
      </c>
    </row>
    <row r="95" spans="1:27" x14ac:dyDescent="0.25">
      <c r="A95">
        <v>76116289</v>
      </c>
      <c r="B95" t="s">
        <v>10</v>
      </c>
      <c r="C95" t="s">
        <v>70</v>
      </c>
      <c r="D95" s="4">
        <v>46139</v>
      </c>
      <c r="E95" s="5">
        <v>0.34893518518518518</v>
      </c>
      <c r="F95">
        <v>1</v>
      </c>
      <c r="G95" t="s">
        <v>82</v>
      </c>
      <c r="H95" s="7">
        <v>76</v>
      </c>
      <c r="L95" t="s">
        <v>379</v>
      </c>
      <c r="M95" t="s">
        <v>71</v>
      </c>
      <c r="N95" s="8" t="s">
        <v>75</v>
      </c>
      <c r="P95" s="8">
        <v>1</v>
      </c>
      <c r="X95" s="6">
        <v>0.60016666666666674</v>
      </c>
    </row>
    <row r="96" spans="1:27" x14ac:dyDescent="0.25">
      <c r="A96">
        <v>76116290</v>
      </c>
      <c r="B96" t="s">
        <v>10</v>
      </c>
      <c r="C96" t="s">
        <v>70</v>
      </c>
      <c r="D96" s="4">
        <v>46139</v>
      </c>
      <c r="E96" s="5">
        <v>0.3493518518518518</v>
      </c>
      <c r="F96">
        <v>1</v>
      </c>
      <c r="G96" t="s">
        <v>82</v>
      </c>
      <c r="H96" s="7">
        <v>88</v>
      </c>
      <c r="L96" t="s">
        <v>379</v>
      </c>
      <c r="M96" t="s">
        <v>71</v>
      </c>
      <c r="N96" s="8" t="s">
        <v>75</v>
      </c>
      <c r="P96" s="8">
        <v>1</v>
      </c>
      <c r="X96" s="6">
        <v>0.63216666666666665</v>
      </c>
    </row>
    <row r="97" spans="1:27" x14ac:dyDescent="0.25">
      <c r="A97">
        <v>76116291</v>
      </c>
      <c r="B97" t="s">
        <v>10</v>
      </c>
      <c r="C97" t="s">
        <v>70</v>
      </c>
      <c r="D97" s="4">
        <v>46139</v>
      </c>
      <c r="E97" s="5">
        <v>0.3495833333333333</v>
      </c>
      <c r="F97">
        <v>1</v>
      </c>
      <c r="G97" t="s">
        <v>82</v>
      </c>
      <c r="H97" s="7">
        <v>34.5</v>
      </c>
      <c r="L97" t="s">
        <v>379</v>
      </c>
      <c r="M97" t="s">
        <v>71</v>
      </c>
      <c r="N97" s="8" t="s">
        <v>75</v>
      </c>
      <c r="P97" s="8">
        <v>1</v>
      </c>
      <c r="Q97" s="8">
        <v>1</v>
      </c>
      <c r="S97">
        <v>1</v>
      </c>
      <c r="U97" s="7">
        <v>1.6666666666666665</v>
      </c>
      <c r="X97" s="6">
        <v>0.49394444444444446</v>
      </c>
      <c r="Z97" s="6">
        <v>0.48950000000000005</v>
      </c>
      <c r="AA97">
        <v>5</v>
      </c>
    </row>
    <row r="98" spans="1:27" x14ac:dyDescent="0.25">
      <c r="A98">
        <v>76116292</v>
      </c>
      <c r="B98" t="s">
        <v>10</v>
      </c>
      <c r="C98" t="s">
        <v>70</v>
      </c>
      <c r="D98" s="4">
        <v>46139</v>
      </c>
      <c r="E98" s="5">
        <v>0.35037037037037039</v>
      </c>
      <c r="F98">
        <v>1</v>
      </c>
      <c r="G98" t="s">
        <v>82</v>
      </c>
      <c r="H98" s="7">
        <v>112.5</v>
      </c>
      <c r="L98" t="s">
        <v>387</v>
      </c>
      <c r="M98" t="s">
        <v>71</v>
      </c>
      <c r="N98" s="8" t="s">
        <v>75</v>
      </c>
      <c r="O98" s="8">
        <v>1</v>
      </c>
      <c r="S98">
        <v>1</v>
      </c>
      <c r="T98" s="7">
        <v>114.25</v>
      </c>
      <c r="W98" s="6">
        <v>1.2456</v>
      </c>
      <c r="Z98" s="6">
        <v>0.69750000000000001</v>
      </c>
      <c r="AA98">
        <v>1</v>
      </c>
    </row>
    <row r="99" spans="1:27" x14ac:dyDescent="0.25">
      <c r="A99">
        <v>76116293</v>
      </c>
      <c r="B99" t="s">
        <v>10</v>
      </c>
      <c r="C99" t="s">
        <v>70</v>
      </c>
      <c r="D99" s="4">
        <v>46139</v>
      </c>
      <c r="E99" s="5">
        <v>0.35104166666666664</v>
      </c>
      <c r="F99">
        <v>1</v>
      </c>
      <c r="G99" t="s">
        <v>82</v>
      </c>
      <c r="H99" s="7">
        <v>14</v>
      </c>
      <c r="L99" t="s">
        <v>389</v>
      </c>
      <c r="M99" t="s">
        <v>71</v>
      </c>
      <c r="N99" s="8">
        <v>1</v>
      </c>
      <c r="O99" s="8">
        <v>1</v>
      </c>
      <c r="W99" s="6">
        <v>0.98293333333333333</v>
      </c>
    </row>
    <row r="100" spans="1:27" x14ac:dyDescent="0.25">
      <c r="A100">
        <v>76116295</v>
      </c>
      <c r="B100" t="s">
        <v>10</v>
      </c>
      <c r="C100" t="s">
        <v>70</v>
      </c>
      <c r="D100" s="4">
        <v>46139</v>
      </c>
      <c r="E100" s="5">
        <v>0.35153935185185181</v>
      </c>
      <c r="F100">
        <v>1</v>
      </c>
      <c r="G100" t="s">
        <v>82</v>
      </c>
      <c r="H100" s="7">
        <v>135</v>
      </c>
      <c r="L100" t="s">
        <v>389</v>
      </c>
      <c r="M100" t="s">
        <v>71</v>
      </c>
      <c r="N100" s="8">
        <v>1</v>
      </c>
      <c r="P100" s="8">
        <v>1</v>
      </c>
      <c r="R100" s="8">
        <v>1</v>
      </c>
      <c r="S100">
        <v>1</v>
      </c>
      <c r="T100" s="7">
        <v>13</v>
      </c>
      <c r="X100" s="6">
        <v>0.75750000000000006</v>
      </c>
      <c r="Y100" s="6">
        <v>0.21</v>
      </c>
      <c r="AA100">
        <v>2</v>
      </c>
    </row>
    <row r="101" spans="1:27" x14ac:dyDescent="0.25">
      <c r="A101">
        <v>76116296</v>
      </c>
      <c r="B101" t="s">
        <v>10</v>
      </c>
      <c r="C101" t="s">
        <v>70</v>
      </c>
      <c r="D101" s="4">
        <v>46139</v>
      </c>
      <c r="E101" s="5">
        <v>0.35249999999999998</v>
      </c>
      <c r="F101">
        <v>1</v>
      </c>
      <c r="G101" t="s">
        <v>82</v>
      </c>
      <c r="H101" s="7">
        <v>195</v>
      </c>
      <c r="L101" t="s">
        <v>394</v>
      </c>
      <c r="M101" t="s">
        <v>71</v>
      </c>
      <c r="N101" s="8">
        <v>1</v>
      </c>
      <c r="O101" s="8">
        <v>1</v>
      </c>
      <c r="S101">
        <v>1</v>
      </c>
      <c r="T101" s="7">
        <v>107</v>
      </c>
      <c r="W101" s="6">
        <v>1.4656</v>
      </c>
      <c r="Z101" s="6">
        <v>0.91749999999999998</v>
      </c>
      <c r="AA101">
        <v>1</v>
      </c>
    </row>
    <row r="102" spans="1:27" x14ac:dyDescent="0.25">
      <c r="A102">
        <v>76116298</v>
      </c>
      <c r="B102" t="s">
        <v>10</v>
      </c>
      <c r="C102" t="s">
        <v>70</v>
      </c>
      <c r="D102" s="4">
        <v>46139</v>
      </c>
      <c r="E102" s="5">
        <v>0.35300925925925924</v>
      </c>
      <c r="F102">
        <v>1</v>
      </c>
      <c r="G102" t="s">
        <v>82</v>
      </c>
      <c r="H102" s="7">
        <v>9</v>
      </c>
      <c r="L102" t="s">
        <v>399</v>
      </c>
      <c r="M102" t="s">
        <v>71</v>
      </c>
      <c r="N102" s="8">
        <v>1</v>
      </c>
      <c r="O102" s="8">
        <v>1</v>
      </c>
      <c r="S102">
        <v>1</v>
      </c>
      <c r="T102" s="7">
        <v>78.75</v>
      </c>
      <c r="W102" s="6">
        <v>0.96960000000000002</v>
      </c>
      <c r="Z102" s="6">
        <v>0.42150000000000004</v>
      </c>
      <c r="AA102">
        <v>1</v>
      </c>
    </row>
    <row r="103" spans="1:27" x14ac:dyDescent="0.25">
      <c r="A103">
        <v>76116300</v>
      </c>
      <c r="B103" t="s">
        <v>10</v>
      </c>
      <c r="C103" t="s">
        <v>70</v>
      </c>
      <c r="D103" s="4">
        <v>46139</v>
      </c>
      <c r="E103" s="5">
        <v>0.35422453703703699</v>
      </c>
      <c r="F103">
        <v>1</v>
      </c>
      <c r="G103" t="s">
        <v>82</v>
      </c>
      <c r="H103" s="7">
        <v>150</v>
      </c>
      <c r="L103" t="s">
        <v>402</v>
      </c>
      <c r="M103" t="s">
        <v>71</v>
      </c>
      <c r="N103" s="8" t="s">
        <v>75</v>
      </c>
      <c r="O103" s="8">
        <v>1</v>
      </c>
      <c r="S103">
        <v>1</v>
      </c>
      <c r="T103" s="7">
        <v>109</v>
      </c>
      <c r="W103" s="6">
        <v>1.3456000000000001</v>
      </c>
      <c r="Z103" s="6">
        <v>0.7975000000000001</v>
      </c>
      <c r="AA103">
        <v>1</v>
      </c>
    </row>
    <row r="104" spans="1:27" x14ac:dyDescent="0.25">
      <c r="A104">
        <v>76116302</v>
      </c>
      <c r="B104" t="s">
        <v>10</v>
      </c>
      <c r="C104" t="s">
        <v>70</v>
      </c>
      <c r="D104" s="4">
        <v>46139</v>
      </c>
      <c r="E104" s="5">
        <v>0.35498842592592589</v>
      </c>
      <c r="F104">
        <v>1</v>
      </c>
      <c r="G104" t="s">
        <v>82</v>
      </c>
      <c r="H104" s="7">
        <v>86.666666666666657</v>
      </c>
      <c r="L104" t="s">
        <v>405</v>
      </c>
      <c r="M104" t="s">
        <v>71</v>
      </c>
      <c r="N104" s="8" t="s">
        <v>75</v>
      </c>
      <c r="O104" s="8">
        <v>1</v>
      </c>
      <c r="S104">
        <v>1</v>
      </c>
      <c r="T104" s="7">
        <v>133.08333333333331</v>
      </c>
      <c r="W104" s="6">
        <v>1.176711111111111</v>
      </c>
      <c r="Z104" s="6">
        <v>0.62861111111111112</v>
      </c>
      <c r="AA104">
        <v>1</v>
      </c>
    </row>
    <row r="105" spans="1:27" x14ac:dyDescent="0.25">
      <c r="A105">
        <v>76116304</v>
      </c>
      <c r="B105" t="s">
        <v>10</v>
      </c>
      <c r="C105" t="s">
        <v>70</v>
      </c>
      <c r="D105" s="4">
        <v>46139</v>
      </c>
      <c r="E105" s="5">
        <v>0.35554398148148147</v>
      </c>
      <c r="F105">
        <v>1</v>
      </c>
      <c r="G105" t="s">
        <v>82</v>
      </c>
      <c r="H105" s="7">
        <v>14</v>
      </c>
      <c r="L105" t="s">
        <v>409</v>
      </c>
      <c r="M105" t="s">
        <v>71</v>
      </c>
      <c r="N105" s="8" t="s">
        <v>75</v>
      </c>
      <c r="O105" s="8">
        <v>1</v>
      </c>
      <c r="W105" s="6">
        <v>0.98293333333333333</v>
      </c>
    </row>
    <row r="106" spans="1:27" x14ac:dyDescent="0.25">
      <c r="A106">
        <v>76116305</v>
      </c>
      <c r="B106" t="s">
        <v>10</v>
      </c>
      <c r="C106" t="s">
        <v>70</v>
      </c>
      <c r="D106" s="4">
        <v>46139</v>
      </c>
      <c r="E106" s="5">
        <v>0.35575231481481479</v>
      </c>
      <c r="F106">
        <v>1</v>
      </c>
      <c r="G106" t="s">
        <v>82</v>
      </c>
      <c r="H106" s="7">
        <v>14</v>
      </c>
      <c r="L106" t="s">
        <v>409</v>
      </c>
      <c r="M106" t="s">
        <v>71</v>
      </c>
      <c r="N106" s="8" t="s">
        <v>75</v>
      </c>
      <c r="P106" s="8">
        <v>1</v>
      </c>
      <c r="X106" s="6">
        <v>0.43483333333333335</v>
      </c>
    </row>
    <row r="107" spans="1:27" x14ac:dyDescent="0.25">
      <c r="A107">
        <v>76116306</v>
      </c>
      <c r="B107" t="s">
        <v>10</v>
      </c>
      <c r="C107" t="s">
        <v>70</v>
      </c>
      <c r="D107" s="4">
        <v>46139</v>
      </c>
      <c r="E107" s="5">
        <v>0.35605324074074068</v>
      </c>
      <c r="F107">
        <v>1</v>
      </c>
      <c r="G107" t="s">
        <v>82</v>
      </c>
      <c r="H107" s="7">
        <v>15</v>
      </c>
      <c r="L107" t="s">
        <v>409</v>
      </c>
      <c r="M107" t="s">
        <v>71</v>
      </c>
      <c r="N107" s="8" t="s">
        <v>75</v>
      </c>
      <c r="P107" s="8">
        <v>1</v>
      </c>
      <c r="X107" s="6">
        <v>0.4375</v>
      </c>
    </row>
    <row r="108" spans="1:27" x14ac:dyDescent="0.25">
      <c r="A108">
        <v>76116307</v>
      </c>
      <c r="B108" t="s">
        <v>10</v>
      </c>
      <c r="C108" t="s">
        <v>70</v>
      </c>
      <c r="D108" s="4">
        <v>46139</v>
      </c>
      <c r="E108" s="5">
        <v>0.356412037037037</v>
      </c>
      <c r="F108">
        <v>1</v>
      </c>
      <c r="G108" t="s">
        <v>82</v>
      </c>
      <c r="H108" s="7">
        <v>46</v>
      </c>
      <c r="L108" t="s">
        <v>409</v>
      </c>
      <c r="M108" t="s">
        <v>71</v>
      </c>
      <c r="N108" s="8" t="s">
        <v>75</v>
      </c>
      <c r="P108" s="8">
        <v>1</v>
      </c>
      <c r="X108" s="6">
        <v>0.52016666666666667</v>
      </c>
    </row>
    <row r="109" spans="1:27" x14ac:dyDescent="0.25">
      <c r="A109">
        <v>76116308</v>
      </c>
      <c r="B109" t="s">
        <v>10</v>
      </c>
      <c r="C109" t="s">
        <v>70</v>
      </c>
      <c r="D109" s="4">
        <v>46139</v>
      </c>
      <c r="E109" s="5">
        <v>0.35668981481481482</v>
      </c>
      <c r="F109">
        <v>1</v>
      </c>
      <c r="G109" t="s">
        <v>82</v>
      </c>
      <c r="H109" s="7">
        <v>47</v>
      </c>
      <c r="L109" t="s">
        <v>409</v>
      </c>
      <c r="M109" t="s">
        <v>71</v>
      </c>
      <c r="N109" s="8" t="s">
        <v>75</v>
      </c>
      <c r="P109" s="8">
        <v>1</v>
      </c>
      <c r="S109">
        <v>1</v>
      </c>
      <c r="T109" s="7">
        <v>155.5</v>
      </c>
      <c r="X109" s="6">
        <v>0.52283333333333337</v>
      </c>
      <c r="Z109" s="6">
        <v>0.52283333333333337</v>
      </c>
      <c r="AA109">
        <v>5</v>
      </c>
    </row>
    <row r="110" spans="1:27" x14ac:dyDescent="0.25">
      <c r="A110">
        <v>76116310</v>
      </c>
      <c r="B110" t="s">
        <v>10</v>
      </c>
      <c r="C110" t="s">
        <v>70</v>
      </c>
      <c r="D110" s="4">
        <v>46139</v>
      </c>
      <c r="E110" s="5">
        <v>0.35729166666666667</v>
      </c>
      <c r="F110">
        <v>1</v>
      </c>
      <c r="G110" t="s">
        <v>82</v>
      </c>
      <c r="H110" s="7">
        <v>26.083333333333336</v>
      </c>
      <c r="L110" t="s">
        <v>418</v>
      </c>
      <c r="M110" t="s">
        <v>71</v>
      </c>
      <c r="N110" s="8" t="s">
        <v>75</v>
      </c>
      <c r="O110" s="8">
        <v>1</v>
      </c>
      <c r="S110">
        <v>1</v>
      </c>
      <c r="T110" s="7">
        <v>146.58333333333334</v>
      </c>
      <c r="W110" s="6">
        <v>1.0151555555555556</v>
      </c>
      <c r="Z110" s="6">
        <v>0.46705555555555556</v>
      </c>
      <c r="AA110">
        <v>1</v>
      </c>
    </row>
    <row r="111" spans="1:27" x14ac:dyDescent="0.25">
      <c r="A111">
        <v>76116311</v>
      </c>
      <c r="B111" t="s">
        <v>10</v>
      </c>
      <c r="C111" t="s">
        <v>70</v>
      </c>
      <c r="D111" s="4">
        <v>46139</v>
      </c>
      <c r="E111" s="5">
        <v>0.35789351851851847</v>
      </c>
      <c r="F111">
        <v>1</v>
      </c>
      <c r="G111" t="s">
        <v>82</v>
      </c>
      <c r="H111" s="7">
        <v>5</v>
      </c>
      <c r="L111" t="s">
        <v>420</v>
      </c>
      <c r="M111" t="s">
        <v>71</v>
      </c>
      <c r="N111" s="8">
        <v>1</v>
      </c>
      <c r="O111" s="8">
        <v>1</v>
      </c>
      <c r="W111" s="6">
        <v>0.9589333333333333</v>
      </c>
    </row>
    <row r="112" spans="1:27" x14ac:dyDescent="0.25">
      <c r="A112">
        <v>76116312</v>
      </c>
      <c r="B112" t="s">
        <v>10</v>
      </c>
      <c r="C112" t="s">
        <v>70</v>
      </c>
      <c r="D112" s="4">
        <v>46139</v>
      </c>
      <c r="E112" s="5">
        <v>0.35826388888888888</v>
      </c>
      <c r="F112">
        <v>1</v>
      </c>
      <c r="G112" t="s">
        <v>82</v>
      </c>
      <c r="H112" s="7">
        <v>34.5</v>
      </c>
      <c r="L112" t="s">
        <v>420</v>
      </c>
      <c r="M112" t="s">
        <v>71</v>
      </c>
      <c r="N112" s="8">
        <v>1</v>
      </c>
      <c r="P112" s="8">
        <v>1</v>
      </c>
      <c r="S112">
        <v>1</v>
      </c>
      <c r="T112" s="7">
        <v>66.75</v>
      </c>
      <c r="X112" s="6">
        <v>0.48950000000000005</v>
      </c>
      <c r="Z112" s="6">
        <v>0.48950000000000005</v>
      </c>
      <c r="AA112">
        <v>2</v>
      </c>
    </row>
    <row r="113" spans="1:27" x14ac:dyDescent="0.25">
      <c r="A113">
        <v>76116314</v>
      </c>
      <c r="B113" t="s">
        <v>10</v>
      </c>
      <c r="C113" t="s">
        <v>70</v>
      </c>
      <c r="D113" s="4">
        <v>46139</v>
      </c>
      <c r="E113" s="5">
        <v>0.35909722222222223</v>
      </c>
      <c r="F113">
        <v>1</v>
      </c>
      <c r="G113" t="s">
        <v>82</v>
      </c>
      <c r="H113" s="7">
        <v>11.5</v>
      </c>
      <c r="L113" t="s">
        <v>426</v>
      </c>
      <c r="M113" t="s">
        <v>71</v>
      </c>
      <c r="N113" s="8">
        <v>1</v>
      </c>
      <c r="O113" s="8">
        <v>1</v>
      </c>
      <c r="S113">
        <v>1</v>
      </c>
      <c r="T113" s="7">
        <v>34.416666666666664</v>
      </c>
      <c r="W113" s="6">
        <v>0.97626666666666662</v>
      </c>
      <c r="Z113" s="6">
        <v>0.4281666666666667</v>
      </c>
      <c r="AA113">
        <v>1</v>
      </c>
    </row>
    <row r="114" spans="1:27" x14ac:dyDescent="0.25">
      <c r="A114">
        <v>76116316</v>
      </c>
      <c r="B114" t="s">
        <v>10</v>
      </c>
      <c r="C114" t="s">
        <v>70</v>
      </c>
      <c r="D114" s="4">
        <v>46139</v>
      </c>
      <c r="E114" s="5">
        <v>0.35988425925925921</v>
      </c>
      <c r="F114">
        <v>1</v>
      </c>
      <c r="G114" t="s">
        <v>82</v>
      </c>
      <c r="H114" s="7">
        <v>50.5</v>
      </c>
      <c r="L114" t="s">
        <v>429</v>
      </c>
      <c r="M114" t="s">
        <v>71</v>
      </c>
      <c r="N114" s="8">
        <v>1</v>
      </c>
      <c r="O114" s="8">
        <v>1</v>
      </c>
      <c r="S114">
        <v>1</v>
      </c>
      <c r="T114" s="7">
        <v>137.41666666666666</v>
      </c>
      <c r="W114" s="6">
        <v>1.0802666666666667</v>
      </c>
      <c r="Z114" s="6">
        <v>0.53216666666666668</v>
      </c>
      <c r="AA114">
        <v>1</v>
      </c>
    </row>
    <row r="115" spans="1:27" x14ac:dyDescent="0.25">
      <c r="A115">
        <v>76116317</v>
      </c>
      <c r="B115" t="s">
        <v>10</v>
      </c>
      <c r="C115" t="s">
        <v>70</v>
      </c>
      <c r="D115" s="4">
        <v>46139</v>
      </c>
      <c r="E115" s="5">
        <v>0.36062499999999997</v>
      </c>
      <c r="F115">
        <v>1</v>
      </c>
      <c r="G115" t="s">
        <v>82</v>
      </c>
      <c r="H115" s="7">
        <v>100</v>
      </c>
      <c r="L115" t="s">
        <v>431</v>
      </c>
      <c r="M115" t="s">
        <v>71</v>
      </c>
      <c r="N115" s="8">
        <v>1</v>
      </c>
      <c r="O115" s="8">
        <v>1</v>
      </c>
      <c r="W115" s="6">
        <v>1.2122666666666666</v>
      </c>
    </row>
    <row r="116" spans="1:27" x14ac:dyDescent="0.25">
      <c r="A116">
        <v>76116318</v>
      </c>
      <c r="B116" t="s">
        <v>10</v>
      </c>
      <c r="C116" t="s">
        <v>70</v>
      </c>
      <c r="D116" s="4">
        <v>46139</v>
      </c>
      <c r="E116" s="5">
        <v>0.36104166666666665</v>
      </c>
      <c r="F116">
        <v>1</v>
      </c>
      <c r="G116" t="s">
        <v>82</v>
      </c>
      <c r="H116" s="7">
        <v>116.5</v>
      </c>
      <c r="L116" t="s">
        <v>431</v>
      </c>
      <c r="M116" t="s">
        <v>71</v>
      </c>
      <c r="N116" s="8">
        <v>1</v>
      </c>
      <c r="P116" s="8">
        <v>1</v>
      </c>
      <c r="S116">
        <v>1</v>
      </c>
      <c r="T116" s="7">
        <v>56.666666666666657</v>
      </c>
      <c r="X116" s="6">
        <v>0.70816666666666661</v>
      </c>
      <c r="Z116" s="6">
        <v>0.70816666666666661</v>
      </c>
      <c r="AA116">
        <v>2</v>
      </c>
    </row>
    <row r="117" spans="1:27" x14ac:dyDescent="0.25">
      <c r="A117">
        <v>76116320</v>
      </c>
      <c r="B117" t="s">
        <v>10</v>
      </c>
      <c r="C117" t="s">
        <v>70</v>
      </c>
      <c r="D117" s="4">
        <v>46139</v>
      </c>
      <c r="E117" s="5">
        <v>0.36204861111111108</v>
      </c>
      <c r="F117">
        <v>1</v>
      </c>
      <c r="G117" t="s">
        <v>82</v>
      </c>
      <c r="H117" s="7">
        <v>67.75</v>
      </c>
      <c r="L117">
        <v>76077439</v>
      </c>
      <c r="M117" t="s">
        <v>71</v>
      </c>
      <c r="N117" s="8" t="s">
        <v>75</v>
      </c>
      <c r="O117" s="8">
        <v>1</v>
      </c>
      <c r="Q117" s="8">
        <v>1</v>
      </c>
      <c r="S117">
        <v>1</v>
      </c>
      <c r="U117" s="7">
        <v>0.16666666666666666</v>
      </c>
      <c r="W117" s="6">
        <v>1.1267111111111112</v>
      </c>
      <c r="Z117" s="6">
        <v>0.57816666666666672</v>
      </c>
      <c r="AA117">
        <v>1</v>
      </c>
    </row>
    <row r="118" spans="1:27" x14ac:dyDescent="0.25">
      <c r="A118">
        <v>76116322</v>
      </c>
      <c r="B118" t="s">
        <v>10</v>
      </c>
      <c r="C118" t="s">
        <v>70</v>
      </c>
      <c r="D118" s="4">
        <v>46139</v>
      </c>
      <c r="E118" s="5">
        <v>0.36274305555555553</v>
      </c>
      <c r="F118">
        <v>1</v>
      </c>
      <c r="G118" t="s">
        <v>82</v>
      </c>
      <c r="H118" s="7">
        <v>55.166666666666664</v>
      </c>
      <c r="L118" t="s">
        <v>441</v>
      </c>
      <c r="M118" t="s">
        <v>71</v>
      </c>
      <c r="N118" s="8" t="s">
        <v>78</v>
      </c>
      <c r="O118" s="8">
        <v>1</v>
      </c>
      <c r="W118" s="6">
        <v>1.0927111111111112</v>
      </c>
    </row>
    <row r="119" spans="1:27" x14ac:dyDescent="0.25">
      <c r="A119">
        <v>76116323</v>
      </c>
      <c r="B119" t="s">
        <v>10</v>
      </c>
      <c r="C119" t="s">
        <v>70</v>
      </c>
      <c r="D119" s="4">
        <v>46139</v>
      </c>
      <c r="E119" s="5">
        <v>0.36312499999999998</v>
      </c>
      <c r="F119">
        <v>1</v>
      </c>
      <c r="G119" t="s">
        <v>82</v>
      </c>
      <c r="H119" s="7">
        <v>58</v>
      </c>
      <c r="L119" t="s">
        <v>441</v>
      </c>
      <c r="M119" t="s">
        <v>71</v>
      </c>
      <c r="N119" s="8" t="s">
        <v>78</v>
      </c>
      <c r="P119" s="8">
        <v>1</v>
      </c>
      <c r="X119" s="6">
        <v>0.55216666666666669</v>
      </c>
    </row>
    <row r="120" spans="1:27" x14ac:dyDescent="0.25">
      <c r="A120">
        <v>76116325</v>
      </c>
      <c r="B120" t="s">
        <v>10</v>
      </c>
      <c r="C120" t="s">
        <v>70</v>
      </c>
      <c r="D120" s="4">
        <v>46139</v>
      </c>
      <c r="E120" s="5">
        <v>0.36375000000000002</v>
      </c>
      <c r="F120">
        <v>1</v>
      </c>
      <c r="G120" t="s">
        <v>82</v>
      </c>
      <c r="H120" s="7">
        <v>138</v>
      </c>
      <c r="L120" t="s">
        <v>441</v>
      </c>
      <c r="M120" t="s">
        <v>71</v>
      </c>
      <c r="N120" s="8" t="s">
        <v>78</v>
      </c>
      <c r="P120" s="8">
        <v>1</v>
      </c>
      <c r="X120" s="6">
        <v>0.76550000000000007</v>
      </c>
    </row>
    <row r="121" spans="1:27" x14ac:dyDescent="0.25">
      <c r="A121">
        <v>76116326</v>
      </c>
      <c r="B121" t="s">
        <v>10</v>
      </c>
      <c r="C121" t="s">
        <v>70</v>
      </c>
      <c r="D121" s="4">
        <v>46139</v>
      </c>
      <c r="E121" s="5">
        <v>0.36400462962962959</v>
      </c>
      <c r="F121">
        <v>1</v>
      </c>
      <c r="G121" t="s">
        <v>82</v>
      </c>
      <c r="H121" s="7">
        <v>48</v>
      </c>
      <c r="L121" t="s">
        <v>441</v>
      </c>
      <c r="M121" t="s">
        <v>71</v>
      </c>
      <c r="N121" s="8" t="s">
        <v>78</v>
      </c>
      <c r="P121" s="8">
        <v>1</v>
      </c>
      <c r="Q121" s="8">
        <v>1</v>
      </c>
      <c r="S121">
        <v>1</v>
      </c>
      <c r="U121" s="7">
        <v>1.6666666666666665</v>
      </c>
      <c r="X121" s="6">
        <v>0.52994444444444444</v>
      </c>
      <c r="Z121" s="6">
        <v>0.52550000000000008</v>
      </c>
      <c r="AA121">
        <v>4</v>
      </c>
    </row>
    <row r="122" spans="1:27" x14ac:dyDescent="0.25">
      <c r="A122">
        <v>76116327</v>
      </c>
      <c r="B122" t="s">
        <v>10</v>
      </c>
      <c r="C122" t="s">
        <v>70</v>
      </c>
      <c r="D122" s="4">
        <v>46139</v>
      </c>
      <c r="E122" s="5">
        <v>0.36528935185185185</v>
      </c>
      <c r="F122">
        <v>1</v>
      </c>
      <c r="G122" t="s">
        <v>82</v>
      </c>
      <c r="H122" s="7">
        <v>21.25</v>
      </c>
      <c r="L122" t="s">
        <v>449</v>
      </c>
      <c r="M122" t="s">
        <v>71</v>
      </c>
      <c r="N122" s="8">
        <v>1</v>
      </c>
      <c r="O122" s="8">
        <v>1</v>
      </c>
      <c r="S122">
        <v>1</v>
      </c>
      <c r="T122" s="7">
        <v>54.916666666666664</v>
      </c>
      <c r="W122" s="6">
        <v>1.0022666666666666</v>
      </c>
      <c r="Z122" s="6">
        <v>0.45416666666666666</v>
      </c>
      <c r="AA122">
        <v>1</v>
      </c>
    </row>
    <row r="123" spans="1:27" x14ac:dyDescent="0.25">
      <c r="A123">
        <v>76116330</v>
      </c>
      <c r="B123" t="s">
        <v>10</v>
      </c>
      <c r="C123" t="s">
        <v>70</v>
      </c>
      <c r="D123" s="4">
        <v>46139</v>
      </c>
      <c r="E123" s="5">
        <v>0.3661921296296296</v>
      </c>
      <c r="F123">
        <v>1</v>
      </c>
      <c r="G123" t="s">
        <v>82</v>
      </c>
      <c r="H123" s="7">
        <v>8.25</v>
      </c>
      <c r="L123" t="s">
        <v>451</v>
      </c>
      <c r="M123" t="s">
        <v>71</v>
      </c>
      <c r="N123" s="8">
        <v>1</v>
      </c>
      <c r="O123" s="8">
        <v>1</v>
      </c>
      <c r="W123" s="6">
        <v>0.96760000000000002</v>
      </c>
    </row>
    <row r="124" spans="1:27" x14ac:dyDescent="0.25">
      <c r="A124">
        <v>76116331</v>
      </c>
      <c r="B124" t="s">
        <v>10</v>
      </c>
      <c r="C124" t="s">
        <v>70</v>
      </c>
      <c r="D124" s="4">
        <v>46139</v>
      </c>
      <c r="E124" s="5">
        <v>0.36648148148148146</v>
      </c>
      <c r="F124">
        <v>1</v>
      </c>
      <c r="G124" t="s">
        <v>82</v>
      </c>
      <c r="H124" s="7">
        <v>16</v>
      </c>
      <c r="L124" t="s">
        <v>451</v>
      </c>
      <c r="M124" t="s">
        <v>71</v>
      </c>
      <c r="N124" s="8">
        <v>1</v>
      </c>
      <c r="P124" s="8">
        <v>1</v>
      </c>
      <c r="R124" s="8">
        <v>1</v>
      </c>
      <c r="S124">
        <v>1</v>
      </c>
      <c r="T124" s="7">
        <v>14.416666666666666</v>
      </c>
      <c r="X124" s="6">
        <v>0.44016666666666671</v>
      </c>
      <c r="Y124" s="6">
        <v>0.21</v>
      </c>
      <c r="AA124">
        <v>2</v>
      </c>
    </row>
    <row r="125" spans="1:27" x14ac:dyDescent="0.25">
      <c r="A125">
        <v>76116333</v>
      </c>
      <c r="B125" t="s">
        <v>10</v>
      </c>
      <c r="C125" t="s">
        <v>70</v>
      </c>
      <c r="D125" s="4">
        <v>46139</v>
      </c>
      <c r="E125" s="5">
        <v>0.36717592592592591</v>
      </c>
      <c r="F125">
        <v>1</v>
      </c>
      <c r="G125" t="s">
        <v>82</v>
      </c>
      <c r="H125" s="7">
        <v>14</v>
      </c>
      <c r="L125" t="s">
        <v>459</v>
      </c>
      <c r="M125" t="s">
        <v>71</v>
      </c>
      <c r="N125" s="8">
        <v>1</v>
      </c>
      <c r="O125" s="8">
        <v>1</v>
      </c>
      <c r="R125" s="8">
        <v>1</v>
      </c>
      <c r="S125">
        <v>1</v>
      </c>
      <c r="T125" s="7">
        <v>8.3333333333333339</v>
      </c>
      <c r="W125" s="6">
        <v>0.98293333333333333</v>
      </c>
      <c r="Y125" s="6">
        <v>0.21</v>
      </c>
      <c r="AA125">
        <v>1</v>
      </c>
    </row>
    <row r="126" spans="1:27" x14ac:dyDescent="0.25">
      <c r="A126">
        <v>76116334</v>
      </c>
      <c r="B126" t="s">
        <v>10</v>
      </c>
      <c r="C126" t="s">
        <v>70</v>
      </c>
      <c r="D126" s="4">
        <v>46139</v>
      </c>
      <c r="E126" s="5">
        <v>0.36804398148148149</v>
      </c>
      <c r="F126">
        <v>1</v>
      </c>
      <c r="G126" t="s">
        <v>82</v>
      </c>
      <c r="H126" s="7">
        <v>66</v>
      </c>
      <c r="L126" t="s">
        <v>461</v>
      </c>
      <c r="M126" t="s">
        <v>71</v>
      </c>
      <c r="N126" s="8" t="s">
        <v>75</v>
      </c>
      <c r="O126" s="8">
        <v>1</v>
      </c>
      <c r="S126">
        <v>1</v>
      </c>
      <c r="T126" s="7">
        <v>67.083333333333329</v>
      </c>
      <c r="W126" s="6">
        <v>1.1215999999999999</v>
      </c>
      <c r="Z126" s="6">
        <v>0.57350000000000001</v>
      </c>
      <c r="AA126">
        <v>1</v>
      </c>
    </row>
    <row r="127" spans="1:27" x14ac:dyDescent="0.25">
      <c r="A127">
        <v>76116336</v>
      </c>
      <c r="B127" t="s">
        <v>10</v>
      </c>
      <c r="C127" t="s">
        <v>70</v>
      </c>
      <c r="D127" s="4">
        <v>46139</v>
      </c>
      <c r="E127" s="5">
        <v>0.36990740740740735</v>
      </c>
      <c r="F127">
        <v>1</v>
      </c>
      <c r="G127" t="s">
        <v>82</v>
      </c>
      <c r="H127" s="7">
        <v>9.3333333333333321</v>
      </c>
      <c r="L127" t="s">
        <v>465</v>
      </c>
      <c r="M127" t="s">
        <v>71</v>
      </c>
      <c r="N127" s="8" t="s">
        <v>80</v>
      </c>
      <c r="O127" s="8">
        <v>1</v>
      </c>
      <c r="W127" s="6">
        <v>0.97048888888888885</v>
      </c>
    </row>
    <row r="128" spans="1:27" x14ac:dyDescent="0.25">
      <c r="A128">
        <v>76116337</v>
      </c>
      <c r="B128" t="s">
        <v>10</v>
      </c>
      <c r="C128" t="s">
        <v>70</v>
      </c>
      <c r="D128" s="4">
        <v>46139</v>
      </c>
      <c r="E128" s="5">
        <v>0.37013888888888885</v>
      </c>
      <c r="F128">
        <v>1</v>
      </c>
      <c r="G128" t="s">
        <v>82</v>
      </c>
      <c r="H128" s="7">
        <v>4.833333333333333</v>
      </c>
      <c r="L128" t="s">
        <v>465</v>
      </c>
      <c r="M128" t="s">
        <v>71</v>
      </c>
      <c r="N128" s="8" t="s">
        <v>80</v>
      </c>
      <c r="P128" s="8">
        <v>1</v>
      </c>
      <c r="R128" s="8">
        <v>1</v>
      </c>
      <c r="S128">
        <v>1</v>
      </c>
      <c r="T128" s="7">
        <v>7.0833333333333321</v>
      </c>
      <c r="X128" s="6">
        <v>0.41038888888888891</v>
      </c>
      <c r="Y128" s="6">
        <v>0.21</v>
      </c>
      <c r="AA128">
        <v>2</v>
      </c>
    </row>
    <row r="129" spans="1:27" x14ac:dyDescent="0.25">
      <c r="A129">
        <v>76116338</v>
      </c>
      <c r="B129" t="s">
        <v>10</v>
      </c>
      <c r="C129" t="s">
        <v>70</v>
      </c>
      <c r="D129" s="4">
        <v>46139</v>
      </c>
      <c r="E129" s="5">
        <v>0.37101851851851853</v>
      </c>
      <c r="F129">
        <v>1</v>
      </c>
      <c r="G129" t="s">
        <v>82</v>
      </c>
      <c r="H129" s="7">
        <v>16</v>
      </c>
      <c r="L129">
        <v>80313364</v>
      </c>
      <c r="M129" t="s">
        <v>71</v>
      </c>
      <c r="N129" s="8" t="s">
        <v>77</v>
      </c>
      <c r="O129" s="8">
        <v>1</v>
      </c>
      <c r="S129">
        <v>1</v>
      </c>
      <c r="T129" s="7">
        <v>53.083333333333329</v>
      </c>
      <c r="W129" s="6">
        <v>0.98826666666666663</v>
      </c>
      <c r="Z129" s="6">
        <v>0.44016666666666671</v>
      </c>
      <c r="AA129">
        <v>1</v>
      </c>
    </row>
    <row r="130" spans="1:27" x14ac:dyDescent="0.25">
      <c r="A130">
        <v>76116340</v>
      </c>
      <c r="B130" t="s">
        <v>10</v>
      </c>
      <c r="C130" t="s">
        <v>70</v>
      </c>
      <c r="D130" s="4">
        <v>46139</v>
      </c>
      <c r="E130" s="5">
        <v>0.37185185185185182</v>
      </c>
      <c r="F130">
        <v>1</v>
      </c>
      <c r="G130" t="s">
        <v>82</v>
      </c>
      <c r="H130" s="7">
        <v>12.5</v>
      </c>
      <c r="L130">
        <v>80326941</v>
      </c>
      <c r="M130" t="s">
        <v>71</v>
      </c>
      <c r="N130" s="8" t="s">
        <v>77</v>
      </c>
      <c r="O130" s="8">
        <v>1</v>
      </c>
      <c r="Q130" s="8">
        <v>1</v>
      </c>
      <c r="S130">
        <v>1</v>
      </c>
      <c r="U130" s="7">
        <v>1.75</v>
      </c>
      <c r="W130" s="6">
        <v>0.98360000000000003</v>
      </c>
      <c r="Z130" s="6">
        <v>0.43083333333333335</v>
      </c>
      <c r="AA130">
        <v>1</v>
      </c>
    </row>
    <row r="131" spans="1:27" x14ac:dyDescent="0.25">
      <c r="A131">
        <v>76116341</v>
      </c>
      <c r="B131" t="s">
        <v>10</v>
      </c>
      <c r="C131" t="s">
        <v>70</v>
      </c>
      <c r="D131" s="4">
        <v>46139</v>
      </c>
      <c r="E131" s="5">
        <v>0.37296296296296294</v>
      </c>
      <c r="F131">
        <v>1</v>
      </c>
      <c r="G131" t="s">
        <v>82</v>
      </c>
      <c r="H131" s="7">
        <v>7</v>
      </c>
      <c r="L131" t="s">
        <v>475</v>
      </c>
      <c r="M131" t="s">
        <v>71</v>
      </c>
      <c r="N131" s="8" t="s">
        <v>75</v>
      </c>
      <c r="O131" s="8">
        <v>1</v>
      </c>
      <c r="R131" s="8">
        <v>1</v>
      </c>
      <c r="S131">
        <v>1</v>
      </c>
      <c r="T131" s="7">
        <v>5.916666666666667</v>
      </c>
      <c r="W131" s="6">
        <v>0.96426666666666672</v>
      </c>
      <c r="Y131" s="6">
        <v>0.21</v>
      </c>
      <c r="AA131">
        <v>1</v>
      </c>
    </row>
    <row r="132" spans="1:27" x14ac:dyDescent="0.25">
      <c r="A132">
        <v>76116342</v>
      </c>
      <c r="B132" t="s">
        <v>10</v>
      </c>
      <c r="C132" t="s">
        <v>70</v>
      </c>
      <c r="D132" s="4">
        <v>46139</v>
      </c>
      <c r="E132" s="5">
        <v>0.37340277777777775</v>
      </c>
      <c r="F132">
        <v>1</v>
      </c>
      <c r="G132" t="s">
        <v>85</v>
      </c>
      <c r="H132" s="7">
        <v>17</v>
      </c>
      <c r="L132">
        <v>76100436</v>
      </c>
      <c r="M132" t="s">
        <v>71</v>
      </c>
      <c r="N132" s="8" t="s">
        <v>75</v>
      </c>
      <c r="O132" s="8">
        <v>1</v>
      </c>
      <c r="Q132" s="8">
        <v>1</v>
      </c>
      <c r="S132">
        <v>1</v>
      </c>
      <c r="V132">
        <v>0.25</v>
      </c>
      <c r="W132" s="6">
        <v>0.99093333333333333</v>
      </c>
      <c r="Z132" s="6">
        <v>0.44283333333333336</v>
      </c>
      <c r="AA132">
        <v>1</v>
      </c>
    </row>
    <row r="133" spans="1:27" x14ac:dyDescent="0.25">
      <c r="A133">
        <v>76116343</v>
      </c>
      <c r="B133" t="s">
        <v>10</v>
      </c>
      <c r="C133" t="s">
        <v>70</v>
      </c>
      <c r="D133" s="4">
        <v>46139</v>
      </c>
      <c r="E133" s="5">
        <v>0.37373842592592593</v>
      </c>
      <c r="F133">
        <v>1</v>
      </c>
      <c r="G133" t="s">
        <v>82</v>
      </c>
      <c r="H133" s="7">
        <v>15.5</v>
      </c>
      <c r="L133" t="s">
        <v>480</v>
      </c>
      <c r="M133" t="s">
        <v>71</v>
      </c>
      <c r="N133" s="8">
        <v>1</v>
      </c>
      <c r="O133" s="8">
        <v>1</v>
      </c>
      <c r="Q133" s="8">
        <v>1</v>
      </c>
      <c r="S133">
        <v>1</v>
      </c>
      <c r="U133" s="7">
        <v>8.3333333333333329E-2</v>
      </c>
      <c r="W133" s="6">
        <v>0.98715555555555556</v>
      </c>
      <c r="Z133" s="6">
        <v>0.43883333333333335</v>
      </c>
      <c r="AA133">
        <v>1</v>
      </c>
    </row>
    <row r="134" spans="1:27" x14ac:dyDescent="0.25">
      <c r="A134">
        <v>76116344</v>
      </c>
      <c r="B134" t="s">
        <v>10</v>
      </c>
      <c r="C134" t="s">
        <v>70</v>
      </c>
      <c r="D134" s="4">
        <v>46139</v>
      </c>
      <c r="E134" s="5">
        <v>0.37425925925925924</v>
      </c>
      <c r="F134">
        <v>1</v>
      </c>
      <c r="G134" t="s">
        <v>82</v>
      </c>
      <c r="H134" s="7">
        <v>8.5</v>
      </c>
      <c r="L134" t="s">
        <v>482</v>
      </c>
      <c r="M134" t="s">
        <v>71</v>
      </c>
      <c r="N134" s="8" t="s">
        <v>75</v>
      </c>
      <c r="O134" s="8">
        <v>1</v>
      </c>
      <c r="R134" s="8">
        <v>1</v>
      </c>
      <c r="S134">
        <v>1</v>
      </c>
      <c r="T134" s="7">
        <v>6.25</v>
      </c>
      <c r="W134" s="6">
        <v>0.96826666666666661</v>
      </c>
      <c r="Y134" s="6">
        <v>0.21</v>
      </c>
      <c r="AA134">
        <v>1</v>
      </c>
    </row>
    <row r="135" spans="1:27" x14ac:dyDescent="0.25">
      <c r="A135">
        <v>76116345</v>
      </c>
      <c r="B135" t="s">
        <v>10</v>
      </c>
      <c r="C135" t="s">
        <v>70</v>
      </c>
      <c r="D135" s="4">
        <v>46139</v>
      </c>
      <c r="E135" s="5">
        <v>0.37509259259259253</v>
      </c>
      <c r="F135">
        <v>1</v>
      </c>
      <c r="G135" t="s">
        <v>82</v>
      </c>
      <c r="H135" s="7">
        <v>19</v>
      </c>
      <c r="L135" t="s">
        <v>484</v>
      </c>
      <c r="M135" t="s">
        <v>71</v>
      </c>
      <c r="N135" s="8" t="s">
        <v>75</v>
      </c>
      <c r="O135" s="8">
        <v>1</v>
      </c>
      <c r="R135" s="8">
        <v>1</v>
      </c>
      <c r="S135">
        <v>1</v>
      </c>
      <c r="T135" s="7">
        <v>8.8333333333333339</v>
      </c>
      <c r="W135" s="6">
        <v>0.99626666666666663</v>
      </c>
      <c r="Y135" s="6">
        <v>0.21</v>
      </c>
      <c r="AA135">
        <v>1</v>
      </c>
    </row>
    <row r="136" spans="1:27" x14ac:dyDescent="0.25">
      <c r="A136">
        <v>76116347</v>
      </c>
      <c r="B136" t="s">
        <v>10</v>
      </c>
      <c r="C136" t="s">
        <v>70</v>
      </c>
      <c r="D136" s="4">
        <v>46139</v>
      </c>
      <c r="E136" s="5">
        <v>0.37593749999999998</v>
      </c>
      <c r="F136">
        <v>1</v>
      </c>
      <c r="G136" t="s">
        <v>82</v>
      </c>
      <c r="H136" s="7">
        <v>14</v>
      </c>
      <c r="L136" t="s">
        <v>488</v>
      </c>
      <c r="M136" t="s">
        <v>71</v>
      </c>
      <c r="N136" s="8">
        <v>1</v>
      </c>
      <c r="O136" s="8">
        <v>1</v>
      </c>
      <c r="S136">
        <v>1</v>
      </c>
      <c r="T136" s="7">
        <v>65.666666666666671</v>
      </c>
      <c r="W136" s="6">
        <v>0.98293333333333333</v>
      </c>
      <c r="Z136" s="6">
        <v>0.43483333333333335</v>
      </c>
      <c r="AA136">
        <v>1</v>
      </c>
    </row>
    <row r="137" spans="1:27" x14ac:dyDescent="0.25">
      <c r="A137">
        <v>76116348</v>
      </c>
      <c r="B137" t="s">
        <v>10</v>
      </c>
      <c r="C137" t="s">
        <v>70</v>
      </c>
      <c r="D137" s="4">
        <v>46139</v>
      </c>
      <c r="E137" s="5">
        <v>0.37751157407407404</v>
      </c>
      <c r="F137">
        <v>1</v>
      </c>
      <c r="G137" t="s">
        <v>82</v>
      </c>
      <c r="H137" s="7">
        <v>26</v>
      </c>
      <c r="L137" t="s">
        <v>491</v>
      </c>
      <c r="M137" t="s">
        <v>71</v>
      </c>
      <c r="N137" s="8" t="s">
        <v>75</v>
      </c>
      <c r="O137" s="8">
        <v>1</v>
      </c>
      <c r="R137" s="8">
        <v>1</v>
      </c>
      <c r="S137">
        <v>1</v>
      </c>
      <c r="T137" s="7">
        <v>15.5</v>
      </c>
      <c r="W137" s="6">
        <v>1.0149333333333332</v>
      </c>
      <c r="Y137" s="6">
        <v>0.21</v>
      </c>
      <c r="AA137">
        <v>1</v>
      </c>
    </row>
    <row r="138" spans="1:27" x14ac:dyDescent="0.25">
      <c r="A138">
        <v>76116350</v>
      </c>
      <c r="B138" t="s">
        <v>10</v>
      </c>
      <c r="C138" t="s">
        <v>70</v>
      </c>
      <c r="D138" s="4">
        <v>46139</v>
      </c>
      <c r="E138" s="5">
        <v>0.37827546296296294</v>
      </c>
      <c r="F138">
        <v>1</v>
      </c>
      <c r="G138" t="s">
        <v>82</v>
      </c>
      <c r="H138" s="7">
        <v>10.5</v>
      </c>
      <c r="L138">
        <v>80318886</v>
      </c>
      <c r="M138" t="s">
        <v>71</v>
      </c>
      <c r="N138" s="8" t="s">
        <v>80</v>
      </c>
      <c r="O138" s="8">
        <v>1</v>
      </c>
      <c r="S138">
        <v>1</v>
      </c>
      <c r="T138" s="7">
        <v>62.166666666666664</v>
      </c>
      <c r="W138" s="6">
        <v>0.97360000000000002</v>
      </c>
      <c r="Z138" s="6">
        <v>0.42550000000000004</v>
      </c>
      <c r="AA138">
        <v>1</v>
      </c>
    </row>
    <row r="139" spans="1:27" x14ac:dyDescent="0.25">
      <c r="A139">
        <v>76116351</v>
      </c>
      <c r="B139" t="s">
        <v>10</v>
      </c>
      <c r="C139" t="s">
        <v>70</v>
      </c>
      <c r="D139" s="4">
        <v>46139</v>
      </c>
      <c r="E139" s="5">
        <v>0.37945601851851851</v>
      </c>
      <c r="F139">
        <v>1</v>
      </c>
      <c r="G139" t="s">
        <v>82</v>
      </c>
      <c r="H139" s="7">
        <v>80</v>
      </c>
      <c r="L139" t="s">
        <v>497</v>
      </c>
      <c r="M139" t="s">
        <v>71</v>
      </c>
      <c r="N139" s="8">
        <v>1</v>
      </c>
      <c r="O139" s="8">
        <v>1</v>
      </c>
      <c r="W139" s="6">
        <v>1.1589333333333334</v>
      </c>
    </row>
    <row r="140" spans="1:27" x14ac:dyDescent="0.25">
      <c r="A140">
        <v>76116352</v>
      </c>
      <c r="B140" t="s">
        <v>10</v>
      </c>
      <c r="C140" t="s">
        <v>70</v>
      </c>
      <c r="D140" s="4">
        <v>46139</v>
      </c>
      <c r="E140" s="5">
        <v>0.37982638888888887</v>
      </c>
      <c r="F140">
        <v>1</v>
      </c>
      <c r="G140" t="s">
        <v>82</v>
      </c>
      <c r="H140" s="7">
        <v>92</v>
      </c>
      <c r="L140" t="s">
        <v>497</v>
      </c>
      <c r="M140" t="s">
        <v>71</v>
      </c>
      <c r="N140" s="8">
        <v>1</v>
      </c>
      <c r="P140" s="8">
        <v>1</v>
      </c>
      <c r="R140" s="8">
        <v>1</v>
      </c>
      <c r="S140">
        <v>1</v>
      </c>
      <c r="T140" s="7">
        <v>24.25</v>
      </c>
      <c r="X140" s="6">
        <v>0.64283333333333337</v>
      </c>
      <c r="Y140" s="6">
        <v>0.21</v>
      </c>
      <c r="AA140">
        <v>2</v>
      </c>
    </row>
    <row r="141" spans="1:27" x14ac:dyDescent="0.25">
      <c r="A141">
        <v>76116353</v>
      </c>
      <c r="B141" t="s">
        <v>10</v>
      </c>
      <c r="C141" t="s">
        <v>70</v>
      </c>
      <c r="D141" s="4">
        <v>46139</v>
      </c>
      <c r="E141" s="5">
        <v>0.38065972222222222</v>
      </c>
      <c r="F141">
        <v>1</v>
      </c>
      <c r="G141" t="s">
        <v>82</v>
      </c>
      <c r="H141" s="7">
        <v>57</v>
      </c>
      <c r="L141">
        <v>76112685</v>
      </c>
      <c r="M141" t="s">
        <v>71</v>
      </c>
      <c r="N141" s="8" t="s">
        <v>75</v>
      </c>
      <c r="O141" s="8">
        <v>1</v>
      </c>
      <c r="S141">
        <v>1</v>
      </c>
      <c r="T141" s="7">
        <v>70.833333333333329</v>
      </c>
      <c r="W141" s="6">
        <v>1.0975999999999999</v>
      </c>
      <c r="Z141" s="6">
        <v>0.54949999999999999</v>
      </c>
      <c r="AA141">
        <v>1</v>
      </c>
    </row>
    <row r="142" spans="1:27" x14ac:dyDescent="0.25">
      <c r="A142">
        <v>76116354</v>
      </c>
      <c r="B142" t="s">
        <v>10</v>
      </c>
      <c r="C142" t="s">
        <v>70</v>
      </c>
      <c r="D142" s="4">
        <v>46139</v>
      </c>
      <c r="E142" s="5">
        <v>0.38163194444444443</v>
      </c>
      <c r="F142">
        <v>1</v>
      </c>
      <c r="G142" t="s">
        <v>82</v>
      </c>
      <c r="H142" s="7">
        <v>27.25</v>
      </c>
      <c r="L142" t="s">
        <v>503</v>
      </c>
      <c r="M142" t="s">
        <v>71</v>
      </c>
      <c r="N142" s="8">
        <v>1</v>
      </c>
      <c r="O142" s="8">
        <v>1</v>
      </c>
      <c r="S142">
        <v>1</v>
      </c>
      <c r="T142" s="7">
        <v>61.583333333333329</v>
      </c>
      <c r="W142" s="6">
        <v>1.0182666666666667</v>
      </c>
      <c r="Z142" s="6">
        <v>0.47016666666666668</v>
      </c>
      <c r="AA142">
        <v>1</v>
      </c>
    </row>
    <row r="143" spans="1:27" x14ac:dyDescent="0.25">
      <c r="A143">
        <v>76116356</v>
      </c>
      <c r="B143" t="s">
        <v>10</v>
      </c>
      <c r="C143" t="s">
        <v>70</v>
      </c>
      <c r="D143" s="4">
        <v>46139</v>
      </c>
      <c r="E143" s="5">
        <v>0.38290509259259259</v>
      </c>
      <c r="F143">
        <v>1</v>
      </c>
      <c r="G143" t="s">
        <v>82</v>
      </c>
      <c r="H143" s="7">
        <v>8</v>
      </c>
      <c r="L143" t="s">
        <v>506</v>
      </c>
      <c r="M143" t="s">
        <v>71</v>
      </c>
      <c r="N143" s="8">
        <v>1</v>
      </c>
      <c r="O143" s="8">
        <v>1</v>
      </c>
      <c r="R143" s="8">
        <v>1</v>
      </c>
      <c r="S143">
        <v>1</v>
      </c>
      <c r="T143" s="7">
        <v>12.916666666666666</v>
      </c>
      <c r="W143" s="6">
        <v>0.96693333333333331</v>
      </c>
      <c r="Y143" s="6">
        <v>0.21</v>
      </c>
      <c r="AA143">
        <v>1</v>
      </c>
    </row>
    <row r="144" spans="1:27" x14ac:dyDescent="0.25">
      <c r="A144">
        <v>76116357</v>
      </c>
      <c r="B144" t="s">
        <v>10</v>
      </c>
      <c r="C144" t="s">
        <v>70</v>
      </c>
      <c r="D144" s="4">
        <v>46139</v>
      </c>
      <c r="E144" s="5">
        <v>0.38376157407407402</v>
      </c>
      <c r="F144">
        <v>1</v>
      </c>
      <c r="G144" t="s">
        <v>82</v>
      </c>
      <c r="H144" s="7">
        <v>12</v>
      </c>
      <c r="L144" t="s">
        <v>509</v>
      </c>
      <c r="M144" t="s">
        <v>71</v>
      </c>
      <c r="N144" s="8" t="s">
        <v>75</v>
      </c>
      <c r="O144" s="8">
        <v>1</v>
      </c>
      <c r="R144" s="8">
        <v>1</v>
      </c>
      <c r="S144">
        <v>1</v>
      </c>
      <c r="T144" s="7">
        <v>7.333333333333333</v>
      </c>
      <c r="W144" s="6">
        <v>0.97760000000000002</v>
      </c>
      <c r="Y144" s="6">
        <v>0.21</v>
      </c>
      <c r="AA144">
        <v>1</v>
      </c>
    </row>
    <row r="145" spans="1:27" x14ac:dyDescent="0.25">
      <c r="A145">
        <v>76116359</v>
      </c>
      <c r="B145" t="s">
        <v>10</v>
      </c>
      <c r="C145" t="s">
        <v>70</v>
      </c>
      <c r="D145" s="4">
        <v>46139</v>
      </c>
      <c r="E145" s="5">
        <v>0.38482638888888887</v>
      </c>
      <c r="F145">
        <v>1</v>
      </c>
      <c r="G145" t="s">
        <v>82</v>
      </c>
      <c r="H145" s="7">
        <v>17.5</v>
      </c>
      <c r="L145" t="s">
        <v>513</v>
      </c>
      <c r="M145" t="s">
        <v>71</v>
      </c>
      <c r="N145" s="8" t="s">
        <v>75</v>
      </c>
      <c r="O145" s="8">
        <v>1</v>
      </c>
      <c r="R145" s="8">
        <v>1</v>
      </c>
      <c r="S145">
        <v>1</v>
      </c>
      <c r="T145" s="7">
        <v>5.166666666666667</v>
      </c>
      <c r="W145" s="6">
        <v>0.99226666666666663</v>
      </c>
      <c r="Y145" s="6">
        <v>0.21</v>
      </c>
      <c r="AA145">
        <v>1</v>
      </c>
    </row>
    <row r="146" spans="1:27" x14ac:dyDescent="0.25">
      <c r="A146">
        <v>76116360</v>
      </c>
      <c r="B146" t="s">
        <v>10</v>
      </c>
      <c r="C146" t="s">
        <v>70</v>
      </c>
      <c r="D146" s="4">
        <v>46139</v>
      </c>
      <c r="E146" s="5">
        <v>0.38572916666666662</v>
      </c>
      <c r="F146">
        <v>1</v>
      </c>
      <c r="G146" t="s">
        <v>82</v>
      </c>
      <c r="H146" s="7">
        <v>17</v>
      </c>
      <c r="L146" t="s">
        <v>515</v>
      </c>
      <c r="M146" t="s">
        <v>71</v>
      </c>
      <c r="N146" s="8">
        <v>1</v>
      </c>
      <c r="O146" s="8">
        <v>1</v>
      </c>
      <c r="Q146" s="8">
        <v>1</v>
      </c>
      <c r="S146">
        <v>1</v>
      </c>
      <c r="T146" s="7">
        <v>5.166666666666667</v>
      </c>
      <c r="W146" s="6">
        <v>0.99093333333333333</v>
      </c>
      <c r="Z146" s="6">
        <v>0.44283333333333336</v>
      </c>
      <c r="AA146">
        <v>1</v>
      </c>
    </row>
    <row r="147" spans="1:27" x14ac:dyDescent="0.25">
      <c r="A147">
        <v>76116361</v>
      </c>
      <c r="B147" t="s">
        <v>10</v>
      </c>
      <c r="C147" t="s">
        <v>70</v>
      </c>
      <c r="D147" s="4">
        <v>46139</v>
      </c>
      <c r="E147" s="5">
        <v>0.38650462962962961</v>
      </c>
      <c r="F147">
        <v>1</v>
      </c>
      <c r="G147" t="s">
        <v>82</v>
      </c>
      <c r="H147" s="7">
        <v>31.5</v>
      </c>
      <c r="L147" t="s">
        <v>517</v>
      </c>
      <c r="M147" t="s">
        <v>71</v>
      </c>
      <c r="N147" s="8" t="s">
        <v>75</v>
      </c>
      <c r="O147" s="8">
        <v>1</v>
      </c>
      <c r="W147" s="6">
        <v>1.0296000000000001</v>
      </c>
    </row>
    <row r="148" spans="1:27" x14ac:dyDescent="0.25">
      <c r="A148">
        <v>76116364</v>
      </c>
      <c r="B148" t="s">
        <v>10</v>
      </c>
      <c r="C148" t="s">
        <v>70</v>
      </c>
      <c r="D148" s="4">
        <v>46139</v>
      </c>
      <c r="E148" s="5">
        <v>0.38702546296296292</v>
      </c>
      <c r="F148">
        <v>1</v>
      </c>
      <c r="G148" t="s">
        <v>82</v>
      </c>
      <c r="H148" s="7">
        <v>100.75</v>
      </c>
      <c r="L148" t="s">
        <v>517</v>
      </c>
      <c r="M148" t="s">
        <v>71</v>
      </c>
      <c r="N148" s="8" t="s">
        <v>75</v>
      </c>
      <c r="P148" s="8">
        <v>1</v>
      </c>
      <c r="R148" s="8">
        <v>1</v>
      </c>
      <c r="S148">
        <v>1</v>
      </c>
      <c r="T148" s="7">
        <v>14.666666666666666</v>
      </c>
      <c r="X148" s="6">
        <v>0.66616666666666668</v>
      </c>
      <c r="Y148" s="6">
        <v>0.21</v>
      </c>
      <c r="AA148">
        <v>2</v>
      </c>
    </row>
    <row r="149" spans="1:27" x14ac:dyDescent="0.25">
      <c r="A149">
        <v>76116366</v>
      </c>
      <c r="B149" t="s">
        <v>10</v>
      </c>
      <c r="C149" t="s">
        <v>70</v>
      </c>
      <c r="D149" s="4">
        <v>46139</v>
      </c>
      <c r="E149" s="5">
        <v>0.38791666666666669</v>
      </c>
      <c r="F149">
        <v>1</v>
      </c>
      <c r="G149" t="s">
        <v>82</v>
      </c>
      <c r="H149" s="7">
        <v>57</v>
      </c>
      <c r="L149" t="s">
        <v>526</v>
      </c>
      <c r="M149" t="s">
        <v>71</v>
      </c>
      <c r="N149" s="8" t="s">
        <v>75</v>
      </c>
      <c r="O149" s="8">
        <v>1</v>
      </c>
      <c r="R149" s="8">
        <v>1</v>
      </c>
      <c r="S149">
        <v>1</v>
      </c>
      <c r="T149" s="7">
        <v>12.416666666666668</v>
      </c>
      <c r="W149" s="6">
        <v>1.0975999999999999</v>
      </c>
      <c r="Y149" s="6">
        <v>0.21</v>
      </c>
      <c r="AA149">
        <v>1</v>
      </c>
    </row>
    <row r="150" spans="1:27" x14ac:dyDescent="0.25">
      <c r="A150">
        <v>76116369</v>
      </c>
      <c r="B150" t="s">
        <v>10</v>
      </c>
      <c r="C150" t="s">
        <v>70</v>
      </c>
      <c r="D150" s="4">
        <v>46139</v>
      </c>
      <c r="E150" s="5">
        <v>0.38878472222222227</v>
      </c>
      <c r="F150">
        <v>1</v>
      </c>
      <c r="G150" t="s">
        <v>82</v>
      </c>
      <c r="H150" s="7">
        <v>15</v>
      </c>
      <c r="L150" t="s">
        <v>531</v>
      </c>
      <c r="M150" t="s">
        <v>71</v>
      </c>
      <c r="N150" s="8">
        <v>1</v>
      </c>
      <c r="O150" s="8">
        <v>1</v>
      </c>
      <c r="S150">
        <v>1</v>
      </c>
      <c r="T150" s="7">
        <v>80.916666666666657</v>
      </c>
      <c r="W150" s="6">
        <v>0.98560000000000003</v>
      </c>
      <c r="Z150" s="6">
        <v>0.4375</v>
      </c>
      <c r="AA150">
        <v>1</v>
      </c>
    </row>
    <row r="151" spans="1:27" x14ac:dyDescent="0.25">
      <c r="A151">
        <v>76116370</v>
      </c>
      <c r="B151" t="s">
        <v>10</v>
      </c>
      <c r="C151" t="s">
        <v>70</v>
      </c>
      <c r="D151" s="4">
        <v>46139</v>
      </c>
      <c r="E151" s="5">
        <v>0.3895601851851852</v>
      </c>
      <c r="F151">
        <v>1</v>
      </c>
      <c r="G151" t="s">
        <v>82</v>
      </c>
      <c r="H151" s="7">
        <v>12</v>
      </c>
      <c r="L151" t="s">
        <v>533</v>
      </c>
      <c r="M151" t="s">
        <v>71</v>
      </c>
      <c r="N151" s="8" t="s">
        <v>78</v>
      </c>
      <c r="O151" s="8">
        <v>1</v>
      </c>
      <c r="W151" s="6">
        <v>0.97760000000000002</v>
      </c>
    </row>
    <row r="152" spans="1:27" x14ac:dyDescent="0.25">
      <c r="A152">
        <v>76116372</v>
      </c>
      <c r="B152" t="s">
        <v>10</v>
      </c>
      <c r="C152" t="s">
        <v>70</v>
      </c>
      <c r="D152" s="4">
        <v>46139</v>
      </c>
      <c r="E152" s="5">
        <v>0.38983796296296297</v>
      </c>
      <c r="F152">
        <v>1</v>
      </c>
      <c r="G152" t="s">
        <v>82</v>
      </c>
      <c r="H152" s="7">
        <v>31</v>
      </c>
      <c r="L152" t="s">
        <v>533</v>
      </c>
      <c r="M152" t="s">
        <v>71</v>
      </c>
      <c r="N152" s="8" t="s">
        <v>78</v>
      </c>
      <c r="P152" s="8">
        <v>1</v>
      </c>
      <c r="R152" s="8">
        <v>1</v>
      </c>
      <c r="S152">
        <v>1</v>
      </c>
      <c r="T152" s="7">
        <v>15.333333333333332</v>
      </c>
      <c r="X152" s="6">
        <v>0.48016666666666669</v>
      </c>
      <c r="Y152" s="6">
        <v>0.21</v>
      </c>
      <c r="AA152">
        <v>2</v>
      </c>
    </row>
    <row r="153" spans="1:27" x14ac:dyDescent="0.25">
      <c r="A153">
        <v>76116374</v>
      </c>
      <c r="B153" t="s">
        <v>10</v>
      </c>
      <c r="C153" t="s">
        <v>70</v>
      </c>
      <c r="D153" s="4">
        <v>46139</v>
      </c>
      <c r="E153" s="5">
        <v>0.39092592592592595</v>
      </c>
      <c r="F153">
        <v>1</v>
      </c>
      <c r="G153" t="s">
        <v>82</v>
      </c>
      <c r="H153" s="7">
        <v>132</v>
      </c>
      <c r="L153" t="s">
        <v>539</v>
      </c>
      <c r="M153" t="s">
        <v>71</v>
      </c>
      <c r="N153" s="8">
        <v>1</v>
      </c>
      <c r="O153" s="8">
        <v>1</v>
      </c>
      <c r="S153">
        <v>1</v>
      </c>
      <c r="T153" s="7">
        <v>84.416666666666657</v>
      </c>
      <c r="W153" s="6">
        <v>1.2976000000000001</v>
      </c>
      <c r="Z153" s="6">
        <v>0.74950000000000006</v>
      </c>
      <c r="AA153">
        <v>1</v>
      </c>
    </row>
    <row r="154" spans="1:27" x14ac:dyDescent="0.25">
      <c r="A154">
        <v>76116378</v>
      </c>
      <c r="B154" t="s">
        <v>10</v>
      </c>
      <c r="C154" t="s">
        <v>70</v>
      </c>
      <c r="D154" s="4">
        <v>46139</v>
      </c>
      <c r="E154" s="5">
        <v>0.39159722222222221</v>
      </c>
      <c r="F154">
        <v>1</v>
      </c>
      <c r="G154" t="s">
        <v>82</v>
      </c>
      <c r="H154" s="7">
        <v>15.25</v>
      </c>
      <c r="L154" t="s">
        <v>544</v>
      </c>
      <c r="M154" t="s">
        <v>71</v>
      </c>
      <c r="N154" s="8">
        <v>1</v>
      </c>
      <c r="O154" s="8">
        <v>1</v>
      </c>
      <c r="S154">
        <v>1</v>
      </c>
      <c r="T154" s="7">
        <v>54.25</v>
      </c>
      <c r="W154" s="6">
        <v>0.98626666666666662</v>
      </c>
      <c r="Z154" s="6">
        <v>0.4381666666666667</v>
      </c>
      <c r="AA154">
        <v>1</v>
      </c>
    </row>
    <row r="155" spans="1:27" x14ac:dyDescent="0.25">
      <c r="A155">
        <v>76116381</v>
      </c>
      <c r="B155" t="s">
        <v>10</v>
      </c>
      <c r="C155" t="s">
        <v>70</v>
      </c>
      <c r="D155" s="4">
        <v>46139</v>
      </c>
      <c r="E155" s="5">
        <v>0.39299768518518519</v>
      </c>
      <c r="F155">
        <v>1</v>
      </c>
      <c r="G155" t="s">
        <v>82</v>
      </c>
      <c r="H155" s="7">
        <v>143.5</v>
      </c>
      <c r="L155">
        <v>1805136753</v>
      </c>
      <c r="M155" t="s">
        <v>71</v>
      </c>
      <c r="N155" s="8" t="s">
        <v>75</v>
      </c>
      <c r="O155" s="8">
        <v>1</v>
      </c>
      <c r="S155">
        <v>1</v>
      </c>
      <c r="T155" s="7">
        <v>34.666666666666664</v>
      </c>
      <c r="W155" s="6">
        <v>1.3282666666666667</v>
      </c>
      <c r="Z155" s="6">
        <v>0.78016666666666667</v>
      </c>
      <c r="AA155">
        <v>1</v>
      </c>
    </row>
    <row r="156" spans="1:27" x14ac:dyDescent="0.25">
      <c r="A156">
        <v>76116383</v>
      </c>
      <c r="B156" t="s">
        <v>10</v>
      </c>
      <c r="C156" t="s">
        <v>70</v>
      </c>
      <c r="D156" s="4">
        <v>46139</v>
      </c>
      <c r="E156" s="5">
        <v>0.39401620370370366</v>
      </c>
      <c r="F156">
        <v>1</v>
      </c>
      <c r="G156" t="s">
        <v>82</v>
      </c>
      <c r="H156" s="7">
        <v>28.5</v>
      </c>
      <c r="L156" t="s">
        <v>552</v>
      </c>
      <c r="M156" t="s">
        <v>71</v>
      </c>
      <c r="N156" s="8" t="s">
        <v>75</v>
      </c>
      <c r="O156" s="8">
        <v>1</v>
      </c>
      <c r="S156">
        <v>1</v>
      </c>
      <c r="T156" s="7">
        <v>100.75</v>
      </c>
      <c r="W156" s="6">
        <v>1.0216000000000001</v>
      </c>
      <c r="Z156" s="6">
        <v>0.47350000000000003</v>
      </c>
      <c r="AA156">
        <v>1</v>
      </c>
    </row>
    <row r="157" spans="1:27" x14ac:dyDescent="0.25">
      <c r="A157">
        <v>76116389</v>
      </c>
      <c r="B157" t="s">
        <v>10</v>
      </c>
      <c r="C157" t="s">
        <v>70</v>
      </c>
      <c r="D157" s="4">
        <v>46139</v>
      </c>
      <c r="E157" s="5">
        <v>0.39484953703703696</v>
      </c>
      <c r="F157">
        <v>1</v>
      </c>
      <c r="G157" t="s">
        <v>82</v>
      </c>
      <c r="H157" s="7">
        <v>19</v>
      </c>
      <c r="L157" t="s">
        <v>555</v>
      </c>
      <c r="M157" t="s">
        <v>71</v>
      </c>
      <c r="N157" s="8">
        <v>1</v>
      </c>
      <c r="O157" s="8">
        <v>1</v>
      </c>
      <c r="S157">
        <v>1</v>
      </c>
      <c r="T157" s="7">
        <v>125.16666666666666</v>
      </c>
      <c r="W157" s="6">
        <v>0.99626666666666663</v>
      </c>
      <c r="Z157" s="6">
        <v>0.44816666666666671</v>
      </c>
      <c r="AA157">
        <v>1</v>
      </c>
    </row>
    <row r="158" spans="1:27" x14ac:dyDescent="0.25">
      <c r="A158">
        <v>76116391</v>
      </c>
      <c r="B158" t="s">
        <v>10</v>
      </c>
      <c r="C158" t="s">
        <v>70</v>
      </c>
      <c r="D158" s="4">
        <v>46139</v>
      </c>
      <c r="E158" s="5">
        <v>0.39556712962962964</v>
      </c>
      <c r="F158">
        <v>1</v>
      </c>
      <c r="G158" t="s">
        <v>82</v>
      </c>
      <c r="H158" s="7">
        <v>14</v>
      </c>
      <c r="L158" t="s">
        <v>560</v>
      </c>
      <c r="M158" t="s">
        <v>71</v>
      </c>
      <c r="N158" s="8">
        <v>1</v>
      </c>
      <c r="O158" s="8">
        <v>1</v>
      </c>
      <c r="R158" s="8">
        <v>1</v>
      </c>
      <c r="S158">
        <v>1</v>
      </c>
      <c r="T158" s="7">
        <v>6.083333333333333</v>
      </c>
      <c r="W158" s="6">
        <v>0.98293333333333333</v>
      </c>
      <c r="Y158" s="6">
        <v>0.21</v>
      </c>
      <c r="AA158">
        <v>1</v>
      </c>
    </row>
    <row r="159" spans="1:27" x14ac:dyDescent="0.25">
      <c r="A159">
        <v>76116393</v>
      </c>
      <c r="B159" t="s">
        <v>10</v>
      </c>
      <c r="C159" t="s">
        <v>70</v>
      </c>
      <c r="D159" s="4">
        <v>46139</v>
      </c>
      <c r="E159" s="5">
        <v>0.39633101851851854</v>
      </c>
      <c r="F159">
        <v>1</v>
      </c>
      <c r="G159" t="s">
        <v>82</v>
      </c>
      <c r="H159" s="7">
        <v>30</v>
      </c>
      <c r="L159" t="s">
        <v>564</v>
      </c>
      <c r="M159" t="s">
        <v>71</v>
      </c>
      <c r="N159" s="8" t="s">
        <v>75</v>
      </c>
      <c r="O159" s="8">
        <v>1</v>
      </c>
      <c r="W159" s="6">
        <v>1.0256000000000001</v>
      </c>
    </row>
    <row r="160" spans="1:27" x14ac:dyDescent="0.25">
      <c r="A160">
        <v>76116395</v>
      </c>
      <c r="B160" t="s">
        <v>10</v>
      </c>
      <c r="C160" t="s">
        <v>70</v>
      </c>
      <c r="D160" s="4">
        <v>46139</v>
      </c>
      <c r="E160" s="5">
        <v>0.39667824074074076</v>
      </c>
      <c r="F160">
        <v>1</v>
      </c>
      <c r="G160" t="s">
        <v>82</v>
      </c>
      <c r="H160" s="7">
        <v>59.25</v>
      </c>
      <c r="L160" t="s">
        <v>564</v>
      </c>
      <c r="M160" t="s">
        <v>71</v>
      </c>
      <c r="N160" s="8" t="s">
        <v>75</v>
      </c>
      <c r="P160" s="8">
        <v>1</v>
      </c>
      <c r="X160" s="6">
        <v>0.55549999999999999</v>
      </c>
    </row>
    <row r="161" spans="1:27" x14ac:dyDescent="0.25">
      <c r="A161">
        <v>76116397</v>
      </c>
      <c r="B161" t="s">
        <v>10</v>
      </c>
      <c r="C161" t="s">
        <v>70</v>
      </c>
      <c r="D161" s="4">
        <v>46139</v>
      </c>
      <c r="E161" s="5">
        <v>0.39733796296296298</v>
      </c>
      <c r="F161">
        <v>1</v>
      </c>
      <c r="G161" t="s">
        <v>82</v>
      </c>
      <c r="H161" s="7">
        <v>150</v>
      </c>
      <c r="L161" t="s">
        <v>564</v>
      </c>
      <c r="M161" t="s">
        <v>71</v>
      </c>
      <c r="N161" s="8" t="s">
        <v>75</v>
      </c>
      <c r="P161" s="8">
        <v>1</v>
      </c>
      <c r="S161">
        <v>1</v>
      </c>
      <c r="T161" s="7">
        <v>28.25</v>
      </c>
      <c r="X161" s="6">
        <v>0.7975000000000001</v>
      </c>
      <c r="Z161" s="6">
        <v>0.7975000000000001</v>
      </c>
      <c r="AA161">
        <v>3</v>
      </c>
    </row>
    <row r="162" spans="1:27" x14ac:dyDescent="0.25">
      <c r="A162">
        <v>76116401</v>
      </c>
      <c r="B162" t="s">
        <v>10</v>
      </c>
      <c r="C162" t="s">
        <v>70</v>
      </c>
      <c r="D162" s="4">
        <v>46139</v>
      </c>
      <c r="E162" s="5">
        <v>0.39814814814814814</v>
      </c>
      <c r="F162">
        <v>1</v>
      </c>
      <c r="G162" t="s">
        <v>82</v>
      </c>
      <c r="H162" s="7">
        <v>19.75</v>
      </c>
      <c r="L162" t="s">
        <v>571</v>
      </c>
      <c r="M162" t="s">
        <v>71</v>
      </c>
      <c r="N162" s="8">
        <v>1</v>
      </c>
      <c r="O162" s="8">
        <v>1</v>
      </c>
      <c r="S162">
        <v>1</v>
      </c>
      <c r="T162" s="7">
        <v>132.41666666666666</v>
      </c>
      <c r="W162" s="6">
        <v>0.99826666666666664</v>
      </c>
      <c r="Z162" s="6">
        <v>0.45016666666666671</v>
      </c>
      <c r="AA162">
        <v>1</v>
      </c>
    </row>
    <row r="163" spans="1:27" x14ac:dyDescent="0.25">
      <c r="A163">
        <v>76116402</v>
      </c>
      <c r="B163" t="s">
        <v>10</v>
      </c>
      <c r="C163" t="s">
        <v>70</v>
      </c>
      <c r="D163" s="4">
        <v>46139</v>
      </c>
      <c r="E163" s="5">
        <v>0.39883101851851849</v>
      </c>
      <c r="F163">
        <v>1</v>
      </c>
      <c r="G163" t="s">
        <v>82</v>
      </c>
      <c r="H163" s="7">
        <v>80.5</v>
      </c>
      <c r="L163" t="s">
        <v>573</v>
      </c>
      <c r="M163" t="s">
        <v>71</v>
      </c>
      <c r="N163" s="8">
        <v>1</v>
      </c>
      <c r="O163" s="8">
        <v>1</v>
      </c>
      <c r="Q163" s="8">
        <v>1</v>
      </c>
      <c r="S163">
        <v>1</v>
      </c>
      <c r="U163" s="7">
        <v>0.5</v>
      </c>
      <c r="W163" s="6">
        <v>1.1616</v>
      </c>
      <c r="Z163" s="6">
        <v>0.61216666666666675</v>
      </c>
      <c r="AA163">
        <v>1</v>
      </c>
    </row>
    <row r="164" spans="1:27" x14ac:dyDescent="0.25">
      <c r="A164">
        <v>76116404</v>
      </c>
      <c r="B164" t="s">
        <v>10</v>
      </c>
      <c r="C164" t="s">
        <v>70</v>
      </c>
      <c r="D164" s="4">
        <v>46139</v>
      </c>
      <c r="E164" s="5">
        <v>0.39975694444444443</v>
      </c>
      <c r="F164">
        <v>1</v>
      </c>
      <c r="G164" t="s">
        <v>82</v>
      </c>
      <c r="H164" s="7">
        <v>90</v>
      </c>
      <c r="L164" t="s">
        <v>577</v>
      </c>
      <c r="M164" t="s">
        <v>71</v>
      </c>
      <c r="N164" s="8" t="s">
        <v>75</v>
      </c>
      <c r="O164" s="8">
        <v>1</v>
      </c>
      <c r="S164">
        <v>1</v>
      </c>
      <c r="T164" s="7">
        <v>193.66666666666666</v>
      </c>
      <c r="W164" s="6">
        <v>1.1856</v>
      </c>
      <c r="Z164" s="6">
        <v>0.63749999999999996</v>
      </c>
      <c r="AA164">
        <v>1</v>
      </c>
    </row>
    <row r="165" spans="1:27" x14ac:dyDescent="0.25">
      <c r="A165">
        <v>76116408</v>
      </c>
      <c r="B165" t="s">
        <v>10</v>
      </c>
      <c r="C165" t="s">
        <v>70</v>
      </c>
      <c r="D165" s="4">
        <v>46139</v>
      </c>
      <c r="E165" s="5">
        <v>0.40038194444444447</v>
      </c>
      <c r="F165">
        <v>1</v>
      </c>
      <c r="G165" t="s">
        <v>82</v>
      </c>
      <c r="H165" s="7">
        <v>8.25</v>
      </c>
      <c r="L165" t="s">
        <v>579</v>
      </c>
      <c r="M165" t="s">
        <v>71</v>
      </c>
      <c r="N165" s="8" t="s">
        <v>75</v>
      </c>
      <c r="O165" s="8">
        <v>1</v>
      </c>
      <c r="R165" s="8">
        <v>1</v>
      </c>
      <c r="S165">
        <v>1</v>
      </c>
      <c r="T165" s="7">
        <v>8</v>
      </c>
      <c r="W165" s="6">
        <v>0.96760000000000002</v>
      </c>
      <c r="Y165" s="6">
        <v>0.21</v>
      </c>
      <c r="AA165">
        <v>1</v>
      </c>
    </row>
    <row r="166" spans="1:27" x14ac:dyDescent="0.25">
      <c r="A166">
        <v>76116409</v>
      </c>
      <c r="B166" t="s">
        <v>10</v>
      </c>
      <c r="C166" t="s">
        <v>70</v>
      </c>
      <c r="D166" s="4">
        <v>46139</v>
      </c>
      <c r="E166" s="5">
        <v>0.40144675925925921</v>
      </c>
      <c r="F166">
        <v>1</v>
      </c>
      <c r="G166" t="s">
        <v>82</v>
      </c>
      <c r="H166" s="7">
        <v>77</v>
      </c>
      <c r="L166" t="s">
        <v>581</v>
      </c>
      <c r="M166" t="s">
        <v>71</v>
      </c>
      <c r="N166" s="8" t="s">
        <v>78</v>
      </c>
      <c r="O166" s="8">
        <v>1</v>
      </c>
      <c r="S166">
        <v>1</v>
      </c>
      <c r="T166" s="7">
        <v>98.833333333333329</v>
      </c>
      <c r="W166" s="6">
        <v>1.1509333333333334</v>
      </c>
      <c r="Z166" s="6">
        <v>0.60283333333333333</v>
      </c>
      <c r="AA166">
        <v>1</v>
      </c>
    </row>
    <row r="167" spans="1:27" x14ac:dyDescent="0.25">
      <c r="A167">
        <v>76116411</v>
      </c>
      <c r="B167" t="s">
        <v>10</v>
      </c>
      <c r="C167" t="s">
        <v>70</v>
      </c>
      <c r="D167" s="4">
        <v>46139</v>
      </c>
      <c r="E167" s="5">
        <v>0.40210648148148148</v>
      </c>
      <c r="F167">
        <v>1</v>
      </c>
      <c r="G167" t="s">
        <v>82</v>
      </c>
      <c r="H167" s="7">
        <v>24.5</v>
      </c>
      <c r="L167" t="s">
        <v>583</v>
      </c>
      <c r="M167" t="s">
        <v>71</v>
      </c>
      <c r="N167" s="8">
        <v>1</v>
      </c>
      <c r="O167" s="8">
        <v>1</v>
      </c>
      <c r="S167">
        <v>1</v>
      </c>
      <c r="T167" s="7">
        <v>79.916666666666671</v>
      </c>
      <c r="W167" s="6">
        <v>1.0109333333333332</v>
      </c>
      <c r="Z167" s="6">
        <v>0.46283333333333332</v>
      </c>
      <c r="AA167">
        <v>1</v>
      </c>
    </row>
    <row r="168" spans="1:27" x14ac:dyDescent="0.25">
      <c r="A168">
        <v>76116413</v>
      </c>
      <c r="B168" t="s">
        <v>10</v>
      </c>
      <c r="C168" t="s">
        <v>70</v>
      </c>
      <c r="D168" s="4">
        <v>46139</v>
      </c>
      <c r="E168" s="5">
        <v>0.40285879629629628</v>
      </c>
      <c r="F168">
        <v>1</v>
      </c>
      <c r="G168" t="s">
        <v>82</v>
      </c>
      <c r="H168" s="7">
        <v>1</v>
      </c>
      <c r="L168">
        <v>80290213</v>
      </c>
      <c r="M168" t="s">
        <v>71</v>
      </c>
      <c r="N168" s="8" t="s">
        <v>80</v>
      </c>
      <c r="O168" s="8">
        <v>1</v>
      </c>
      <c r="S168">
        <v>1</v>
      </c>
      <c r="T168" s="7">
        <v>56.5</v>
      </c>
      <c r="W168" s="6">
        <v>0.9482666666666667</v>
      </c>
      <c r="Z168" s="6">
        <v>0.40016666666666667</v>
      </c>
      <c r="AA168">
        <v>1</v>
      </c>
    </row>
    <row r="169" spans="1:27" x14ac:dyDescent="0.25">
      <c r="A169">
        <v>76116419</v>
      </c>
      <c r="B169" t="s">
        <v>10</v>
      </c>
      <c r="C169" t="s">
        <v>70</v>
      </c>
      <c r="D169" s="4">
        <v>46139</v>
      </c>
      <c r="E169" s="5">
        <v>0.40490740740740738</v>
      </c>
      <c r="F169">
        <v>1</v>
      </c>
      <c r="G169" t="s">
        <v>82</v>
      </c>
      <c r="H169" s="7">
        <v>8.25</v>
      </c>
      <c r="L169" t="s">
        <v>595</v>
      </c>
      <c r="M169" t="s">
        <v>71</v>
      </c>
      <c r="N169" s="8">
        <v>1</v>
      </c>
      <c r="O169" s="8">
        <v>1</v>
      </c>
      <c r="S169">
        <v>1</v>
      </c>
      <c r="T169" s="7">
        <v>66.833333333333329</v>
      </c>
      <c r="W169" s="6">
        <v>0.96760000000000002</v>
      </c>
      <c r="Z169" s="6">
        <v>0.41950000000000004</v>
      </c>
      <c r="AA169">
        <v>1</v>
      </c>
    </row>
    <row r="170" spans="1:27" x14ac:dyDescent="0.25">
      <c r="A170">
        <v>76116420</v>
      </c>
      <c r="B170" t="s">
        <v>10</v>
      </c>
      <c r="C170" t="s">
        <v>70</v>
      </c>
      <c r="D170" s="4">
        <v>46139</v>
      </c>
      <c r="E170" s="5">
        <v>0.40611111111111103</v>
      </c>
      <c r="F170">
        <v>1</v>
      </c>
      <c r="G170" t="s">
        <v>82</v>
      </c>
      <c r="H170" s="7">
        <v>135</v>
      </c>
      <c r="L170" t="s">
        <v>597</v>
      </c>
      <c r="M170" t="s">
        <v>71</v>
      </c>
      <c r="N170" s="8" t="s">
        <v>75</v>
      </c>
      <c r="O170" s="8">
        <v>1</v>
      </c>
      <c r="S170">
        <v>1</v>
      </c>
      <c r="T170" s="7">
        <v>130.91666666666666</v>
      </c>
      <c r="W170" s="6">
        <v>1.3056000000000001</v>
      </c>
      <c r="Z170" s="6">
        <v>0.75750000000000006</v>
      </c>
      <c r="AA170">
        <v>1</v>
      </c>
    </row>
    <row r="171" spans="1:27" x14ac:dyDescent="0.25">
      <c r="A171">
        <v>76116421</v>
      </c>
      <c r="B171" t="s">
        <v>10</v>
      </c>
      <c r="C171" t="s">
        <v>70</v>
      </c>
      <c r="D171" s="4">
        <v>46139</v>
      </c>
      <c r="E171" s="5">
        <v>0.40680555555555553</v>
      </c>
      <c r="F171">
        <v>1</v>
      </c>
      <c r="G171" t="s">
        <v>82</v>
      </c>
      <c r="H171" s="7">
        <v>21</v>
      </c>
      <c r="L171" t="s">
        <v>599</v>
      </c>
      <c r="M171" t="s">
        <v>71</v>
      </c>
      <c r="N171" s="8" t="s">
        <v>75</v>
      </c>
      <c r="O171" s="8">
        <v>1</v>
      </c>
      <c r="S171">
        <v>1</v>
      </c>
      <c r="T171" s="7">
        <v>76.583333333333329</v>
      </c>
      <c r="W171" s="6">
        <v>1.0016</v>
      </c>
      <c r="Z171" s="6">
        <v>0.45350000000000001</v>
      </c>
      <c r="AA171">
        <v>1</v>
      </c>
    </row>
    <row r="172" spans="1:27" x14ac:dyDescent="0.25">
      <c r="A172">
        <v>76116424</v>
      </c>
      <c r="B172" t="s">
        <v>10</v>
      </c>
      <c r="C172" t="s">
        <v>70</v>
      </c>
      <c r="D172" s="4">
        <v>46139</v>
      </c>
      <c r="E172" s="5">
        <v>0.40755787037037039</v>
      </c>
      <c r="F172">
        <v>1</v>
      </c>
      <c r="G172" t="s">
        <v>82</v>
      </c>
      <c r="H172" s="7">
        <v>68</v>
      </c>
      <c r="L172" t="s">
        <v>602</v>
      </c>
      <c r="M172" t="s">
        <v>71</v>
      </c>
      <c r="N172" s="8" t="s">
        <v>75</v>
      </c>
      <c r="O172" s="8">
        <v>1</v>
      </c>
      <c r="W172" s="6">
        <v>1.1269333333333333</v>
      </c>
    </row>
    <row r="173" spans="1:27" x14ac:dyDescent="0.25">
      <c r="A173">
        <v>76116425</v>
      </c>
      <c r="B173" t="s">
        <v>10</v>
      </c>
      <c r="C173" t="s">
        <v>70</v>
      </c>
      <c r="D173" s="4">
        <v>46139</v>
      </c>
      <c r="E173" s="5">
        <v>0.40802083333333328</v>
      </c>
      <c r="F173">
        <v>1</v>
      </c>
      <c r="G173" t="s">
        <v>82</v>
      </c>
      <c r="H173" s="7">
        <v>88</v>
      </c>
      <c r="L173" t="s">
        <v>602</v>
      </c>
      <c r="M173" t="s">
        <v>71</v>
      </c>
      <c r="N173" s="8" t="s">
        <v>75</v>
      </c>
      <c r="P173" s="8">
        <v>1</v>
      </c>
      <c r="X173" s="6">
        <v>0.63216666666666665</v>
      </c>
    </row>
    <row r="174" spans="1:27" x14ac:dyDescent="0.25">
      <c r="A174">
        <v>76116426</v>
      </c>
      <c r="B174" t="s">
        <v>10</v>
      </c>
      <c r="C174" t="s">
        <v>70</v>
      </c>
      <c r="D174" s="4">
        <v>46139</v>
      </c>
      <c r="E174" s="5">
        <v>0.40840277777777773</v>
      </c>
      <c r="F174">
        <v>1</v>
      </c>
      <c r="G174" t="s">
        <v>82</v>
      </c>
      <c r="H174" s="7">
        <v>103</v>
      </c>
      <c r="L174" t="s">
        <v>602</v>
      </c>
      <c r="M174" t="s">
        <v>71</v>
      </c>
      <c r="N174" s="8" t="s">
        <v>75</v>
      </c>
      <c r="P174" s="8">
        <v>1</v>
      </c>
      <c r="S174">
        <v>1</v>
      </c>
      <c r="T174" s="7">
        <v>35</v>
      </c>
      <c r="X174" s="6">
        <v>0.67216666666666669</v>
      </c>
      <c r="Z174" s="6">
        <v>0.67216666666666669</v>
      </c>
      <c r="AA174">
        <v>3</v>
      </c>
    </row>
    <row r="175" spans="1:27" x14ac:dyDescent="0.25">
      <c r="A175">
        <v>76116428</v>
      </c>
      <c r="B175" t="s">
        <v>10</v>
      </c>
      <c r="C175" t="s">
        <v>70</v>
      </c>
      <c r="D175" s="4">
        <v>46139</v>
      </c>
      <c r="E175" s="5">
        <v>0.40961805555555553</v>
      </c>
      <c r="F175">
        <v>1</v>
      </c>
      <c r="G175" t="s">
        <v>82</v>
      </c>
      <c r="H175" s="7">
        <v>78</v>
      </c>
      <c r="L175" t="s">
        <v>605</v>
      </c>
      <c r="M175" t="s">
        <v>71</v>
      </c>
      <c r="N175" s="8" t="s">
        <v>75</v>
      </c>
      <c r="O175" s="8">
        <v>1</v>
      </c>
      <c r="R175" s="8">
        <v>1</v>
      </c>
      <c r="S175">
        <v>1</v>
      </c>
      <c r="T175" s="7">
        <v>6.416666666666667</v>
      </c>
      <c r="W175" s="6">
        <v>1.1536</v>
      </c>
      <c r="Y175" s="6">
        <v>0.21</v>
      </c>
      <c r="AA175">
        <v>1</v>
      </c>
    </row>
    <row r="176" spans="1:27" x14ac:dyDescent="0.25">
      <c r="A176">
        <v>76116430</v>
      </c>
      <c r="B176" t="s">
        <v>10</v>
      </c>
      <c r="C176" t="s">
        <v>70</v>
      </c>
      <c r="D176" s="4">
        <v>46139</v>
      </c>
      <c r="E176" s="5">
        <v>0.41019675925925925</v>
      </c>
      <c r="F176">
        <v>1</v>
      </c>
      <c r="G176" t="s">
        <v>82</v>
      </c>
      <c r="H176" s="7">
        <v>1</v>
      </c>
      <c r="L176" t="s">
        <v>608</v>
      </c>
      <c r="M176" t="s">
        <v>71</v>
      </c>
      <c r="N176" s="8" t="s">
        <v>75</v>
      </c>
      <c r="O176" s="8">
        <v>1</v>
      </c>
      <c r="S176">
        <v>1</v>
      </c>
      <c r="T176" s="7">
        <v>88.666666666666671</v>
      </c>
      <c r="W176" s="6">
        <v>0.9482666666666667</v>
      </c>
      <c r="Z176" s="6">
        <v>0.40016666666666667</v>
      </c>
      <c r="AA176">
        <v>1</v>
      </c>
    </row>
    <row r="177" spans="1:27" x14ac:dyDescent="0.25">
      <c r="A177">
        <v>76116432</v>
      </c>
      <c r="B177" t="s">
        <v>10</v>
      </c>
      <c r="C177" t="s">
        <v>70</v>
      </c>
      <c r="D177" s="4">
        <v>46139</v>
      </c>
      <c r="E177" s="5">
        <v>0.41164351851851844</v>
      </c>
      <c r="F177">
        <v>1</v>
      </c>
      <c r="G177" t="s">
        <v>82</v>
      </c>
      <c r="H177" s="7">
        <v>1</v>
      </c>
      <c r="L177" t="s">
        <v>610</v>
      </c>
      <c r="M177" t="s">
        <v>71</v>
      </c>
      <c r="N177" s="8" t="s">
        <v>75</v>
      </c>
      <c r="O177" s="8">
        <v>1</v>
      </c>
      <c r="W177" s="6">
        <v>0.9482666666666667</v>
      </c>
    </row>
    <row r="178" spans="1:27" x14ac:dyDescent="0.25">
      <c r="A178">
        <v>76116434</v>
      </c>
      <c r="B178" t="s">
        <v>10</v>
      </c>
      <c r="C178" t="s">
        <v>70</v>
      </c>
      <c r="D178" s="4">
        <v>46139</v>
      </c>
      <c r="E178" s="5">
        <v>0.41190972222222216</v>
      </c>
      <c r="F178">
        <v>1</v>
      </c>
      <c r="G178" t="s">
        <v>82</v>
      </c>
      <c r="H178" s="7">
        <v>3</v>
      </c>
      <c r="L178" t="s">
        <v>610</v>
      </c>
      <c r="M178" t="s">
        <v>71</v>
      </c>
      <c r="N178" s="8" t="s">
        <v>75</v>
      </c>
      <c r="P178" s="8">
        <v>1</v>
      </c>
      <c r="R178" s="8">
        <v>1</v>
      </c>
      <c r="S178">
        <v>1</v>
      </c>
      <c r="T178" s="7">
        <v>20.083333333333332</v>
      </c>
      <c r="X178" s="6">
        <v>0.40550000000000003</v>
      </c>
      <c r="Y178" s="6">
        <v>0.21</v>
      </c>
      <c r="AA178">
        <v>2</v>
      </c>
    </row>
    <row r="179" spans="1:27" x14ac:dyDescent="0.25">
      <c r="A179">
        <v>76116455</v>
      </c>
      <c r="B179" t="s">
        <v>10</v>
      </c>
      <c r="C179" t="s">
        <v>70</v>
      </c>
      <c r="D179" s="4">
        <v>46139</v>
      </c>
      <c r="E179" s="5">
        <v>0.43314814814814817</v>
      </c>
      <c r="F179">
        <v>1</v>
      </c>
      <c r="G179" t="s">
        <v>82</v>
      </c>
      <c r="H179" s="7">
        <v>25</v>
      </c>
      <c r="L179">
        <v>1804350979</v>
      </c>
      <c r="M179" t="s">
        <v>71</v>
      </c>
      <c r="N179" s="8" t="s">
        <v>75</v>
      </c>
      <c r="O179" s="8">
        <v>1</v>
      </c>
      <c r="Q179" s="8">
        <v>1</v>
      </c>
      <c r="S179">
        <v>1</v>
      </c>
      <c r="U179" s="7">
        <v>3.6666666666666665</v>
      </c>
      <c r="W179" s="6">
        <v>1.0220444444444445</v>
      </c>
      <c r="Z179" s="6">
        <v>0.46416666666666667</v>
      </c>
      <c r="AA179">
        <v>1</v>
      </c>
    </row>
    <row r="180" spans="1:27" x14ac:dyDescent="0.25">
      <c r="A180">
        <v>76116458</v>
      </c>
      <c r="B180" t="s">
        <v>10</v>
      </c>
      <c r="C180" t="s">
        <v>70</v>
      </c>
      <c r="D180" s="4">
        <v>46139</v>
      </c>
      <c r="E180" s="5">
        <v>0.4340046296296296</v>
      </c>
      <c r="F180">
        <v>1</v>
      </c>
      <c r="G180" t="s">
        <v>82</v>
      </c>
      <c r="H180" s="7">
        <v>125</v>
      </c>
      <c r="L180" t="s">
        <v>619</v>
      </c>
      <c r="M180" t="s">
        <v>71</v>
      </c>
      <c r="N180" s="8" t="s">
        <v>75</v>
      </c>
      <c r="O180" s="8">
        <v>1</v>
      </c>
      <c r="W180" s="6">
        <v>1.2789333333333333</v>
      </c>
    </row>
    <row r="181" spans="1:27" x14ac:dyDescent="0.25">
      <c r="A181">
        <v>76116462</v>
      </c>
      <c r="B181" t="s">
        <v>10</v>
      </c>
      <c r="C181" t="s">
        <v>70</v>
      </c>
      <c r="D181" s="4">
        <v>46139</v>
      </c>
      <c r="E181" s="5">
        <v>0.43444444444444441</v>
      </c>
      <c r="F181">
        <v>1</v>
      </c>
      <c r="G181" t="s">
        <v>82</v>
      </c>
      <c r="H181" s="7">
        <v>136.25</v>
      </c>
      <c r="L181" t="s">
        <v>619</v>
      </c>
      <c r="M181" t="s">
        <v>71</v>
      </c>
      <c r="N181" s="8" t="s">
        <v>75</v>
      </c>
      <c r="P181" s="8">
        <v>1</v>
      </c>
      <c r="X181" s="6">
        <v>0.76083333333333336</v>
      </c>
    </row>
    <row r="182" spans="1:27" x14ac:dyDescent="0.25">
      <c r="A182">
        <v>76116465</v>
      </c>
      <c r="B182" t="s">
        <v>10</v>
      </c>
      <c r="C182" t="s">
        <v>70</v>
      </c>
      <c r="D182" s="4">
        <v>46139</v>
      </c>
      <c r="E182" s="5">
        <v>0.4346875</v>
      </c>
      <c r="F182">
        <v>1</v>
      </c>
      <c r="G182" t="s">
        <v>82</v>
      </c>
      <c r="H182" s="7">
        <v>37.75</v>
      </c>
      <c r="L182" t="s">
        <v>619</v>
      </c>
      <c r="M182" t="s">
        <v>71</v>
      </c>
      <c r="N182" s="8" t="s">
        <v>75</v>
      </c>
      <c r="P182" s="8">
        <v>1</v>
      </c>
      <c r="Q182" s="8">
        <v>1</v>
      </c>
      <c r="S182">
        <v>1</v>
      </c>
      <c r="U182" s="7">
        <v>1.25</v>
      </c>
      <c r="X182" s="6">
        <v>0.50150000000000006</v>
      </c>
      <c r="Z182" s="6">
        <v>0.4981666666666667</v>
      </c>
      <c r="AA182">
        <v>3</v>
      </c>
    </row>
    <row r="183" spans="1:27" x14ac:dyDescent="0.25">
      <c r="A183">
        <v>76116468</v>
      </c>
      <c r="B183" t="s">
        <v>10</v>
      </c>
      <c r="C183" t="s">
        <v>70</v>
      </c>
      <c r="D183" s="4">
        <v>46139</v>
      </c>
      <c r="E183" s="5">
        <v>0.43524305555555554</v>
      </c>
      <c r="F183">
        <v>1</v>
      </c>
      <c r="G183" t="s">
        <v>82</v>
      </c>
      <c r="H183" s="7">
        <v>44.25</v>
      </c>
      <c r="L183" t="s">
        <v>625</v>
      </c>
      <c r="M183" t="s">
        <v>71</v>
      </c>
      <c r="N183" s="8" t="s">
        <v>77</v>
      </c>
      <c r="O183" s="8">
        <v>1</v>
      </c>
      <c r="S183">
        <v>1</v>
      </c>
      <c r="T183" s="7">
        <v>88.416666666666671</v>
      </c>
      <c r="W183" s="6">
        <v>1.0636000000000001</v>
      </c>
      <c r="Z183" s="6">
        <v>0.51550000000000007</v>
      </c>
      <c r="AA183">
        <v>1</v>
      </c>
    </row>
    <row r="184" spans="1:27" x14ac:dyDescent="0.25">
      <c r="A184">
        <v>76116473</v>
      </c>
      <c r="B184" t="s">
        <v>10</v>
      </c>
      <c r="C184" t="s">
        <v>70</v>
      </c>
      <c r="D184" s="4">
        <v>46139</v>
      </c>
      <c r="E184" s="5">
        <v>0.43659722222222225</v>
      </c>
      <c r="F184">
        <v>1</v>
      </c>
      <c r="G184" t="s">
        <v>82</v>
      </c>
      <c r="H184" s="7">
        <v>28</v>
      </c>
      <c r="L184" t="s">
        <v>626</v>
      </c>
      <c r="M184" t="s">
        <v>71</v>
      </c>
      <c r="N184" s="8" t="s">
        <v>75</v>
      </c>
      <c r="O184" s="8">
        <v>1</v>
      </c>
      <c r="W184" s="6">
        <v>1.0202666666666667</v>
      </c>
    </row>
    <row r="185" spans="1:27" x14ac:dyDescent="0.25">
      <c r="A185">
        <v>76116475</v>
      </c>
      <c r="B185" t="s">
        <v>10</v>
      </c>
      <c r="C185" t="s">
        <v>70</v>
      </c>
      <c r="D185" s="4">
        <v>46139</v>
      </c>
      <c r="E185" s="5">
        <v>0.43684027777777773</v>
      </c>
      <c r="F185">
        <v>1</v>
      </c>
      <c r="G185" t="s">
        <v>82</v>
      </c>
      <c r="H185" s="7">
        <v>36.5</v>
      </c>
      <c r="L185" t="s">
        <v>626</v>
      </c>
      <c r="M185" t="s">
        <v>71</v>
      </c>
      <c r="N185" s="8" t="s">
        <v>75</v>
      </c>
      <c r="P185" s="8">
        <v>1</v>
      </c>
      <c r="R185" s="8">
        <v>1</v>
      </c>
      <c r="S185">
        <v>1</v>
      </c>
      <c r="T185" s="7">
        <v>13.333333333333332</v>
      </c>
      <c r="X185" s="6">
        <v>0.49483333333333335</v>
      </c>
      <c r="Y185" s="6">
        <v>0.21</v>
      </c>
      <c r="AA185">
        <v>2</v>
      </c>
    </row>
    <row r="186" spans="1:27" x14ac:dyDescent="0.25">
      <c r="A186">
        <v>76116483</v>
      </c>
      <c r="B186" t="s">
        <v>10</v>
      </c>
      <c r="C186" t="s">
        <v>70</v>
      </c>
      <c r="D186" s="4">
        <v>46139</v>
      </c>
      <c r="E186" s="5">
        <v>0.43766203703703699</v>
      </c>
      <c r="F186">
        <v>1</v>
      </c>
      <c r="G186" t="s">
        <v>82</v>
      </c>
      <c r="H186" s="7">
        <v>1</v>
      </c>
      <c r="L186" t="s">
        <v>638</v>
      </c>
      <c r="M186" t="s">
        <v>71</v>
      </c>
      <c r="N186" s="8" t="s">
        <v>75</v>
      </c>
      <c r="O186" s="8">
        <v>1</v>
      </c>
      <c r="S186">
        <v>1</v>
      </c>
      <c r="T186" s="7">
        <v>58.833333333333336</v>
      </c>
      <c r="W186" s="6">
        <v>0.9482666666666667</v>
      </c>
      <c r="Z186" s="6">
        <v>0.40016666666666667</v>
      </c>
      <c r="AA186">
        <v>1</v>
      </c>
    </row>
    <row r="187" spans="1:27" x14ac:dyDescent="0.25">
      <c r="A187">
        <v>76116488</v>
      </c>
      <c r="B187" t="s">
        <v>10</v>
      </c>
      <c r="C187" t="s">
        <v>70</v>
      </c>
      <c r="D187" s="4">
        <v>46139</v>
      </c>
      <c r="E187" s="5">
        <v>0.43861111111111106</v>
      </c>
      <c r="F187">
        <v>1</v>
      </c>
      <c r="G187" t="s">
        <v>82</v>
      </c>
      <c r="H187" s="7">
        <v>37</v>
      </c>
      <c r="L187" t="s">
        <v>642</v>
      </c>
      <c r="M187" t="s">
        <v>71</v>
      </c>
      <c r="N187" s="8">
        <v>1</v>
      </c>
      <c r="O187" s="8">
        <v>1</v>
      </c>
      <c r="S187">
        <v>1</v>
      </c>
      <c r="T187" s="7">
        <v>165.16666666666666</v>
      </c>
      <c r="W187" s="6">
        <v>1.0442666666666667</v>
      </c>
      <c r="Z187" s="6">
        <v>0.4961666666666667</v>
      </c>
      <c r="AA187">
        <v>1</v>
      </c>
    </row>
    <row r="188" spans="1:27" x14ac:dyDescent="0.25">
      <c r="A188">
        <v>76116490</v>
      </c>
      <c r="B188" t="s">
        <v>10</v>
      </c>
      <c r="C188" t="s">
        <v>70</v>
      </c>
      <c r="D188" s="4">
        <v>46139</v>
      </c>
      <c r="E188" s="5">
        <v>0.43961805555555555</v>
      </c>
      <c r="F188">
        <v>1</v>
      </c>
      <c r="G188" t="s">
        <v>82</v>
      </c>
      <c r="H188" s="7">
        <v>112.5</v>
      </c>
      <c r="L188" t="s">
        <v>646</v>
      </c>
      <c r="M188" t="s">
        <v>71</v>
      </c>
      <c r="N188" s="8" t="s">
        <v>75</v>
      </c>
      <c r="O188" s="8">
        <v>1</v>
      </c>
      <c r="S188">
        <v>1</v>
      </c>
      <c r="T188" s="7">
        <v>37.416666666666664</v>
      </c>
      <c r="W188" s="6">
        <v>1.2456</v>
      </c>
      <c r="Z188" s="6">
        <v>0.69750000000000001</v>
      </c>
      <c r="AA188">
        <v>1</v>
      </c>
    </row>
    <row r="189" spans="1:27" x14ac:dyDescent="0.25">
      <c r="A189">
        <v>76116494</v>
      </c>
      <c r="B189" t="s">
        <v>10</v>
      </c>
      <c r="C189" t="s">
        <v>70</v>
      </c>
      <c r="D189" s="4">
        <v>46139</v>
      </c>
      <c r="E189" s="5">
        <v>0.44116898148148143</v>
      </c>
      <c r="F189">
        <v>1</v>
      </c>
      <c r="G189" t="s">
        <v>82</v>
      </c>
      <c r="H189" s="7">
        <v>1</v>
      </c>
      <c r="L189" t="s">
        <v>651</v>
      </c>
      <c r="M189" t="s">
        <v>71</v>
      </c>
      <c r="N189" s="8">
        <v>1</v>
      </c>
      <c r="O189" s="8">
        <v>1</v>
      </c>
      <c r="S189">
        <v>1</v>
      </c>
      <c r="T189" s="7">
        <v>68.166666666666671</v>
      </c>
      <c r="W189" s="6">
        <v>0.9482666666666667</v>
      </c>
      <c r="Z189" s="6">
        <v>0.40016666666666667</v>
      </c>
      <c r="AA189">
        <v>1</v>
      </c>
    </row>
    <row r="190" spans="1:27" x14ac:dyDescent="0.25">
      <c r="A190">
        <v>76116496</v>
      </c>
      <c r="B190" t="s">
        <v>10</v>
      </c>
      <c r="C190" t="s">
        <v>70</v>
      </c>
      <c r="D190" s="4">
        <v>46139</v>
      </c>
      <c r="E190" s="5">
        <v>0.44239583333333332</v>
      </c>
      <c r="F190">
        <v>1</v>
      </c>
      <c r="G190" t="s">
        <v>82</v>
      </c>
      <c r="H190" s="7">
        <v>30</v>
      </c>
      <c r="L190" t="s">
        <v>655</v>
      </c>
      <c r="M190" t="s">
        <v>71</v>
      </c>
      <c r="N190" s="8">
        <v>1</v>
      </c>
      <c r="O190" s="8">
        <v>1</v>
      </c>
      <c r="S190">
        <v>1</v>
      </c>
      <c r="T190" s="7">
        <v>99.5</v>
      </c>
      <c r="W190" s="6">
        <v>1.0256000000000001</v>
      </c>
      <c r="Z190" s="6">
        <v>0.47750000000000004</v>
      </c>
      <c r="AA190">
        <v>1</v>
      </c>
    </row>
    <row r="191" spans="1:27" x14ac:dyDescent="0.25">
      <c r="A191">
        <v>76116497</v>
      </c>
      <c r="B191" t="s">
        <v>10</v>
      </c>
      <c r="C191" t="s">
        <v>70</v>
      </c>
      <c r="D191" s="4">
        <v>46139</v>
      </c>
      <c r="E191" s="5">
        <v>0.44299768518518517</v>
      </c>
      <c r="F191">
        <v>1</v>
      </c>
      <c r="G191" t="s">
        <v>82</v>
      </c>
      <c r="H191" s="7">
        <v>10.25</v>
      </c>
      <c r="L191" t="s">
        <v>657</v>
      </c>
      <c r="M191" t="s">
        <v>71</v>
      </c>
      <c r="N191" s="8">
        <v>1</v>
      </c>
      <c r="O191" s="8">
        <v>1</v>
      </c>
      <c r="R191" s="8">
        <v>1</v>
      </c>
      <c r="S191">
        <v>1</v>
      </c>
      <c r="T191" s="7">
        <v>6.5</v>
      </c>
      <c r="W191" s="6">
        <v>0.97293333333333332</v>
      </c>
      <c r="Y191" s="6">
        <v>0.21</v>
      </c>
      <c r="AA191">
        <v>1</v>
      </c>
    </row>
    <row r="192" spans="1:27" x14ac:dyDescent="0.25">
      <c r="A192">
        <v>76116500</v>
      </c>
      <c r="B192" t="s">
        <v>10</v>
      </c>
      <c r="C192" t="s">
        <v>70</v>
      </c>
      <c r="D192" s="4">
        <v>46139</v>
      </c>
      <c r="E192" s="5">
        <v>0.44368055555555552</v>
      </c>
      <c r="F192">
        <v>1</v>
      </c>
      <c r="G192" t="s">
        <v>82</v>
      </c>
      <c r="H192" s="7">
        <v>1</v>
      </c>
      <c r="L192" t="s">
        <v>659</v>
      </c>
      <c r="M192" t="s">
        <v>71</v>
      </c>
      <c r="N192" s="8" t="s">
        <v>75</v>
      </c>
      <c r="O192" s="8">
        <v>1</v>
      </c>
      <c r="S192">
        <v>1</v>
      </c>
      <c r="T192" s="7">
        <v>88.083333333333329</v>
      </c>
      <c r="W192" s="6">
        <v>0.9482666666666667</v>
      </c>
      <c r="Z192" s="6">
        <v>0.40016666666666667</v>
      </c>
      <c r="AA192">
        <v>1</v>
      </c>
    </row>
    <row r="193" spans="1:27" x14ac:dyDescent="0.25">
      <c r="A193">
        <v>76116503</v>
      </c>
      <c r="B193" t="s">
        <v>10</v>
      </c>
      <c r="C193" t="s">
        <v>70</v>
      </c>
      <c r="D193" s="4">
        <v>46139</v>
      </c>
      <c r="E193" s="5">
        <v>0.44498842592592591</v>
      </c>
      <c r="F193">
        <v>1</v>
      </c>
      <c r="G193" t="s">
        <v>82</v>
      </c>
      <c r="H193" s="7">
        <v>26</v>
      </c>
      <c r="L193" t="s">
        <v>661</v>
      </c>
      <c r="M193" t="s">
        <v>71</v>
      </c>
      <c r="N193" s="8" t="s">
        <v>75</v>
      </c>
      <c r="O193" s="8">
        <v>1</v>
      </c>
      <c r="Q193" s="8">
        <v>1</v>
      </c>
      <c r="S193">
        <v>1</v>
      </c>
      <c r="U193" s="7">
        <v>0.16666666666666666</v>
      </c>
      <c r="W193" s="6">
        <v>1.0153777777777777</v>
      </c>
      <c r="Z193" s="6">
        <v>0.46683333333333332</v>
      </c>
      <c r="AA193">
        <v>1</v>
      </c>
    </row>
    <row r="194" spans="1:27" x14ac:dyDescent="0.25">
      <c r="A194">
        <v>76116505</v>
      </c>
      <c r="B194" t="s">
        <v>10</v>
      </c>
      <c r="C194" t="s">
        <v>70</v>
      </c>
      <c r="D194" s="4">
        <v>46139</v>
      </c>
      <c r="E194" s="5">
        <v>0.44564814814814813</v>
      </c>
      <c r="F194">
        <v>1</v>
      </c>
      <c r="G194" t="s">
        <v>82</v>
      </c>
      <c r="H194" s="7">
        <v>56.5</v>
      </c>
      <c r="L194" t="s">
        <v>664</v>
      </c>
      <c r="M194" t="s">
        <v>71</v>
      </c>
      <c r="N194" s="8" t="s">
        <v>75</v>
      </c>
      <c r="O194" s="8">
        <v>1</v>
      </c>
      <c r="S194">
        <v>1</v>
      </c>
      <c r="T194" s="7">
        <v>243.41666666666666</v>
      </c>
      <c r="W194" s="6">
        <v>1.0962666666666667</v>
      </c>
      <c r="Z194" s="6">
        <v>0.54816666666666669</v>
      </c>
      <c r="AA194">
        <v>1</v>
      </c>
    </row>
    <row r="195" spans="1:27" x14ac:dyDescent="0.25">
      <c r="A195">
        <v>76116507</v>
      </c>
      <c r="B195" t="s">
        <v>10</v>
      </c>
      <c r="C195" t="s">
        <v>70</v>
      </c>
      <c r="D195" s="4">
        <v>46139</v>
      </c>
      <c r="E195" s="5">
        <v>0.44656249999999997</v>
      </c>
      <c r="F195">
        <v>1</v>
      </c>
      <c r="G195" t="s">
        <v>82</v>
      </c>
      <c r="H195" s="7">
        <v>44.5</v>
      </c>
      <c r="L195" t="s">
        <v>666</v>
      </c>
      <c r="M195" t="s">
        <v>71</v>
      </c>
      <c r="N195" s="8" t="s">
        <v>77</v>
      </c>
      <c r="O195" s="8">
        <v>1</v>
      </c>
      <c r="R195" s="8">
        <v>1</v>
      </c>
      <c r="S195">
        <v>1</v>
      </c>
      <c r="T195" s="7">
        <v>7</v>
      </c>
      <c r="W195" s="6">
        <v>1.0642666666666667</v>
      </c>
      <c r="Y195" s="6">
        <v>0.21</v>
      </c>
      <c r="AA195">
        <v>1</v>
      </c>
    </row>
    <row r="196" spans="1:27" x14ac:dyDescent="0.25">
      <c r="A196">
        <v>76116508</v>
      </c>
      <c r="B196" t="s">
        <v>10</v>
      </c>
      <c r="C196" t="s">
        <v>70</v>
      </c>
      <c r="D196" s="4">
        <v>46139</v>
      </c>
      <c r="E196" s="5">
        <v>0.44740740740740736</v>
      </c>
      <c r="F196">
        <v>1</v>
      </c>
      <c r="G196" t="s">
        <v>82</v>
      </c>
      <c r="H196" s="7">
        <v>75</v>
      </c>
      <c r="L196" t="s">
        <v>668</v>
      </c>
      <c r="M196" t="s">
        <v>71</v>
      </c>
      <c r="N196" s="8" t="s">
        <v>78</v>
      </c>
      <c r="O196" s="8">
        <v>1</v>
      </c>
      <c r="S196">
        <v>1</v>
      </c>
      <c r="T196" s="7">
        <v>226.16666666666666</v>
      </c>
      <c r="W196" s="6">
        <v>1.1456</v>
      </c>
      <c r="Z196" s="6">
        <v>0.59750000000000003</v>
      </c>
      <c r="AA196">
        <v>1</v>
      </c>
    </row>
    <row r="197" spans="1:27" x14ac:dyDescent="0.25">
      <c r="A197">
        <v>76116511</v>
      </c>
      <c r="B197" t="s">
        <v>10</v>
      </c>
      <c r="C197" t="s">
        <v>70</v>
      </c>
      <c r="D197" s="4">
        <v>46139</v>
      </c>
      <c r="E197" s="5">
        <v>0.44807870370370373</v>
      </c>
      <c r="F197">
        <v>1</v>
      </c>
      <c r="G197" t="s">
        <v>82</v>
      </c>
      <c r="H197" s="7">
        <v>79</v>
      </c>
      <c r="L197" t="s">
        <v>672</v>
      </c>
      <c r="M197" t="s">
        <v>71</v>
      </c>
      <c r="N197" s="8">
        <v>1</v>
      </c>
      <c r="O197" s="8">
        <v>1</v>
      </c>
      <c r="W197" s="6">
        <v>1.1562666666666668</v>
      </c>
    </row>
    <row r="198" spans="1:27" x14ac:dyDescent="0.25">
      <c r="A198">
        <v>76116512</v>
      </c>
      <c r="B198" t="s">
        <v>10</v>
      </c>
      <c r="C198" t="s">
        <v>70</v>
      </c>
      <c r="D198" s="4">
        <v>46139</v>
      </c>
      <c r="E198" s="5">
        <v>0.44855324074074071</v>
      </c>
      <c r="F198">
        <v>1</v>
      </c>
      <c r="G198" t="s">
        <v>82</v>
      </c>
      <c r="H198" s="7">
        <v>118</v>
      </c>
      <c r="L198" t="s">
        <v>672</v>
      </c>
      <c r="M198" t="s">
        <v>71</v>
      </c>
      <c r="N198" s="8">
        <v>1</v>
      </c>
      <c r="P198" s="8">
        <v>1</v>
      </c>
      <c r="R198" s="8">
        <v>1</v>
      </c>
      <c r="S198">
        <v>1</v>
      </c>
      <c r="T198" s="7">
        <v>22.666666666666664</v>
      </c>
      <c r="X198" s="6">
        <v>0.71216666666666661</v>
      </c>
      <c r="Y198" s="6">
        <v>0.21</v>
      </c>
      <c r="AA198">
        <v>2</v>
      </c>
    </row>
    <row r="199" spans="1:27" x14ac:dyDescent="0.25">
      <c r="A199">
        <v>76116516</v>
      </c>
      <c r="B199" t="s">
        <v>10</v>
      </c>
      <c r="C199" t="s">
        <v>70</v>
      </c>
      <c r="D199" s="4">
        <v>46139</v>
      </c>
      <c r="E199" s="5">
        <v>0.44939814814814816</v>
      </c>
      <c r="F199">
        <v>1</v>
      </c>
      <c r="G199" t="s">
        <v>82</v>
      </c>
      <c r="H199" s="7">
        <v>35</v>
      </c>
      <c r="L199">
        <v>80288443</v>
      </c>
      <c r="M199" t="s">
        <v>71</v>
      </c>
      <c r="N199" s="8" t="s">
        <v>80</v>
      </c>
      <c r="O199" s="8">
        <v>1</v>
      </c>
      <c r="R199" s="8">
        <v>1</v>
      </c>
      <c r="S199">
        <v>1</v>
      </c>
      <c r="T199" s="7">
        <v>27.666666666666664</v>
      </c>
      <c r="W199" s="6">
        <v>1.0389333333333333</v>
      </c>
      <c r="Y199" s="6">
        <v>0.21</v>
      </c>
      <c r="AA199">
        <v>1</v>
      </c>
    </row>
    <row r="200" spans="1:27" x14ac:dyDescent="0.25">
      <c r="A200">
        <v>76116518</v>
      </c>
      <c r="B200" t="s">
        <v>10</v>
      </c>
      <c r="C200" t="s">
        <v>70</v>
      </c>
      <c r="D200" s="4">
        <v>46139</v>
      </c>
      <c r="E200" s="5">
        <v>0.45050925925925922</v>
      </c>
      <c r="F200">
        <v>1</v>
      </c>
      <c r="G200" t="s">
        <v>82</v>
      </c>
      <c r="H200" s="7">
        <v>14</v>
      </c>
      <c r="L200" t="s">
        <v>684</v>
      </c>
      <c r="M200" t="s">
        <v>71</v>
      </c>
      <c r="N200" s="8">
        <v>1</v>
      </c>
      <c r="O200" s="8">
        <v>1</v>
      </c>
      <c r="W200" s="6">
        <v>0.98293333333333333</v>
      </c>
    </row>
    <row r="201" spans="1:27" x14ac:dyDescent="0.25">
      <c r="A201">
        <v>76116521</v>
      </c>
      <c r="B201" t="s">
        <v>10</v>
      </c>
      <c r="C201" t="s">
        <v>70</v>
      </c>
      <c r="D201" s="4">
        <v>46139</v>
      </c>
      <c r="E201" s="5">
        <v>0.45107638888888885</v>
      </c>
      <c r="F201">
        <v>1</v>
      </c>
      <c r="G201" t="s">
        <v>82</v>
      </c>
      <c r="H201" s="7">
        <v>150</v>
      </c>
      <c r="L201" t="s">
        <v>684</v>
      </c>
      <c r="M201" t="s">
        <v>71</v>
      </c>
      <c r="N201" s="8">
        <v>1</v>
      </c>
      <c r="P201" s="8">
        <v>1</v>
      </c>
      <c r="S201">
        <v>1</v>
      </c>
      <c r="T201" s="7">
        <v>48.916666666666664</v>
      </c>
      <c r="X201" s="6">
        <v>0.7975000000000001</v>
      </c>
      <c r="Z201" s="6">
        <v>0.7975000000000001</v>
      </c>
      <c r="AA201">
        <v>2</v>
      </c>
    </row>
    <row r="202" spans="1:27" x14ac:dyDescent="0.25">
      <c r="A202">
        <v>76116526</v>
      </c>
      <c r="B202" t="s">
        <v>10</v>
      </c>
      <c r="C202" t="s">
        <v>70</v>
      </c>
      <c r="D202" s="4">
        <v>46139</v>
      </c>
      <c r="E202" s="5">
        <v>0.45200231481481479</v>
      </c>
      <c r="F202">
        <v>1</v>
      </c>
      <c r="G202" t="s">
        <v>82</v>
      </c>
      <c r="H202" s="7">
        <v>20.5</v>
      </c>
      <c r="L202">
        <v>80326964</v>
      </c>
      <c r="M202" t="s">
        <v>71</v>
      </c>
      <c r="N202" s="8" t="s">
        <v>77</v>
      </c>
      <c r="O202" s="8">
        <v>1</v>
      </c>
      <c r="W202" s="6">
        <v>1.0002666666666666</v>
      </c>
    </row>
    <row r="203" spans="1:27" x14ac:dyDescent="0.25">
      <c r="A203">
        <v>76116527</v>
      </c>
      <c r="B203" t="s">
        <v>10</v>
      </c>
      <c r="C203" t="s">
        <v>70</v>
      </c>
      <c r="D203" s="4">
        <v>46139</v>
      </c>
      <c r="E203" s="5">
        <v>0.45234953703703706</v>
      </c>
      <c r="F203">
        <v>1</v>
      </c>
      <c r="G203" t="s">
        <v>82</v>
      </c>
      <c r="H203" s="7">
        <v>21</v>
      </c>
      <c r="L203">
        <v>80326964</v>
      </c>
      <c r="M203" t="s">
        <v>71</v>
      </c>
      <c r="N203" s="8" t="s">
        <v>77</v>
      </c>
      <c r="P203" s="8">
        <v>1</v>
      </c>
      <c r="X203" s="6">
        <v>0.45350000000000001</v>
      </c>
    </row>
    <row r="204" spans="1:27" x14ac:dyDescent="0.25">
      <c r="A204">
        <v>76116528</v>
      </c>
      <c r="B204" t="s">
        <v>10</v>
      </c>
      <c r="C204" t="s">
        <v>70</v>
      </c>
      <c r="D204" s="4">
        <v>46139</v>
      </c>
      <c r="E204" s="5">
        <v>0.45248842592592592</v>
      </c>
      <c r="F204">
        <v>1</v>
      </c>
      <c r="G204" t="s">
        <v>82</v>
      </c>
      <c r="H204" s="7">
        <v>10.5</v>
      </c>
      <c r="L204">
        <v>80326964</v>
      </c>
      <c r="M204" t="s">
        <v>71</v>
      </c>
      <c r="N204" s="8" t="s">
        <v>77</v>
      </c>
      <c r="P204" s="8">
        <v>1</v>
      </c>
      <c r="X204" s="6">
        <v>0.42550000000000004</v>
      </c>
    </row>
    <row r="205" spans="1:27" x14ac:dyDescent="0.25">
      <c r="A205">
        <v>76116530</v>
      </c>
      <c r="B205" t="s">
        <v>10</v>
      </c>
      <c r="C205" t="s">
        <v>70</v>
      </c>
      <c r="D205" s="4">
        <v>46139</v>
      </c>
      <c r="E205" s="5">
        <v>0.4529050925925926</v>
      </c>
      <c r="F205">
        <v>1</v>
      </c>
      <c r="G205" t="s">
        <v>82</v>
      </c>
      <c r="H205" s="7">
        <v>13</v>
      </c>
      <c r="L205">
        <v>80326964</v>
      </c>
      <c r="M205" t="s">
        <v>71</v>
      </c>
      <c r="N205" s="8" t="s">
        <v>77</v>
      </c>
      <c r="P205" s="8">
        <v>1</v>
      </c>
      <c r="R205" s="8">
        <v>1</v>
      </c>
      <c r="S205">
        <v>1</v>
      </c>
      <c r="T205" s="7">
        <v>11.083333333333334</v>
      </c>
      <c r="X205" s="6">
        <v>0.4321666666666667</v>
      </c>
      <c r="Y205" s="6">
        <v>0.21</v>
      </c>
      <c r="AA205">
        <v>4</v>
      </c>
    </row>
    <row r="206" spans="1:27" x14ac:dyDescent="0.25">
      <c r="A206">
        <v>76116532</v>
      </c>
      <c r="B206" t="s">
        <v>10</v>
      </c>
      <c r="C206" t="s">
        <v>70</v>
      </c>
      <c r="D206" s="4">
        <v>46139</v>
      </c>
      <c r="E206" s="5">
        <v>0.45386574074074071</v>
      </c>
      <c r="F206">
        <v>1</v>
      </c>
      <c r="G206" t="s">
        <v>82</v>
      </c>
      <c r="H206" s="7">
        <v>40</v>
      </c>
      <c r="L206" t="s">
        <v>696</v>
      </c>
      <c r="M206" t="s">
        <v>71</v>
      </c>
      <c r="N206" s="8">
        <v>1</v>
      </c>
      <c r="O206" s="8">
        <v>1</v>
      </c>
      <c r="S206">
        <v>1</v>
      </c>
      <c r="T206" s="7">
        <v>46.25</v>
      </c>
      <c r="W206" s="6">
        <v>1.0522666666666667</v>
      </c>
      <c r="Z206" s="6">
        <v>0.50416666666666665</v>
      </c>
      <c r="AA206">
        <v>1</v>
      </c>
    </row>
    <row r="207" spans="1:27" x14ac:dyDescent="0.25">
      <c r="A207">
        <v>76116534</v>
      </c>
      <c r="B207" t="s">
        <v>10</v>
      </c>
      <c r="C207" t="s">
        <v>70</v>
      </c>
      <c r="D207" s="4">
        <v>46139</v>
      </c>
      <c r="E207" s="5">
        <v>0.45479166666666665</v>
      </c>
      <c r="F207">
        <v>1</v>
      </c>
      <c r="G207" t="s">
        <v>82</v>
      </c>
      <c r="H207" s="7">
        <v>23</v>
      </c>
      <c r="L207" t="s">
        <v>698</v>
      </c>
      <c r="M207" t="s">
        <v>71</v>
      </c>
      <c r="N207" s="8" t="s">
        <v>75</v>
      </c>
      <c r="O207" s="8">
        <v>1</v>
      </c>
      <c r="W207" s="6">
        <v>1.0069333333333332</v>
      </c>
    </row>
    <row r="208" spans="1:27" x14ac:dyDescent="0.25">
      <c r="A208">
        <v>76116536</v>
      </c>
      <c r="B208" t="s">
        <v>10</v>
      </c>
      <c r="C208" t="s">
        <v>70</v>
      </c>
      <c r="D208" s="4">
        <v>46139</v>
      </c>
      <c r="E208" s="5">
        <v>0.45504629629629628</v>
      </c>
      <c r="F208">
        <v>1</v>
      </c>
      <c r="G208" t="s">
        <v>82</v>
      </c>
      <c r="H208" s="7">
        <v>23</v>
      </c>
      <c r="L208" t="s">
        <v>698</v>
      </c>
      <c r="M208" t="s">
        <v>71</v>
      </c>
      <c r="N208" s="8" t="s">
        <v>75</v>
      </c>
      <c r="P208" s="8">
        <v>1</v>
      </c>
      <c r="X208" s="6">
        <v>0.45883333333333337</v>
      </c>
    </row>
    <row r="209" spans="1:27" x14ac:dyDescent="0.25">
      <c r="A209">
        <v>76116537</v>
      </c>
      <c r="B209" t="s">
        <v>10</v>
      </c>
      <c r="C209" t="s">
        <v>70</v>
      </c>
      <c r="D209" s="4">
        <v>46139</v>
      </c>
      <c r="E209" s="5">
        <v>0.45537037037037037</v>
      </c>
      <c r="F209">
        <v>1</v>
      </c>
      <c r="G209" t="s">
        <v>82</v>
      </c>
      <c r="H209" s="7">
        <v>25</v>
      </c>
      <c r="L209" t="s">
        <v>698</v>
      </c>
      <c r="M209" t="s">
        <v>71</v>
      </c>
      <c r="N209" s="8" t="s">
        <v>75</v>
      </c>
      <c r="P209" s="8">
        <v>1</v>
      </c>
      <c r="X209" s="6">
        <v>0.46416666666666667</v>
      </c>
    </row>
    <row r="210" spans="1:27" x14ac:dyDescent="0.25">
      <c r="A210">
        <v>76116538</v>
      </c>
      <c r="B210" t="s">
        <v>10</v>
      </c>
      <c r="C210" t="s">
        <v>70</v>
      </c>
      <c r="D210" s="4">
        <v>46139</v>
      </c>
      <c r="E210" s="5">
        <v>0.45565972222222217</v>
      </c>
      <c r="F210">
        <v>1</v>
      </c>
      <c r="G210" t="s">
        <v>82</v>
      </c>
      <c r="H210" s="7">
        <v>22</v>
      </c>
      <c r="L210" t="s">
        <v>698</v>
      </c>
      <c r="M210" t="s">
        <v>71</v>
      </c>
      <c r="N210" s="8" t="s">
        <v>75</v>
      </c>
      <c r="P210" s="8">
        <v>1</v>
      </c>
      <c r="Q210" s="8">
        <v>1</v>
      </c>
      <c r="S210">
        <v>1</v>
      </c>
      <c r="U210" s="7">
        <v>1.75</v>
      </c>
      <c r="X210" s="6">
        <v>0.46083333333333337</v>
      </c>
      <c r="Z210" s="6">
        <v>0.45616666666666666</v>
      </c>
      <c r="AA210">
        <v>4</v>
      </c>
    </row>
    <row r="211" spans="1:27" x14ac:dyDescent="0.25">
      <c r="A211">
        <v>76116539</v>
      </c>
      <c r="B211" t="s">
        <v>10</v>
      </c>
      <c r="C211" t="s">
        <v>70</v>
      </c>
      <c r="D211" s="4">
        <v>46139</v>
      </c>
      <c r="E211" s="5">
        <v>0.45638888888888884</v>
      </c>
      <c r="F211">
        <v>1</v>
      </c>
      <c r="G211" t="s">
        <v>82</v>
      </c>
      <c r="H211" s="7">
        <v>1</v>
      </c>
      <c r="L211" t="s">
        <v>705</v>
      </c>
      <c r="M211" t="s">
        <v>71</v>
      </c>
      <c r="N211" s="8" t="s">
        <v>75</v>
      </c>
      <c r="O211" s="8">
        <v>1</v>
      </c>
      <c r="R211" s="8">
        <v>1</v>
      </c>
      <c r="S211">
        <v>1</v>
      </c>
      <c r="T211" s="7">
        <v>27.666666666666664</v>
      </c>
      <c r="W211" s="6">
        <v>0.9482666666666667</v>
      </c>
      <c r="Y211" s="6">
        <v>0.21</v>
      </c>
      <c r="AA211">
        <v>1</v>
      </c>
    </row>
    <row r="212" spans="1:27" x14ac:dyDescent="0.25">
      <c r="A212">
        <v>76116543</v>
      </c>
      <c r="B212" t="s">
        <v>10</v>
      </c>
      <c r="C212" t="s">
        <v>70</v>
      </c>
      <c r="D212" s="4">
        <v>46139</v>
      </c>
      <c r="E212" s="5">
        <v>0.45751157407407406</v>
      </c>
      <c r="F212">
        <v>1</v>
      </c>
      <c r="G212" t="s">
        <v>82</v>
      </c>
      <c r="H212" s="7">
        <v>1</v>
      </c>
      <c r="L212" t="s">
        <v>710</v>
      </c>
      <c r="M212" t="s">
        <v>71</v>
      </c>
      <c r="N212" s="8" t="s">
        <v>77</v>
      </c>
      <c r="O212" s="8">
        <v>1</v>
      </c>
      <c r="S212">
        <v>1</v>
      </c>
      <c r="T212" s="7">
        <v>38.5</v>
      </c>
      <c r="W212" s="6">
        <v>0.9482666666666667</v>
      </c>
      <c r="Z212" s="6">
        <v>0.40016666666666667</v>
      </c>
      <c r="AA212">
        <v>1</v>
      </c>
    </row>
    <row r="213" spans="1:27" x14ac:dyDescent="0.25">
      <c r="A213">
        <v>76116544</v>
      </c>
      <c r="B213" t="s">
        <v>10</v>
      </c>
      <c r="C213" t="s">
        <v>70</v>
      </c>
      <c r="D213" s="4">
        <v>46139</v>
      </c>
      <c r="E213" s="5">
        <v>0.45848379629629632</v>
      </c>
      <c r="F213">
        <v>1</v>
      </c>
      <c r="G213" t="s">
        <v>82</v>
      </c>
      <c r="H213" s="7">
        <v>1</v>
      </c>
      <c r="L213" t="s">
        <v>712</v>
      </c>
      <c r="M213" t="s">
        <v>71</v>
      </c>
      <c r="N213" s="8" t="s">
        <v>75</v>
      </c>
      <c r="O213" s="8">
        <v>1</v>
      </c>
      <c r="S213">
        <v>1</v>
      </c>
      <c r="T213" s="7">
        <v>51.083333333333329</v>
      </c>
      <c r="W213" s="6">
        <v>0.9482666666666667</v>
      </c>
      <c r="Z213" s="6">
        <v>0.40016666666666667</v>
      </c>
      <c r="AA213">
        <v>1</v>
      </c>
    </row>
    <row r="214" spans="1:27" x14ac:dyDescent="0.25">
      <c r="A214">
        <v>76116546</v>
      </c>
      <c r="B214" t="s">
        <v>10</v>
      </c>
      <c r="C214" t="s">
        <v>70</v>
      </c>
      <c r="D214" s="4">
        <v>46139</v>
      </c>
      <c r="E214" s="5">
        <v>0.45950231481481474</v>
      </c>
      <c r="F214">
        <v>1</v>
      </c>
      <c r="G214" t="s">
        <v>82</v>
      </c>
      <c r="H214" s="7">
        <v>1</v>
      </c>
      <c r="L214" t="s">
        <v>716</v>
      </c>
      <c r="M214" t="s">
        <v>71</v>
      </c>
      <c r="N214" s="8" t="s">
        <v>80</v>
      </c>
      <c r="O214" s="8">
        <v>1</v>
      </c>
      <c r="S214">
        <v>1</v>
      </c>
      <c r="T214" s="7">
        <v>64.75</v>
      </c>
      <c r="W214" s="6">
        <v>0.9482666666666667</v>
      </c>
      <c r="Z214" s="6">
        <v>0.40016666666666667</v>
      </c>
      <c r="AA214">
        <v>1</v>
      </c>
    </row>
    <row r="215" spans="1:27" x14ac:dyDescent="0.25">
      <c r="A215">
        <v>76116547</v>
      </c>
      <c r="B215" t="s">
        <v>10</v>
      </c>
      <c r="C215" t="s">
        <v>70</v>
      </c>
      <c r="D215" s="4">
        <v>46139</v>
      </c>
      <c r="E215" s="5">
        <v>0.46049768518518519</v>
      </c>
      <c r="F215">
        <v>1</v>
      </c>
      <c r="G215" t="s">
        <v>82</v>
      </c>
      <c r="H215" s="7">
        <v>14</v>
      </c>
      <c r="L215" t="s">
        <v>719</v>
      </c>
      <c r="M215" t="s">
        <v>71</v>
      </c>
      <c r="N215" s="8">
        <v>1</v>
      </c>
      <c r="O215" s="8">
        <v>1</v>
      </c>
      <c r="S215">
        <v>1</v>
      </c>
      <c r="T215" s="7">
        <v>95</v>
      </c>
      <c r="W215" s="6">
        <v>0.98293333333333333</v>
      </c>
      <c r="Z215" s="6">
        <v>0.43483333333333335</v>
      </c>
      <c r="AA215">
        <v>1</v>
      </c>
    </row>
    <row r="216" spans="1:27" x14ac:dyDescent="0.25">
      <c r="A216">
        <v>76116550</v>
      </c>
      <c r="B216" t="s">
        <v>10</v>
      </c>
      <c r="C216" t="s">
        <v>70</v>
      </c>
      <c r="D216" s="4">
        <v>46139</v>
      </c>
      <c r="E216" s="5">
        <v>0.46162037037037035</v>
      </c>
      <c r="F216">
        <v>1</v>
      </c>
      <c r="G216" t="s">
        <v>82</v>
      </c>
      <c r="H216" s="7">
        <v>47.75</v>
      </c>
      <c r="L216" t="s">
        <v>721</v>
      </c>
      <c r="M216" t="s">
        <v>71</v>
      </c>
      <c r="N216" s="8">
        <v>1</v>
      </c>
      <c r="O216" s="8">
        <v>1</v>
      </c>
      <c r="S216">
        <v>1</v>
      </c>
      <c r="T216" s="7">
        <v>129.25</v>
      </c>
      <c r="W216" s="6">
        <v>1.0729333333333333</v>
      </c>
      <c r="Z216" s="6">
        <v>0.52483333333333337</v>
      </c>
      <c r="AA216">
        <v>1</v>
      </c>
    </row>
    <row r="217" spans="1:27" x14ac:dyDescent="0.25">
      <c r="A217">
        <v>76116552</v>
      </c>
      <c r="B217" t="s">
        <v>10</v>
      </c>
      <c r="C217" t="s">
        <v>70</v>
      </c>
      <c r="D217" s="4">
        <v>46139</v>
      </c>
      <c r="E217" s="5">
        <v>0.46328703703703705</v>
      </c>
      <c r="F217">
        <v>1</v>
      </c>
      <c r="G217" t="s">
        <v>82</v>
      </c>
      <c r="H217" s="7">
        <v>54.5</v>
      </c>
      <c r="L217" t="s">
        <v>728</v>
      </c>
      <c r="M217" t="s">
        <v>71</v>
      </c>
      <c r="N217" s="8" t="s">
        <v>75</v>
      </c>
      <c r="O217" s="8">
        <v>1</v>
      </c>
      <c r="S217">
        <v>1</v>
      </c>
      <c r="T217" s="7">
        <v>117.5</v>
      </c>
      <c r="W217" s="6">
        <v>1.0909333333333333</v>
      </c>
      <c r="Z217" s="6">
        <v>0.54283333333333339</v>
      </c>
      <c r="AA217">
        <v>1</v>
      </c>
    </row>
    <row r="218" spans="1:27" x14ac:dyDescent="0.25">
      <c r="A218">
        <v>76116554</v>
      </c>
      <c r="B218" t="s">
        <v>10</v>
      </c>
      <c r="C218" t="s">
        <v>70</v>
      </c>
      <c r="D218" s="4">
        <v>46139</v>
      </c>
      <c r="E218" s="5">
        <v>0.46484953703703702</v>
      </c>
      <c r="F218">
        <v>1</v>
      </c>
      <c r="G218" t="s">
        <v>82</v>
      </c>
      <c r="H218" s="7">
        <v>1</v>
      </c>
      <c r="L218" t="s">
        <v>734</v>
      </c>
      <c r="M218" t="s">
        <v>71</v>
      </c>
      <c r="N218" s="8" t="s">
        <v>75</v>
      </c>
      <c r="O218" s="8">
        <v>1</v>
      </c>
      <c r="R218" s="8">
        <v>1</v>
      </c>
      <c r="S218">
        <v>1</v>
      </c>
      <c r="T218" s="7">
        <v>11.25</v>
      </c>
      <c r="W218" s="6">
        <v>0.9482666666666667</v>
      </c>
      <c r="Y218" s="6">
        <v>0.21</v>
      </c>
      <c r="AA218">
        <v>1</v>
      </c>
    </row>
    <row r="219" spans="1:27" x14ac:dyDescent="0.25">
      <c r="A219">
        <v>76116556</v>
      </c>
      <c r="B219" t="s">
        <v>10</v>
      </c>
      <c r="C219" t="s">
        <v>70</v>
      </c>
      <c r="D219" s="4">
        <v>46139</v>
      </c>
      <c r="E219" s="5">
        <v>0.46606481481481477</v>
      </c>
      <c r="F219">
        <v>1</v>
      </c>
      <c r="G219" t="s">
        <v>82</v>
      </c>
      <c r="H219" s="7">
        <v>32.333333333333329</v>
      </c>
      <c r="L219">
        <v>75834043</v>
      </c>
      <c r="M219" t="s">
        <v>71</v>
      </c>
      <c r="N219" s="8">
        <v>1</v>
      </c>
      <c r="O219" s="8">
        <v>1</v>
      </c>
      <c r="Q219" s="8">
        <v>1</v>
      </c>
      <c r="S219">
        <v>1</v>
      </c>
      <c r="T219" s="7">
        <v>5.583333333333333</v>
      </c>
      <c r="W219" s="6">
        <v>1.0318222222222222</v>
      </c>
      <c r="Z219" s="6">
        <v>0.48372222222222222</v>
      </c>
      <c r="AA219">
        <v>1</v>
      </c>
    </row>
    <row r="220" spans="1:27" x14ac:dyDescent="0.25">
      <c r="A220">
        <v>76116558</v>
      </c>
      <c r="B220" t="s">
        <v>10</v>
      </c>
      <c r="C220" t="s">
        <v>70</v>
      </c>
      <c r="D220" s="4">
        <v>46139</v>
      </c>
      <c r="E220" s="5">
        <v>0.46680555555555553</v>
      </c>
      <c r="F220">
        <v>1</v>
      </c>
      <c r="G220" t="s">
        <v>82</v>
      </c>
      <c r="H220" s="7">
        <v>5.6666666666666661</v>
      </c>
      <c r="L220" t="s">
        <v>743</v>
      </c>
      <c r="M220" t="s">
        <v>76</v>
      </c>
      <c r="N220" s="8" t="s">
        <v>75</v>
      </c>
      <c r="O220" s="8">
        <v>1</v>
      </c>
      <c r="W220" s="6">
        <v>0.96071111111111107</v>
      </c>
    </row>
    <row r="221" spans="1:27" x14ac:dyDescent="0.25">
      <c r="A221">
        <v>76116560</v>
      </c>
      <c r="B221" t="s">
        <v>10</v>
      </c>
      <c r="C221" t="s">
        <v>70</v>
      </c>
      <c r="D221" s="4">
        <v>46139</v>
      </c>
      <c r="E221" s="5">
        <v>0.46744212962962967</v>
      </c>
      <c r="F221">
        <v>1</v>
      </c>
      <c r="G221" t="s">
        <v>82</v>
      </c>
      <c r="H221" s="7">
        <v>62.583333333333329</v>
      </c>
      <c r="L221" t="s">
        <v>743</v>
      </c>
      <c r="M221" t="s">
        <v>71</v>
      </c>
      <c r="N221" s="8" t="s">
        <v>75</v>
      </c>
      <c r="P221" s="8">
        <v>1</v>
      </c>
      <c r="S221">
        <v>1</v>
      </c>
      <c r="T221" s="7">
        <v>76.5</v>
      </c>
      <c r="X221" s="6">
        <v>0.56438888888888883</v>
      </c>
      <c r="Z221" s="6">
        <v>0.56438888888888883</v>
      </c>
      <c r="AA221">
        <v>2</v>
      </c>
    </row>
    <row r="222" spans="1:27" x14ac:dyDescent="0.25">
      <c r="A222">
        <v>76116563</v>
      </c>
      <c r="B222" t="s">
        <v>10</v>
      </c>
      <c r="C222" t="s">
        <v>70</v>
      </c>
      <c r="D222" s="4">
        <v>46139</v>
      </c>
      <c r="E222" s="5">
        <v>0.46847222222222218</v>
      </c>
      <c r="F222">
        <v>1</v>
      </c>
      <c r="G222" t="s">
        <v>82</v>
      </c>
      <c r="H222" s="7">
        <v>24</v>
      </c>
      <c r="L222" t="s">
        <v>750</v>
      </c>
      <c r="M222" t="s">
        <v>71</v>
      </c>
      <c r="N222" s="8" t="s">
        <v>75</v>
      </c>
      <c r="O222" s="8">
        <v>1</v>
      </c>
      <c r="W222" s="6">
        <v>1.0096000000000001</v>
      </c>
    </row>
    <row r="223" spans="1:27" x14ac:dyDescent="0.25">
      <c r="A223">
        <v>76116564</v>
      </c>
      <c r="B223" t="s">
        <v>10</v>
      </c>
      <c r="C223" t="s">
        <v>70</v>
      </c>
      <c r="D223" s="4">
        <v>46139</v>
      </c>
      <c r="E223" s="5">
        <v>0.46872685185185181</v>
      </c>
      <c r="F223">
        <v>1</v>
      </c>
      <c r="G223" t="s">
        <v>82</v>
      </c>
      <c r="H223" s="7">
        <v>28</v>
      </c>
      <c r="L223" t="s">
        <v>750</v>
      </c>
      <c r="M223" t="s">
        <v>71</v>
      </c>
      <c r="N223" s="8" t="s">
        <v>75</v>
      </c>
      <c r="P223" s="8">
        <v>1</v>
      </c>
      <c r="S223">
        <v>1</v>
      </c>
      <c r="T223" s="7">
        <v>88.833333333333329</v>
      </c>
      <c r="X223" s="6">
        <v>0.47216666666666668</v>
      </c>
      <c r="Z223" s="6">
        <v>0.47216666666666668</v>
      </c>
      <c r="AA223">
        <v>2</v>
      </c>
    </row>
    <row r="224" spans="1:27" x14ac:dyDescent="0.25">
      <c r="A224">
        <v>76116567</v>
      </c>
      <c r="B224" t="s">
        <v>10</v>
      </c>
      <c r="C224" t="s">
        <v>70</v>
      </c>
      <c r="D224" s="4">
        <v>46139</v>
      </c>
      <c r="E224" s="5">
        <v>0.46947916666666667</v>
      </c>
      <c r="F224">
        <v>1</v>
      </c>
      <c r="G224" t="s">
        <v>82</v>
      </c>
      <c r="H224" s="7">
        <v>16</v>
      </c>
      <c r="L224">
        <v>80325884</v>
      </c>
      <c r="M224" t="s">
        <v>71</v>
      </c>
      <c r="N224" s="8" t="s">
        <v>80</v>
      </c>
      <c r="O224" s="8">
        <v>1</v>
      </c>
      <c r="S224">
        <v>1</v>
      </c>
      <c r="T224" s="7">
        <v>65.25</v>
      </c>
      <c r="W224" s="6">
        <v>0.98826666666666663</v>
      </c>
      <c r="Z224" s="6">
        <v>0.44016666666666671</v>
      </c>
      <c r="AA224">
        <v>1</v>
      </c>
    </row>
    <row r="225" spans="1:27" x14ac:dyDescent="0.25">
      <c r="A225">
        <v>76116571</v>
      </c>
      <c r="B225" t="s">
        <v>10</v>
      </c>
      <c r="C225" t="s">
        <v>70</v>
      </c>
      <c r="D225" s="4">
        <v>46139</v>
      </c>
      <c r="E225" s="5">
        <v>0.47075231481481478</v>
      </c>
      <c r="F225">
        <v>1</v>
      </c>
      <c r="G225" t="s">
        <v>82</v>
      </c>
      <c r="H225" s="7">
        <v>22.666666666666664</v>
      </c>
      <c r="L225">
        <v>80324796</v>
      </c>
      <c r="M225" t="s">
        <v>71</v>
      </c>
      <c r="N225" s="8" t="s">
        <v>77</v>
      </c>
      <c r="O225" s="8">
        <v>1</v>
      </c>
      <c r="R225" s="8">
        <v>1</v>
      </c>
      <c r="S225">
        <v>1</v>
      </c>
      <c r="T225" s="7">
        <v>18.333333333333332</v>
      </c>
      <c r="W225" s="6">
        <v>1.0060444444444445</v>
      </c>
      <c r="Y225" s="6">
        <v>0.21</v>
      </c>
      <c r="AA225">
        <v>1</v>
      </c>
    </row>
    <row r="226" spans="1:27" x14ac:dyDescent="0.25">
      <c r="A226">
        <v>76116573</v>
      </c>
      <c r="B226" t="s">
        <v>10</v>
      </c>
      <c r="C226" t="s">
        <v>70</v>
      </c>
      <c r="D226" s="4">
        <v>46139</v>
      </c>
      <c r="E226" s="5">
        <v>0.4718518518518518</v>
      </c>
      <c r="F226">
        <v>1</v>
      </c>
      <c r="G226" t="s">
        <v>82</v>
      </c>
      <c r="H226" s="7">
        <v>61</v>
      </c>
      <c r="L226">
        <v>80325158</v>
      </c>
      <c r="M226" t="s">
        <v>71</v>
      </c>
      <c r="N226" s="8" t="s">
        <v>77</v>
      </c>
      <c r="O226" s="8">
        <v>1</v>
      </c>
      <c r="S226">
        <v>1</v>
      </c>
      <c r="T226" s="7">
        <v>28.75</v>
      </c>
      <c r="W226" s="6">
        <v>1.1082666666666667</v>
      </c>
      <c r="Z226" s="6">
        <v>0.5601666666666667</v>
      </c>
      <c r="AA226">
        <v>1</v>
      </c>
    </row>
    <row r="227" spans="1:27" x14ac:dyDescent="0.25">
      <c r="A227">
        <v>76116574</v>
      </c>
      <c r="B227" t="s">
        <v>10</v>
      </c>
      <c r="C227" t="s">
        <v>70</v>
      </c>
      <c r="D227" s="4">
        <v>46139</v>
      </c>
      <c r="E227" s="5">
        <v>0.47293981481481479</v>
      </c>
      <c r="F227">
        <v>1</v>
      </c>
      <c r="G227" t="s">
        <v>82</v>
      </c>
      <c r="H227" s="7">
        <v>8</v>
      </c>
      <c r="L227">
        <v>80325227</v>
      </c>
      <c r="M227" t="s">
        <v>71</v>
      </c>
      <c r="N227" s="8" t="s">
        <v>77</v>
      </c>
      <c r="O227" s="8">
        <v>1</v>
      </c>
      <c r="R227" s="8">
        <v>1</v>
      </c>
      <c r="S227">
        <v>1</v>
      </c>
      <c r="T227" s="7">
        <v>9.6666666666666661</v>
      </c>
      <c r="W227" s="6">
        <v>0.96693333333333331</v>
      </c>
      <c r="Y227" s="6">
        <v>0.21</v>
      </c>
      <c r="AA227">
        <v>1</v>
      </c>
    </row>
    <row r="228" spans="1:27" x14ac:dyDescent="0.25">
      <c r="A228">
        <v>76116576</v>
      </c>
      <c r="B228" t="s">
        <v>10</v>
      </c>
      <c r="C228" t="s">
        <v>70</v>
      </c>
      <c r="D228" s="4">
        <v>46139</v>
      </c>
      <c r="E228" s="5">
        <v>0.47447916666666662</v>
      </c>
      <c r="F228">
        <v>1</v>
      </c>
      <c r="G228" t="s">
        <v>82</v>
      </c>
      <c r="H228" s="7">
        <v>9.25</v>
      </c>
      <c r="L228">
        <v>80324803</v>
      </c>
      <c r="M228" t="s">
        <v>71</v>
      </c>
      <c r="N228" s="8" t="s">
        <v>77</v>
      </c>
      <c r="O228" s="8">
        <v>1</v>
      </c>
      <c r="R228" s="8">
        <v>1</v>
      </c>
      <c r="S228">
        <v>1</v>
      </c>
      <c r="T228" s="7">
        <v>18.25</v>
      </c>
      <c r="W228" s="6">
        <v>0.97026666666666661</v>
      </c>
      <c r="Y228" s="6">
        <v>0.21</v>
      </c>
      <c r="AA228">
        <v>1</v>
      </c>
    </row>
    <row r="229" spans="1:27" x14ac:dyDescent="0.25">
      <c r="A229">
        <v>76116580</v>
      </c>
      <c r="B229" t="s">
        <v>10</v>
      </c>
      <c r="C229" t="s">
        <v>70</v>
      </c>
      <c r="D229" s="4">
        <v>46139</v>
      </c>
      <c r="E229" s="5">
        <v>0.47572916666666665</v>
      </c>
      <c r="F229">
        <v>1</v>
      </c>
      <c r="G229" t="s">
        <v>82</v>
      </c>
      <c r="H229" s="7">
        <v>23.5</v>
      </c>
      <c r="L229">
        <v>11339798</v>
      </c>
      <c r="M229" t="s">
        <v>71</v>
      </c>
      <c r="N229" s="8" t="s">
        <v>77</v>
      </c>
      <c r="O229" s="8">
        <v>1</v>
      </c>
      <c r="S229">
        <v>1</v>
      </c>
      <c r="T229" s="7">
        <v>42.25</v>
      </c>
      <c r="W229" s="6">
        <v>1.0082666666666666</v>
      </c>
      <c r="Z229" s="6">
        <v>0.46016666666666667</v>
      </c>
      <c r="AA229">
        <v>1</v>
      </c>
    </row>
    <row r="230" spans="1:27" x14ac:dyDescent="0.25">
      <c r="A230">
        <v>76116583</v>
      </c>
      <c r="B230" t="s">
        <v>10</v>
      </c>
      <c r="C230" t="s">
        <v>70</v>
      </c>
      <c r="D230" s="4">
        <v>46139</v>
      </c>
      <c r="E230" s="5">
        <v>0.47677083333333331</v>
      </c>
      <c r="F230">
        <v>1</v>
      </c>
      <c r="G230" t="s">
        <v>82</v>
      </c>
      <c r="H230" s="7">
        <v>8</v>
      </c>
      <c r="L230">
        <v>80321848</v>
      </c>
      <c r="M230" t="s">
        <v>71</v>
      </c>
      <c r="N230" s="8" t="s">
        <v>77</v>
      </c>
      <c r="O230" s="8">
        <v>1</v>
      </c>
      <c r="S230">
        <v>1</v>
      </c>
      <c r="T230" s="7">
        <v>50.916666666666671</v>
      </c>
      <c r="W230" s="6">
        <v>0.96693333333333331</v>
      </c>
      <c r="Z230" s="6">
        <v>0.41883333333333334</v>
      </c>
      <c r="AA230">
        <v>1</v>
      </c>
    </row>
    <row r="231" spans="1:27" x14ac:dyDescent="0.25">
      <c r="A231">
        <v>76116587</v>
      </c>
      <c r="B231" t="s">
        <v>10</v>
      </c>
      <c r="C231" t="s">
        <v>70</v>
      </c>
      <c r="D231" s="4">
        <v>46139</v>
      </c>
      <c r="E231" s="5">
        <v>0.47826388888888882</v>
      </c>
      <c r="F231">
        <v>1</v>
      </c>
      <c r="G231" t="s">
        <v>82</v>
      </c>
      <c r="H231" s="7">
        <v>9</v>
      </c>
      <c r="L231">
        <v>80323946</v>
      </c>
      <c r="M231" t="s">
        <v>71</v>
      </c>
      <c r="N231" s="8" t="s">
        <v>77</v>
      </c>
      <c r="O231" s="8">
        <v>1</v>
      </c>
      <c r="S231">
        <v>1</v>
      </c>
      <c r="T231" s="7">
        <v>65.583333333333329</v>
      </c>
      <c r="W231" s="6">
        <v>0.96960000000000002</v>
      </c>
      <c r="Z231" s="6">
        <v>0.42150000000000004</v>
      </c>
      <c r="AA231">
        <v>1</v>
      </c>
    </row>
    <row r="232" spans="1:27" x14ac:dyDescent="0.25">
      <c r="A232">
        <v>76116589</v>
      </c>
      <c r="B232" t="s">
        <v>10</v>
      </c>
      <c r="C232" t="s">
        <v>70</v>
      </c>
      <c r="D232" s="4">
        <v>46139</v>
      </c>
      <c r="E232" s="5">
        <v>0.47960648148148149</v>
      </c>
      <c r="F232">
        <v>1</v>
      </c>
      <c r="G232" t="s">
        <v>82</v>
      </c>
      <c r="H232" s="7">
        <v>29</v>
      </c>
      <c r="L232" t="s">
        <v>790</v>
      </c>
      <c r="M232" t="s">
        <v>71</v>
      </c>
      <c r="N232" s="8" t="s">
        <v>75</v>
      </c>
      <c r="O232" s="8">
        <v>1</v>
      </c>
      <c r="S232">
        <v>1</v>
      </c>
      <c r="T232" s="7">
        <v>46.666666666666664</v>
      </c>
      <c r="W232" s="6">
        <v>1.0229333333333333</v>
      </c>
      <c r="Z232" s="6">
        <v>0.47483333333333333</v>
      </c>
      <c r="AA232">
        <v>1</v>
      </c>
    </row>
    <row r="233" spans="1:27" x14ac:dyDescent="0.25">
      <c r="A233">
        <v>76116591</v>
      </c>
      <c r="B233" t="s">
        <v>10</v>
      </c>
      <c r="C233" t="s">
        <v>70</v>
      </c>
      <c r="D233" s="4">
        <v>46139</v>
      </c>
      <c r="E233" s="5">
        <v>0.48045138888888883</v>
      </c>
      <c r="F233">
        <v>1</v>
      </c>
      <c r="G233" t="s">
        <v>82</v>
      </c>
      <c r="H233" s="7">
        <v>11.75</v>
      </c>
      <c r="L233">
        <v>90126357</v>
      </c>
      <c r="M233" t="s">
        <v>71</v>
      </c>
      <c r="N233" s="8" t="s">
        <v>80</v>
      </c>
      <c r="O233" s="8">
        <v>1</v>
      </c>
      <c r="R233" s="8">
        <v>1</v>
      </c>
      <c r="S233">
        <v>1</v>
      </c>
      <c r="T233" s="7">
        <v>8.3333333333333339</v>
      </c>
      <c r="W233" s="6">
        <v>0.97693333333333332</v>
      </c>
      <c r="Y233" s="6">
        <v>0.21</v>
      </c>
      <c r="AA233">
        <v>1</v>
      </c>
    </row>
    <row r="234" spans="1:27" x14ac:dyDescent="0.25">
      <c r="A234">
        <v>76116595</v>
      </c>
      <c r="B234" t="s">
        <v>10</v>
      </c>
      <c r="C234" t="s">
        <v>70</v>
      </c>
      <c r="D234" s="4">
        <v>46139</v>
      </c>
      <c r="E234" s="5">
        <v>0.481412037037037</v>
      </c>
      <c r="F234">
        <v>1</v>
      </c>
      <c r="G234" t="s">
        <v>82</v>
      </c>
      <c r="H234" s="7">
        <v>75</v>
      </c>
      <c r="L234" t="s">
        <v>795</v>
      </c>
      <c r="M234" t="s">
        <v>71</v>
      </c>
      <c r="N234" s="8" t="s">
        <v>75</v>
      </c>
      <c r="O234" s="8">
        <v>1</v>
      </c>
      <c r="S234">
        <v>1</v>
      </c>
      <c r="T234" s="7">
        <v>73.5</v>
      </c>
      <c r="W234" s="6">
        <v>1.1456</v>
      </c>
      <c r="Z234" s="6">
        <v>0.59750000000000003</v>
      </c>
      <c r="AA234">
        <v>1</v>
      </c>
    </row>
    <row r="235" spans="1:27" x14ac:dyDescent="0.25">
      <c r="A235">
        <v>76116601</v>
      </c>
      <c r="B235" t="s">
        <v>10</v>
      </c>
      <c r="C235" t="s">
        <v>70</v>
      </c>
      <c r="D235" s="4">
        <v>46139</v>
      </c>
      <c r="E235" s="5">
        <v>0.48253472222222216</v>
      </c>
      <c r="F235">
        <v>1</v>
      </c>
      <c r="G235" t="s">
        <v>82</v>
      </c>
      <c r="H235" s="7">
        <v>103</v>
      </c>
      <c r="L235" t="s">
        <v>800</v>
      </c>
      <c r="M235" t="s">
        <v>71</v>
      </c>
      <c r="N235" s="8" t="s">
        <v>75</v>
      </c>
      <c r="O235" s="8">
        <v>1</v>
      </c>
      <c r="S235">
        <v>1</v>
      </c>
      <c r="T235" s="7">
        <v>180.66666666666666</v>
      </c>
      <c r="W235" s="6">
        <v>1.2202666666666666</v>
      </c>
      <c r="Z235" s="6">
        <v>0.67216666666666669</v>
      </c>
      <c r="AA235">
        <v>1</v>
      </c>
    </row>
    <row r="236" spans="1:27" x14ac:dyDescent="0.25">
      <c r="A236">
        <v>76116604</v>
      </c>
      <c r="B236" t="s">
        <v>10</v>
      </c>
      <c r="C236" t="s">
        <v>70</v>
      </c>
      <c r="D236" s="4">
        <v>46139</v>
      </c>
      <c r="E236" s="5">
        <v>0.48362268518518514</v>
      </c>
      <c r="F236">
        <v>1</v>
      </c>
      <c r="G236" t="s">
        <v>82</v>
      </c>
      <c r="H236" s="7">
        <v>76.5</v>
      </c>
      <c r="L236" t="s">
        <v>805</v>
      </c>
      <c r="M236" t="s">
        <v>71</v>
      </c>
      <c r="N236" s="8" t="s">
        <v>75</v>
      </c>
      <c r="O236" s="8">
        <v>1</v>
      </c>
      <c r="R236" s="8">
        <v>1</v>
      </c>
      <c r="S236">
        <v>1</v>
      </c>
      <c r="T236" s="7">
        <v>21.583333333333332</v>
      </c>
      <c r="W236" s="6">
        <v>1.1496</v>
      </c>
      <c r="Y236" s="6">
        <v>0.21</v>
      </c>
      <c r="AA236">
        <v>1</v>
      </c>
    </row>
    <row r="237" spans="1:27" x14ac:dyDescent="0.25">
      <c r="A237">
        <v>76116606</v>
      </c>
      <c r="B237" t="s">
        <v>10</v>
      </c>
      <c r="C237" t="s">
        <v>70</v>
      </c>
      <c r="D237" s="4">
        <v>46139</v>
      </c>
      <c r="E237" s="5">
        <v>0.48430555555555554</v>
      </c>
      <c r="F237">
        <v>1</v>
      </c>
      <c r="G237" t="s">
        <v>82</v>
      </c>
      <c r="H237" s="7">
        <v>14</v>
      </c>
      <c r="L237" t="s">
        <v>809</v>
      </c>
      <c r="M237" t="s">
        <v>71</v>
      </c>
      <c r="N237" s="8">
        <v>1</v>
      </c>
      <c r="O237" s="8">
        <v>1</v>
      </c>
      <c r="S237">
        <v>1</v>
      </c>
      <c r="T237" s="7">
        <v>49.416666666666664</v>
      </c>
      <c r="W237" s="6">
        <v>0.98293333333333333</v>
      </c>
      <c r="Z237" s="6">
        <v>0.43483333333333335</v>
      </c>
      <c r="AA237">
        <v>1</v>
      </c>
    </row>
    <row r="238" spans="1:27" x14ac:dyDescent="0.25">
      <c r="A238">
        <v>76116607</v>
      </c>
      <c r="B238" t="s">
        <v>10</v>
      </c>
      <c r="C238" t="s">
        <v>70</v>
      </c>
      <c r="D238" s="4">
        <v>46139</v>
      </c>
      <c r="E238" s="5">
        <v>0.4854282407407407</v>
      </c>
      <c r="F238">
        <v>1</v>
      </c>
      <c r="G238" t="s">
        <v>82</v>
      </c>
      <c r="H238" s="7">
        <v>20</v>
      </c>
      <c r="L238" t="s">
        <v>812</v>
      </c>
      <c r="M238" t="s">
        <v>71</v>
      </c>
      <c r="N238" s="8" t="s">
        <v>75</v>
      </c>
      <c r="O238" s="8">
        <v>1</v>
      </c>
      <c r="S238">
        <v>1</v>
      </c>
      <c r="T238" s="7">
        <v>54.583333333333329</v>
      </c>
      <c r="W238" s="6">
        <v>0.99893333333333334</v>
      </c>
      <c r="Z238" s="6">
        <v>0.45083333333333336</v>
      </c>
      <c r="AA238">
        <v>1</v>
      </c>
    </row>
    <row r="239" spans="1:27" x14ac:dyDescent="0.25">
      <c r="A239">
        <v>76116610</v>
      </c>
      <c r="B239" t="s">
        <v>10</v>
      </c>
      <c r="C239" t="s">
        <v>70</v>
      </c>
      <c r="D239" s="4">
        <v>46139</v>
      </c>
      <c r="E239" s="5">
        <v>0.48631944444444447</v>
      </c>
      <c r="F239">
        <v>1</v>
      </c>
      <c r="G239" t="s">
        <v>82</v>
      </c>
      <c r="H239" s="7">
        <v>38</v>
      </c>
      <c r="L239" t="s">
        <v>817</v>
      </c>
      <c r="M239" t="s">
        <v>71</v>
      </c>
      <c r="N239" s="8" t="s">
        <v>75</v>
      </c>
      <c r="O239" s="8">
        <v>1</v>
      </c>
      <c r="Q239" s="8">
        <v>1</v>
      </c>
      <c r="S239">
        <v>1</v>
      </c>
      <c r="U239" s="7">
        <v>2.6666666666666665</v>
      </c>
      <c r="W239" s="6">
        <v>1.0540444444444443</v>
      </c>
      <c r="Z239" s="6">
        <v>0.49883333333333335</v>
      </c>
      <c r="AA239">
        <v>1</v>
      </c>
    </row>
    <row r="240" spans="1:27" x14ac:dyDescent="0.25">
      <c r="A240">
        <v>76116611</v>
      </c>
      <c r="B240" t="s">
        <v>10</v>
      </c>
      <c r="C240" t="s">
        <v>70</v>
      </c>
      <c r="D240" s="4">
        <v>46139</v>
      </c>
      <c r="E240" s="5">
        <v>0.48690972222222217</v>
      </c>
      <c r="F240">
        <v>1</v>
      </c>
      <c r="G240" t="s">
        <v>82</v>
      </c>
      <c r="H240" s="7">
        <v>14</v>
      </c>
      <c r="L240" t="s">
        <v>819</v>
      </c>
      <c r="M240" t="s">
        <v>71</v>
      </c>
      <c r="N240" s="8" t="s">
        <v>75</v>
      </c>
      <c r="O240" s="8">
        <v>1</v>
      </c>
      <c r="S240">
        <v>1</v>
      </c>
      <c r="T240" s="7">
        <v>82.25</v>
      </c>
      <c r="W240" s="6">
        <v>0.98293333333333333</v>
      </c>
      <c r="Z240" s="6">
        <v>0.43483333333333335</v>
      </c>
      <c r="AA240">
        <v>1</v>
      </c>
    </row>
    <row r="241" spans="1:27" x14ac:dyDescent="0.25">
      <c r="A241">
        <v>76116613</v>
      </c>
      <c r="B241" t="s">
        <v>10</v>
      </c>
      <c r="C241" t="s">
        <v>70</v>
      </c>
      <c r="D241" s="4">
        <v>46139</v>
      </c>
      <c r="E241" s="5">
        <v>0.4877083333333333</v>
      </c>
      <c r="F241">
        <v>1</v>
      </c>
      <c r="G241" t="s">
        <v>82</v>
      </c>
      <c r="H241" s="7">
        <v>84</v>
      </c>
      <c r="L241" t="s">
        <v>821</v>
      </c>
      <c r="M241" t="s">
        <v>71</v>
      </c>
      <c r="N241" s="8" t="s">
        <v>75</v>
      </c>
      <c r="O241" s="8">
        <v>1</v>
      </c>
      <c r="S241">
        <v>1</v>
      </c>
      <c r="T241" s="7">
        <v>101.75</v>
      </c>
      <c r="W241" s="6">
        <v>1.1696</v>
      </c>
      <c r="Z241" s="6">
        <v>0.62150000000000005</v>
      </c>
      <c r="AA241">
        <v>1</v>
      </c>
    </row>
    <row r="242" spans="1:27" x14ac:dyDescent="0.25">
      <c r="A242">
        <v>76116614</v>
      </c>
      <c r="B242" t="s">
        <v>10</v>
      </c>
      <c r="C242" t="s">
        <v>70</v>
      </c>
      <c r="D242" s="4">
        <v>46139</v>
      </c>
      <c r="E242" s="5">
        <v>0.48842592592592587</v>
      </c>
      <c r="F242">
        <v>1</v>
      </c>
      <c r="G242" t="s">
        <v>82</v>
      </c>
      <c r="H242" s="7">
        <v>10.166666666666666</v>
      </c>
      <c r="L242" t="s">
        <v>823</v>
      </c>
      <c r="M242" t="s">
        <v>71</v>
      </c>
      <c r="N242" s="8">
        <v>1</v>
      </c>
      <c r="O242" s="8">
        <v>1</v>
      </c>
      <c r="S242">
        <v>1</v>
      </c>
      <c r="T242" s="7">
        <v>40.5</v>
      </c>
      <c r="W242" s="6">
        <v>0.97271111111111108</v>
      </c>
      <c r="Z242" s="6">
        <v>0.42461111111111111</v>
      </c>
      <c r="AA242">
        <v>1</v>
      </c>
    </row>
    <row r="243" spans="1:27" x14ac:dyDescent="0.25">
      <c r="A243">
        <v>76116616</v>
      </c>
      <c r="B243" t="s">
        <v>10</v>
      </c>
      <c r="C243" t="s">
        <v>70</v>
      </c>
      <c r="D243" s="4">
        <v>46139</v>
      </c>
      <c r="E243" s="5">
        <v>0.48917824074074073</v>
      </c>
      <c r="F243">
        <v>1</v>
      </c>
      <c r="G243" t="s">
        <v>82</v>
      </c>
      <c r="H243" s="7">
        <v>1</v>
      </c>
      <c r="L243" t="s">
        <v>825</v>
      </c>
      <c r="M243" t="s">
        <v>71</v>
      </c>
      <c r="N243" s="8">
        <v>1</v>
      </c>
      <c r="O243" s="8">
        <v>1</v>
      </c>
      <c r="R243" s="8">
        <v>1</v>
      </c>
      <c r="S243">
        <v>1</v>
      </c>
      <c r="T243" s="7">
        <v>5.4166666666666661</v>
      </c>
      <c r="W243" s="6">
        <v>0.9482666666666667</v>
      </c>
      <c r="Y243" s="6">
        <v>0.21</v>
      </c>
      <c r="AA243">
        <v>1</v>
      </c>
    </row>
    <row r="244" spans="1:27" x14ac:dyDescent="0.25">
      <c r="A244">
        <v>76116618</v>
      </c>
      <c r="B244" t="s">
        <v>10</v>
      </c>
      <c r="C244" t="s">
        <v>70</v>
      </c>
      <c r="D244" s="4">
        <v>46139</v>
      </c>
      <c r="E244" s="5">
        <v>0.49013888888888885</v>
      </c>
      <c r="F244">
        <v>1</v>
      </c>
      <c r="G244" t="s">
        <v>82</v>
      </c>
      <c r="H244" s="7">
        <v>12.5</v>
      </c>
      <c r="L244" t="s">
        <v>828</v>
      </c>
      <c r="M244" t="s">
        <v>71</v>
      </c>
      <c r="N244" s="8" t="s">
        <v>80</v>
      </c>
      <c r="O244" s="8">
        <v>1</v>
      </c>
      <c r="S244">
        <v>1</v>
      </c>
      <c r="T244" s="7">
        <v>44</v>
      </c>
      <c r="W244" s="6">
        <v>0.97893333333333332</v>
      </c>
      <c r="Z244" s="6">
        <v>0.43083333333333335</v>
      </c>
      <c r="AA244">
        <v>1</v>
      </c>
    </row>
    <row r="245" spans="1:27" x14ac:dyDescent="0.25">
      <c r="A245">
        <v>76116619</v>
      </c>
      <c r="B245" t="s">
        <v>10</v>
      </c>
      <c r="C245" t="s">
        <v>70</v>
      </c>
      <c r="D245" s="4">
        <v>46139</v>
      </c>
      <c r="E245" s="5">
        <v>0.49104166666666665</v>
      </c>
      <c r="F245">
        <v>1</v>
      </c>
      <c r="G245" t="s">
        <v>82</v>
      </c>
      <c r="H245" s="7">
        <v>14</v>
      </c>
      <c r="L245" t="s">
        <v>831</v>
      </c>
      <c r="M245" t="s">
        <v>71</v>
      </c>
      <c r="N245" s="8">
        <v>1</v>
      </c>
      <c r="O245" s="8">
        <v>1</v>
      </c>
      <c r="W245" s="6">
        <v>0.98293333333333333</v>
      </c>
    </row>
    <row r="246" spans="1:27" x14ac:dyDescent="0.25">
      <c r="A246">
        <v>76116621</v>
      </c>
      <c r="B246" t="s">
        <v>10</v>
      </c>
      <c r="C246" t="s">
        <v>70</v>
      </c>
      <c r="D246" s="4">
        <v>46139</v>
      </c>
      <c r="E246" s="5">
        <v>0.49160879629629622</v>
      </c>
      <c r="F246">
        <v>1</v>
      </c>
      <c r="G246" t="s">
        <v>82</v>
      </c>
      <c r="H246" s="7">
        <v>150</v>
      </c>
      <c r="L246" t="s">
        <v>831</v>
      </c>
      <c r="M246" t="s">
        <v>71</v>
      </c>
      <c r="N246" s="8">
        <v>1</v>
      </c>
      <c r="P246" s="8">
        <v>1</v>
      </c>
      <c r="R246" s="8">
        <v>1</v>
      </c>
      <c r="S246">
        <v>1</v>
      </c>
      <c r="T246" s="7">
        <v>10</v>
      </c>
      <c r="X246" s="6">
        <v>0.7975000000000001</v>
      </c>
      <c r="Y246" s="6">
        <v>0.21</v>
      </c>
      <c r="AA246">
        <v>2</v>
      </c>
    </row>
    <row r="247" spans="1:27" x14ac:dyDescent="0.25">
      <c r="A247">
        <v>76116623</v>
      </c>
      <c r="B247" t="s">
        <v>10</v>
      </c>
      <c r="C247" t="s">
        <v>70</v>
      </c>
      <c r="D247" s="4">
        <v>46139</v>
      </c>
      <c r="E247" s="5">
        <v>0.49237268518518512</v>
      </c>
      <c r="F247">
        <v>1</v>
      </c>
      <c r="G247" t="s">
        <v>82</v>
      </c>
      <c r="H247" s="7">
        <v>25</v>
      </c>
      <c r="L247" t="s">
        <v>836</v>
      </c>
      <c r="M247" t="s">
        <v>71</v>
      </c>
      <c r="N247" s="8" t="s">
        <v>75</v>
      </c>
      <c r="O247" s="8">
        <v>1</v>
      </c>
      <c r="S247">
        <v>1</v>
      </c>
      <c r="T247" s="7">
        <v>49.416666666666664</v>
      </c>
      <c r="W247" s="6">
        <v>1.0122666666666666</v>
      </c>
      <c r="Z247" s="6">
        <v>0.46416666666666667</v>
      </c>
      <c r="AA247">
        <v>1</v>
      </c>
    </row>
    <row r="248" spans="1:27" x14ac:dyDescent="0.25">
      <c r="A248">
        <v>76116626</v>
      </c>
      <c r="B248" t="s">
        <v>10</v>
      </c>
      <c r="C248" t="s">
        <v>70</v>
      </c>
      <c r="D248" s="4">
        <v>46139</v>
      </c>
      <c r="E248" s="5">
        <v>0.49364583333333334</v>
      </c>
      <c r="F248">
        <v>1</v>
      </c>
      <c r="G248" t="s">
        <v>82</v>
      </c>
      <c r="H248" s="7">
        <v>53.25</v>
      </c>
      <c r="L248" t="s">
        <v>837</v>
      </c>
      <c r="M248" t="s">
        <v>71</v>
      </c>
      <c r="N248" s="8" t="s">
        <v>75</v>
      </c>
      <c r="O248" s="8">
        <v>1</v>
      </c>
      <c r="S248">
        <v>1</v>
      </c>
      <c r="T248" s="7">
        <v>81.25</v>
      </c>
      <c r="W248" s="6">
        <v>1.0875999999999999</v>
      </c>
      <c r="Z248" s="6">
        <v>0.53949999999999998</v>
      </c>
      <c r="AA248">
        <v>1</v>
      </c>
    </row>
    <row r="249" spans="1:27" x14ac:dyDescent="0.25">
      <c r="A249">
        <v>76116628</v>
      </c>
      <c r="B249" t="s">
        <v>10</v>
      </c>
      <c r="C249" t="s">
        <v>70</v>
      </c>
      <c r="D249" s="4">
        <v>46139</v>
      </c>
      <c r="E249" s="5">
        <v>0.49421296296296297</v>
      </c>
      <c r="F249">
        <v>1</v>
      </c>
      <c r="G249" t="s">
        <v>82</v>
      </c>
      <c r="H249" s="7">
        <v>8</v>
      </c>
      <c r="L249" t="s">
        <v>842</v>
      </c>
      <c r="M249" t="s">
        <v>71</v>
      </c>
      <c r="N249" s="8" t="s">
        <v>75</v>
      </c>
      <c r="O249" s="8">
        <v>1</v>
      </c>
      <c r="W249" s="6">
        <v>0.96693333333333331</v>
      </c>
    </row>
    <row r="250" spans="1:27" x14ac:dyDescent="0.25">
      <c r="A250">
        <v>76116632</v>
      </c>
      <c r="B250" t="s">
        <v>10</v>
      </c>
      <c r="C250" t="s">
        <v>70</v>
      </c>
      <c r="D250" s="4">
        <v>46139</v>
      </c>
      <c r="E250" s="5">
        <v>0.49478009259259254</v>
      </c>
      <c r="F250">
        <v>1</v>
      </c>
      <c r="G250" t="s">
        <v>82</v>
      </c>
      <c r="H250" s="7">
        <v>13</v>
      </c>
      <c r="L250" t="s">
        <v>842</v>
      </c>
      <c r="M250" t="s">
        <v>71</v>
      </c>
      <c r="N250" s="8" t="s">
        <v>75</v>
      </c>
      <c r="P250" s="8">
        <v>1</v>
      </c>
      <c r="X250" s="6">
        <v>0.4321666666666667</v>
      </c>
    </row>
    <row r="251" spans="1:27" x14ac:dyDescent="0.25">
      <c r="A251">
        <v>76116633</v>
      </c>
      <c r="B251" t="s">
        <v>10</v>
      </c>
      <c r="C251" t="s">
        <v>70</v>
      </c>
      <c r="D251" s="4">
        <v>46139</v>
      </c>
      <c r="E251" s="5">
        <v>0.49510416666666662</v>
      </c>
      <c r="F251">
        <v>1</v>
      </c>
      <c r="G251" t="s">
        <v>82</v>
      </c>
      <c r="H251" s="7">
        <v>14</v>
      </c>
      <c r="L251" t="s">
        <v>842</v>
      </c>
      <c r="M251" t="s">
        <v>71</v>
      </c>
      <c r="N251" s="8" t="s">
        <v>75</v>
      </c>
      <c r="P251" s="8">
        <v>1</v>
      </c>
      <c r="X251" s="6">
        <v>0.43483333333333335</v>
      </c>
    </row>
    <row r="252" spans="1:27" x14ac:dyDescent="0.25">
      <c r="A252">
        <v>76116634</v>
      </c>
      <c r="B252" t="s">
        <v>10</v>
      </c>
      <c r="C252" t="s">
        <v>70</v>
      </c>
      <c r="D252" s="4">
        <v>46139</v>
      </c>
      <c r="E252" s="5">
        <v>0.4954513888888889</v>
      </c>
      <c r="F252">
        <v>1</v>
      </c>
      <c r="G252" t="s">
        <v>82</v>
      </c>
      <c r="H252" s="7">
        <v>18</v>
      </c>
      <c r="L252" t="s">
        <v>842</v>
      </c>
      <c r="M252" t="s">
        <v>71</v>
      </c>
      <c r="N252" s="8" t="s">
        <v>75</v>
      </c>
      <c r="P252" s="8">
        <v>1</v>
      </c>
      <c r="S252">
        <v>1</v>
      </c>
      <c r="T252" s="7">
        <v>102.08333333333333</v>
      </c>
      <c r="X252" s="6">
        <v>0.44550000000000001</v>
      </c>
      <c r="Z252" s="6">
        <v>0.44550000000000001</v>
      </c>
      <c r="AA252">
        <v>4</v>
      </c>
    </row>
    <row r="253" spans="1:27" x14ac:dyDescent="0.25">
      <c r="A253">
        <v>76116650</v>
      </c>
      <c r="B253" t="s">
        <v>10</v>
      </c>
      <c r="C253" t="s">
        <v>70</v>
      </c>
      <c r="D253" s="4">
        <v>46139</v>
      </c>
      <c r="E253" s="5">
        <v>0.50929398148148153</v>
      </c>
      <c r="F253">
        <v>1</v>
      </c>
      <c r="G253" t="s">
        <v>82</v>
      </c>
      <c r="H253" s="7">
        <v>111</v>
      </c>
      <c r="L253" t="s">
        <v>850</v>
      </c>
      <c r="M253" t="s">
        <v>71</v>
      </c>
      <c r="N253" s="8" t="s">
        <v>75</v>
      </c>
      <c r="O253" s="8">
        <v>1</v>
      </c>
      <c r="S253">
        <v>1</v>
      </c>
      <c r="T253" s="7">
        <v>65.333333333333329</v>
      </c>
      <c r="W253" s="6">
        <v>1.2416</v>
      </c>
      <c r="Z253" s="6">
        <v>0.69350000000000001</v>
      </c>
      <c r="AA253">
        <v>1</v>
      </c>
    </row>
    <row r="254" spans="1:27" x14ac:dyDescent="0.25">
      <c r="A254">
        <v>76116653</v>
      </c>
      <c r="B254" t="s">
        <v>10</v>
      </c>
      <c r="C254" t="s">
        <v>70</v>
      </c>
      <c r="D254" s="4">
        <v>46139</v>
      </c>
      <c r="E254" s="5">
        <v>0.51064814814814807</v>
      </c>
      <c r="F254">
        <v>1</v>
      </c>
      <c r="G254" t="s">
        <v>82</v>
      </c>
      <c r="H254" s="7">
        <v>17</v>
      </c>
      <c r="L254">
        <v>76087029</v>
      </c>
      <c r="M254" t="s">
        <v>71</v>
      </c>
      <c r="N254" s="8" t="s">
        <v>75</v>
      </c>
      <c r="O254" s="8">
        <v>1</v>
      </c>
      <c r="Q254" s="8">
        <v>1</v>
      </c>
      <c r="S254">
        <v>1</v>
      </c>
      <c r="U254" s="7">
        <v>0.16666666666666666</v>
      </c>
      <c r="W254" s="6">
        <v>0.9913777777777778</v>
      </c>
      <c r="Z254" s="6">
        <v>0.44283333333333336</v>
      </c>
      <c r="AA254">
        <v>1</v>
      </c>
    </row>
    <row r="255" spans="1:27" x14ac:dyDescent="0.25">
      <c r="A255">
        <v>76116655</v>
      </c>
      <c r="B255" t="s">
        <v>10</v>
      </c>
      <c r="C255" t="s">
        <v>70</v>
      </c>
      <c r="D255" s="4">
        <v>46139</v>
      </c>
      <c r="E255" s="5">
        <v>0.51134259259259252</v>
      </c>
      <c r="F255">
        <v>1</v>
      </c>
      <c r="G255" t="s">
        <v>82</v>
      </c>
      <c r="H255" s="7">
        <v>20</v>
      </c>
      <c r="L255" t="s">
        <v>857</v>
      </c>
      <c r="M255" t="s">
        <v>71</v>
      </c>
      <c r="N255" s="8">
        <v>1</v>
      </c>
      <c r="O255" s="8">
        <v>1</v>
      </c>
      <c r="S255">
        <v>1</v>
      </c>
      <c r="T255" s="7">
        <v>260.25</v>
      </c>
      <c r="W255" s="6">
        <v>0.99893333333333334</v>
      </c>
      <c r="Z255" s="6">
        <v>0.45083333333333336</v>
      </c>
      <c r="AA255">
        <v>1</v>
      </c>
    </row>
    <row r="256" spans="1:27" x14ac:dyDescent="0.25">
      <c r="A256">
        <v>76116658</v>
      </c>
      <c r="B256" t="s">
        <v>10</v>
      </c>
      <c r="C256" t="s">
        <v>70</v>
      </c>
      <c r="D256" s="4">
        <v>46139</v>
      </c>
      <c r="E256" s="5">
        <v>0.51219907407407406</v>
      </c>
      <c r="F256">
        <v>1</v>
      </c>
      <c r="G256" t="s">
        <v>82</v>
      </c>
      <c r="H256" s="7">
        <v>14</v>
      </c>
      <c r="L256" t="s">
        <v>862</v>
      </c>
      <c r="M256" t="s">
        <v>71</v>
      </c>
      <c r="N256" s="8">
        <v>1</v>
      </c>
      <c r="O256" s="8">
        <v>1</v>
      </c>
      <c r="S256">
        <v>1</v>
      </c>
      <c r="T256" s="7">
        <v>134.75</v>
      </c>
      <c r="W256" s="6">
        <v>0.98293333333333333</v>
      </c>
      <c r="Z256" s="6">
        <v>0.43483333333333335</v>
      </c>
      <c r="AA256">
        <v>1</v>
      </c>
    </row>
    <row r="257" spans="1:27" x14ac:dyDescent="0.25">
      <c r="A257">
        <v>76116661</v>
      </c>
      <c r="B257" t="s">
        <v>10</v>
      </c>
      <c r="C257" t="s">
        <v>70</v>
      </c>
      <c r="D257" s="4">
        <v>46139</v>
      </c>
      <c r="E257" s="5">
        <v>0.51306712962962964</v>
      </c>
      <c r="F257">
        <v>1</v>
      </c>
      <c r="G257" t="s">
        <v>82</v>
      </c>
      <c r="H257" s="7">
        <v>85</v>
      </c>
      <c r="L257" t="s">
        <v>866</v>
      </c>
      <c r="M257" t="s">
        <v>71</v>
      </c>
      <c r="N257" s="8" t="s">
        <v>75</v>
      </c>
      <c r="O257" s="8">
        <v>1</v>
      </c>
      <c r="W257" s="6">
        <v>1.1722666666666666</v>
      </c>
    </row>
    <row r="258" spans="1:27" x14ac:dyDescent="0.25">
      <c r="A258">
        <v>76116662</v>
      </c>
      <c r="B258" t="s">
        <v>10</v>
      </c>
      <c r="C258" t="s">
        <v>70</v>
      </c>
      <c r="D258" s="4">
        <v>46139</v>
      </c>
      <c r="E258" s="5">
        <v>0.51339120370370372</v>
      </c>
      <c r="F258">
        <v>1</v>
      </c>
      <c r="G258" t="s">
        <v>82</v>
      </c>
      <c r="H258" s="7">
        <v>65.25</v>
      </c>
      <c r="L258" t="s">
        <v>866</v>
      </c>
      <c r="M258" t="s">
        <v>71</v>
      </c>
      <c r="N258" s="8" t="s">
        <v>75</v>
      </c>
      <c r="P258" s="8">
        <v>1</v>
      </c>
      <c r="Q258" s="8">
        <v>1</v>
      </c>
      <c r="S258">
        <v>1</v>
      </c>
      <c r="U258" s="7">
        <v>0.91666666666666663</v>
      </c>
      <c r="X258" s="6">
        <v>0.57394444444444448</v>
      </c>
      <c r="Z258" s="6">
        <v>0.57150000000000001</v>
      </c>
      <c r="AA258">
        <v>2</v>
      </c>
    </row>
    <row r="259" spans="1:27" x14ac:dyDescent="0.25">
      <c r="A259">
        <v>76116663</v>
      </c>
      <c r="B259" t="s">
        <v>10</v>
      </c>
      <c r="C259" t="s">
        <v>70</v>
      </c>
      <c r="D259" s="4">
        <v>46139</v>
      </c>
      <c r="E259" s="5">
        <v>0.51410879629629636</v>
      </c>
      <c r="F259">
        <v>1</v>
      </c>
      <c r="G259" t="s">
        <v>82</v>
      </c>
      <c r="H259" s="7">
        <v>56.083333333333336</v>
      </c>
      <c r="L259" t="s">
        <v>869</v>
      </c>
      <c r="M259" t="s">
        <v>71</v>
      </c>
      <c r="N259" s="8">
        <v>1</v>
      </c>
      <c r="O259" s="8">
        <v>1</v>
      </c>
      <c r="S259">
        <v>1</v>
      </c>
      <c r="T259" s="7">
        <v>76.666666666666671</v>
      </c>
      <c r="W259" s="6">
        <v>1.0951555555555554</v>
      </c>
      <c r="Z259" s="6">
        <v>0.54705555555555563</v>
      </c>
      <c r="AA259">
        <v>1</v>
      </c>
    </row>
    <row r="260" spans="1:27" x14ac:dyDescent="0.25">
      <c r="A260">
        <v>76116667</v>
      </c>
      <c r="B260" t="s">
        <v>10</v>
      </c>
      <c r="C260" t="s">
        <v>70</v>
      </c>
      <c r="D260" s="4">
        <v>46139</v>
      </c>
      <c r="E260" s="5">
        <v>0.51502314814814809</v>
      </c>
      <c r="F260">
        <v>1</v>
      </c>
      <c r="G260" t="s">
        <v>82</v>
      </c>
      <c r="H260" s="7">
        <v>95</v>
      </c>
      <c r="L260" t="s">
        <v>873</v>
      </c>
      <c r="M260" t="s">
        <v>71</v>
      </c>
      <c r="N260" s="8">
        <v>1</v>
      </c>
      <c r="O260" s="8">
        <v>1</v>
      </c>
      <c r="W260" s="6">
        <v>1.1989333333333334</v>
      </c>
    </row>
    <row r="261" spans="1:27" x14ac:dyDescent="0.25">
      <c r="A261">
        <v>76116668</v>
      </c>
      <c r="B261" t="s">
        <v>10</v>
      </c>
      <c r="C261" t="s">
        <v>70</v>
      </c>
      <c r="D261" s="4">
        <v>46139</v>
      </c>
      <c r="E261" s="5">
        <v>0.51530092592592591</v>
      </c>
      <c r="F261">
        <v>1</v>
      </c>
      <c r="G261" t="s">
        <v>82</v>
      </c>
      <c r="H261" s="7">
        <v>28.75</v>
      </c>
      <c r="L261" t="s">
        <v>873</v>
      </c>
      <c r="M261" t="s">
        <v>71</v>
      </c>
      <c r="N261" s="8">
        <v>1</v>
      </c>
      <c r="P261" s="8">
        <v>1</v>
      </c>
      <c r="Q261" s="8">
        <v>1</v>
      </c>
      <c r="S261">
        <v>1</v>
      </c>
      <c r="U261" s="7">
        <v>0.16666666666666666</v>
      </c>
      <c r="X261" s="6">
        <v>0.47461111111111115</v>
      </c>
      <c r="Z261" s="6">
        <v>0.47416666666666668</v>
      </c>
      <c r="AA261">
        <v>2</v>
      </c>
    </row>
    <row r="262" spans="1:27" x14ac:dyDescent="0.25">
      <c r="A262">
        <v>76116683</v>
      </c>
      <c r="B262" t="s">
        <v>10</v>
      </c>
      <c r="C262" t="s">
        <v>70</v>
      </c>
      <c r="D262" s="4">
        <v>46139</v>
      </c>
      <c r="E262" s="5">
        <v>0.52337962962962958</v>
      </c>
      <c r="F262">
        <v>1</v>
      </c>
      <c r="G262" t="s">
        <v>82</v>
      </c>
      <c r="H262" s="7">
        <v>40.5</v>
      </c>
      <c r="L262" t="s">
        <v>887</v>
      </c>
      <c r="M262" t="s">
        <v>71</v>
      </c>
      <c r="N262" s="8" t="s">
        <v>75</v>
      </c>
      <c r="O262" s="8">
        <v>1</v>
      </c>
      <c r="R262" s="8">
        <v>1</v>
      </c>
      <c r="S262">
        <v>1</v>
      </c>
      <c r="T262" s="7">
        <v>11.166666666666666</v>
      </c>
      <c r="W262" s="6">
        <v>1.0536000000000001</v>
      </c>
      <c r="Y262" s="6">
        <v>0.21</v>
      </c>
      <c r="AA262">
        <v>1</v>
      </c>
    </row>
    <row r="263" spans="1:27" x14ac:dyDescent="0.25">
      <c r="A263">
        <v>76116687</v>
      </c>
      <c r="B263" t="s">
        <v>10</v>
      </c>
      <c r="C263" t="s">
        <v>70</v>
      </c>
      <c r="D263" s="4">
        <v>46139</v>
      </c>
      <c r="E263" s="5">
        <v>0.52416666666666667</v>
      </c>
      <c r="F263">
        <v>1</v>
      </c>
      <c r="G263" t="s">
        <v>82</v>
      </c>
      <c r="H263" s="7">
        <v>16</v>
      </c>
      <c r="L263" t="s">
        <v>891</v>
      </c>
      <c r="M263" t="s">
        <v>71</v>
      </c>
      <c r="N263" s="8" t="s">
        <v>75</v>
      </c>
      <c r="O263" s="8">
        <v>1</v>
      </c>
      <c r="S263">
        <v>1</v>
      </c>
      <c r="T263" s="7">
        <v>86.416666666666657</v>
      </c>
      <c r="W263" s="6">
        <v>0.98826666666666663</v>
      </c>
      <c r="Z263" s="6">
        <v>0.44016666666666671</v>
      </c>
      <c r="AA263">
        <v>1</v>
      </c>
    </row>
    <row r="264" spans="1:27" x14ac:dyDescent="0.25">
      <c r="A264">
        <v>76116694</v>
      </c>
      <c r="B264" t="s">
        <v>10</v>
      </c>
      <c r="C264" t="s">
        <v>70</v>
      </c>
      <c r="D264" s="4">
        <v>46139</v>
      </c>
      <c r="E264" s="5">
        <v>0.5257060185185185</v>
      </c>
      <c r="F264">
        <v>1</v>
      </c>
      <c r="G264" t="s">
        <v>82</v>
      </c>
      <c r="H264" s="7">
        <v>150.75</v>
      </c>
      <c r="L264" t="s">
        <v>897</v>
      </c>
      <c r="M264" t="s">
        <v>71</v>
      </c>
      <c r="N264" s="8" t="s">
        <v>75</v>
      </c>
      <c r="O264" s="8">
        <v>1</v>
      </c>
      <c r="S264">
        <v>1</v>
      </c>
      <c r="T264" s="7">
        <v>48.083333333333329</v>
      </c>
      <c r="W264" s="6">
        <v>1.3475999999999999</v>
      </c>
      <c r="Z264" s="6">
        <v>0.7995000000000001</v>
      </c>
      <c r="AA264">
        <v>1</v>
      </c>
    </row>
    <row r="265" spans="1:27" x14ac:dyDescent="0.25">
      <c r="A265">
        <v>76116696</v>
      </c>
      <c r="B265" t="s">
        <v>10</v>
      </c>
      <c r="C265" t="s">
        <v>70</v>
      </c>
      <c r="D265" s="4">
        <v>46139</v>
      </c>
      <c r="E265" s="5">
        <v>0.52686342592592594</v>
      </c>
      <c r="F265">
        <v>1</v>
      </c>
      <c r="G265" t="s">
        <v>82</v>
      </c>
      <c r="H265" s="7">
        <v>150.91666666666666</v>
      </c>
      <c r="L265" t="s">
        <v>899</v>
      </c>
      <c r="M265" t="s">
        <v>71</v>
      </c>
      <c r="N265" s="8">
        <v>1</v>
      </c>
      <c r="O265" s="8">
        <v>1</v>
      </c>
      <c r="Q265" s="8">
        <v>1</v>
      </c>
      <c r="S265">
        <v>1</v>
      </c>
      <c r="U265" s="7">
        <v>0.75</v>
      </c>
      <c r="W265" s="6">
        <v>1.3500444444444444</v>
      </c>
      <c r="Z265" s="6">
        <v>0.79994444444444446</v>
      </c>
      <c r="AA265">
        <v>1</v>
      </c>
    </row>
    <row r="266" spans="1:27" x14ac:dyDescent="0.25">
      <c r="A266">
        <v>76116700</v>
      </c>
      <c r="B266" t="s">
        <v>10</v>
      </c>
      <c r="C266" t="s">
        <v>70</v>
      </c>
      <c r="D266" s="4">
        <v>46139</v>
      </c>
      <c r="E266" s="5">
        <v>0.52915509259259264</v>
      </c>
      <c r="F266">
        <v>1</v>
      </c>
      <c r="G266" t="s">
        <v>82</v>
      </c>
      <c r="H266" s="7">
        <v>125</v>
      </c>
      <c r="L266">
        <v>7047776588</v>
      </c>
      <c r="M266" t="s">
        <v>71</v>
      </c>
      <c r="N266" s="8" t="s">
        <v>75</v>
      </c>
      <c r="O266" s="8">
        <v>1</v>
      </c>
      <c r="R266" s="8">
        <v>1</v>
      </c>
      <c r="S266">
        <v>1</v>
      </c>
      <c r="T266" s="7">
        <v>10.25</v>
      </c>
      <c r="W266" s="6">
        <v>1.2789333333333333</v>
      </c>
      <c r="Y266" s="6">
        <v>0.21</v>
      </c>
      <c r="AA266">
        <v>1</v>
      </c>
    </row>
    <row r="267" spans="1:27" x14ac:dyDescent="0.25">
      <c r="A267">
        <v>76116704</v>
      </c>
      <c r="B267" t="s">
        <v>10</v>
      </c>
      <c r="C267" t="s">
        <v>70</v>
      </c>
      <c r="D267" s="4">
        <v>46139</v>
      </c>
      <c r="E267" s="5">
        <v>0.53126157407407404</v>
      </c>
      <c r="F267">
        <v>1</v>
      </c>
      <c r="G267" t="s">
        <v>82</v>
      </c>
      <c r="H267" s="7">
        <v>25</v>
      </c>
      <c r="L267">
        <v>1805152513</v>
      </c>
      <c r="M267" t="s">
        <v>71</v>
      </c>
      <c r="N267" s="8" t="s">
        <v>75</v>
      </c>
      <c r="O267" s="8">
        <v>1</v>
      </c>
      <c r="R267" s="8">
        <v>1</v>
      </c>
      <c r="S267">
        <v>1</v>
      </c>
      <c r="T267" s="7">
        <v>14.5</v>
      </c>
      <c r="W267" s="6">
        <v>1.0122666666666666</v>
      </c>
      <c r="Y267" s="6">
        <v>0.21</v>
      </c>
      <c r="AA267">
        <v>1</v>
      </c>
    </row>
    <row r="268" spans="1:27" x14ac:dyDescent="0.25">
      <c r="A268">
        <v>76116706</v>
      </c>
      <c r="B268" t="s">
        <v>10</v>
      </c>
      <c r="C268" t="s">
        <v>70</v>
      </c>
      <c r="D268" s="4">
        <v>46139</v>
      </c>
      <c r="E268" s="5">
        <v>0.53217592592592589</v>
      </c>
      <c r="F268">
        <v>1</v>
      </c>
      <c r="G268" t="s">
        <v>82</v>
      </c>
      <c r="H268" s="7">
        <v>25</v>
      </c>
      <c r="L268">
        <v>1804775231</v>
      </c>
      <c r="M268" t="s">
        <v>71</v>
      </c>
      <c r="N268" s="8" t="s">
        <v>75</v>
      </c>
      <c r="O268" s="8">
        <v>1</v>
      </c>
      <c r="R268" s="8">
        <v>1</v>
      </c>
      <c r="S268">
        <v>1</v>
      </c>
      <c r="T268" s="7">
        <v>5.25</v>
      </c>
      <c r="W268" s="6">
        <v>1.0122666666666666</v>
      </c>
      <c r="Y268" s="6">
        <v>0.21</v>
      </c>
      <c r="AA268">
        <v>1</v>
      </c>
    </row>
    <row r="269" spans="1:27" x14ac:dyDescent="0.25">
      <c r="A269">
        <v>76116707</v>
      </c>
      <c r="B269" t="s">
        <v>10</v>
      </c>
      <c r="C269" t="s">
        <v>70</v>
      </c>
      <c r="D269" s="4">
        <v>46139</v>
      </c>
      <c r="E269" s="5">
        <v>0.53280092592592587</v>
      </c>
      <c r="F269">
        <v>1</v>
      </c>
      <c r="G269" t="s">
        <v>82</v>
      </c>
      <c r="H269" s="7">
        <v>8.25</v>
      </c>
      <c r="L269" t="s">
        <v>911</v>
      </c>
      <c r="M269" t="s">
        <v>71</v>
      </c>
      <c r="N269" s="8">
        <v>1</v>
      </c>
      <c r="O269" s="8">
        <v>1</v>
      </c>
      <c r="S269">
        <v>1</v>
      </c>
      <c r="T269" s="7">
        <v>100.91666666666666</v>
      </c>
      <c r="W269" s="6">
        <v>0.96760000000000002</v>
      </c>
      <c r="Z269" s="6">
        <v>0.41950000000000004</v>
      </c>
      <c r="AA269">
        <v>1</v>
      </c>
    </row>
    <row r="270" spans="1:27" x14ac:dyDescent="0.25">
      <c r="A270">
        <v>76116710</v>
      </c>
      <c r="B270" t="s">
        <v>10</v>
      </c>
      <c r="C270" t="s">
        <v>70</v>
      </c>
      <c r="D270" s="4">
        <v>46139</v>
      </c>
      <c r="E270" s="5">
        <v>0.53384259259259248</v>
      </c>
      <c r="F270">
        <v>1</v>
      </c>
      <c r="G270" t="s">
        <v>82</v>
      </c>
      <c r="H270" s="7">
        <v>150</v>
      </c>
      <c r="L270">
        <v>76109920</v>
      </c>
      <c r="M270" t="s">
        <v>71</v>
      </c>
      <c r="N270" s="8">
        <v>1</v>
      </c>
      <c r="O270" s="8">
        <v>1</v>
      </c>
      <c r="Q270" s="8">
        <v>1</v>
      </c>
      <c r="S270">
        <v>1</v>
      </c>
      <c r="U270" s="7">
        <v>4.083333333333333</v>
      </c>
      <c r="W270" s="6">
        <v>1.3564888888888889</v>
      </c>
      <c r="Z270" s="6">
        <v>0.7975000000000001</v>
      </c>
      <c r="AA270">
        <v>1</v>
      </c>
    </row>
    <row r="271" spans="1:27" x14ac:dyDescent="0.25">
      <c r="A271">
        <v>76116712</v>
      </c>
      <c r="B271" t="s">
        <v>10</v>
      </c>
      <c r="C271" t="s">
        <v>70</v>
      </c>
      <c r="D271" s="4">
        <v>46139</v>
      </c>
      <c r="E271" s="5">
        <v>0.53446759259259258</v>
      </c>
      <c r="F271">
        <v>1</v>
      </c>
      <c r="G271" t="s">
        <v>82</v>
      </c>
      <c r="H271" s="7">
        <v>8</v>
      </c>
      <c r="L271" t="s">
        <v>642</v>
      </c>
      <c r="M271" t="s">
        <v>71</v>
      </c>
      <c r="N271" s="8">
        <v>1</v>
      </c>
      <c r="O271" s="8">
        <v>1</v>
      </c>
      <c r="W271" s="6">
        <v>0.96693333333333331</v>
      </c>
    </row>
    <row r="272" spans="1:27" x14ac:dyDescent="0.25">
      <c r="A272">
        <v>76116713</v>
      </c>
      <c r="B272" t="s">
        <v>10</v>
      </c>
      <c r="C272" t="s">
        <v>70</v>
      </c>
      <c r="D272" s="4">
        <v>46139</v>
      </c>
      <c r="E272" s="5">
        <v>0.53482638888888878</v>
      </c>
      <c r="F272">
        <v>1</v>
      </c>
      <c r="G272" t="s">
        <v>82</v>
      </c>
      <c r="H272" s="7">
        <v>34</v>
      </c>
      <c r="L272" t="s">
        <v>642</v>
      </c>
      <c r="M272" t="s">
        <v>71</v>
      </c>
      <c r="N272" s="8">
        <v>1</v>
      </c>
      <c r="P272" s="8">
        <v>1</v>
      </c>
      <c r="S272">
        <v>1</v>
      </c>
      <c r="T272" s="7">
        <v>123</v>
      </c>
      <c r="X272" s="6">
        <v>0.48816666666666669</v>
      </c>
      <c r="Z272" s="6">
        <v>0.48816666666666669</v>
      </c>
      <c r="AA272">
        <v>2</v>
      </c>
    </row>
    <row r="273" spans="1:27" x14ac:dyDescent="0.25">
      <c r="A273">
        <v>76116714</v>
      </c>
      <c r="B273" t="s">
        <v>10</v>
      </c>
      <c r="C273" t="s">
        <v>70</v>
      </c>
      <c r="D273" s="4">
        <v>46139</v>
      </c>
      <c r="E273" s="5">
        <v>0.53562500000000002</v>
      </c>
      <c r="F273">
        <v>1</v>
      </c>
      <c r="G273" t="s">
        <v>82</v>
      </c>
      <c r="H273" s="7">
        <v>120</v>
      </c>
      <c r="L273" t="s">
        <v>921</v>
      </c>
      <c r="M273" t="s">
        <v>71</v>
      </c>
      <c r="N273" s="8" t="s">
        <v>75</v>
      </c>
      <c r="O273" s="8">
        <v>1</v>
      </c>
      <c r="Q273" s="8">
        <v>1</v>
      </c>
      <c r="S273">
        <v>1</v>
      </c>
      <c r="U273" s="7">
        <v>1.3333333333333333</v>
      </c>
      <c r="W273" s="6">
        <v>1.2691555555555556</v>
      </c>
      <c r="Z273" s="6">
        <v>0.71750000000000003</v>
      </c>
      <c r="AA273">
        <v>1</v>
      </c>
    </row>
    <row r="274" spans="1:27" x14ac:dyDescent="0.25">
      <c r="A274">
        <v>76116715</v>
      </c>
      <c r="B274" t="s">
        <v>10</v>
      </c>
      <c r="C274" t="s">
        <v>70</v>
      </c>
      <c r="D274" s="4">
        <v>46139</v>
      </c>
      <c r="E274" s="5">
        <v>0.53641203703703699</v>
      </c>
      <c r="F274">
        <v>1</v>
      </c>
      <c r="G274" t="s">
        <v>82</v>
      </c>
      <c r="H274" s="7">
        <v>19.5</v>
      </c>
      <c r="L274">
        <v>11337519</v>
      </c>
      <c r="M274" t="s">
        <v>71</v>
      </c>
      <c r="N274" s="8" t="s">
        <v>77</v>
      </c>
      <c r="O274" s="8">
        <v>1</v>
      </c>
      <c r="Q274" s="8">
        <v>1</v>
      </c>
      <c r="S274">
        <v>1</v>
      </c>
      <c r="U274" s="7">
        <v>4.833333333333333</v>
      </c>
      <c r="W274" s="6">
        <v>1.0104888888888888</v>
      </c>
      <c r="Z274" s="6">
        <v>0.44950000000000001</v>
      </c>
      <c r="AA274">
        <v>1</v>
      </c>
    </row>
    <row r="275" spans="1:27" x14ac:dyDescent="0.25">
      <c r="A275">
        <v>76116717</v>
      </c>
      <c r="B275" t="s">
        <v>10</v>
      </c>
      <c r="C275" t="s">
        <v>70</v>
      </c>
      <c r="D275" s="4">
        <v>46139</v>
      </c>
      <c r="E275" s="5">
        <v>0.53733796296296288</v>
      </c>
      <c r="F275">
        <v>1</v>
      </c>
      <c r="G275" t="s">
        <v>82</v>
      </c>
      <c r="H275" s="7">
        <v>165</v>
      </c>
      <c r="L275" t="s">
        <v>927</v>
      </c>
      <c r="M275" t="s">
        <v>71</v>
      </c>
      <c r="N275" s="8">
        <v>1</v>
      </c>
      <c r="O275" s="8">
        <v>1</v>
      </c>
      <c r="R275" s="8">
        <v>1</v>
      </c>
      <c r="S275">
        <v>1</v>
      </c>
      <c r="T275" s="7">
        <v>22.583333333333332</v>
      </c>
      <c r="W275" s="6">
        <v>1.3855999999999999</v>
      </c>
      <c r="Y275" s="6">
        <v>0.21</v>
      </c>
      <c r="AA275">
        <v>1</v>
      </c>
    </row>
    <row r="276" spans="1:27" x14ac:dyDescent="0.25">
      <c r="A276">
        <v>76116719</v>
      </c>
      <c r="B276" t="s">
        <v>10</v>
      </c>
      <c r="C276" t="s">
        <v>70</v>
      </c>
      <c r="D276" s="4">
        <v>46139</v>
      </c>
      <c r="E276" s="5">
        <v>0.53820601851851846</v>
      </c>
      <c r="F276">
        <v>1</v>
      </c>
      <c r="G276" t="s">
        <v>82</v>
      </c>
      <c r="H276" s="7">
        <v>51</v>
      </c>
      <c r="L276" t="s">
        <v>930</v>
      </c>
      <c r="M276" t="s">
        <v>71</v>
      </c>
      <c r="N276" s="8" t="s">
        <v>77</v>
      </c>
      <c r="O276" s="8">
        <v>1</v>
      </c>
      <c r="S276">
        <v>1</v>
      </c>
      <c r="T276" s="7">
        <v>125</v>
      </c>
      <c r="W276" s="6">
        <v>1.0815999999999999</v>
      </c>
      <c r="Z276" s="6">
        <v>0.53350000000000009</v>
      </c>
      <c r="AA276">
        <v>1</v>
      </c>
    </row>
    <row r="277" spans="1:27" x14ac:dyDescent="0.25">
      <c r="A277">
        <v>76116721</v>
      </c>
      <c r="B277" t="s">
        <v>10</v>
      </c>
      <c r="C277" t="s">
        <v>70</v>
      </c>
      <c r="D277" s="4">
        <v>46139</v>
      </c>
      <c r="E277" s="5">
        <v>0.53900462962962958</v>
      </c>
      <c r="F277">
        <v>1</v>
      </c>
      <c r="G277" t="s">
        <v>82</v>
      </c>
      <c r="H277" s="7">
        <v>70</v>
      </c>
      <c r="L277" t="s">
        <v>934</v>
      </c>
      <c r="M277" t="s">
        <v>71</v>
      </c>
      <c r="N277" s="8" t="s">
        <v>75</v>
      </c>
      <c r="O277" s="8">
        <v>1</v>
      </c>
      <c r="W277" s="6">
        <v>1.1322666666666668</v>
      </c>
    </row>
    <row r="278" spans="1:27" x14ac:dyDescent="0.25">
      <c r="A278">
        <v>76116724</v>
      </c>
      <c r="B278" t="s">
        <v>10</v>
      </c>
      <c r="C278" t="s">
        <v>70</v>
      </c>
      <c r="D278" s="4">
        <v>46139</v>
      </c>
      <c r="E278" s="5">
        <v>0.53923611111111103</v>
      </c>
      <c r="F278">
        <v>1</v>
      </c>
      <c r="G278" t="s">
        <v>82</v>
      </c>
      <c r="H278" s="7">
        <v>18.5</v>
      </c>
      <c r="L278" t="s">
        <v>934</v>
      </c>
      <c r="M278" t="s">
        <v>71</v>
      </c>
      <c r="N278" s="8" t="s">
        <v>75</v>
      </c>
      <c r="P278" s="8">
        <v>1</v>
      </c>
      <c r="Q278" s="8">
        <v>1</v>
      </c>
      <c r="S278">
        <v>1</v>
      </c>
      <c r="U278" s="7">
        <v>0.5</v>
      </c>
      <c r="X278" s="6">
        <v>0.44816666666666671</v>
      </c>
      <c r="Z278" s="6">
        <v>0.44683333333333336</v>
      </c>
      <c r="AA278">
        <v>2</v>
      </c>
    </row>
    <row r="279" spans="1:27" x14ac:dyDescent="0.25">
      <c r="A279">
        <v>76116727</v>
      </c>
      <c r="B279" t="s">
        <v>10</v>
      </c>
      <c r="C279" t="s">
        <v>70</v>
      </c>
      <c r="D279" s="4">
        <v>46139</v>
      </c>
      <c r="E279" s="5">
        <v>0.53986111111111101</v>
      </c>
      <c r="F279">
        <v>1</v>
      </c>
      <c r="G279" t="s">
        <v>82</v>
      </c>
      <c r="H279" s="7">
        <v>25</v>
      </c>
      <c r="L279">
        <v>1805283692</v>
      </c>
      <c r="M279" t="s">
        <v>71</v>
      </c>
      <c r="N279" s="8" t="s">
        <v>75</v>
      </c>
      <c r="O279" s="8">
        <v>1</v>
      </c>
      <c r="R279" s="8">
        <v>1</v>
      </c>
      <c r="S279">
        <v>1</v>
      </c>
      <c r="T279" s="7">
        <v>17.5</v>
      </c>
      <c r="W279" s="6">
        <v>1.0122666666666666</v>
      </c>
      <c r="Y279" s="6">
        <v>0.21</v>
      </c>
      <c r="AA279">
        <v>1</v>
      </c>
    </row>
    <row r="280" spans="1:27" x14ac:dyDescent="0.25">
      <c r="A280">
        <v>76116729</v>
      </c>
      <c r="B280" t="s">
        <v>10</v>
      </c>
      <c r="C280" t="s">
        <v>70</v>
      </c>
      <c r="D280" s="4">
        <v>46139</v>
      </c>
      <c r="E280" s="5">
        <v>0.54085648148148147</v>
      </c>
      <c r="F280">
        <v>1</v>
      </c>
      <c r="G280" t="s">
        <v>82</v>
      </c>
      <c r="H280" s="7">
        <v>42</v>
      </c>
      <c r="L280" t="s">
        <v>941</v>
      </c>
      <c r="M280" t="s">
        <v>71</v>
      </c>
      <c r="N280" s="8">
        <v>1</v>
      </c>
      <c r="O280" s="8">
        <v>1</v>
      </c>
      <c r="S280">
        <v>1</v>
      </c>
      <c r="T280" s="7">
        <v>69.583333333333329</v>
      </c>
      <c r="W280" s="6">
        <v>1.0576000000000001</v>
      </c>
      <c r="Z280" s="6">
        <v>0.50950000000000006</v>
      </c>
      <c r="AA280">
        <v>1</v>
      </c>
    </row>
    <row r="281" spans="1:27" x14ac:dyDescent="0.25">
      <c r="A281">
        <v>76116731</v>
      </c>
      <c r="B281" t="s">
        <v>10</v>
      </c>
      <c r="C281" t="s">
        <v>70</v>
      </c>
      <c r="D281" s="4">
        <v>46139</v>
      </c>
      <c r="E281" s="5">
        <v>0.54195601851851849</v>
      </c>
      <c r="F281">
        <v>1</v>
      </c>
      <c r="G281" t="s">
        <v>82</v>
      </c>
      <c r="H281" s="7">
        <v>82</v>
      </c>
      <c r="L281">
        <v>80326892</v>
      </c>
      <c r="M281" t="s">
        <v>71</v>
      </c>
      <c r="N281" s="8" t="s">
        <v>77</v>
      </c>
      <c r="O281" s="8">
        <v>1</v>
      </c>
      <c r="Q281" s="8">
        <v>1</v>
      </c>
      <c r="S281">
        <v>1</v>
      </c>
      <c r="U281" s="7">
        <v>0.5</v>
      </c>
      <c r="W281" s="6">
        <v>1.1656</v>
      </c>
      <c r="Z281" s="6">
        <v>0.61616666666666675</v>
      </c>
      <c r="AA281">
        <v>1</v>
      </c>
    </row>
    <row r="282" spans="1:27" x14ac:dyDescent="0.25">
      <c r="A282">
        <v>76116732</v>
      </c>
      <c r="B282" t="s">
        <v>10</v>
      </c>
      <c r="C282" t="s">
        <v>70</v>
      </c>
      <c r="D282" s="4">
        <v>46139</v>
      </c>
      <c r="E282" s="5">
        <v>0.54292824074074075</v>
      </c>
      <c r="F282">
        <v>1</v>
      </c>
      <c r="G282" t="s">
        <v>82</v>
      </c>
      <c r="H282" s="7">
        <v>140</v>
      </c>
      <c r="L282" t="s">
        <v>948</v>
      </c>
      <c r="M282" t="s">
        <v>71</v>
      </c>
      <c r="N282" s="8">
        <v>1</v>
      </c>
      <c r="O282" s="8">
        <v>1</v>
      </c>
      <c r="S282">
        <v>1</v>
      </c>
      <c r="T282" s="7">
        <v>140</v>
      </c>
      <c r="W282" s="6">
        <v>1.3189333333333333</v>
      </c>
      <c r="Z282" s="6">
        <v>0.77083333333333337</v>
      </c>
      <c r="AA282">
        <v>1</v>
      </c>
    </row>
    <row r="283" spans="1:27" x14ac:dyDescent="0.25">
      <c r="A283">
        <v>76116734</v>
      </c>
      <c r="B283" t="s">
        <v>10</v>
      </c>
      <c r="C283" t="s">
        <v>70</v>
      </c>
      <c r="D283" s="4">
        <v>46139</v>
      </c>
      <c r="E283" s="5">
        <v>0.54356481481481478</v>
      </c>
      <c r="F283">
        <v>1</v>
      </c>
      <c r="G283" t="s">
        <v>82</v>
      </c>
      <c r="H283" s="7">
        <v>15</v>
      </c>
      <c r="L283" t="s">
        <v>953</v>
      </c>
      <c r="M283" t="s">
        <v>71</v>
      </c>
      <c r="N283" s="8">
        <v>1</v>
      </c>
      <c r="O283" s="8">
        <v>1</v>
      </c>
      <c r="W283" s="6">
        <v>0.98560000000000003</v>
      </c>
    </row>
    <row r="284" spans="1:27" x14ac:dyDescent="0.25">
      <c r="A284">
        <v>76116735</v>
      </c>
      <c r="B284" t="s">
        <v>10</v>
      </c>
      <c r="C284" t="s">
        <v>70</v>
      </c>
      <c r="D284" s="4">
        <v>46139</v>
      </c>
      <c r="E284" s="5">
        <v>0.54386574074074079</v>
      </c>
      <c r="F284">
        <v>1</v>
      </c>
      <c r="G284" t="s">
        <v>82</v>
      </c>
      <c r="H284" s="7">
        <v>21.5</v>
      </c>
      <c r="L284" t="s">
        <v>953</v>
      </c>
      <c r="M284" t="s">
        <v>71</v>
      </c>
      <c r="N284" s="8">
        <v>1</v>
      </c>
      <c r="P284" s="8">
        <v>1</v>
      </c>
      <c r="X284" s="6">
        <v>0.45483333333333337</v>
      </c>
    </row>
    <row r="285" spans="1:27" x14ac:dyDescent="0.25">
      <c r="A285">
        <v>76116736</v>
      </c>
      <c r="B285" t="s">
        <v>10</v>
      </c>
      <c r="C285" t="s">
        <v>70</v>
      </c>
      <c r="D285" s="4">
        <v>46139</v>
      </c>
      <c r="E285" s="5">
        <v>0.54416666666666658</v>
      </c>
      <c r="F285">
        <v>1</v>
      </c>
      <c r="G285" t="s">
        <v>82</v>
      </c>
      <c r="H285" s="7">
        <v>51.5</v>
      </c>
      <c r="L285" t="s">
        <v>953</v>
      </c>
      <c r="M285" t="s">
        <v>71</v>
      </c>
      <c r="N285" s="8">
        <v>1</v>
      </c>
      <c r="P285" s="8">
        <v>1</v>
      </c>
      <c r="S285">
        <v>1</v>
      </c>
      <c r="T285" s="7">
        <v>105.58333333333334</v>
      </c>
      <c r="X285" s="6">
        <v>0.53483333333333338</v>
      </c>
      <c r="Z285" s="6">
        <v>0.53483333333333338</v>
      </c>
      <c r="AA285">
        <v>3</v>
      </c>
    </row>
    <row r="286" spans="1:27" x14ac:dyDescent="0.25">
      <c r="A286">
        <v>76116737</v>
      </c>
      <c r="B286" t="s">
        <v>10</v>
      </c>
      <c r="C286" t="s">
        <v>70</v>
      </c>
      <c r="D286" s="4">
        <v>46139</v>
      </c>
      <c r="E286" s="5">
        <v>0.54479166666666667</v>
      </c>
      <c r="F286">
        <v>1</v>
      </c>
      <c r="G286" t="s">
        <v>82</v>
      </c>
      <c r="H286" s="7">
        <v>19</v>
      </c>
      <c r="L286" t="s">
        <v>957</v>
      </c>
      <c r="M286" t="s">
        <v>71</v>
      </c>
      <c r="N286" s="8" t="s">
        <v>78</v>
      </c>
      <c r="O286" s="8">
        <v>1</v>
      </c>
      <c r="R286" s="8">
        <v>1</v>
      </c>
      <c r="S286">
        <v>1</v>
      </c>
      <c r="T286" s="7">
        <v>10.833333333333332</v>
      </c>
      <c r="W286" s="6">
        <v>0.99626666666666663</v>
      </c>
      <c r="Y286" s="6">
        <v>0.21</v>
      </c>
      <c r="AA286">
        <v>1</v>
      </c>
    </row>
    <row r="287" spans="1:27" x14ac:dyDescent="0.25">
      <c r="A287">
        <v>76116739</v>
      </c>
      <c r="B287" t="s">
        <v>10</v>
      </c>
      <c r="C287" t="s">
        <v>70</v>
      </c>
      <c r="D287" s="4">
        <v>46139</v>
      </c>
      <c r="E287" s="5">
        <v>0.54579861111111105</v>
      </c>
      <c r="F287">
        <v>1</v>
      </c>
      <c r="G287" t="s">
        <v>82</v>
      </c>
      <c r="H287" s="7">
        <v>7.583333333333333</v>
      </c>
      <c r="L287" t="s">
        <v>961</v>
      </c>
      <c r="M287" t="s">
        <v>71</v>
      </c>
      <c r="N287" s="8">
        <v>1</v>
      </c>
      <c r="O287" s="8">
        <v>1</v>
      </c>
      <c r="Q287" s="8">
        <v>1</v>
      </c>
      <c r="S287">
        <v>1</v>
      </c>
      <c r="U287" s="7">
        <v>8.3333333333333329E-2</v>
      </c>
      <c r="W287" s="6">
        <v>0.96604444444444448</v>
      </c>
      <c r="Z287" s="6">
        <v>0.41772222222222222</v>
      </c>
      <c r="AA287">
        <v>1</v>
      </c>
    </row>
    <row r="288" spans="1:27" x14ac:dyDescent="0.25">
      <c r="A288">
        <v>76116740</v>
      </c>
      <c r="B288" t="s">
        <v>10</v>
      </c>
      <c r="C288" t="s">
        <v>70</v>
      </c>
      <c r="D288" s="4">
        <v>46139</v>
      </c>
      <c r="E288" s="5">
        <v>0.54649305555555561</v>
      </c>
      <c r="F288">
        <v>1</v>
      </c>
      <c r="G288" t="s">
        <v>82</v>
      </c>
      <c r="H288" s="7">
        <v>13.5</v>
      </c>
      <c r="L288" t="s">
        <v>963</v>
      </c>
      <c r="M288" t="s">
        <v>71</v>
      </c>
      <c r="N288" s="8">
        <v>1</v>
      </c>
      <c r="O288" s="8">
        <v>1</v>
      </c>
      <c r="R288" s="8">
        <v>1</v>
      </c>
      <c r="S288">
        <v>1</v>
      </c>
      <c r="T288" s="7">
        <v>9.0833333333333339</v>
      </c>
      <c r="W288" s="6">
        <v>0.98160000000000003</v>
      </c>
      <c r="Y288" s="6">
        <v>0.21</v>
      </c>
      <c r="AA288">
        <v>1</v>
      </c>
    </row>
    <row r="289" spans="1:27" x14ac:dyDescent="0.25">
      <c r="A289">
        <v>76116742</v>
      </c>
      <c r="B289" t="s">
        <v>10</v>
      </c>
      <c r="C289" t="s">
        <v>70</v>
      </c>
      <c r="D289" s="4">
        <v>46139</v>
      </c>
      <c r="E289" s="5">
        <v>0.54746527777777776</v>
      </c>
      <c r="F289">
        <v>1</v>
      </c>
      <c r="G289" t="s">
        <v>82</v>
      </c>
      <c r="H289" s="7">
        <v>44.25</v>
      </c>
      <c r="L289">
        <v>75985288</v>
      </c>
      <c r="M289" t="s">
        <v>71</v>
      </c>
      <c r="N289" s="8">
        <v>1</v>
      </c>
      <c r="O289" s="8">
        <v>1</v>
      </c>
      <c r="S289">
        <v>1</v>
      </c>
      <c r="T289" s="7">
        <v>43</v>
      </c>
      <c r="W289" s="6">
        <v>1.0636000000000001</v>
      </c>
      <c r="Z289" s="6">
        <v>0.51550000000000007</v>
      </c>
      <c r="AA289">
        <v>1</v>
      </c>
    </row>
    <row r="290" spans="1:27" x14ac:dyDescent="0.25">
      <c r="A290">
        <v>76116745</v>
      </c>
      <c r="B290" t="s">
        <v>10</v>
      </c>
      <c r="C290" t="s">
        <v>70</v>
      </c>
      <c r="D290" s="4">
        <v>46139</v>
      </c>
      <c r="E290" s="5">
        <v>0.5484606481481481</v>
      </c>
      <c r="F290">
        <v>1</v>
      </c>
      <c r="G290" t="s">
        <v>82</v>
      </c>
      <c r="H290" s="7">
        <v>91.5</v>
      </c>
      <c r="L290" t="s">
        <v>974</v>
      </c>
      <c r="M290" t="s">
        <v>71</v>
      </c>
      <c r="N290" s="8" t="s">
        <v>78</v>
      </c>
      <c r="O290" s="8">
        <v>1</v>
      </c>
      <c r="S290">
        <v>1</v>
      </c>
      <c r="T290" s="7">
        <v>78.833333333333329</v>
      </c>
      <c r="W290" s="6">
        <v>1.1896</v>
      </c>
      <c r="Z290" s="6">
        <v>0.64149999999999996</v>
      </c>
      <c r="AA290">
        <v>1</v>
      </c>
    </row>
    <row r="291" spans="1:27" x14ac:dyDescent="0.25">
      <c r="A291">
        <v>76116747</v>
      </c>
      <c r="B291" t="s">
        <v>10</v>
      </c>
      <c r="C291" t="s">
        <v>70</v>
      </c>
      <c r="D291" s="4">
        <v>46139</v>
      </c>
      <c r="E291" s="5">
        <v>0.54935185185185187</v>
      </c>
      <c r="F291">
        <v>1</v>
      </c>
      <c r="G291" t="s">
        <v>82</v>
      </c>
      <c r="H291" s="7">
        <v>25</v>
      </c>
      <c r="L291" t="s">
        <v>977</v>
      </c>
      <c r="M291" t="s">
        <v>71</v>
      </c>
      <c r="N291" s="8" t="s">
        <v>75</v>
      </c>
      <c r="O291" s="8">
        <v>1</v>
      </c>
      <c r="S291">
        <v>1</v>
      </c>
      <c r="T291" s="7">
        <v>34.333333333333329</v>
      </c>
      <c r="W291" s="6">
        <v>1.0122666666666666</v>
      </c>
      <c r="Z291" s="6">
        <v>0.46416666666666667</v>
      </c>
      <c r="AA291">
        <v>1</v>
      </c>
    </row>
    <row r="292" spans="1:27" x14ac:dyDescent="0.25">
      <c r="A292">
        <v>76116751</v>
      </c>
      <c r="B292" t="s">
        <v>10</v>
      </c>
      <c r="C292" t="s">
        <v>70</v>
      </c>
      <c r="D292" s="4">
        <v>46139</v>
      </c>
      <c r="E292" s="5">
        <v>0.55030092592592583</v>
      </c>
      <c r="F292">
        <v>1</v>
      </c>
      <c r="G292" t="s">
        <v>82</v>
      </c>
      <c r="H292" s="7">
        <v>82</v>
      </c>
      <c r="L292" t="s">
        <v>980</v>
      </c>
      <c r="M292" t="s">
        <v>71</v>
      </c>
      <c r="N292" s="8" t="s">
        <v>78</v>
      </c>
      <c r="O292" s="8">
        <v>1</v>
      </c>
      <c r="R292" s="8">
        <v>1</v>
      </c>
      <c r="S292">
        <v>1</v>
      </c>
      <c r="T292" s="7">
        <v>20.083333333333332</v>
      </c>
      <c r="W292" s="6">
        <v>1.1642666666666668</v>
      </c>
      <c r="Y292" s="6">
        <v>0.21</v>
      </c>
      <c r="AA292">
        <v>1</v>
      </c>
    </row>
    <row r="293" spans="1:27" x14ac:dyDescent="0.25">
      <c r="A293">
        <v>76116752</v>
      </c>
      <c r="B293" t="s">
        <v>10</v>
      </c>
      <c r="C293" t="s">
        <v>70</v>
      </c>
      <c r="D293" s="4">
        <v>46139</v>
      </c>
      <c r="E293" s="5">
        <v>0.55138888888888882</v>
      </c>
      <c r="F293">
        <v>1</v>
      </c>
      <c r="G293" t="s">
        <v>82</v>
      </c>
      <c r="H293" s="7">
        <v>10.5</v>
      </c>
      <c r="L293" t="s">
        <v>981</v>
      </c>
      <c r="M293" t="s">
        <v>71</v>
      </c>
      <c r="N293" s="8">
        <v>1</v>
      </c>
      <c r="O293" s="8">
        <v>1</v>
      </c>
      <c r="R293" s="8">
        <v>1</v>
      </c>
      <c r="S293">
        <v>1</v>
      </c>
      <c r="T293" s="7">
        <v>13.5</v>
      </c>
      <c r="W293" s="6">
        <v>0.97360000000000002</v>
      </c>
      <c r="Y293" s="6">
        <v>0.21</v>
      </c>
      <c r="AA293">
        <v>1</v>
      </c>
    </row>
    <row r="294" spans="1:27" x14ac:dyDescent="0.25">
      <c r="A294">
        <v>76116754</v>
      </c>
      <c r="B294" t="s">
        <v>10</v>
      </c>
      <c r="C294" t="s">
        <v>70</v>
      </c>
      <c r="D294" s="4">
        <v>46139</v>
      </c>
      <c r="E294" s="5">
        <v>0.55231481481481481</v>
      </c>
      <c r="F294">
        <v>1</v>
      </c>
      <c r="G294" t="s">
        <v>82</v>
      </c>
      <c r="H294" s="7">
        <v>35.666666666666664</v>
      </c>
      <c r="L294" t="s">
        <v>985</v>
      </c>
      <c r="M294" t="s">
        <v>71</v>
      </c>
      <c r="N294" s="8">
        <v>1</v>
      </c>
      <c r="O294" s="8">
        <v>1</v>
      </c>
      <c r="R294" s="8">
        <v>1</v>
      </c>
      <c r="S294">
        <v>1</v>
      </c>
      <c r="T294" s="7">
        <v>23.166666666666664</v>
      </c>
      <c r="W294" s="6">
        <v>1.0407111111111111</v>
      </c>
      <c r="Y294" s="6">
        <v>0.21</v>
      </c>
      <c r="AA294">
        <v>1</v>
      </c>
    </row>
    <row r="295" spans="1:27" x14ac:dyDescent="0.25">
      <c r="A295">
        <v>76116756</v>
      </c>
      <c r="B295" t="s">
        <v>10</v>
      </c>
      <c r="C295" t="s">
        <v>70</v>
      </c>
      <c r="D295" s="4">
        <v>46139</v>
      </c>
      <c r="E295" s="5">
        <v>0.55334490740740738</v>
      </c>
      <c r="F295">
        <v>1</v>
      </c>
      <c r="G295" t="s">
        <v>82</v>
      </c>
      <c r="H295" s="7">
        <v>34.5</v>
      </c>
      <c r="L295" t="s">
        <v>989</v>
      </c>
      <c r="M295" t="s">
        <v>71</v>
      </c>
      <c r="N295" s="8" t="s">
        <v>75</v>
      </c>
      <c r="O295" s="8">
        <v>1</v>
      </c>
      <c r="R295" s="8">
        <v>1</v>
      </c>
      <c r="S295">
        <v>1</v>
      </c>
      <c r="T295" s="7">
        <v>14.333333333333334</v>
      </c>
      <c r="W295" s="6">
        <v>1.0376000000000001</v>
      </c>
      <c r="Y295" s="6">
        <v>0.21</v>
      </c>
      <c r="AA295">
        <v>1</v>
      </c>
    </row>
    <row r="296" spans="1:27" x14ac:dyDescent="0.25">
      <c r="A296">
        <v>76116759</v>
      </c>
      <c r="B296" t="s">
        <v>10</v>
      </c>
      <c r="C296" t="s">
        <v>70</v>
      </c>
      <c r="D296" s="4">
        <v>46139</v>
      </c>
      <c r="E296" s="5">
        <v>0.55480324074074072</v>
      </c>
      <c r="F296">
        <v>1</v>
      </c>
      <c r="G296" t="s">
        <v>82</v>
      </c>
      <c r="H296" s="7">
        <v>65.166666666666657</v>
      </c>
      <c r="L296" t="s">
        <v>992</v>
      </c>
      <c r="M296" t="s">
        <v>71</v>
      </c>
      <c r="N296" s="8">
        <v>1</v>
      </c>
      <c r="O296" s="8">
        <v>1</v>
      </c>
      <c r="S296">
        <v>1</v>
      </c>
      <c r="T296" s="7">
        <v>37.416666666666664</v>
      </c>
      <c r="W296" s="6">
        <v>1.1193777777777778</v>
      </c>
      <c r="Z296" s="6">
        <v>0.57127777777777777</v>
      </c>
      <c r="AA296">
        <v>1</v>
      </c>
    </row>
    <row r="297" spans="1:27" x14ac:dyDescent="0.25">
      <c r="A297">
        <v>76116761</v>
      </c>
      <c r="B297" t="s">
        <v>10</v>
      </c>
      <c r="C297" t="s">
        <v>70</v>
      </c>
      <c r="D297" s="4">
        <v>46139</v>
      </c>
      <c r="E297" s="5">
        <v>0.55554398148148143</v>
      </c>
      <c r="F297">
        <v>1</v>
      </c>
      <c r="G297" t="s">
        <v>82</v>
      </c>
      <c r="H297" s="7">
        <v>16.25</v>
      </c>
      <c r="L297" t="s">
        <v>998</v>
      </c>
      <c r="M297" t="s">
        <v>71</v>
      </c>
      <c r="N297" s="8" t="s">
        <v>75</v>
      </c>
      <c r="O297" s="8">
        <v>1</v>
      </c>
      <c r="Q297" s="8">
        <v>1</v>
      </c>
      <c r="S297">
        <v>1</v>
      </c>
      <c r="U297" s="7">
        <v>2.0833333333333335</v>
      </c>
      <c r="W297" s="6">
        <v>0.99448888888888887</v>
      </c>
      <c r="Z297" s="6">
        <v>0.44083333333333335</v>
      </c>
      <c r="AA297">
        <v>1</v>
      </c>
    </row>
    <row r="298" spans="1:27" x14ac:dyDescent="0.25">
      <c r="A298">
        <v>76116762</v>
      </c>
      <c r="B298" t="s">
        <v>10</v>
      </c>
      <c r="C298" t="s">
        <v>70</v>
      </c>
      <c r="D298" s="4">
        <v>46139</v>
      </c>
      <c r="E298" s="5">
        <v>0.55601851851851847</v>
      </c>
      <c r="F298">
        <v>1</v>
      </c>
      <c r="G298" t="s">
        <v>82</v>
      </c>
      <c r="H298" s="7">
        <v>12.166666666666666</v>
      </c>
      <c r="L298" t="s">
        <v>1000</v>
      </c>
      <c r="M298" t="s">
        <v>71</v>
      </c>
      <c r="N298" s="8">
        <v>1</v>
      </c>
      <c r="O298" s="8">
        <v>1</v>
      </c>
      <c r="Q298" s="8">
        <v>1</v>
      </c>
      <c r="S298">
        <v>1</v>
      </c>
      <c r="U298" s="7">
        <v>4.416666666666667</v>
      </c>
      <c r="W298" s="6">
        <v>0.98982222222222216</v>
      </c>
      <c r="Z298" s="6">
        <v>0.42994444444444446</v>
      </c>
      <c r="AA298">
        <v>1</v>
      </c>
    </row>
    <row r="299" spans="1:27" x14ac:dyDescent="0.25">
      <c r="A299">
        <v>76116765</v>
      </c>
      <c r="B299" t="s">
        <v>10</v>
      </c>
      <c r="C299" t="s">
        <v>70</v>
      </c>
      <c r="D299" s="4">
        <v>46139</v>
      </c>
      <c r="E299" s="5">
        <v>0.55666666666666664</v>
      </c>
      <c r="F299">
        <v>1</v>
      </c>
      <c r="G299" t="s">
        <v>82</v>
      </c>
      <c r="H299" s="7">
        <v>14</v>
      </c>
      <c r="L299" t="s">
        <v>1005</v>
      </c>
      <c r="M299" t="s">
        <v>71</v>
      </c>
      <c r="N299" s="8">
        <v>1</v>
      </c>
      <c r="O299" s="8">
        <v>1</v>
      </c>
      <c r="S299">
        <v>1</v>
      </c>
      <c r="T299" s="7">
        <v>54.166666666666664</v>
      </c>
      <c r="W299" s="6">
        <v>0.98293333333333333</v>
      </c>
      <c r="Z299" s="6">
        <v>0.43483333333333335</v>
      </c>
      <c r="AA299">
        <v>1</v>
      </c>
    </row>
    <row r="300" spans="1:27" x14ac:dyDescent="0.25">
      <c r="A300">
        <v>76116766</v>
      </c>
      <c r="B300" t="s">
        <v>10</v>
      </c>
      <c r="C300" t="s">
        <v>70</v>
      </c>
      <c r="D300" s="4">
        <v>46139</v>
      </c>
      <c r="E300" s="5">
        <v>0.55739583333333331</v>
      </c>
      <c r="F300">
        <v>1</v>
      </c>
      <c r="G300" t="s">
        <v>82</v>
      </c>
      <c r="H300" s="7">
        <v>3</v>
      </c>
      <c r="L300" t="s">
        <v>1007</v>
      </c>
      <c r="M300" t="s">
        <v>71</v>
      </c>
      <c r="N300" s="8" t="s">
        <v>75</v>
      </c>
      <c r="O300" s="8">
        <v>1</v>
      </c>
      <c r="R300" s="8">
        <v>1</v>
      </c>
      <c r="S300">
        <v>1</v>
      </c>
      <c r="T300" s="7">
        <v>7</v>
      </c>
      <c r="W300" s="6">
        <v>0.9536</v>
      </c>
      <c r="Y300" s="6">
        <v>0.21</v>
      </c>
      <c r="AA300">
        <v>1</v>
      </c>
    </row>
    <row r="301" spans="1:27" x14ac:dyDescent="0.25">
      <c r="A301">
        <v>76116769</v>
      </c>
      <c r="B301" t="s">
        <v>10</v>
      </c>
      <c r="C301" t="s">
        <v>70</v>
      </c>
      <c r="D301" s="4">
        <v>46139</v>
      </c>
      <c r="E301" s="5">
        <v>0.5582407407407407</v>
      </c>
      <c r="F301">
        <v>1</v>
      </c>
      <c r="G301" t="s">
        <v>82</v>
      </c>
      <c r="H301" s="7">
        <v>10</v>
      </c>
      <c r="L301" t="s">
        <v>1011</v>
      </c>
      <c r="M301" t="s">
        <v>71</v>
      </c>
      <c r="N301" s="8" t="s">
        <v>80</v>
      </c>
      <c r="O301" s="8">
        <v>1</v>
      </c>
      <c r="R301" s="8">
        <v>1</v>
      </c>
      <c r="S301">
        <v>1</v>
      </c>
      <c r="T301" s="7">
        <v>18.25</v>
      </c>
      <c r="W301" s="6">
        <v>0.97226666666666661</v>
      </c>
      <c r="Y301" s="6">
        <v>0.21</v>
      </c>
      <c r="AA301">
        <v>1</v>
      </c>
    </row>
    <row r="302" spans="1:27" x14ac:dyDescent="0.25">
      <c r="A302">
        <v>76116770</v>
      </c>
      <c r="B302" t="s">
        <v>10</v>
      </c>
      <c r="C302" t="s">
        <v>70</v>
      </c>
      <c r="D302" s="4">
        <v>46139</v>
      </c>
      <c r="E302" s="5">
        <v>0.55931712962962954</v>
      </c>
      <c r="F302">
        <v>1</v>
      </c>
      <c r="G302" t="s">
        <v>82</v>
      </c>
      <c r="H302" s="7">
        <v>40</v>
      </c>
      <c r="L302" t="s">
        <v>1015</v>
      </c>
      <c r="M302" t="s">
        <v>71</v>
      </c>
      <c r="N302" s="8">
        <v>1</v>
      </c>
      <c r="O302" s="8">
        <v>1</v>
      </c>
      <c r="R302" s="8">
        <v>1</v>
      </c>
      <c r="S302">
        <v>1</v>
      </c>
      <c r="T302" s="7">
        <v>6.6666666666666661</v>
      </c>
      <c r="W302" s="6">
        <v>1.0522666666666667</v>
      </c>
      <c r="Y302" s="6">
        <v>0.21</v>
      </c>
      <c r="AA302">
        <v>1</v>
      </c>
    </row>
    <row r="303" spans="1:27" x14ac:dyDescent="0.25">
      <c r="A303">
        <v>76116772</v>
      </c>
      <c r="B303" t="s">
        <v>10</v>
      </c>
      <c r="C303" t="s">
        <v>70</v>
      </c>
      <c r="D303" s="4">
        <v>46139</v>
      </c>
      <c r="E303" s="5">
        <v>0.5605902777777777</v>
      </c>
      <c r="F303">
        <v>1</v>
      </c>
      <c r="G303" t="s">
        <v>82</v>
      </c>
      <c r="H303" s="7">
        <v>16</v>
      </c>
      <c r="L303" t="s">
        <v>1018</v>
      </c>
      <c r="M303" t="s">
        <v>71</v>
      </c>
      <c r="N303" s="8">
        <v>1</v>
      </c>
      <c r="O303" s="8">
        <v>1</v>
      </c>
      <c r="Q303" s="8">
        <v>1</v>
      </c>
      <c r="S303">
        <v>1</v>
      </c>
      <c r="U303" s="7">
        <v>2.9166666666666665</v>
      </c>
      <c r="W303" s="6">
        <v>0.9960444444444444</v>
      </c>
      <c r="Z303" s="6">
        <v>0.44016666666666671</v>
      </c>
      <c r="AA303">
        <v>1</v>
      </c>
    </row>
    <row r="304" spans="1:27" x14ac:dyDescent="0.25">
      <c r="A304">
        <v>76116774</v>
      </c>
      <c r="B304" t="s">
        <v>10</v>
      </c>
      <c r="C304" t="s">
        <v>70</v>
      </c>
      <c r="D304" s="4">
        <v>46139</v>
      </c>
      <c r="E304" s="5">
        <v>0.56109953703703708</v>
      </c>
      <c r="F304">
        <v>1</v>
      </c>
      <c r="G304" t="s">
        <v>82</v>
      </c>
      <c r="H304" s="7">
        <v>32.25</v>
      </c>
      <c r="L304" t="s">
        <v>1022</v>
      </c>
      <c r="M304" t="s">
        <v>71</v>
      </c>
      <c r="N304" s="8">
        <v>1</v>
      </c>
      <c r="O304" s="8">
        <v>1</v>
      </c>
      <c r="Q304" s="8">
        <v>1</v>
      </c>
      <c r="S304">
        <v>1</v>
      </c>
      <c r="U304" s="7">
        <v>8.3333333333333329E-2</v>
      </c>
      <c r="W304" s="6">
        <v>1.0318222222222222</v>
      </c>
      <c r="Z304" s="6">
        <v>0.48350000000000004</v>
      </c>
      <c r="AA304">
        <v>1</v>
      </c>
    </row>
    <row r="305" spans="1:27" x14ac:dyDescent="0.25">
      <c r="A305">
        <v>76116776</v>
      </c>
      <c r="B305" t="s">
        <v>10</v>
      </c>
      <c r="C305" t="s">
        <v>70</v>
      </c>
      <c r="D305" s="4">
        <v>46139</v>
      </c>
      <c r="E305" s="5">
        <v>0.56179398148148141</v>
      </c>
      <c r="F305">
        <v>1</v>
      </c>
      <c r="G305" t="s">
        <v>82</v>
      </c>
      <c r="H305" s="7">
        <v>10</v>
      </c>
      <c r="L305">
        <v>80326839</v>
      </c>
      <c r="M305" t="s">
        <v>71</v>
      </c>
      <c r="N305" s="8" t="s">
        <v>80</v>
      </c>
      <c r="O305" s="8">
        <v>1</v>
      </c>
      <c r="S305">
        <v>1</v>
      </c>
      <c r="T305" s="7">
        <v>48.75</v>
      </c>
      <c r="W305" s="6">
        <v>0.97226666666666661</v>
      </c>
      <c r="Z305" s="6">
        <v>0.42416666666666669</v>
      </c>
      <c r="AA305">
        <v>1</v>
      </c>
    </row>
    <row r="306" spans="1:27" x14ac:dyDescent="0.25">
      <c r="A306">
        <v>76116777</v>
      </c>
      <c r="B306" t="s">
        <v>10</v>
      </c>
      <c r="C306" t="s">
        <v>70</v>
      </c>
      <c r="D306" s="4">
        <v>46139</v>
      </c>
      <c r="E306" s="5">
        <v>0.56319444444444444</v>
      </c>
      <c r="F306">
        <v>1</v>
      </c>
      <c r="G306" t="s">
        <v>82</v>
      </c>
      <c r="H306" s="7">
        <v>35</v>
      </c>
      <c r="L306" t="s">
        <v>1028</v>
      </c>
      <c r="M306" t="s">
        <v>71</v>
      </c>
      <c r="N306" s="8">
        <v>1</v>
      </c>
      <c r="O306" s="8">
        <v>1</v>
      </c>
      <c r="R306" s="8">
        <v>1</v>
      </c>
      <c r="S306">
        <v>1</v>
      </c>
      <c r="T306" s="7">
        <v>5.5</v>
      </c>
      <c r="W306" s="6">
        <v>1.0389333333333333</v>
      </c>
      <c r="Y306" s="6">
        <v>0.21</v>
      </c>
      <c r="AA306">
        <v>1</v>
      </c>
    </row>
    <row r="307" spans="1:27" x14ac:dyDescent="0.25">
      <c r="A307">
        <v>76116779</v>
      </c>
      <c r="B307" t="s">
        <v>10</v>
      </c>
      <c r="C307" t="s">
        <v>70</v>
      </c>
      <c r="D307" s="4">
        <v>46139</v>
      </c>
      <c r="E307" s="5">
        <v>0.56412037037037033</v>
      </c>
      <c r="F307">
        <v>1</v>
      </c>
      <c r="G307" t="s">
        <v>82</v>
      </c>
      <c r="H307" s="7">
        <v>84.75</v>
      </c>
      <c r="L307" t="s">
        <v>1032</v>
      </c>
      <c r="M307" t="s">
        <v>71</v>
      </c>
      <c r="N307" s="8">
        <v>1</v>
      </c>
      <c r="O307" s="8">
        <v>1</v>
      </c>
      <c r="S307">
        <v>1</v>
      </c>
      <c r="T307" s="7">
        <v>51.166666666666664</v>
      </c>
      <c r="W307" s="6">
        <v>1.1716</v>
      </c>
      <c r="Z307" s="6">
        <v>0.62350000000000005</v>
      </c>
      <c r="AA307">
        <v>1</v>
      </c>
    </row>
    <row r="308" spans="1:27" x14ac:dyDescent="0.25">
      <c r="A308">
        <v>76116780</v>
      </c>
      <c r="B308" t="s">
        <v>10</v>
      </c>
      <c r="C308" t="s">
        <v>70</v>
      </c>
      <c r="D308" s="4">
        <v>46139</v>
      </c>
      <c r="E308" s="5">
        <v>0.56483796296296296</v>
      </c>
      <c r="F308">
        <v>1</v>
      </c>
      <c r="G308" t="s">
        <v>82</v>
      </c>
      <c r="H308" s="7">
        <v>9</v>
      </c>
      <c r="L308" t="s">
        <v>1034</v>
      </c>
      <c r="M308" t="s">
        <v>71</v>
      </c>
      <c r="N308" s="8" t="s">
        <v>75</v>
      </c>
      <c r="O308" s="8">
        <v>1</v>
      </c>
      <c r="Q308" s="8">
        <v>1</v>
      </c>
      <c r="S308">
        <v>1</v>
      </c>
      <c r="U308" s="7">
        <v>2.6666666666666665</v>
      </c>
      <c r="W308" s="6">
        <v>0.97671111111111109</v>
      </c>
      <c r="Z308" s="6">
        <v>0.42150000000000004</v>
      </c>
      <c r="AA308">
        <v>1</v>
      </c>
    </row>
    <row r="309" spans="1:27" x14ac:dyDescent="0.25">
      <c r="A309">
        <v>76116782</v>
      </c>
      <c r="B309" t="s">
        <v>10</v>
      </c>
      <c r="C309" t="s">
        <v>70</v>
      </c>
      <c r="D309" s="4">
        <v>46139</v>
      </c>
      <c r="E309" s="5">
        <v>0.56570601851851854</v>
      </c>
      <c r="F309">
        <v>1</v>
      </c>
      <c r="G309" t="s">
        <v>82</v>
      </c>
      <c r="H309" s="7">
        <v>14</v>
      </c>
      <c r="L309" t="s">
        <v>1036</v>
      </c>
      <c r="M309" t="s">
        <v>71</v>
      </c>
      <c r="N309" s="8" t="s">
        <v>75</v>
      </c>
      <c r="O309" s="8">
        <v>1</v>
      </c>
      <c r="Q309" s="8">
        <v>1</v>
      </c>
      <c r="S309">
        <v>1</v>
      </c>
      <c r="U309" s="7">
        <v>8.3333333333333329E-2</v>
      </c>
      <c r="W309" s="6">
        <v>0.98315555555555556</v>
      </c>
      <c r="Z309" s="6">
        <v>0.43483333333333335</v>
      </c>
      <c r="AA309">
        <v>1</v>
      </c>
    </row>
    <row r="310" spans="1:27" x14ac:dyDescent="0.25">
      <c r="A310">
        <v>76116784</v>
      </c>
      <c r="B310" t="s">
        <v>10</v>
      </c>
      <c r="C310" t="s">
        <v>70</v>
      </c>
      <c r="D310" s="4">
        <v>46139</v>
      </c>
      <c r="E310" s="5">
        <v>0.56685185185185183</v>
      </c>
      <c r="F310">
        <v>1</v>
      </c>
      <c r="G310" t="s">
        <v>82</v>
      </c>
      <c r="H310" s="7">
        <v>17.75</v>
      </c>
      <c r="L310">
        <v>80315759</v>
      </c>
      <c r="M310" t="s">
        <v>71</v>
      </c>
      <c r="N310" s="8" t="s">
        <v>77</v>
      </c>
      <c r="O310" s="8">
        <v>1</v>
      </c>
      <c r="S310">
        <v>1</v>
      </c>
      <c r="T310" s="7">
        <v>44.166666666666664</v>
      </c>
      <c r="W310" s="6">
        <v>0.99293333333333333</v>
      </c>
      <c r="Z310" s="6">
        <v>0.44483333333333336</v>
      </c>
      <c r="AA310">
        <v>1</v>
      </c>
    </row>
    <row r="311" spans="1:27" x14ac:dyDescent="0.25">
      <c r="A311">
        <v>76116787</v>
      </c>
      <c r="B311" t="s">
        <v>10</v>
      </c>
      <c r="C311" t="s">
        <v>70</v>
      </c>
      <c r="D311" s="4">
        <v>46139</v>
      </c>
      <c r="E311" s="5">
        <v>0.56827546296296294</v>
      </c>
      <c r="F311">
        <v>1</v>
      </c>
      <c r="G311" t="s">
        <v>82</v>
      </c>
      <c r="H311" s="7">
        <v>30</v>
      </c>
      <c r="L311" t="s">
        <v>1046</v>
      </c>
      <c r="M311" t="s">
        <v>71</v>
      </c>
      <c r="N311" s="8">
        <v>1</v>
      </c>
      <c r="O311" s="8">
        <v>1</v>
      </c>
      <c r="R311" s="8">
        <v>1</v>
      </c>
      <c r="S311">
        <v>1</v>
      </c>
      <c r="T311" s="7">
        <v>5.583333333333333</v>
      </c>
      <c r="W311" s="6">
        <v>1.0256000000000001</v>
      </c>
      <c r="Y311" s="6">
        <v>0.21</v>
      </c>
      <c r="AA311">
        <v>1</v>
      </c>
    </row>
    <row r="312" spans="1:27" x14ac:dyDescent="0.25">
      <c r="A312">
        <v>76116791</v>
      </c>
      <c r="B312" t="s">
        <v>10</v>
      </c>
      <c r="C312" t="s">
        <v>70</v>
      </c>
      <c r="D312" s="4">
        <v>46139</v>
      </c>
      <c r="E312" s="5">
        <v>0.56966435185185182</v>
      </c>
      <c r="F312">
        <v>1</v>
      </c>
      <c r="G312" t="s">
        <v>82</v>
      </c>
      <c r="H312" s="7">
        <v>22.5</v>
      </c>
      <c r="L312" t="s">
        <v>1047</v>
      </c>
      <c r="M312" t="s">
        <v>71</v>
      </c>
      <c r="N312" s="8" t="s">
        <v>75</v>
      </c>
      <c r="O312" s="8">
        <v>1</v>
      </c>
      <c r="R312" s="8">
        <v>1</v>
      </c>
      <c r="S312">
        <v>1</v>
      </c>
      <c r="T312" s="7">
        <v>13.333333333333332</v>
      </c>
      <c r="W312" s="6">
        <v>1.0056</v>
      </c>
      <c r="Y312" s="6">
        <v>0.21</v>
      </c>
      <c r="AA312">
        <v>1</v>
      </c>
    </row>
    <row r="313" spans="1:27" x14ac:dyDescent="0.25">
      <c r="A313">
        <v>76116792</v>
      </c>
      <c r="B313" t="s">
        <v>10</v>
      </c>
      <c r="C313" t="s">
        <v>70</v>
      </c>
      <c r="D313" s="4">
        <v>46139</v>
      </c>
      <c r="E313" s="5">
        <v>0.57040509259259253</v>
      </c>
      <c r="F313">
        <v>1</v>
      </c>
      <c r="G313" t="s">
        <v>82</v>
      </c>
      <c r="H313" s="7">
        <v>4</v>
      </c>
      <c r="L313" t="s">
        <v>1052</v>
      </c>
      <c r="M313" t="s">
        <v>71</v>
      </c>
      <c r="N313" s="8" t="s">
        <v>75</v>
      </c>
      <c r="O313" s="8">
        <v>1</v>
      </c>
      <c r="S313">
        <v>1</v>
      </c>
      <c r="T313" s="7">
        <v>59.583333333333329</v>
      </c>
      <c r="W313" s="6">
        <v>0.95626666666666671</v>
      </c>
      <c r="Z313" s="6">
        <v>0.40816666666666668</v>
      </c>
      <c r="AA313">
        <v>1</v>
      </c>
    </row>
    <row r="314" spans="1:27" x14ac:dyDescent="0.25">
      <c r="A314">
        <v>76116794</v>
      </c>
      <c r="B314" t="s">
        <v>10</v>
      </c>
      <c r="C314" t="s">
        <v>70</v>
      </c>
      <c r="D314" s="4">
        <v>46139</v>
      </c>
      <c r="E314" s="5">
        <v>0.5716782407407407</v>
      </c>
      <c r="F314">
        <v>1</v>
      </c>
      <c r="G314" t="s">
        <v>82</v>
      </c>
      <c r="H314" s="7">
        <v>18</v>
      </c>
      <c r="L314" t="s">
        <v>1055</v>
      </c>
      <c r="M314" t="s">
        <v>71</v>
      </c>
      <c r="N314" s="8">
        <v>1</v>
      </c>
      <c r="O314" s="8">
        <v>1</v>
      </c>
      <c r="R314" s="8">
        <v>1</v>
      </c>
      <c r="S314">
        <v>1</v>
      </c>
      <c r="T314" s="7">
        <v>10.25</v>
      </c>
      <c r="W314" s="6">
        <v>0.99360000000000004</v>
      </c>
      <c r="Y314" s="6">
        <v>0.21</v>
      </c>
      <c r="AA314">
        <v>1</v>
      </c>
    </row>
    <row r="315" spans="1:27" x14ac:dyDescent="0.25">
      <c r="A315">
        <v>76116797</v>
      </c>
      <c r="B315" t="s">
        <v>10</v>
      </c>
      <c r="C315" t="s">
        <v>70</v>
      </c>
      <c r="D315" s="4">
        <v>46139</v>
      </c>
      <c r="E315" s="5">
        <v>0.57251157407407405</v>
      </c>
      <c r="F315">
        <v>1</v>
      </c>
      <c r="G315" t="s">
        <v>82</v>
      </c>
      <c r="H315" s="7">
        <v>16.5</v>
      </c>
      <c r="L315" t="s">
        <v>1057</v>
      </c>
      <c r="M315" t="s">
        <v>71</v>
      </c>
      <c r="N315" s="8" t="s">
        <v>78</v>
      </c>
      <c r="O315" s="8">
        <v>1</v>
      </c>
      <c r="R315" s="8">
        <v>1</v>
      </c>
      <c r="S315">
        <v>1</v>
      </c>
      <c r="T315" s="7">
        <v>8.8333333333333339</v>
      </c>
      <c r="W315" s="6">
        <v>0.98960000000000004</v>
      </c>
      <c r="Y315" s="6">
        <v>0.21</v>
      </c>
      <c r="AA315">
        <v>1</v>
      </c>
    </row>
    <row r="316" spans="1:27" x14ac:dyDescent="0.25">
      <c r="A316">
        <v>76116800</v>
      </c>
      <c r="B316" t="s">
        <v>10</v>
      </c>
      <c r="C316" t="s">
        <v>70</v>
      </c>
      <c r="D316" s="4">
        <v>46139</v>
      </c>
      <c r="E316" s="5">
        <v>0.57332175925925921</v>
      </c>
      <c r="F316">
        <v>1</v>
      </c>
      <c r="G316" t="s">
        <v>82</v>
      </c>
      <c r="H316" s="7">
        <v>25</v>
      </c>
      <c r="L316">
        <v>1804706195</v>
      </c>
      <c r="M316" t="s">
        <v>71</v>
      </c>
      <c r="N316" s="8" t="s">
        <v>75</v>
      </c>
      <c r="O316" s="8">
        <v>1</v>
      </c>
      <c r="S316">
        <v>1</v>
      </c>
      <c r="T316" s="7">
        <v>50.416666666666664</v>
      </c>
      <c r="W316" s="6">
        <v>1.0122666666666666</v>
      </c>
      <c r="Z316" s="6">
        <v>0.46416666666666667</v>
      </c>
      <c r="AA316">
        <v>1</v>
      </c>
    </row>
    <row r="317" spans="1:27" x14ac:dyDescent="0.25">
      <c r="A317">
        <v>76116801</v>
      </c>
      <c r="B317" t="s">
        <v>10</v>
      </c>
      <c r="C317" t="s">
        <v>70</v>
      </c>
      <c r="D317" s="4">
        <v>46139</v>
      </c>
      <c r="E317" s="5">
        <v>0.57418981481481479</v>
      </c>
      <c r="F317">
        <v>1</v>
      </c>
      <c r="G317" t="s">
        <v>82</v>
      </c>
      <c r="H317" s="7">
        <v>4</v>
      </c>
      <c r="L317">
        <v>75814605</v>
      </c>
      <c r="M317" t="s">
        <v>71</v>
      </c>
      <c r="N317" s="8" t="s">
        <v>75</v>
      </c>
      <c r="O317" s="8">
        <v>1</v>
      </c>
      <c r="S317">
        <v>1</v>
      </c>
      <c r="T317" s="7">
        <v>63</v>
      </c>
      <c r="W317" s="6">
        <v>0.95626666666666671</v>
      </c>
      <c r="Z317" s="6">
        <v>0.40816666666666668</v>
      </c>
      <c r="AA317">
        <v>1</v>
      </c>
    </row>
    <row r="318" spans="1:27" x14ac:dyDescent="0.25">
      <c r="A318">
        <v>76116803</v>
      </c>
      <c r="B318" t="s">
        <v>10</v>
      </c>
      <c r="C318" t="s">
        <v>70</v>
      </c>
      <c r="D318" s="4">
        <v>46139</v>
      </c>
      <c r="E318" s="5">
        <v>0.57622685185185185</v>
      </c>
      <c r="F318">
        <v>1</v>
      </c>
      <c r="G318" t="s">
        <v>82</v>
      </c>
      <c r="H318" s="7">
        <v>19</v>
      </c>
      <c r="L318" t="s">
        <v>1066</v>
      </c>
      <c r="M318" t="s">
        <v>71</v>
      </c>
      <c r="N318" s="8">
        <v>1</v>
      </c>
      <c r="O318" s="8">
        <v>1</v>
      </c>
      <c r="S318">
        <v>1</v>
      </c>
      <c r="T318" s="7">
        <v>29.166666666666664</v>
      </c>
      <c r="W318" s="6">
        <v>0.99626666666666663</v>
      </c>
      <c r="Z318" s="6">
        <v>0.44816666666666671</v>
      </c>
      <c r="AA318">
        <v>1</v>
      </c>
    </row>
    <row r="319" spans="1:27" x14ac:dyDescent="0.25">
      <c r="A319">
        <v>76116810</v>
      </c>
      <c r="B319" t="s">
        <v>10</v>
      </c>
      <c r="C319" t="s">
        <v>70</v>
      </c>
      <c r="D319" s="4">
        <v>46139</v>
      </c>
      <c r="E319" s="5">
        <v>0.57928240740740733</v>
      </c>
      <c r="F319">
        <v>1</v>
      </c>
      <c r="G319" t="s">
        <v>82</v>
      </c>
      <c r="H319" s="7">
        <v>68</v>
      </c>
      <c r="L319">
        <v>1805186603</v>
      </c>
      <c r="M319" t="s">
        <v>71</v>
      </c>
      <c r="N319" s="8" t="s">
        <v>75</v>
      </c>
      <c r="O319" s="8">
        <v>1</v>
      </c>
      <c r="Q319" s="8">
        <v>1</v>
      </c>
      <c r="S319">
        <v>1</v>
      </c>
      <c r="U319" s="7">
        <v>8.3333333333333329E-2</v>
      </c>
      <c r="W319" s="6">
        <v>1.1271555555555555</v>
      </c>
      <c r="Z319" s="6">
        <v>0.57883333333333331</v>
      </c>
      <c r="AA319">
        <v>1</v>
      </c>
    </row>
    <row r="320" spans="1:27" x14ac:dyDescent="0.25">
      <c r="A320">
        <v>76116821</v>
      </c>
      <c r="B320" t="s">
        <v>10</v>
      </c>
      <c r="C320" t="s">
        <v>70</v>
      </c>
      <c r="D320" s="4">
        <v>46139</v>
      </c>
      <c r="E320" s="5">
        <v>0.59291666666666665</v>
      </c>
      <c r="F320">
        <v>1</v>
      </c>
      <c r="G320" t="s">
        <v>82</v>
      </c>
      <c r="H320" s="7">
        <v>19.75</v>
      </c>
      <c r="L320" t="s">
        <v>1080</v>
      </c>
      <c r="M320" t="s">
        <v>71</v>
      </c>
      <c r="N320" s="8">
        <v>1</v>
      </c>
      <c r="O320" s="8">
        <v>1</v>
      </c>
      <c r="R320" s="8">
        <v>1</v>
      </c>
      <c r="S320">
        <v>1</v>
      </c>
      <c r="T320" s="7">
        <v>10</v>
      </c>
      <c r="W320" s="6">
        <v>0.99826666666666664</v>
      </c>
      <c r="Y320" s="6">
        <v>0.21</v>
      </c>
      <c r="AA320">
        <v>1</v>
      </c>
    </row>
    <row r="321" spans="1:27" x14ac:dyDescent="0.25">
      <c r="A321">
        <v>76116822</v>
      </c>
      <c r="B321" t="s">
        <v>10</v>
      </c>
      <c r="C321" t="s">
        <v>70</v>
      </c>
      <c r="D321" s="4">
        <v>46139</v>
      </c>
      <c r="E321" s="5">
        <v>0.59357638888888886</v>
      </c>
      <c r="F321">
        <v>1</v>
      </c>
      <c r="G321" t="s">
        <v>82</v>
      </c>
      <c r="H321" s="7">
        <v>1</v>
      </c>
      <c r="L321" t="s">
        <v>1082</v>
      </c>
      <c r="M321" t="s">
        <v>71</v>
      </c>
      <c r="N321" s="8" t="s">
        <v>75</v>
      </c>
      <c r="O321" s="8">
        <v>1</v>
      </c>
      <c r="S321">
        <v>1</v>
      </c>
      <c r="T321" s="7">
        <v>35.25</v>
      </c>
      <c r="W321" s="6">
        <v>0.9482666666666667</v>
      </c>
      <c r="Z321" s="6">
        <v>0.40016666666666667</v>
      </c>
      <c r="AA321">
        <v>1</v>
      </c>
    </row>
    <row r="322" spans="1:27" x14ac:dyDescent="0.25">
      <c r="A322">
        <v>76116825</v>
      </c>
      <c r="B322" t="s">
        <v>10</v>
      </c>
      <c r="C322" t="s">
        <v>70</v>
      </c>
      <c r="D322" s="4">
        <v>46139</v>
      </c>
      <c r="E322" s="5">
        <v>0.59543981481481478</v>
      </c>
      <c r="F322">
        <v>1</v>
      </c>
      <c r="G322" t="s">
        <v>82</v>
      </c>
      <c r="H322" s="7">
        <v>1</v>
      </c>
      <c r="L322" t="s">
        <v>1086</v>
      </c>
      <c r="M322" t="s">
        <v>71</v>
      </c>
      <c r="N322" s="8" t="s">
        <v>75</v>
      </c>
      <c r="O322" s="8">
        <v>1</v>
      </c>
      <c r="R322" s="8">
        <v>1</v>
      </c>
      <c r="S322">
        <v>1</v>
      </c>
      <c r="T322" s="7">
        <v>22.583333333333332</v>
      </c>
      <c r="W322" s="6">
        <v>0.9482666666666667</v>
      </c>
      <c r="Y322" s="6">
        <v>0.21</v>
      </c>
      <c r="AA322">
        <v>1</v>
      </c>
    </row>
    <row r="323" spans="1:27" x14ac:dyDescent="0.25">
      <c r="A323">
        <v>76116827</v>
      </c>
      <c r="B323" t="s">
        <v>10</v>
      </c>
      <c r="C323" t="s">
        <v>70</v>
      </c>
      <c r="D323" s="4">
        <v>46139</v>
      </c>
      <c r="E323" s="5">
        <v>0.59633101851851855</v>
      </c>
      <c r="F323">
        <v>1</v>
      </c>
      <c r="G323" t="s">
        <v>82</v>
      </c>
      <c r="H323" s="7">
        <v>18</v>
      </c>
      <c r="L323" t="s">
        <v>1088</v>
      </c>
      <c r="M323" t="s">
        <v>71</v>
      </c>
      <c r="N323" s="8" t="s">
        <v>75</v>
      </c>
      <c r="O323" s="8">
        <v>1</v>
      </c>
      <c r="S323">
        <v>1</v>
      </c>
      <c r="T323" s="7">
        <v>286.5</v>
      </c>
      <c r="W323" s="6">
        <v>0.99360000000000004</v>
      </c>
      <c r="Z323" s="6">
        <v>0.44550000000000001</v>
      </c>
      <c r="AA323">
        <v>1</v>
      </c>
    </row>
    <row r="324" spans="1:27" x14ac:dyDescent="0.25">
      <c r="A324">
        <v>76116831</v>
      </c>
      <c r="B324" t="s">
        <v>10</v>
      </c>
      <c r="C324" t="s">
        <v>70</v>
      </c>
      <c r="D324" s="4">
        <v>46139</v>
      </c>
      <c r="E324" s="5">
        <v>0.59701388888888884</v>
      </c>
      <c r="F324">
        <v>1</v>
      </c>
      <c r="G324" t="s">
        <v>82</v>
      </c>
      <c r="H324" s="7">
        <v>9</v>
      </c>
      <c r="L324" t="s">
        <v>1092</v>
      </c>
      <c r="M324" t="s">
        <v>71</v>
      </c>
      <c r="N324" s="8" t="s">
        <v>77</v>
      </c>
      <c r="O324" s="8">
        <v>1</v>
      </c>
      <c r="S324">
        <v>1</v>
      </c>
      <c r="T324" s="7">
        <v>92.083333333333329</v>
      </c>
      <c r="W324" s="6">
        <v>0.96960000000000002</v>
      </c>
      <c r="Z324" s="6">
        <v>0.42150000000000004</v>
      </c>
      <c r="AA324">
        <v>1</v>
      </c>
    </row>
    <row r="325" spans="1:27" x14ac:dyDescent="0.25">
      <c r="A325">
        <v>76116832</v>
      </c>
      <c r="B325" t="s">
        <v>10</v>
      </c>
      <c r="C325" t="s">
        <v>70</v>
      </c>
      <c r="D325" s="4">
        <v>46139</v>
      </c>
      <c r="E325" s="5">
        <v>0.5977662037037037</v>
      </c>
      <c r="F325">
        <v>1</v>
      </c>
      <c r="G325" t="s">
        <v>82</v>
      </c>
      <c r="H325" s="7">
        <v>1</v>
      </c>
      <c r="L325" t="s">
        <v>1094</v>
      </c>
      <c r="M325" t="s">
        <v>71</v>
      </c>
      <c r="N325" s="8" t="s">
        <v>78</v>
      </c>
      <c r="O325" s="8">
        <v>1</v>
      </c>
      <c r="S325">
        <v>1</v>
      </c>
      <c r="T325" s="7">
        <v>226</v>
      </c>
      <c r="W325" s="6">
        <v>0.9482666666666667</v>
      </c>
      <c r="Z325" s="6">
        <v>0.40016666666666667</v>
      </c>
      <c r="AA325">
        <v>1</v>
      </c>
    </row>
    <row r="326" spans="1:27" x14ac:dyDescent="0.25">
      <c r="A326">
        <v>76116836</v>
      </c>
      <c r="B326" t="s">
        <v>10</v>
      </c>
      <c r="C326" t="s">
        <v>70</v>
      </c>
      <c r="D326" s="4">
        <v>46139</v>
      </c>
      <c r="E326" s="5">
        <v>0.59857638888888887</v>
      </c>
      <c r="F326">
        <v>1</v>
      </c>
      <c r="G326" t="s">
        <v>82</v>
      </c>
      <c r="H326" s="7">
        <v>3</v>
      </c>
      <c r="L326" t="s">
        <v>1098</v>
      </c>
      <c r="M326" t="s">
        <v>71</v>
      </c>
      <c r="N326" s="8" t="s">
        <v>75</v>
      </c>
      <c r="O326" s="8">
        <v>1</v>
      </c>
      <c r="S326">
        <v>1</v>
      </c>
      <c r="T326" s="7">
        <v>52.166666666666671</v>
      </c>
      <c r="W326" s="6">
        <v>0.9536</v>
      </c>
      <c r="Z326" s="6">
        <v>0.40550000000000003</v>
      </c>
      <c r="AA326">
        <v>1</v>
      </c>
    </row>
    <row r="327" spans="1:27" x14ac:dyDescent="0.25">
      <c r="A327">
        <v>76116838</v>
      </c>
      <c r="B327" t="s">
        <v>10</v>
      </c>
      <c r="C327" t="s">
        <v>70</v>
      </c>
      <c r="D327" s="4">
        <v>46139</v>
      </c>
      <c r="E327" s="5">
        <v>0.59986111111111107</v>
      </c>
      <c r="F327">
        <v>1</v>
      </c>
      <c r="G327" t="s">
        <v>82</v>
      </c>
      <c r="H327" s="7">
        <v>1</v>
      </c>
      <c r="L327" t="s">
        <v>1100</v>
      </c>
      <c r="M327" t="s">
        <v>71</v>
      </c>
      <c r="N327" s="8" t="s">
        <v>75</v>
      </c>
      <c r="O327" s="8">
        <v>1</v>
      </c>
      <c r="R327" s="8">
        <v>1</v>
      </c>
      <c r="S327">
        <v>1</v>
      </c>
      <c r="T327" s="7">
        <v>13.25</v>
      </c>
      <c r="W327" s="6">
        <v>0.9482666666666667</v>
      </c>
      <c r="Y327" s="6">
        <v>0.21</v>
      </c>
      <c r="AA327">
        <v>1</v>
      </c>
    </row>
    <row r="328" spans="1:27" x14ac:dyDescent="0.25">
      <c r="A328">
        <v>76116840</v>
      </c>
      <c r="B328" t="s">
        <v>10</v>
      </c>
      <c r="C328" t="s">
        <v>70</v>
      </c>
      <c r="D328" s="4">
        <v>46139</v>
      </c>
      <c r="E328" s="5">
        <v>0.60105324074074074</v>
      </c>
      <c r="F328">
        <v>1</v>
      </c>
      <c r="G328" t="s">
        <v>82</v>
      </c>
      <c r="H328" s="7">
        <v>22.5</v>
      </c>
      <c r="L328">
        <v>76027120</v>
      </c>
      <c r="M328" t="s">
        <v>71</v>
      </c>
      <c r="N328" s="8">
        <v>1</v>
      </c>
      <c r="O328" s="8">
        <v>1</v>
      </c>
      <c r="Q328" s="8">
        <v>1</v>
      </c>
      <c r="S328">
        <v>1</v>
      </c>
      <c r="U328" s="7">
        <v>0.5</v>
      </c>
      <c r="W328" s="6">
        <v>1.0069333333333332</v>
      </c>
      <c r="Z328" s="6">
        <v>0.45750000000000002</v>
      </c>
      <c r="AA328">
        <v>1</v>
      </c>
    </row>
    <row r="329" spans="1:27" x14ac:dyDescent="0.25">
      <c r="A329">
        <v>76116841</v>
      </c>
      <c r="B329" t="s">
        <v>10</v>
      </c>
      <c r="C329" t="s">
        <v>70</v>
      </c>
      <c r="D329" s="4">
        <v>46139</v>
      </c>
      <c r="E329" s="5">
        <v>0.60194444444444439</v>
      </c>
      <c r="F329">
        <v>1</v>
      </c>
      <c r="G329" t="s">
        <v>82</v>
      </c>
      <c r="H329" s="7">
        <v>50</v>
      </c>
      <c r="L329" t="s">
        <v>1107</v>
      </c>
      <c r="M329" t="s">
        <v>71</v>
      </c>
      <c r="N329" s="8">
        <v>1</v>
      </c>
      <c r="O329" s="8">
        <v>1</v>
      </c>
      <c r="W329" s="6">
        <v>1.0789333333333333</v>
      </c>
    </row>
    <row r="330" spans="1:27" x14ac:dyDescent="0.25">
      <c r="A330">
        <v>76116842</v>
      </c>
      <c r="B330" t="s">
        <v>10</v>
      </c>
      <c r="C330" t="s">
        <v>70</v>
      </c>
      <c r="D330" s="4">
        <v>46139</v>
      </c>
      <c r="E330" s="5">
        <v>0.60233796296296294</v>
      </c>
      <c r="F330">
        <v>1</v>
      </c>
      <c r="G330" t="s">
        <v>82</v>
      </c>
      <c r="H330" s="7">
        <v>72</v>
      </c>
      <c r="L330" t="s">
        <v>1107</v>
      </c>
      <c r="M330" t="s">
        <v>71</v>
      </c>
      <c r="N330" s="8">
        <v>1</v>
      </c>
      <c r="P330" s="8">
        <v>1</v>
      </c>
      <c r="S330">
        <v>1</v>
      </c>
      <c r="T330" s="7">
        <v>59.75</v>
      </c>
      <c r="X330" s="6">
        <v>0.58950000000000002</v>
      </c>
      <c r="Z330" s="6">
        <v>0.58950000000000002</v>
      </c>
      <c r="AA330">
        <v>2</v>
      </c>
    </row>
    <row r="331" spans="1:27" x14ac:dyDescent="0.25">
      <c r="A331">
        <v>76116844</v>
      </c>
      <c r="B331" t="s">
        <v>10</v>
      </c>
      <c r="C331" t="s">
        <v>70</v>
      </c>
      <c r="D331" s="4">
        <v>46139</v>
      </c>
      <c r="E331" s="5">
        <v>0.60337962962962965</v>
      </c>
      <c r="F331">
        <v>1</v>
      </c>
      <c r="G331" t="s">
        <v>82</v>
      </c>
      <c r="H331" s="7">
        <v>8</v>
      </c>
      <c r="L331" t="s">
        <v>1113</v>
      </c>
      <c r="M331" t="s">
        <v>71</v>
      </c>
      <c r="N331" s="8" t="s">
        <v>75</v>
      </c>
      <c r="O331" s="8">
        <v>1</v>
      </c>
      <c r="S331">
        <v>1</v>
      </c>
      <c r="T331" s="7">
        <v>167.16666666666666</v>
      </c>
      <c r="W331" s="6">
        <v>0.96693333333333331</v>
      </c>
      <c r="Z331" s="6">
        <v>0.41883333333333334</v>
      </c>
      <c r="AA331">
        <v>1</v>
      </c>
    </row>
    <row r="332" spans="1:27" x14ac:dyDescent="0.25">
      <c r="A332">
        <v>76116847</v>
      </c>
      <c r="B332" t="s">
        <v>10</v>
      </c>
      <c r="C332" t="s">
        <v>70</v>
      </c>
      <c r="D332" s="4">
        <v>46139</v>
      </c>
      <c r="E332" s="5">
        <v>0.60400462962962964</v>
      </c>
      <c r="F332">
        <v>1</v>
      </c>
      <c r="G332" t="s">
        <v>82</v>
      </c>
      <c r="H332" s="7">
        <v>1</v>
      </c>
      <c r="L332" t="s">
        <v>1118</v>
      </c>
      <c r="M332" t="s">
        <v>71</v>
      </c>
      <c r="N332" s="8" t="s">
        <v>75</v>
      </c>
      <c r="O332" s="8">
        <v>1</v>
      </c>
      <c r="S332">
        <v>1</v>
      </c>
      <c r="T332" s="7">
        <v>35.666666666666664</v>
      </c>
      <c r="W332" s="6">
        <v>0.9482666666666667</v>
      </c>
      <c r="Z332" s="6">
        <v>0.40016666666666667</v>
      </c>
      <c r="AA332">
        <v>1</v>
      </c>
    </row>
    <row r="333" spans="1:27" x14ac:dyDescent="0.25">
      <c r="A333">
        <v>76116849</v>
      </c>
      <c r="B333" t="s">
        <v>10</v>
      </c>
      <c r="C333" t="s">
        <v>70</v>
      </c>
      <c r="D333" s="4">
        <v>46139</v>
      </c>
      <c r="E333" s="5">
        <v>0.60598379629629628</v>
      </c>
      <c r="F333">
        <v>1</v>
      </c>
      <c r="G333" t="s">
        <v>82</v>
      </c>
      <c r="H333" s="7">
        <v>96.25</v>
      </c>
      <c r="L333" t="s">
        <v>655</v>
      </c>
      <c r="M333" t="s">
        <v>71</v>
      </c>
      <c r="N333" s="8">
        <v>1</v>
      </c>
      <c r="O333" s="8">
        <v>1</v>
      </c>
      <c r="Q333" s="8">
        <v>1</v>
      </c>
      <c r="S333">
        <v>1</v>
      </c>
      <c r="U333" s="7">
        <v>1</v>
      </c>
      <c r="W333" s="6">
        <v>1.2049333333333334</v>
      </c>
      <c r="Z333" s="6">
        <v>0.65416666666666667</v>
      </c>
      <c r="AA333">
        <v>1</v>
      </c>
    </row>
    <row r="334" spans="1:27" x14ac:dyDescent="0.25">
      <c r="A334">
        <v>76116851</v>
      </c>
      <c r="B334" t="s">
        <v>10</v>
      </c>
      <c r="C334" t="s">
        <v>70</v>
      </c>
      <c r="D334" s="4">
        <v>46139</v>
      </c>
      <c r="E334" s="5">
        <v>0.60663194444444446</v>
      </c>
      <c r="F334">
        <v>1</v>
      </c>
      <c r="G334" t="s">
        <v>82</v>
      </c>
      <c r="H334" s="7">
        <v>8</v>
      </c>
      <c r="L334" t="s">
        <v>1123</v>
      </c>
      <c r="M334" t="s">
        <v>71</v>
      </c>
      <c r="N334" s="8">
        <v>1</v>
      </c>
      <c r="O334" s="8">
        <v>1</v>
      </c>
      <c r="R334" s="8">
        <v>1</v>
      </c>
      <c r="S334">
        <v>1</v>
      </c>
      <c r="T334" s="7">
        <v>10</v>
      </c>
      <c r="W334" s="6">
        <v>0.96693333333333331</v>
      </c>
      <c r="Y334" s="6">
        <v>0.21</v>
      </c>
      <c r="AA334">
        <v>1</v>
      </c>
    </row>
    <row r="335" spans="1:27" x14ac:dyDescent="0.25">
      <c r="A335">
        <v>76116853</v>
      </c>
      <c r="B335" t="s">
        <v>10</v>
      </c>
      <c r="C335" t="s">
        <v>70</v>
      </c>
      <c r="D335" s="4">
        <v>46139</v>
      </c>
      <c r="E335" s="5">
        <v>0.60774305555555552</v>
      </c>
      <c r="F335">
        <v>1</v>
      </c>
      <c r="G335" t="s">
        <v>82</v>
      </c>
      <c r="H335" s="7">
        <v>67</v>
      </c>
      <c r="L335" t="s">
        <v>1127</v>
      </c>
      <c r="M335" t="s">
        <v>71</v>
      </c>
      <c r="N335" s="8">
        <v>1</v>
      </c>
      <c r="O335" s="8">
        <v>1</v>
      </c>
      <c r="S335">
        <v>1</v>
      </c>
      <c r="T335" s="7">
        <v>130.08333333333334</v>
      </c>
      <c r="W335" s="6">
        <v>1.1242666666666667</v>
      </c>
      <c r="Z335" s="6">
        <v>0.57616666666666672</v>
      </c>
      <c r="AA335">
        <v>1</v>
      </c>
    </row>
    <row r="336" spans="1:27" x14ac:dyDescent="0.25">
      <c r="A336">
        <v>76116854</v>
      </c>
      <c r="B336" t="s">
        <v>10</v>
      </c>
      <c r="C336" t="s">
        <v>70</v>
      </c>
      <c r="D336" s="4">
        <v>46139</v>
      </c>
      <c r="E336" s="5">
        <v>0.60840277777777774</v>
      </c>
      <c r="F336">
        <v>1</v>
      </c>
      <c r="G336" t="s">
        <v>82</v>
      </c>
      <c r="H336" s="7">
        <v>24</v>
      </c>
      <c r="L336" t="s">
        <v>1129</v>
      </c>
      <c r="M336" t="s">
        <v>71</v>
      </c>
      <c r="N336" s="8" t="s">
        <v>75</v>
      </c>
      <c r="O336" s="8">
        <v>1</v>
      </c>
      <c r="W336" s="6">
        <v>1.0096000000000001</v>
      </c>
    </row>
    <row r="337" spans="1:27" x14ac:dyDescent="0.25">
      <c r="A337">
        <v>76116855</v>
      </c>
      <c r="B337" t="s">
        <v>10</v>
      </c>
      <c r="C337" t="s">
        <v>70</v>
      </c>
      <c r="D337" s="4">
        <v>46139</v>
      </c>
      <c r="E337" s="5">
        <v>0.60866898148148141</v>
      </c>
      <c r="F337">
        <v>1</v>
      </c>
      <c r="G337" t="s">
        <v>82</v>
      </c>
      <c r="H337" s="7">
        <v>42</v>
      </c>
      <c r="L337" t="s">
        <v>1129</v>
      </c>
      <c r="M337" t="s">
        <v>71</v>
      </c>
      <c r="N337" s="8" t="s">
        <v>75</v>
      </c>
      <c r="P337" s="8">
        <v>1</v>
      </c>
      <c r="S337">
        <v>1</v>
      </c>
      <c r="T337" s="7">
        <v>70.5</v>
      </c>
      <c r="X337" s="6">
        <v>0.50950000000000006</v>
      </c>
      <c r="Z337" s="6">
        <v>0.50950000000000006</v>
      </c>
      <c r="AA337">
        <v>2</v>
      </c>
    </row>
    <row r="338" spans="1:27" x14ac:dyDescent="0.25">
      <c r="A338">
        <v>76116858</v>
      </c>
      <c r="B338" t="s">
        <v>10</v>
      </c>
      <c r="C338" t="s">
        <v>70</v>
      </c>
      <c r="D338" s="4">
        <v>46139</v>
      </c>
      <c r="E338" s="5">
        <v>0.61001157407407403</v>
      </c>
      <c r="F338">
        <v>1</v>
      </c>
      <c r="G338" t="s">
        <v>82</v>
      </c>
      <c r="H338" s="7">
        <v>69</v>
      </c>
      <c r="L338">
        <v>76036034</v>
      </c>
      <c r="M338" t="s">
        <v>71</v>
      </c>
      <c r="N338" s="8">
        <v>1</v>
      </c>
      <c r="O338" s="8">
        <v>1</v>
      </c>
      <c r="R338" s="8">
        <v>1</v>
      </c>
      <c r="S338">
        <v>1</v>
      </c>
      <c r="T338" s="7">
        <v>13.083333333333332</v>
      </c>
      <c r="W338" s="6">
        <v>1.1295999999999999</v>
      </c>
      <c r="Y338" s="6">
        <v>0.21</v>
      </c>
      <c r="AA338">
        <v>1</v>
      </c>
    </row>
    <row r="339" spans="1:27" x14ac:dyDescent="0.25">
      <c r="A339">
        <v>76116860</v>
      </c>
      <c r="B339" t="s">
        <v>10</v>
      </c>
      <c r="C339" t="s">
        <v>70</v>
      </c>
      <c r="D339" s="4">
        <v>46139</v>
      </c>
      <c r="E339" s="5">
        <v>0.61069444444444443</v>
      </c>
      <c r="F339">
        <v>1</v>
      </c>
      <c r="G339" t="s">
        <v>82</v>
      </c>
      <c r="H339" s="7">
        <v>1</v>
      </c>
      <c r="L339" t="s">
        <v>1139</v>
      </c>
      <c r="M339" t="s">
        <v>71</v>
      </c>
      <c r="N339" s="8" t="s">
        <v>75</v>
      </c>
      <c r="O339" s="8">
        <v>1</v>
      </c>
      <c r="R339" s="8">
        <v>1</v>
      </c>
      <c r="S339">
        <v>1</v>
      </c>
      <c r="T339" s="7">
        <v>18</v>
      </c>
      <c r="W339" s="6">
        <v>0.9482666666666667</v>
      </c>
      <c r="Y339" s="6">
        <v>0.21</v>
      </c>
      <c r="AA339">
        <v>1</v>
      </c>
    </row>
    <row r="340" spans="1:27" x14ac:dyDescent="0.25">
      <c r="A340">
        <v>76116862</v>
      </c>
      <c r="B340" t="s">
        <v>10</v>
      </c>
      <c r="C340" t="s">
        <v>70</v>
      </c>
      <c r="D340" s="4">
        <v>46139</v>
      </c>
      <c r="E340" s="5">
        <v>0.6123263888888888</v>
      </c>
      <c r="F340">
        <v>1</v>
      </c>
      <c r="G340" t="s">
        <v>82</v>
      </c>
      <c r="H340" s="7">
        <v>59.25</v>
      </c>
      <c r="L340" t="s">
        <v>1072</v>
      </c>
      <c r="M340" t="s">
        <v>71</v>
      </c>
      <c r="N340" s="8">
        <v>1</v>
      </c>
      <c r="O340" s="8">
        <v>1</v>
      </c>
      <c r="S340">
        <v>1</v>
      </c>
      <c r="T340" s="7">
        <v>92.583333333333329</v>
      </c>
      <c r="W340" s="6">
        <v>1.1035999999999999</v>
      </c>
      <c r="Z340" s="6">
        <v>0.55549999999999999</v>
      </c>
      <c r="AA340">
        <v>1</v>
      </c>
    </row>
    <row r="341" spans="1:27" x14ac:dyDescent="0.25">
      <c r="A341">
        <v>76116868</v>
      </c>
      <c r="B341" t="s">
        <v>10</v>
      </c>
      <c r="C341" t="s">
        <v>70</v>
      </c>
      <c r="D341" s="4">
        <v>46139</v>
      </c>
      <c r="E341" s="5">
        <v>0.6134722222222222</v>
      </c>
      <c r="F341">
        <v>1</v>
      </c>
      <c r="G341" t="s">
        <v>82</v>
      </c>
      <c r="H341" s="7">
        <v>67.5</v>
      </c>
      <c r="L341" t="s">
        <v>1146</v>
      </c>
      <c r="M341" t="s">
        <v>71</v>
      </c>
      <c r="N341" s="8">
        <v>1</v>
      </c>
      <c r="O341" s="8">
        <v>1</v>
      </c>
      <c r="S341">
        <v>1</v>
      </c>
      <c r="T341" s="7">
        <v>128.16666666666666</v>
      </c>
      <c r="W341" s="6">
        <v>1.1255999999999999</v>
      </c>
      <c r="Z341" s="6">
        <v>0.57750000000000001</v>
      </c>
      <c r="AA341">
        <v>1</v>
      </c>
    </row>
    <row r="342" spans="1:27" x14ac:dyDescent="0.25">
      <c r="A342">
        <v>76116872</v>
      </c>
      <c r="B342" t="s">
        <v>10</v>
      </c>
      <c r="C342" t="s">
        <v>70</v>
      </c>
      <c r="D342" s="4">
        <v>46139</v>
      </c>
      <c r="E342" s="5">
        <v>0.61425925925925928</v>
      </c>
      <c r="F342">
        <v>1</v>
      </c>
      <c r="G342" t="s">
        <v>82</v>
      </c>
      <c r="H342" s="7">
        <v>1.6666666666666665</v>
      </c>
      <c r="L342" t="s">
        <v>1149</v>
      </c>
      <c r="M342" t="s">
        <v>71</v>
      </c>
      <c r="N342" s="8">
        <v>1</v>
      </c>
      <c r="O342" s="8">
        <v>1</v>
      </c>
      <c r="W342" s="6">
        <v>0.95004444444444447</v>
      </c>
    </row>
    <row r="343" spans="1:27" x14ac:dyDescent="0.25">
      <c r="A343">
        <v>76116874</v>
      </c>
      <c r="B343" t="s">
        <v>10</v>
      </c>
      <c r="C343" t="s">
        <v>70</v>
      </c>
      <c r="D343" s="4">
        <v>46139</v>
      </c>
      <c r="E343" s="5">
        <v>0.61465277777777783</v>
      </c>
      <c r="F343">
        <v>1</v>
      </c>
      <c r="G343" t="s">
        <v>82</v>
      </c>
      <c r="H343" s="7">
        <v>12</v>
      </c>
      <c r="L343" t="s">
        <v>1149</v>
      </c>
      <c r="M343" t="s">
        <v>71</v>
      </c>
      <c r="N343" s="8">
        <v>1</v>
      </c>
      <c r="P343" s="8">
        <v>1</v>
      </c>
      <c r="S343">
        <v>1</v>
      </c>
      <c r="T343" s="7">
        <v>241.5</v>
      </c>
      <c r="X343" s="6">
        <v>0.42949999999999999</v>
      </c>
      <c r="Z343" s="6">
        <v>0.42949999999999999</v>
      </c>
      <c r="AA343">
        <v>2</v>
      </c>
    </row>
    <row r="344" spans="1:27" x14ac:dyDescent="0.25">
      <c r="A344">
        <v>76116878</v>
      </c>
      <c r="B344" t="s">
        <v>10</v>
      </c>
      <c r="C344" t="s">
        <v>70</v>
      </c>
      <c r="D344" s="4">
        <v>46139</v>
      </c>
      <c r="E344" s="5">
        <v>0.6164236111111111</v>
      </c>
      <c r="F344">
        <v>1</v>
      </c>
      <c r="G344" t="s">
        <v>82</v>
      </c>
      <c r="H344" s="7">
        <v>1</v>
      </c>
      <c r="L344" t="s">
        <v>1153</v>
      </c>
      <c r="M344" t="s">
        <v>71</v>
      </c>
      <c r="N344" s="8" t="s">
        <v>75</v>
      </c>
      <c r="O344" s="8">
        <v>1</v>
      </c>
      <c r="R344" s="8">
        <v>1</v>
      </c>
      <c r="S344">
        <v>1</v>
      </c>
      <c r="T344" s="7">
        <v>9.6666666666666661</v>
      </c>
      <c r="W344" s="6">
        <v>0.9482666666666667</v>
      </c>
      <c r="Y344" s="6">
        <v>0.21</v>
      </c>
      <c r="AA344">
        <v>1</v>
      </c>
    </row>
    <row r="345" spans="1:27" x14ac:dyDescent="0.25">
      <c r="A345">
        <v>76116882</v>
      </c>
      <c r="B345" t="s">
        <v>10</v>
      </c>
      <c r="C345" t="s">
        <v>70</v>
      </c>
      <c r="D345" s="4">
        <v>46139</v>
      </c>
      <c r="E345" s="5">
        <v>0.61751157407407409</v>
      </c>
      <c r="F345">
        <v>1</v>
      </c>
      <c r="G345" t="s">
        <v>82</v>
      </c>
      <c r="H345" s="7">
        <v>52.25</v>
      </c>
      <c r="L345" t="s">
        <v>1157</v>
      </c>
      <c r="M345" t="s">
        <v>71</v>
      </c>
      <c r="N345" s="8" t="s">
        <v>75</v>
      </c>
      <c r="O345" s="8">
        <v>1</v>
      </c>
      <c r="R345" s="8">
        <v>1</v>
      </c>
      <c r="S345">
        <v>1</v>
      </c>
      <c r="T345" s="7">
        <v>11.333333333333332</v>
      </c>
      <c r="W345" s="6">
        <v>1.0849333333333333</v>
      </c>
      <c r="Y345" s="6">
        <v>0.21</v>
      </c>
      <c r="AA345">
        <v>1</v>
      </c>
    </row>
    <row r="346" spans="1:27" x14ac:dyDescent="0.25">
      <c r="A346">
        <v>76116884</v>
      </c>
      <c r="B346" t="s">
        <v>10</v>
      </c>
      <c r="C346" t="s">
        <v>70</v>
      </c>
      <c r="D346" s="4">
        <v>46139</v>
      </c>
      <c r="E346" s="5">
        <v>0.61821759259259257</v>
      </c>
      <c r="F346">
        <v>1</v>
      </c>
      <c r="G346" t="s">
        <v>82</v>
      </c>
      <c r="H346" s="7">
        <v>1</v>
      </c>
      <c r="L346" t="s">
        <v>1161</v>
      </c>
      <c r="M346" t="s">
        <v>71</v>
      </c>
      <c r="N346" s="8" t="s">
        <v>75</v>
      </c>
      <c r="O346" s="8">
        <v>1</v>
      </c>
      <c r="R346" s="8">
        <v>1</v>
      </c>
      <c r="S346">
        <v>1</v>
      </c>
      <c r="T346" s="7">
        <v>12.666666666666664</v>
      </c>
      <c r="W346" s="6">
        <v>0.9482666666666667</v>
      </c>
      <c r="Y346" s="6">
        <v>0.21</v>
      </c>
      <c r="AA346">
        <v>1</v>
      </c>
    </row>
    <row r="347" spans="1:27" x14ac:dyDescent="0.25">
      <c r="A347">
        <v>76116885</v>
      </c>
      <c r="B347" t="s">
        <v>10</v>
      </c>
      <c r="C347" t="s">
        <v>70</v>
      </c>
      <c r="D347" s="4">
        <v>46139</v>
      </c>
      <c r="E347" s="5">
        <v>0.61921296296296291</v>
      </c>
      <c r="F347">
        <v>1</v>
      </c>
      <c r="G347" t="s">
        <v>82</v>
      </c>
      <c r="H347" s="7">
        <v>25</v>
      </c>
      <c r="L347">
        <v>1804979213</v>
      </c>
      <c r="M347" t="s">
        <v>71</v>
      </c>
      <c r="N347" s="8" t="s">
        <v>75</v>
      </c>
      <c r="O347" s="8">
        <v>1</v>
      </c>
      <c r="S347">
        <v>1</v>
      </c>
      <c r="T347" s="7">
        <v>160.66666666666666</v>
      </c>
      <c r="W347" s="6">
        <v>1.0122666666666666</v>
      </c>
      <c r="Z347" s="6">
        <v>0.46416666666666667</v>
      </c>
      <c r="AA347">
        <v>1</v>
      </c>
    </row>
    <row r="348" spans="1:27" x14ac:dyDescent="0.25">
      <c r="A348">
        <v>76116887</v>
      </c>
      <c r="B348" t="s">
        <v>10</v>
      </c>
      <c r="C348" t="s">
        <v>70</v>
      </c>
      <c r="D348" s="4">
        <v>46139</v>
      </c>
      <c r="E348" s="5">
        <v>0.61995370370370373</v>
      </c>
      <c r="F348">
        <v>1</v>
      </c>
      <c r="G348" t="s">
        <v>82</v>
      </c>
      <c r="H348" s="7">
        <v>25</v>
      </c>
      <c r="L348" t="s">
        <v>1168</v>
      </c>
      <c r="M348" t="s">
        <v>71</v>
      </c>
      <c r="N348" s="8">
        <v>1</v>
      </c>
      <c r="O348" s="8">
        <v>1</v>
      </c>
      <c r="R348" s="8">
        <v>1</v>
      </c>
      <c r="S348">
        <v>1</v>
      </c>
      <c r="T348" s="7">
        <v>15</v>
      </c>
      <c r="W348" s="6">
        <v>1.0122666666666666</v>
      </c>
      <c r="Y348" s="6">
        <v>0.21</v>
      </c>
      <c r="AA348">
        <v>1</v>
      </c>
    </row>
    <row r="349" spans="1:27" x14ac:dyDescent="0.25">
      <c r="A349">
        <v>76116889</v>
      </c>
      <c r="B349" t="s">
        <v>10</v>
      </c>
      <c r="C349" t="s">
        <v>70</v>
      </c>
      <c r="D349" s="4">
        <v>46139</v>
      </c>
      <c r="E349" s="5">
        <v>0.62085648148148143</v>
      </c>
      <c r="F349">
        <v>1</v>
      </c>
      <c r="G349" t="s">
        <v>82</v>
      </c>
      <c r="H349" s="7">
        <v>16.75</v>
      </c>
      <c r="L349" t="s">
        <v>1172</v>
      </c>
      <c r="M349" t="s">
        <v>71</v>
      </c>
      <c r="N349" s="8">
        <v>1</v>
      </c>
      <c r="O349" s="8">
        <v>1</v>
      </c>
      <c r="S349">
        <v>1</v>
      </c>
      <c r="T349" s="7">
        <v>112.16666666666667</v>
      </c>
      <c r="W349" s="6">
        <v>0.99026666666666663</v>
      </c>
      <c r="Z349" s="6">
        <v>0.44216666666666671</v>
      </c>
      <c r="AA349">
        <v>1</v>
      </c>
    </row>
    <row r="350" spans="1:27" x14ac:dyDescent="0.25">
      <c r="A350">
        <v>76116891</v>
      </c>
      <c r="B350" t="s">
        <v>10</v>
      </c>
      <c r="C350" t="s">
        <v>70</v>
      </c>
      <c r="D350" s="4">
        <v>46139</v>
      </c>
      <c r="E350" s="5">
        <v>0.62178240740740742</v>
      </c>
      <c r="F350">
        <v>1</v>
      </c>
      <c r="G350" t="s">
        <v>82</v>
      </c>
      <c r="H350" s="7">
        <v>126.75</v>
      </c>
      <c r="L350" t="s">
        <v>1176</v>
      </c>
      <c r="M350" t="s">
        <v>71</v>
      </c>
      <c r="N350" s="8" t="s">
        <v>75</v>
      </c>
      <c r="O350" s="8">
        <v>1</v>
      </c>
      <c r="R350" s="8">
        <v>1</v>
      </c>
      <c r="S350">
        <v>1</v>
      </c>
      <c r="T350" s="7">
        <v>7</v>
      </c>
      <c r="W350" s="6">
        <v>1.2836000000000001</v>
      </c>
      <c r="Y350" s="6">
        <v>0.21</v>
      </c>
      <c r="AA350">
        <v>1</v>
      </c>
    </row>
    <row r="351" spans="1:27" x14ac:dyDescent="0.25">
      <c r="A351">
        <v>76116893</v>
      </c>
      <c r="B351" t="s">
        <v>10</v>
      </c>
      <c r="C351" t="s">
        <v>70</v>
      </c>
      <c r="D351" s="4">
        <v>46139</v>
      </c>
      <c r="E351" s="5">
        <v>0.62260416666666663</v>
      </c>
      <c r="F351">
        <v>1</v>
      </c>
      <c r="G351" t="s">
        <v>82</v>
      </c>
      <c r="H351" s="7">
        <v>8.5</v>
      </c>
      <c r="L351" t="s">
        <v>1178</v>
      </c>
      <c r="M351" t="s">
        <v>71</v>
      </c>
      <c r="N351" s="8">
        <v>1</v>
      </c>
      <c r="O351" s="8">
        <v>1</v>
      </c>
      <c r="Q351" s="8">
        <v>1</v>
      </c>
      <c r="S351">
        <v>1</v>
      </c>
      <c r="U351" s="7">
        <v>0.16666666666666666</v>
      </c>
      <c r="W351" s="6">
        <v>0.96871111111111108</v>
      </c>
      <c r="Z351" s="6">
        <v>0.42016666666666669</v>
      </c>
      <c r="AA351">
        <v>1</v>
      </c>
    </row>
    <row r="352" spans="1:27" x14ac:dyDescent="0.25">
      <c r="A352">
        <v>76116895</v>
      </c>
      <c r="B352" t="s">
        <v>10</v>
      </c>
      <c r="C352" t="s">
        <v>70</v>
      </c>
      <c r="D352" s="4">
        <v>46139</v>
      </c>
      <c r="E352" s="5">
        <v>0.62333333333333329</v>
      </c>
      <c r="F352">
        <v>1</v>
      </c>
      <c r="G352" t="s">
        <v>82</v>
      </c>
      <c r="H352" s="7">
        <v>74.75</v>
      </c>
      <c r="L352" t="s">
        <v>1182</v>
      </c>
      <c r="M352" t="s">
        <v>71</v>
      </c>
      <c r="N352" s="8">
        <v>1</v>
      </c>
      <c r="O352" s="8">
        <v>1</v>
      </c>
      <c r="R352" s="8">
        <v>1</v>
      </c>
      <c r="S352">
        <v>1</v>
      </c>
      <c r="T352" s="7">
        <v>27.416666666666668</v>
      </c>
      <c r="W352" s="6">
        <v>1.1449333333333334</v>
      </c>
      <c r="Y352" s="6">
        <v>0.21</v>
      </c>
      <c r="AA352">
        <v>1</v>
      </c>
    </row>
    <row r="353" spans="1:27" x14ac:dyDescent="0.25">
      <c r="A353">
        <v>76116896</v>
      </c>
      <c r="B353" t="s">
        <v>10</v>
      </c>
      <c r="C353" t="s">
        <v>70</v>
      </c>
      <c r="D353" s="4">
        <v>46139</v>
      </c>
      <c r="E353" s="5">
        <v>0.62425925925925918</v>
      </c>
      <c r="F353">
        <v>1</v>
      </c>
      <c r="G353" t="s">
        <v>82</v>
      </c>
      <c r="H353" s="7">
        <v>49</v>
      </c>
      <c r="L353" t="s">
        <v>1184</v>
      </c>
      <c r="M353" t="s">
        <v>71</v>
      </c>
      <c r="N353" s="8">
        <v>1</v>
      </c>
      <c r="O353" s="8">
        <v>1</v>
      </c>
      <c r="S353">
        <v>1</v>
      </c>
      <c r="T353" s="7">
        <v>106.75</v>
      </c>
      <c r="W353" s="6">
        <v>1.0762666666666667</v>
      </c>
      <c r="Z353" s="6">
        <v>0.52816666666666667</v>
      </c>
      <c r="AA353">
        <v>1</v>
      </c>
    </row>
    <row r="354" spans="1:27" x14ac:dyDescent="0.25">
      <c r="A354">
        <v>76116899</v>
      </c>
      <c r="B354" t="s">
        <v>10</v>
      </c>
      <c r="C354" t="s">
        <v>70</v>
      </c>
      <c r="D354" s="4">
        <v>46139</v>
      </c>
      <c r="E354" s="5">
        <v>0.62506944444444446</v>
      </c>
      <c r="F354">
        <v>1</v>
      </c>
      <c r="G354" t="s">
        <v>82</v>
      </c>
      <c r="H354" s="7">
        <v>28</v>
      </c>
      <c r="L354" t="s">
        <v>1188</v>
      </c>
      <c r="M354" t="s">
        <v>71</v>
      </c>
      <c r="N354" s="8" t="s">
        <v>75</v>
      </c>
      <c r="O354" s="8">
        <v>1</v>
      </c>
      <c r="S354">
        <v>1</v>
      </c>
      <c r="T354" s="7">
        <v>164.08333333333334</v>
      </c>
      <c r="W354" s="6">
        <v>1.0202666666666667</v>
      </c>
      <c r="Z354" s="6">
        <v>0.47216666666666668</v>
      </c>
      <c r="AA354">
        <v>1</v>
      </c>
    </row>
    <row r="355" spans="1:27" x14ac:dyDescent="0.25">
      <c r="A355">
        <v>76116900</v>
      </c>
      <c r="B355" t="s">
        <v>10</v>
      </c>
      <c r="C355" t="s">
        <v>70</v>
      </c>
      <c r="D355" s="4">
        <v>46139</v>
      </c>
      <c r="E355" s="5">
        <v>0.62587962962962962</v>
      </c>
      <c r="F355">
        <v>1</v>
      </c>
      <c r="G355" t="s">
        <v>82</v>
      </c>
      <c r="H355" s="7">
        <v>47.083333333333329</v>
      </c>
      <c r="L355" t="s">
        <v>1190</v>
      </c>
      <c r="M355" t="s">
        <v>71</v>
      </c>
      <c r="N355" s="8">
        <v>1</v>
      </c>
      <c r="O355" s="8">
        <v>1</v>
      </c>
      <c r="Q355" s="8">
        <v>1</v>
      </c>
      <c r="S355">
        <v>1</v>
      </c>
      <c r="U355" s="7">
        <v>8.3333333333333329E-2</v>
      </c>
      <c r="W355" s="6">
        <v>1.0713777777777778</v>
      </c>
      <c r="Z355" s="6">
        <v>0.52305555555555561</v>
      </c>
      <c r="AA355">
        <v>1</v>
      </c>
    </row>
    <row r="356" spans="1:27" x14ac:dyDescent="0.25">
      <c r="A356">
        <v>76116901</v>
      </c>
      <c r="B356" t="s">
        <v>10</v>
      </c>
      <c r="C356" t="s">
        <v>70</v>
      </c>
      <c r="D356" s="4">
        <v>46139</v>
      </c>
      <c r="E356" s="5">
        <v>0.62660879629629629</v>
      </c>
      <c r="F356">
        <v>1</v>
      </c>
      <c r="G356" t="s">
        <v>82</v>
      </c>
      <c r="H356" s="7">
        <v>25</v>
      </c>
      <c r="L356" t="s">
        <v>1192</v>
      </c>
      <c r="M356" t="s">
        <v>71</v>
      </c>
      <c r="N356" s="8" t="s">
        <v>75</v>
      </c>
      <c r="O356" s="8">
        <v>1</v>
      </c>
      <c r="S356">
        <v>1</v>
      </c>
      <c r="T356" s="7">
        <v>69.25</v>
      </c>
      <c r="W356" s="6">
        <v>1.0122666666666666</v>
      </c>
      <c r="Z356" s="6">
        <v>0.46416666666666667</v>
      </c>
      <c r="AA356">
        <v>1</v>
      </c>
    </row>
    <row r="357" spans="1:27" x14ac:dyDescent="0.25">
      <c r="A357">
        <v>76116905</v>
      </c>
      <c r="B357" t="s">
        <v>10</v>
      </c>
      <c r="C357" t="s">
        <v>70</v>
      </c>
      <c r="D357" s="4">
        <v>46139</v>
      </c>
      <c r="E357" s="5">
        <v>0.62814814814814812</v>
      </c>
      <c r="F357">
        <v>1</v>
      </c>
      <c r="G357" t="s">
        <v>82</v>
      </c>
      <c r="H357" s="7">
        <v>86</v>
      </c>
      <c r="L357" t="s">
        <v>1198</v>
      </c>
      <c r="M357" t="s">
        <v>71</v>
      </c>
      <c r="N357" s="8" t="s">
        <v>75</v>
      </c>
      <c r="O357" s="8">
        <v>1</v>
      </c>
      <c r="S357">
        <v>1</v>
      </c>
      <c r="T357" s="7">
        <v>137.5</v>
      </c>
      <c r="W357" s="6">
        <v>1.1749333333333334</v>
      </c>
      <c r="Z357" s="6">
        <v>0.62683333333333335</v>
      </c>
      <c r="AA357">
        <v>1</v>
      </c>
    </row>
    <row r="358" spans="1:27" x14ac:dyDescent="0.25">
      <c r="A358">
        <v>76116906</v>
      </c>
      <c r="B358" t="s">
        <v>10</v>
      </c>
      <c r="C358" t="s">
        <v>70</v>
      </c>
      <c r="D358" s="4">
        <v>46139</v>
      </c>
      <c r="E358" s="5">
        <v>0.62888888888888883</v>
      </c>
      <c r="F358">
        <v>1</v>
      </c>
      <c r="G358" t="s">
        <v>82</v>
      </c>
      <c r="H358" s="7">
        <v>38.833333333333336</v>
      </c>
      <c r="L358" t="s">
        <v>1200</v>
      </c>
      <c r="M358" t="s">
        <v>71</v>
      </c>
      <c r="N358" s="8">
        <v>1</v>
      </c>
      <c r="O358" s="8">
        <v>1</v>
      </c>
      <c r="S358">
        <v>1</v>
      </c>
      <c r="T358" s="7">
        <v>53</v>
      </c>
      <c r="W358" s="6">
        <v>1.0491555555555556</v>
      </c>
      <c r="Z358" s="6">
        <v>0.50105555555555559</v>
      </c>
      <c r="AA358">
        <v>1</v>
      </c>
    </row>
    <row r="359" spans="1:27" x14ac:dyDescent="0.25">
      <c r="A359">
        <v>76116908</v>
      </c>
      <c r="B359" t="s">
        <v>10</v>
      </c>
      <c r="C359" t="s">
        <v>70</v>
      </c>
      <c r="D359" s="4">
        <v>46139</v>
      </c>
      <c r="E359" s="5">
        <v>0.63012731481481477</v>
      </c>
      <c r="F359">
        <v>1</v>
      </c>
      <c r="G359" t="s">
        <v>82</v>
      </c>
      <c r="H359" s="7">
        <v>51</v>
      </c>
      <c r="L359" t="s">
        <v>1204</v>
      </c>
      <c r="M359" t="s">
        <v>71</v>
      </c>
      <c r="N359" s="8" t="s">
        <v>75</v>
      </c>
      <c r="O359" s="8">
        <v>1</v>
      </c>
      <c r="W359" s="6">
        <v>1.0815999999999999</v>
      </c>
    </row>
    <row r="360" spans="1:27" x14ac:dyDescent="0.25">
      <c r="A360">
        <v>76116909</v>
      </c>
      <c r="B360" t="s">
        <v>10</v>
      </c>
      <c r="C360" t="s">
        <v>70</v>
      </c>
      <c r="D360" s="4">
        <v>46139</v>
      </c>
      <c r="E360" s="5">
        <v>0.63047453703703704</v>
      </c>
      <c r="F360">
        <v>1</v>
      </c>
      <c r="G360" t="s">
        <v>82</v>
      </c>
      <c r="H360" s="7">
        <v>74.5</v>
      </c>
      <c r="L360" t="s">
        <v>1204</v>
      </c>
      <c r="M360" t="s">
        <v>71</v>
      </c>
      <c r="N360" s="8" t="s">
        <v>75</v>
      </c>
      <c r="P360" s="8">
        <v>1</v>
      </c>
      <c r="X360" s="6">
        <v>0.59616666666666673</v>
      </c>
    </row>
    <row r="361" spans="1:27" x14ac:dyDescent="0.25">
      <c r="A361">
        <v>76116912</v>
      </c>
      <c r="B361" t="s">
        <v>10</v>
      </c>
      <c r="C361" t="s">
        <v>70</v>
      </c>
      <c r="D361" s="4">
        <v>46139</v>
      </c>
      <c r="E361" s="5">
        <v>0.63103009259259257</v>
      </c>
      <c r="F361">
        <v>1</v>
      </c>
      <c r="G361" t="s">
        <v>82</v>
      </c>
      <c r="H361" s="7">
        <v>93</v>
      </c>
      <c r="L361" t="s">
        <v>1204</v>
      </c>
      <c r="M361" t="s">
        <v>71</v>
      </c>
      <c r="N361" s="8" t="s">
        <v>75</v>
      </c>
      <c r="P361" s="8">
        <v>1</v>
      </c>
      <c r="R361" s="8">
        <v>1</v>
      </c>
      <c r="S361">
        <v>1</v>
      </c>
      <c r="T361" s="7">
        <v>5.333333333333333</v>
      </c>
      <c r="X361" s="6">
        <v>0.64549999999999996</v>
      </c>
      <c r="Y361" s="6">
        <v>0.21</v>
      </c>
      <c r="AA361">
        <v>3</v>
      </c>
    </row>
    <row r="362" spans="1:27" x14ac:dyDescent="0.25">
      <c r="A362">
        <v>76116913</v>
      </c>
      <c r="B362" t="s">
        <v>10</v>
      </c>
      <c r="C362" t="s">
        <v>70</v>
      </c>
      <c r="D362" s="4">
        <v>46139</v>
      </c>
      <c r="E362" s="5">
        <v>0.63187499999999996</v>
      </c>
      <c r="F362">
        <v>1</v>
      </c>
      <c r="G362" t="s">
        <v>82</v>
      </c>
      <c r="H362" s="7">
        <v>1</v>
      </c>
      <c r="L362" t="s">
        <v>1210</v>
      </c>
      <c r="M362" t="s">
        <v>71</v>
      </c>
      <c r="N362" s="8" t="s">
        <v>75</v>
      </c>
      <c r="O362" s="8">
        <v>1</v>
      </c>
      <c r="S362">
        <v>1</v>
      </c>
      <c r="T362" s="7">
        <v>112.33333333333333</v>
      </c>
      <c r="W362" s="6">
        <v>0.9482666666666667</v>
      </c>
      <c r="Z362" s="6">
        <v>0.40016666666666667</v>
      </c>
      <c r="AA362">
        <v>1</v>
      </c>
    </row>
    <row r="363" spans="1:27" x14ac:dyDescent="0.25">
      <c r="A363">
        <v>76116916</v>
      </c>
      <c r="B363" t="s">
        <v>10</v>
      </c>
      <c r="C363" t="s">
        <v>70</v>
      </c>
      <c r="D363" s="4">
        <v>46139</v>
      </c>
      <c r="E363" s="5">
        <v>0.63346064814814818</v>
      </c>
      <c r="F363">
        <v>1</v>
      </c>
      <c r="G363" t="s">
        <v>82</v>
      </c>
      <c r="H363" s="7">
        <v>20</v>
      </c>
      <c r="L363" t="s">
        <v>1216</v>
      </c>
      <c r="M363" t="s">
        <v>71</v>
      </c>
      <c r="N363" s="8" t="s">
        <v>75</v>
      </c>
      <c r="O363" s="8">
        <v>1</v>
      </c>
      <c r="R363" s="8">
        <v>1</v>
      </c>
      <c r="S363">
        <v>1</v>
      </c>
      <c r="T363" s="7">
        <v>24.416666666666664</v>
      </c>
      <c r="W363" s="6">
        <v>0.99893333333333334</v>
      </c>
      <c r="Y363" s="6">
        <v>0.21</v>
      </c>
      <c r="AA363">
        <v>1</v>
      </c>
    </row>
    <row r="364" spans="1:27" x14ac:dyDescent="0.25">
      <c r="A364">
        <v>76116919</v>
      </c>
      <c r="B364" t="s">
        <v>10</v>
      </c>
      <c r="C364" t="s">
        <v>70</v>
      </c>
      <c r="D364" s="4">
        <v>46139</v>
      </c>
      <c r="E364" s="5">
        <v>0.63428240740740738</v>
      </c>
      <c r="F364">
        <v>1</v>
      </c>
      <c r="G364" t="s">
        <v>82</v>
      </c>
      <c r="H364" s="7">
        <v>22.666666666666664</v>
      </c>
      <c r="L364" t="s">
        <v>1218</v>
      </c>
      <c r="M364" t="s">
        <v>71</v>
      </c>
      <c r="N364" s="8">
        <v>1</v>
      </c>
      <c r="O364" s="8">
        <v>1</v>
      </c>
      <c r="S364">
        <v>1</v>
      </c>
      <c r="T364" s="7">
        <v>52.5</v>
      </c>
      <c r="W364" s="6">
        <v>1.0060444444444445</v>
      </c>
      <c r="Z364" s="6">
        <v>0.45794444444444449</v>
      </c>
      <c r="AA364">
        <v>1</v>
      </c>
    </row>
    <row r="365" spans="1:27" x14ac:dyDescent="0.25">
      <c r="A365">
        <v>76116921</v>
      </c>
      <c r="B365" t="s">
        <v>10</v>
      </c>
      <c r="C365" t="s">
        <v>70</v>
      </c>
      <c r="D365" s="4">
        <v>46139</v>
      </c>
      <c r="E365" s="5">
        <v>0.63511574074074073</v>
      </c>
      <c r="F365">
        <v>1</v>
      </c>
      <c r="G365" t="s">
        <v>82</v>
      </c>
      <c r="H365" s="7">
        <v>2</v>
      </c>
      <c r="L365" t="s">
        <v>1222</v>
      </c>
      <c r="M365" t="s">
        <v>71</v>
      </c>
      <c r="N365" s="8" t="s">
        <v>75</v>
      </c>
      <c r="O365" s="8">
        <v>1</v>
      </c>
      <c r="R365" s="8">
        <v>1</v>
      </c>
      <c r="S365">
        <v>1</v>
      </c>
      <c r="T365" s="7">
        <v>11.833333333333334</v>
      </c>
      <c r="W365" s="6">
        <v>0.9509333333333333</v>
      </c>
      <c r="Y365" s="6">
        <v>0.21</v>
      </c>
      <c r="AA365">
        <v>1</v>
      </c>
    </row>
    <row r="366" spans="1:27" x14ac:dyDescent="0.25">
      <c r="A366">
        <v>76116926</v>
      </c>
      <c r="B366" t="s">
        <v>10</v>
      </c>
      <c r="C366" t="s">
        <v>70</v>
      </c>
      <c r="D366" s="4">
        <v>46139</v>
      </c>
      <c r="E366" s="5">
        <v>0.63633101851851848</v>
      </c>
      <c r="F366">
        <v>1</v>
      </c>
      <c r="G366" t="s">
        <v>82</v>
      </c>
      <c r="H366" s="7">
        <v>37.083333333333336</v>
      </c>
      <c r="L366" t="s">
        <v>1226</v>
      </c>
      <c r="M366" t="s">
        <v>71</v>
      </c>
      <c r="N366" s="8">
        <v>1</v>
      </c>
      <c r="O366" s="8">
        <v>1</v>
      </c>
      <c r="R366" s="8">
        <v>1</v>
      </c>
      <c r="S366">
        <v>1</v>
      </c>
      <c r="T366" s="7">
        <v>17.916666666666668</v>
      </c>
      <c r="W366" s="6">
        <v>1.0444888888888888</v>
      </c>
      <c r="Y366" s="6">
        <v>0.21</v>
      </c>
      <c r="AA366">
        <v>1</v>
      </c>
    </row>
    <row r="367" spans="1:27" x14ac:dyDescent="0.25">
      <c r="A367">
        <v>76116930</v>
      </c>
      <c r="B367" t="s">
        <v>10</v>
      </c>
      <c r="C367" t="s">
        <v>70</v>
      </c>
      <c r="D367" s="4">
        <v>46139</v>
      </c>
      <c r="E367" s="5">
        <v>0.63722222222222213</v>
      </c>
      <c r="F367">
        <v>1</v>
      </c>
      <c r="G367" t="s">
        <v>82</v>
      </c>
      <c r="H367" s="7">
        <v>2</v>
      </c>
      <c r="L367" t="s">
        <v>1230</v>
      </c>
      <c r="M367" t="s">
        <v>71</v>
      </c>
      <c r="N367" s="8" t="s">
        <v>75</v>
      </c>
      <c r="O367" s="8">
        <v>1</v>
      </c>
      <c r="S367">
        <v>1</v>
      </c>
      <c r="T367" s="7">
        <v>70.75</v>
      </c>
      <c r="W367" s="6">
        <v>0.9509333333333333</v>
      </c>
      <c r="Z367" s="6">
        <v>0.40283333333333338</v>
      </c>
      <c r="AA367">
        <v>1</v>
      </c>
    </row>
    <row r="368" spans="1:27" x14ac:dyDescent="0.25">
      <c r="A368">
        <v>76116932</v>
      </c>
      <c r="B368" t="s">
        <v>10</v>
      </c>
      <c r="C368" t="s">
        <v>70</v>
      </c>
      <c r="D368" s="4">
        <v>46139</v>
      </c>
      <c r="E368" s="5">
        <v>0.63812500000000005</v>
      </c>
      <c r="F368">
        <v>1</v>
      </c>
      <c r="G368" t="s">
        <v>82</v>
      </c>
      <c r="H368" s="7">
        <v>2</v>
      </c>
      <c r="L368" t="s">
        <v>1234</v>
      </c>
      <c r="M368" t="s">
        <v>71</v>
      </c>
      <c r="N368" s="8" t="s">
        <v>75</v>
      </c>
      <c r="O368" s="8">
        <v>1</v>
      </c>
      <c r="R368" s="8">
        <v>1</v>
      </c>
      <c r="S368">
        <v>1</v>
      </c>
      <c r="T368" s="7">
        <v>12</v>
      </c>
      <c r="W368" s="6">
        <v>0.9509333333333333</v>
      </c>
      <c r="Y368" s="6">
        <v>0.21</v>
      </c>
      <c r="AA368">
        <v>1</v>
      </c>
    </row>
    <row r="369" spans="1:27" x14ac:dyDescent="0.25">
      <c r="A369">
        <v>76116934</v>
      </c>
      <c r="B369" t="s">
        <v>10</v>
      </c>
      <c r="C369" t="s">
        <v>70</v>
      </c>
      <c r="D369" s="4">
        <v>46139</v>
      </c>
      <c r="E369" s="5">
        <v>0.6392592592592593</v>
      </c>
      <c r="F369">
        <v>1</v>
      </c>
      <c r="G369" t="s">
        <v>82</v>
      </c>
      <c r="H369" s="7">
        <v>1</v>
      </c>
      <c r="L369" t="s">
        <v>1238</v>
      </c>
      <c r="M369" t="s">
        <v>71</v>
      </c>
      <c r="N369" s="8" t="s">
        <v>75</v>
      </c>
      <c r="O369" s="8">
        <v>1</v>
      </c>
      <c r="R369" s="8">
        <v>1</v>
      </c>
      <c r="S369">
        <v>1</v>
      </c>
      <c r="T369" s="7">
        <v>11.916666666666666</v>
      </c>
      <c r="W369" s="6">
        <v>0.9482666666666667</v>
      </c>
      <c r="Y369" s="6">
        <v>0.21</v>
      </c>
      <c r="AA369">
        <v>1</v>
      </c>
    </row>
    <row r="370" spans="1:27" x14ac:dyDescent="0.25">
      <c r="A370">
        <v>76116936</v>
      </c>
      <c r="B370" t="s">
        <v>10</v>
      </c>
      <c r="C370" t="s">
        <v>70</v>
      </c>
      <c r="D370" s="4">
        <v>46139</v>
      </c>
      <c r="E370" s="5">
        <v>0.64027777777777772</v>
      </c>
      <c r="F370">
        <v>1</v>
      </c>
      <c r="G370" t="s">
        <v>82</v>
      </c>
      <c r="H370" s="7">
        <v>15</v>
      </c>
      <c r="L370" t="s">
        <v>1241</v>
      </c>
      <c r="M370" t="s">
        <v>71</v>
      </c>
      <c r="N370" s="8" t="s">
        <v>75</v>
      </c>
      <c r="O370" s="8">
        <v>1</v>
      </c>
      <c r="S370">
        <v>1</v>
      </c>
      <c r="T370" s="7">
        <v>58.083333333333329</v>
      </c>
      <c r="W370" s="6">
        <v>0.98560000000000003</v>
      </c>
      <c r="Z370" s="6">
        <v>0.4375</v>
      </c>
      <c r="AA370">
        <v>1</v>
      </c>
    </row>
    <row r="371" spans="1:27" x14ac:dyDescent="0.25">
      <c r="A371">
        <v>76116937</v>
      </c>
      <c r="B371" t="s">
        <v>10</v>
      </c>
      <c r="C371" t="s">
        <v>70</v>
      </c>
      <c r="D371" s="4">
        <v>46139</v>
      </c>
      <c r="E371" s="5">
        <v>0.64137731481481475</v>
      </c>
      <c r="F371">
        <v>1</v>
      </c>
      <c r="G371" t="s">
        <v>82</v>
      </c>
      <c r="H371" s="7">
        <v>13.166666666666666</v>
      </c>
      <c r="L371" t="s">
        <v>1243</v>
      </c>
      <c r="M371" t="s">
        <v>71</v>
      </c>
      <c r="N371" s="8" t="s">
        <v>75</v>
      </c>
      <c r="O371" s="8">
        <v>1</v>
      </c>
      <c r="S371">
        <v>1</v>
      </c>
      <c r="T371" s="7">
        <v>37.166666666666664</v>
      </c>
      <c r="W371" s="6">
        <v>0.98071111111111109</v>
      </c>
      <c r="Z371" s="6">
        <v>0.43261111111111111</v>
      </c>
      <c r="AA371">
        <v>1</v>
      </c>
    </row>
    <row r="372" spans="1:27" x14ac:dyDescent="0.25">
      <c r="A372">
        <v>76116940</v>
      </c>
      <c r="B372" t="s">
        <v>10</v>
      </c>
      <c r="C372" t="s">
        <v>70</v>
      </c>
      <c r="D372" s="4">
        <v>46139</v>
      </c>
      <c r="E372" s="5">
        <v>0.64218749999999991</v>
      </c>
      <c r="F372">
        <v>1</v>
      </c>
      <c r="G372" t="s">
        <v>82</v>
      </c>
      <c r="H372" s="7">
        <v>3</v>
      </c>
      <c r="L372" t="s">
        <v>1245</v>
      </c>
      <c r="M372" t="s">
        <v>71</v>
      </c>
      <c r="N372" s="8" t="s">
        <v>75</v>
      </c>
      <c r="O372" s="8">
        <v>1</v>
      </c>
      <c r="S372">
        <v>1</v>
      </c>
      <c r="T372" s="7">
        <v>62.5</v>
      </c>
      <c r="W372" s="6">
        <v>0.9536</v>
      </c>
      <c r="Z372" s="6">
        <v>0.40550000000000003</v>
      </c>
      <c r="AA372">
        <v>1</v>
      </c>
    </row>
    <row r="373" spans="1:27" x14ac:dyDescent="0.25">
      <c r="A373">
        <v>76116941</v>
      </c>
      <c r="B373" t="s">
        <v>10</v>
      </c>
      <c r="C373" t="s">
        <v>70</v>
      </c>
      <c r="D373" s="4">
        <v>46139</v>
      </c>
      <c r="E373" s="5">
        <v>0.6431944444444444</v>
      </c>
      <c r="F373">
        <v>1</v>
      </c>
      <c r="G373" t="s">
        <v>82</v>
      </c>
      <c r="H373" s="7">
        <v>19</v>
      </c>
      <c r="L373" t="s">
        <v>1247</v>
      </c>
      <c r="M373" t="s">
        <v>71</v>
      </c>
      <c r="N373" s="8">
        <v>1</v>
      </c>
      <c r="O373" s="8">
        <v>1</v>
      </c>
      <c r="R373" s="8">
        <v>1</v>
      </c>
      <c r="S373">
        <v>1</v>
      </c>
      <c r="T373" s="7">
        <v>6.833333333333333</v>
      </c>
      <c r="W373" s="6">
        <v>0.99626666666666663</v>
      </c>
      <c r="Y373" s="6">
        <v>0.21</v>
      </c>
      <c r="AA373">
        <v>1</v>
      </c>
    </row>
    <row r="374" spans="1:27" x14ac:dyDescent="0.25">
      <c r="A374">
        <v>76116943</v>
      </c>
      <c r="B374" t="s">
        <v>10</v>
      </c>
      <c r="C374" t="s">
        <v>70</v>
      </c>
      <c r="D374" s="4">
        <v>46139</v>
      </c>
      <c r="E374" s="5">
        <v>0.64439814814814811</v>
      </c>
      <c r="F374">
        <v>1</v>
      </c>
      <c r="G374" t="s">
        <v>82</v>
      </c>
      <c r="H374" s="7">
        <v>25.25</v>
      </c>
      <c r="L374" t="s">
        <v>1250</v>
      </c>
      <c r="M374" t="s">
        <v>71</v>
      </c>
      <c r="N374" s="8" t="s">
        <v>75</v>
      </c>
      <c r="O374" s="8">
        <v>1</v>
      </c>
      <c r="Q374" s="8">
        <v>1</v>
      </c>
      <c r="S374">
        <v>1</v>
      </c>
      <c r="U374" s="7">
        <v>0</v>
      </c>
      <c r="W374" s="6">
        <v>1.0129333333333332</v>
      </c>
      <c r="Z374" s="6">
        <v>0.46483333333333332</v>
      </c>
      <c r="AA374">
        <v>1</v>
      </c>
    </row>
    <row r="375" spans="1:27" x14ac:dyDescent="0.25">
      <c r="A375">
        <v>76116944</v>
      </c>
      <c r="B375" t="s">
        <v>10</v>
      </c>
      <c r="C375" t="s">
        <v>70</v>
      </c>
      <c r="D375" s="4">
        <v>46139</v>
      </c>
      <c r="E375" s="5">
        <v>0.64520833333333327</v>
      </c>
      <c r="F375">
        <v>1</v>
      </c>
      <c r="G375" t="s">
        <v>82</v>
      </c>
      <c r="H375" s="7">
        <v>13.5</v>
      </c>
      <c r="L375" t="s">
        <v>1253</v>
      </c>
      <c r="M375" t="s">
        <v>71</v>
      </c>
      <c r="N375" s="8" t="s">
        <v>75</v>
      </c>
      <c r="O375" s="8">
        <v>1</v>
      </c>
      <c r="S375">
        <v>1</v>
      </c>
      <c r="T375" s="7">
        <v>75.333333333333329</v>
      </c>
      <c r="W375" s="6">
        <v>0.98160000000000003</v>
      </c>
      <c r="Z375" s="6">
        <v>0.4335</v>
      </c>
      <c r="AA375">
        <v>1</v>
      </c>
    </row>
    <row r="376" spans="1:27" x14ac:dyDescent="0.25">
      <c r="A376">
        <v>76116946</v>
      </c>
      <c r="B376" t="s">
        <v>10</v>
      </c>
      <c r="C376" t="s">
        <v>70</v>
      </c>
      <c r="D376" s="4">
        <v>46139</v>
      </c>
      <c r="E376" s="5">
        <v>0.64636574074074071</v>
      </c>
      <c r="F376">
        <v>1</v>
      </c>
      <c r="G376" t="s">
        <v>82</v>
      </c>
      <c r="H376" s="7">
        <v>48.583333333333336</v>
      </c>
      <c r="L376" t="s">
        <v>1255</v>
      </c>
      <c r="M376" t="s">
        <v>71</v>
      </c>
      <c r="N376" s="8" t="s">
        <v>78</v>
      </c>
      <c r="O376" s="8">
        <v>1</v>
      </c>
      <c r="R376" s="8">
        <v>1</v>
      </c>
      <c r="S376">
        <v>1</v>
      </c>
      <c r="T376" s="7">
        <v>28.083333333333332</v>
      </c>
      <c r="W376" s="6">
        <v>1.0751555555555556</v>
      </c>
      <c r="Y376" s="6">
        <v>0.21</v>
      </c>
      <c r="AA376">
        <v>1</v>
      </c>
    </row>
    <row r="377" spans="1:27" x14ac:dyDescent="0.25">
      <c r="A377">
        <v>76116947</v>
      </c>
      <c r="B377" t="s">
        <v>10</v>
      </c>
      <c r="C377" t="s">
        <v>70</v>
      </c>
      <c r="D377" s="4">
        <v>46139</v>
      </c>
      <c r="E377" s="5">
        <v>0.64728009259259256</v>
      </c>
      <c r="F377">
        <v>1</v>
      </c>
      <c r="G377" t="s">
        <v>82</v>
      </c>
      <c r="H377" s="7">
        <v>21.583333333333332</v>
      </c>
      <c r="L377" t="s">
        <v>1257</v>
      </c>
      <c r="M377" t="s">
        <v>71</v>
      </c>
      <c r="N377" s="8">
        <v>1</v>
      </c>
      <c r="O377" s="8">
        <v>1</v>
      </c>
      <c r="R377" s="8">
        <v>1</v>
      </c>
      <c r="S377">
        <v>1</v>
      </c>
      <c r="T377" s="7">
        <v>23.583333333333332</v>
      </c>
      <c r="W377" s="6">
        <v>1.0031555555555556</v>
      </c>
      <c r="Y377" s="6">
        <v>0.21</v>
      </c>
      <c r="AA377">
        <v>1</v>
      </c>
    </row>
    <row r="378" spans="1:27" x14ac:dyDescent="0.25">
      <c r="A378">
        <v>76116948</v>
      </c>
      <c r="B378" t="s">
        <v>10</v>
      </c>
      <c r="C378" t="s">
        <v>70</v>
      </c>
      <c r="D378" s="4">
        <v>46139</v>
      </c>
      <c r="E378" s="5">
        <v>0.64812499999999995</v>
      </c>
      <c r="F378">
        <v>1</v>
      </c>
      <c r="G378" t="s">
        <v>82</v>
      </c>
      <c r="H378" s="7">
        <v>10</v>
      </c>
      <c r="L378" t="s">
        <v>1259</v>
      </c>
      <c r="M378" t="s">
        <v>71</v>
      </c>
      <c r="N378" s="8" t="s">
        <v>75</v>
      </c>
      <c r="O378" s="8">
        <v>1</v>
      </c>
      <c r="R378" s="8">
        <v>1</v>
      </c>
      <c r="S378">
        <v>1</v>
      </c>
      <c r="T378" s="7">
        <v>29.25</v>
      </c>
      <c r="W378" s="6">
        <v>0.97226666666666661</v>
      </c>
      <c r="Y378" s="6">
        <v>0.21</v>
      </c>
      <c r="AA378">
        <v>1</v>
      </c>
    </row>
    <row r="379" spans="1:27" x14ac:dyDescent="0.25">
      <c r="A379">
        <v>76116949</v>
      </c>
      <c r="B379" t="s">
        <v>10</v>
      </c>
      <c r="C379" t="s">
        <v>70</v>
      </c>
      <c r="D379" s="4">
        <v>46139</v>
      </c>
      <c r="E379" s="5">
        <v>0.64916666666666667</v>
      </c>
      <c r="F379">
        <v>1</v>
      </c>
      <c r="G379" t="s">
        <v>82</v>
      </c>
      <c r="H379" s="7">
        <v>172</v>
      </c>
      <c r="L379" t="s">
        <v>1261</v>
      </c>
      <c r="M379" t="s">
        <v>71</v>
      </c>
      <c r="N379" s="8">
        <v>1</v>
      </c>
      <c r="O379" s="8">
        <v>1</v>
      </c>
      <c r="S379">
        <v>1</v>
      </c>
      <c r="T379" s="7">
        <v>55</v>
      </c>
      <c r="W379" s="6">
        <v>1.4042666666666666</v>
      </c>
      <c r="Z379" s="6">
        <v>0.85616666666666674</v>
      </c>
      <c r="AA379">
        <v>1</v>
      </c>
    </row>
    <row r="380" spans="1:27" x14ac:dyDescent="0.25">
      <c r="A380">
        <v>76116951</v>
      </c>
      <c r="B380" t="s">
        <v>10</v>
      </c>
      <c r="C380" t="s">
        <v>70</v>
      </c>
      <c r="D380" s="4">
        <v>46139</v>
      </c>
      <c r="E380" s="5">
        <v>0.65032407407407411</v>
      </c>
      <c r="F380">
        <v>1</v>
      </c>
      <c r="G380" t="s">
        <v>82</v>
      </c>
      <c r="H380" s="7">
        <v>12</v>
      </c>
      <c r="L380" t="s">
        <v>1265</v>
      </c>
      <c r="M380" t="s">
        <v>71</v>
      </c>
      <c r="N380" s="8" t="s">
        <v>75</v>
      </c>
      <c r="O380" s="8">
        <v>1</v>
      </c>
      <c r="S380">
        <v>1</v>
      </c>
      <c r="T380" s="7">
        <v>66.75</v>
      </c>
      <c r="W380" s="6">
        <v>0.97760000000000002</v>
      </c>
      <c r="Z380" s="6">
        <v>0.42949999999999999</v>
      </c>
      <c r="AA380">
        <v>1</v>
      </c>
    </row>
    <row r="381" spans="1:27" x14ac:dyDescent="0.25">
      <c r="A381">
        <v>76116953</v>
      </c>
      <c r="B381" t="s">
        <v>10</v>
      </c>
      <c r="C381" t="s">
        <v>70</v>
      </c>
      <c r="D381" s="4">
        <v>46139</v>
      </c>
      <c r="E381" s="5">
        <v>0.65135416666666668</v>
      </c>
      <c r="F381">
        <v>1</v>
      </c>
      <c r="G381" t="s">
        <v>82</v>
      </c>
      <c r="H381" s="7">
        <v>14.5</v>
      </c>
      <c r="L381" t="s">
        <v>1269</v>
      </c>
      <c r="M381" t="s">
        <v>71</v>
      </c>
      <c r="N381" s="8">
        <v>1</v>
      </c>
      <c r="O381" s="8">
        <v>1</v>
      </c>
      <c r="Q381" s="8">
        <v>1</v>
      </c>
      <c r="S381">
        <v>1</v>
      </c>
      <c r="U381" s="7">
        <v>0.5</v>
      </c>
      <c r="W381" s="6">
        <v>0.98560000000000003</v>
      </c>
      <c r="Z381" s="6">
        <v>0.4361666666666667</v>
      </c>
      <c r="AA381">
        <v>1</v>
      </c>
    </row>
    <row r="382" spans="1:27" x14ac:dyDescent="0.25">
      <c r="A382">
        <v>76116954</v>
      </c>
      <c r="B382" t="s">
        <v>10</v>
      </c>
      <c r="C382" t="s">
        <v>70</v>
      </c>
      <c r="D382" s="4">
        <v>46139</v>
      </c>
      <c r="E382" s="5">
        <v>0.65241898148148147</v>
      </c>
      <c r="F382">
        <v>1</v>
      </c>
      <c r="G382" t="s">
        <v>82</v>
      </c>
      <c r="H382" s="7">
        <v>9.5</v>
      </c>
      <c r="L382" t="s">
        <v>1270</v>
      </c>
      <c r="M382" t="s">
        <v>71</v>
      </c>
      <c r="N382" s="8">
        <v>1</v>
      </c>
      <c r="O382" s="8">
        <v>1</v>
      </c>
      <c r="R382" s="8">
        <v>1</v>
      </c>
      <c r="S382">
        <v>1</v>
      </c>
      <c r="T382" s="7">
        <v>14.333333333333334</v>
      </c>
      <c r="W382" s="6">
        <v>0.97093333333333331</v>
      </c>
      <c r="Y382" s="6">
        <v>0.21</v>
      </c>
      <c r="AA382">
        <v>1</v>
      </c>
    </row>
    <row r="383" spans="1:27" x14ac:dyDescent="0.25">
      <c r="A383">
        <v>76116956</v>
      </c>
      <c r="B383" t="s">
        <v>10</v>
      </c>
      <c r="C383" t="s">
        <v>70</v>
      </c>
      <c r="D383" s="4">
        <v>46139</v>
      </c>
      <c r="E383" s="5">
        <v>0.65327546296296291</v>
      </c>
      <c r="F383">
        <v>1</v>
      </c>
      <c r="G383" t="s">
        <v>82</v>
      </c>
      <c r="H383" s="7">
        <v>1</v>
      </c>
      <c r="L383" t="s">
        <v>1275</v>
      </c>
      <c r="M383" t="s">
        <v>71</v>
      </c>
      <c r="N383" s="8" t="s">
        <v>78</v>
      </c>
      <c r="O383" s="8">
        <v>1</v>
      </c>
      <c r="R383" s="8">
        <v>1</v>
      </c>
      <c r="S383">
        <v>1</v>
      </c>
      <c r="T383" s="7">
        <v>9.5833333333333339</v>
      </c>
      <c r="W383" s="6">
        <v>0.9482666666666667</v>
      </c>
      <c r="Y383" s="6">
        <v>0.21</v>
      </c>
      <c r="AA383">
        <v>1</v>
      </c>
    </row>
    <row r="384" spans="1:27" x14ac:dyDescent="0.25">
      <c r="A384">
        <v>76116957</v>
      </c>
      <c r="B384" t="s">
        <v>10</v>
      </c>
      <c r="C384" t="s">
        <v>70</v>
      </c>
      <c r="D384" s="4">
        <v>46139</v>
      </c>
      <c r="E384" s="5">
        <v>0.65442129629629631</v>
      </c>
      <c r="F384">
        <v>1</v>
      </c>
      <c r="G384" t="s">
        <v>82</v>
      </c>
      <c r="H384" s="7">
        <v>1</v>
      </c>
      <c r="L384" t="s">
        <v>1277</v>
      </c>
      <c r="M384" t="s">
        <v>71</v>
      </c>
      <c r="N384" s="8" t="s">
        <v>75</v>
      </c>
      <c r="O384" s="8">
        <v>1</v>
      </c>
      <c r="R384" s="8">
        <v>1</v>
      </c>
      <c r="S384">
        <v>1</v>
      </c>
      <c r="T384" s="7">
        <v>10.5</v>
      </c>
      <c r="W384" s="6">
        <v>0.9482666666666667</v>
      </c>
      <c r="Y384" s="6">
        <v>0.21</v>
      </c>
      <c r="AA384">
        <v>1</v>
      </c>
    </row>
    <row r="385" spans="1:27" x14ac:dyDescent="0.25">
      <c r="A385">
        <v>76116959</v>
      </c>
      <c r="B385" t="s">
        <v>10</v>
      </c>
      <c r="C385" t="s">
        <v>70</v>
      </c>
      <c r="D385" s="4">
        <v>46139</v>
      </c>
      <c r="E385" s="5">
        <v>0.65571759259259255</v>
      </c>
      <c r="F385">
        <v>1</v>
      </c>
      <c r="G385" t="s">
        <v>82</v>
      </c>
      <c r="H385" s="7">
        <v>43.5</v>
      </c>
      <c r="L385" t="s">
        <v>1278</v>
      </c>
      <c r="M385" t="s">
        <v>71</v>
      </c>
      <c r="N385" s="8" t="s">
        <v>75</v>
      </c>
      <c r="O385" s="8">
        <v>1</v>
      </c>
      <c r="S385">
        <v>1</v>
      </c>
      <c r="T385" s="7">
        <v>215.33333333333334</v>
      </c>
      <c r="W385" s="6">
        <v>1.0616000000000001</v>
      </c>
      <c r="Z385" s="6">
        <v>0.51350000000000007</v>
      </c>
      <c r="AA385">
        <v>1</v>
      </c>
    </row>
    <row r="386" spans="1:27" x14ac:dyDescent="0.25">
      <c r="A386">
        <v>76116960</v>
      </c>
      <c r="B386" t="s">
        <v>10</v>
      </c>
      <c r="C386" t="s">
        <v>70</v>
      </c>
      <c r="D386" s="4">
        <v>46139</v>
      </c>
      <c r="E386" s="5">
        <v>0.65640046296296295</v>
      </c>
      <c r="F386">
        <v>1</v>
      </c>
      <c r="G386" t="s">
        <v>82</v>
      </c>
      <c r="H386" s="7">
        <v>31.5</v>
      </c>
      <c r="L386" t="s">
        <v>1283</v>
      </c>
      <c r="M386" t="s">
        <v>71</v>
      </c>
      <c r="N386" s="8" t="s">
        <v>75</v>
      </c>
      <c r="O386" s="8">
        <v>1</v>
      </c>
      <c r="W386" s="6">
        <v>1.0296000000000001</v>
      </c>
    </row>
    <row r="387" spans="1:27" x14ac:dyDescent="0.25">
      <c r="A387">
        <v>76116961</v>
      </c>
      <c r="B387" t="s">
        <v>10</v>
      </c>
      <c r="C387" t="s">
        <v>70</v>
      </c>
      <c r="D387" s="4">
        <v>46139</v>
      </c>
      <c r="E387" s="5">
        <v>0.65665509259259258</v>
      </c>
      <c r="F387">
        <v>1</v>
      </c>
      <c r="G387" t="s">
        <v>82</v>
      </c>
      <c r="H387" s="7">
        <v>31.5</v>
      </c>
      <c r="L387" t="s">
        <v>1283</v>
      </c>
      <c r="M387" t="s">
        <v>71</v>
      </c>
      <c r="N387" s="8" t="s">
        <v>75</v>
      </c>
      <c r="P387" s="8">
        <v>1</v>
      </c>
      <c r="X387" s="6">
        <v>0.48150000000000004</v>
      </c>
    </row>
    <row r="388" spans="1:27" x14ac:dyDescent="0.25">
      <c r="A388">
        <v>76116963</v>
      </c>
      <c r="B388" t="s">
        <v>10</v>
      </c>
      <c r="C388" t="s">
        <v>70</v>
      </c>
      <c r="D388" s="4">
        <v>46139</v>
      </c>
      <c r="E388" s="5">
        <v>0.65696759259259252</v>
      </c>
      <c r="F388">
        <v>1</v>
      </c>
      <c r="G388" t="s">
        <v>82</v>
      </c>
      <c r="H388" s="7">
        <v>37</v>
      </c>
      <c r="L388" t="s">
        <v>1283</v>
      </c>
      <c r="M388" t="s">
        <v>71</v>
      </c>
      <c r="N388" s="8" t="s">
        <v>75</v>
      </c>
      <c r="P388" s="8">
        <v>1</v>
      </c>
      <c r="X388" s="6">
        <v>0.4961666666666667</v>
      </c>
    </row>
    <row r="389" spans="1:27" x14ac:dyDescent="0.25">
      <c r="A389">
        <v>76116964</v>
      </c>
      <c r="B389" t="s">
        <v>10</v>
      </c>
      <c r="C389" t="s">
        <v>70</v>
      </c>
      <c r="D389" s="4">
        <v>46139</v>
      </c>
      <c r="E389" s="5">
        <v>0.65722222222222215</v>
      </c>
      <c r="F389">
        <v>1</v>
      </c>
      <c r="G389" t="s">
        <v>82</v>
      </c>
      <c r="H389" s="7">
        <v>42.583333333333336</v>
      </c>
      <c r="L389" t="s">
        <v>1283</v>
      </c>
      <c r="M389" t="s">
        <v>71</v>
      </c>
      <c r="N389" s="8" t="s">
        <v>75</v>
      </c>
      <c r="P389" s="8">
        <v>1</v>
      </c>
      <c r="X389" s="6">
        <v>0.5110555555555556</v>
      </c>
    </row>
    <row r="390" spans="1:27" x14ac:dyDescent="0.25">
      <c r="A390">
        <v>76116965</v>
      </c>
      <c r="B390" t="s">
        <v>10</v>
      </c>
      <c r="C390" t="s">
        <v>70</v>
      </c>
      <c r="D390" s="4">
        <v>46139</v>
      </c>
      <c r="E390" s="5">
        <v>0.65749999999999997</v>
      </c>
      <c r="F390">
        <v>1</v>
      </c>
      <c r="G390" t="s">
        <v>82</v>
      </c>
      <c r="H390" s="7">
        <v>44</v>
      </c>
      <c r="L390" t="s">
        <v>1283</v>
      </c>
      <c r="M390" t="s">
        <v>71</v>
      </c>
      <c r="N390" s="8" t="s">
        <v>75</v>
      </c>
      <c r="P390" s="8">
        <v>1</v>
      </c>
      <c r="X390" s="6">
        <v>0.51483333333333337</v>
      </c>
    </row>
    <row r="391" spans="1:27" x14ac:dyDescent="0.25">
      <c r="A391">
        <v>76116966</v>
      </c>
      <c r="B391" t="s">
        <v>10</v>
      </c>
      <c r="C391" t="s">
        <v>70</v>
      </c>
      <c r="D391" s="4">
        <v>46139</v>
      </c>
      <c r="E391" s="5">
        <v>0.65789351851851852</v>
      </c>
      <c r="F391">
        <v>1</v>
      </c>
      <c r="G391" t="s">
        <v>82</v>
      </c>
      <c r="H391" s="7">
        <v>89</v>
      </c>
      <c r="L391" t="s">
        <v>1283</v>
      </c>
      <c r="M391" t="s">
        <v>71</v>
      </c>
      <c r="N391" s="8" t="s">
        <v>75</v>
      </c>
      <c r="P391" s="8">
        <v>1</v>
      </c>
      <c r="R391" s="8">
        <v>1</v>
      </c>
      <c r="S391">
        <v>1</v>
      </c>
      <c r="T391" s="7">
        <v>17.333333333333332</v>
      </c>
      <c r="X391" s="6">
        <v>0.63483333333333336</v>
      </c>
      <c r="Y391" s="6">
        <v>0.21</v>
      </c>
      <c r="AA391">
        <v>6</v>
      </c>
    </row>
    <row r="392" spans="1:27" x14ac:dyDescent="0.25">
      <c r="A392">
        <v>76116968</v>
      </c>
      <c r="B392" t="s">
        <v>10</v>
      </c>
      <c r="C392" t="s">
        <v>70</v>
      </c>
      <c r="D392" s="4">
        <v>46139</v>
      </c>
      <c r="E392" s="5">
        <v>0.65866898148148145</v>
      </c>
      <c r="F392">
        <v>1</v>
      </c>
      <c r="G392" t="s">
        <v>82</v>
      </c>
      <c r="H392" s="7">
        <v>10.75</v>
      </c>
      <c r="L392" t="s">
        <v>1295</v>
      </c>
      <c r="M392" t="s">
        <v>71</v>
      </c>
      <c r="N392" s="8">
        <v>1</v>
      </c>
      <c r="O392" s="8">
        <v>1</v>
      </c>
      <c r="S392">
        <v>1</v>
      </c>
      <c r="T392" s="7">
        <v>170.75</v>
      </c>
      <c r="W392" s="6">
        <v>0.97426666666666661</v>
      </c>
      <c r="Z392" s="6">
        <v>0.42616666666666669</v>
      </c>
      <c r="AA392">
        <v>1</v>
      </c>
    </row>
    <row r="393" spans="1:27" x14ac:dyDescent="0.25">
      <c r="A393">
        <v>76116970</v>
      </c>
      <c r="B393" t="s">
        <v>10</v>
      </c>
      <c r="C393" t="s">
        <v>70</v>
      </c>
      <c r="D393" s="4">
        <v>46139</v>
      </c>
      <c r="E393" s="5">
        <v>0.66002314814814811</v>
      </c>
      <c r="F393">
        <v>1</v>
      </c>
      <c r="G393" t="s">
        <v>82</v>
      </c>
      <c r="H393" s="7">
        <v>58</v>
      </c>
      <c r="L393" t="s">
        <v>1299</v>
      </c>
      <c r="M393" t="s">
        <v>71</v>
      </c>
      <c r="N393" s="8">
        <v>1</v>
      </c>
      <c r="O393" s="8">
        <v>1</v>
      </c>
      <c r="S393">
        <v>1</v>
      </c>
      <c r="T393" s="7">
        <v>178.5</v>
      </c>
      <c r="W393" s="6">
        <v>1.1002666666666667</v>
      </c>
      <c r="Z393" s="6">
        <v>0.55216666666666669</v>
      </c>
      <c r="AA393">
        <v>1</v>
      </c>
    </row>
    <row r="394" spans="1:27" x14ac:dyDescent="0.25">
      <c r="A394">
        <v>76116973</v>
      </c>
      <c r="B394" t="s">
        <v>10</v>
      </c>
      <c r="C394" t="s">
        <v>70</v>
      </c>
      <c r="D394" s="4">
        <v>46139</v>
      </c>
      <c r="E394" s="5">
        <v>0.66105324074074068</v>
      </c>
      <c r="F394">
        <v>1</v>
      </c>
      <c r="G394" t="s">
        <v>82</v>
      </c>
      <c r="H394" s="7">
        <v>3</v>
      </c>
      <c r="L394" t="s">
        <v>1305</v>
      </c>
      <c r="M394" t="s">
        <v>71</v>
      </c>
      <c r="N394" s="8" t="s">
        <v>75</v>
      </c>
      <c r="O394" s="8">
        <v>1</v>
      </c>
      <c r="R394" s="8">
        <v>1</v>
      </c>
      <c r="S394">
        <v>1</v>
      </c>
      <c r="T394" s="7">
        <v>20.916666666666668</v>
      </c>
      <c r="W394" s="6">
        <v>0.9536</v>
      </c>
      <c r="Y394" s="6">
        <v>0.21</v>
      </c>
      <c r="AA394">
        <v>1</v>
      </c>
    </row>
    <row r="395" spans="1:27" x14ac:dyDescent="0.25">
      <c r="A395">
        <v>76116150</v>
      </c>
      <c r="B395" t="s">
        <v>9</v>
      </c>
      <c r="C395" t="s">
        <v>70</v>
      </c>
      <c r="D395" s="4">
        <v>46139</v>
      </c>
      <c r="E395" s="5">
        <v>0.25440972222222219</v>
      </c>
      <c r="F395">
        <v>1</v>
      </c>
      <c r="G395" t="s">
        <v>83</v>
      </c>
      <c r="H395" s="7">
        <v>15.75</v>
      </c>
      <c r="L395" t="s">
        <v>98</v>
      </c>
      <c r="M395" t="s">
        <v>71</v>
      </c>
      <c r="N395" s="8" t="s">
        <v>75</v>
      </c>
      <c r="O395" s="8">
        <v>1</v>
      </c>
      <c r="R395" s="8">
        <v>1</v>
      </c>
      <c r="S395">
        <v>1</v>
      </c>
      <c r="T395" s="7">
        <v>24.916666666666664</v>
      </c>
      <c r="W395" s="6">
        <v>0.98760000000000003</v>
      </c>
      <c r="Y395" s="6">
        <v>0.21</v>
      </c>
      <c r="AA395">
        <v>1</v>
      </c>
    </row>
    <row r="396" spans="1:27" x14ac:dyDescent="0.25">
      <c r="A396">
        <v>76116151</v>
      </c>
      <c r="B396" t="s">
        <v>9</v>
      </c>
      <c r="C396" t="s">
        <v>70</v>
      </c>
      <c r="D396" s="4">
        <v>46139</v>
      </c>
      <c r="E396" s="5">
        <v>0.25689814814814815</v>
      </c>
      <c r="F396">
        <v>1</v>
      </c>
      <c r="G396" t="s">
        <v>83</v>
      </c>
      <c r="H396" s="7">
        <v>3</v>
      </c>
      <c r="L396" t="s">
        <v>101</v>
      </c>
      <c r="M396" t="s">
        <v>71</v>
      </c>
      <c r="N396" s="8" t="s">
        <v>75</v>
      </c>
      <c r="O396" s="8">
        <v>1</v>
      </c>
      <c r="R396" s="8">
        <v>1</v>
      </c>
      <c r="S396">
        <v>1</v>
      </c>
      <c r="T396" s="7">
        <v>19.833333333333332</v>
      </c>
      <c r="W396" s="6">
        <v>0.9536</v>
      </c>
      <c r="Y396" s="6">
        <v>0.21</v>
      </c>
      <c r="AA396">
        <v>1</v>
      </c>
    </row>
    <row r="397" spans="1:27" x14ac:dyDescent="0.25">
      <c r="A397">
        <v>76116153</v>
      </c>
      <c r="B397" t="s">
        <v>9</v>
      </c>
      <c r="C397" t="s">
        <v>70</v>
      </c>
      <c r="D397" s="4">
        <v>46139</v>
      </c>
      <c r="E397" s="5">
        <v>0.25802083333333331</v>
      </c>
      <c r="F397">
        <v>1</v>
      </c>
      <c r="G397" t="s">
        <v>83</v>
      </c>
      <c r="H397" s="7">
        <v>4</v>
      </c>
      <c r="L397" t="s">
        <v>105</v>
      </c>
      <c r="M397" t="s">
        <v>71</v>
      </c>
      <c r="N397" s="8" t="s">
        <v>75</v>
      </c>
      <c r="O397" s="8">
        <v>1</v>
      </c>
      <c r="S397">
        <v>1</v>
      </c>
      <c r="T397" s="7">
        <v>100.91666666666666</v>
      </c>
      <c r="W397" s="6">
        <v>0.95626666666666671</v>
      </c>
      <c r="Z397" s="6">
        <v>0.40816666666666668</v>
      </c>
      <c r="AA397">
        <v>1</v>
      </c>
    </row>
    <row r="398" spans="1:27" x14ac:dyDescent="0.25">
      <c r="A398">
        <v>76116155</v>
      </c>
      <c r="B398" t="s">
        <v>9</v>
      </c>
      <c r="C398" t="s">
        <v>70</v>
      </c>
      <c r="D398" s="4">
        <v>46139</v>
      </c>
      <c r="E398" s="5">
        <v>0.25900462962962961</v>
      </c>
      <c r="F398">
        <v>1</v>
      </c>
      <c r="G398" t="s">
        <v>83</v>
      </c>
      <c r="H398" s="7">
        <v>3</v>
      </c>
      <c r="L398" t="s">
        <v>109</v>
      </c>
      <c r="M398" t="s">
        <v>71</v>
      </c>
      <c r="N398" s="8" t="s">
        <v>75</v>
      </c>
      <c r="O398" s="8">
        <v>1</v>
      </c>
      <c r="R398" s="8">
        <v>1</v>
      </c>
      <c r="S398">
        <v>1</v>
      </c>
      <c r="T398" s="7">
        <v>26.083333333333336</v>
      </c>
      <c r="W398" s="6">
        <v>0.9536</v>
      </c>
      <c r="Y398" s="6">
        <v>0.21</v>
      </c>
      <c r="AA398">
        <v>1</v>
      </c>
    </row>
    <row r="399" spans="1:27" x14ac:dyDescent="0.25">
      <c r="A399">
        <v>76116157</v>
      </c>
      <c r="B399" t="s">
        <v>9</v>
      </c>
      <c r="C399" t="s">
        <v>70</v>
      </c>
      <c r="D399" s="4">
        <v>46139</v>
      </c>
      <c r="E399" s="5">
        <v>0.26032407407407404</v>
      </c>
      <c r="F399">
        <v>1</v>
      </c>
      <c r="G399" t="s">
        <v>83</v>
      </c>
      <c r="H399" s="7">
        <v>3</v>
      </c>
      <c r="L399" t="s">
        <v>114</v>
      </c>
      <c r="M399" t="s">
        <v>71</v>
      </c>
      <c r="N399" s="8" t="s">
        <v>75</v>
      </c>
      <c r="O399" s="8">
        <v>1</v>
      </c>
      <c r="R399" s="8">
        <v>1</v>
      </c>
      <c r="S399">
        <v>1</v>
      </c>
      <c r="T399" s="7">
        <v>7.333333333333333</v>
      </c>
      <c r="W399" s="6">
        <v>0.9536</v>
      </c>
      <c r="Y399" s="6">
        <v>0.21</v>
      </c>
      <c r="AA399">
        <v>1</v>
      </c>
    </row>
    <row r="400" spans="1:27" x14ac:dyDescent="0.25">
      <c r="A400">
        <v>76116159</v>
      </c>
      <c r="B400" t="s">
        <v>9</v>
      </c>
      <c r="C400" t="s">
        <v>70</v>
      </c>
      <c r="D400" s="4">
        <v>46139</v>
      </c>
      <c r="E400" s="5">
        <v>0.26122685185185185</v>
      </c>
      <c r="F400">
        <v>1</v>
      </c>
      <c r="G400" t="s">
        <v>83</v>
      </c>
      <c r="H400" s="7">
        <v>3</v>
      </c>
      <c r="L400" t="s">
        <v>118</v>
      </c>
      <c r="M400" t="s">
        <v>71</v>
      </c>
      <c r="N400" s="8" t="s">
        <v>75</v>
      </c>
      <c r="O400" s="8">
        <v>1</v>
      </c>
      <c r="S400">
        <v>1</v>
      </c>
      <c r="T400" s="7">
        <v>100.75</v>
      </c>
      <c r="W400" s="6">
        <v>0.9536</v>
      </c>
      <c r="Z400" s="6">
        <v>0.40550000000000003</v>
      </c>
      <c r="AA400">
        <v>1</v>
      </c>
    </row>
    <row r="401" spans="1:27" x14ac:dyDescent="0.25">
      <c r="A401">
        <v>76116165</v>
      </c>
      <c r="B401" t="s">
        <v>9</v>
      </c>
      <c r="C401" t="s">
        <v>70</v>
      </c>
      <c r="D401" s="4">
        <v>46139</v>
      </c>
      <c r="E401" s="5">
        <v>0.26513888888888887</v>
      </c>
      <c r="F401">
        <v>1</v>
      </c>
      <c r="G401" t="s">
        <v>83</v>
      </c>
      <c r="H401" s="7">
        <v>4</v>
      </c>
      <c r="L401" t="s">
        <v>133</v>
      </c>
      <c r="M401" t="s">
        <v>71</v>
      </c>
      <c r="N401" s="8" t="s">
        <v>75</v>
      </c>
      <c r="O401" s="8">
        <v>1</v>
      </c>
      <c r="R401" s="8">
        <v>1</v>
      </c>
      <c r="S401">
        <v>1</v>
      </c>
      <c r="U401" s="7">
        <v>0.66666666666666663</v>
      </c>
      <c r="W401" s="6">
        <v>0.95804444444444448</v>
      </c>
      <c r="Y401" s="6">
        <v>0.21</v>
      </c>
      <c r="AA401">
        <v>1</v>
      </c>
    </row>
    <row r="402" spans="1:27" x14ac:dyDescent="0.25">
      <c r="A402">
        <v>76116167</v>
      </c>
      <c r="B402" t="s">
        <v>9</v>
      </c>
      <c r="C402" t="s">
        <v>70</v>
      </c>
      <c r="D402" s="4">
        <v>46139</v>
      </c>
      <c r="E402" s="5">
        <v>0.26655092592592594</v>
      </c>
      <c r="F402">
        <v>1</v>
      </c>
      <c r="G402" t="s">
        <v>83</v>
      </c>
      <c r="H402" s="7">
        <v>5</v>
      </c>
      <c r="L402" t="s">
        <v>137</v>
      </c>
      <c r="M402" t="s">
        <v>71</v>
      </c>
      <c r="N402" s="8" t="s">
        <v>75</v>
      </c>
      <c r="O402" s="8">
        <v>1</v>
      </c>
      <c r="R402" s="8">
        <v>1</v>
      </c>
      <c r="S402">
        <v>1</v>
      </c>
      <c r="T402" s="7">
        <v>22</v>
      </c>
      <c r="W402" s="6">
        <v>0.9589333333333333</v>
      </c>
      <c r="Y402" s="6">
        <v>0.21</v>
      </c>
      <c r="AA402">
        <v>1</v>
      </c>
    </row>
    <row r="403" spans="1:27" x14ac:dyDescent="0.25">
      <c r="A403">
        <v>76116170</v>
      </c>
      <c r="B403" t="s">
        <v>9</v>
      </c>
      <c r="C403" t="s">
        <v>70</v>
      </c>
      <c r="D403" s="4">
        <v>46139</v>
      </c>
      <c r="E403" s="5">
        <v>0.26802083333333332</v>
      </c>
      <c r="F403">
        <v>1</v>
      </c>
      <c r="G403" t="s">
        <v>83</v>
      </c>
      <c r="H403" s="7">
        <v>4</v>
      </c>
      <c r="L403" t="s">
        <v>143</v>
      </c>
      <c r="M403" t="s">
        <v>71</v>
      </c>
      <c r="N403" s="8" t="s">
        <v>75</v>
      </c>
      <c r="O403" s="8">
        <v>1</v>
      </c>
      <c r="S403">
        <v>1</v>
      </c>
      <c r="T403" s="7">
        <v>73.5</v>
      </c>
      <c r="W403" s="6">
        <v>0.95626666666666671</v>
      </c>
      <c r="Z403" s="6">
        <v>0.40816666666666668</v>
      </c>
      <c r="AA403">
        <v>1</v>
      </c>
    </row>
    <row r="404" spans="1:27" x14ac:dyDescent="0.25">
      <c r="A404">
        <v>76116172</v>
      </c>
      <c r="B404" t="s">
        <v>9</v>
      </c>
      <c r="C404" t="s">
        <v>70</v>
      </c>
      <c r="D404" s="4">
        <v>46139</v>
      </c>
      <c r="E404" s="5">
        <v>0.26878472222222222</v>
      </c>
      <c r="F404">
        <v>1</v>
      </c>
      <c r="G404" t="s">
        <v>83</v>
      </c>
      <c r="H404" s="7">
        <v>3</v>
      </c>
      <c r="L404" t="s">
        <v>148</v>
      </c>
      <c r="M404" t="s">
        <v>71</v>
      </c>
      <c r="N404" s="8" t="s">
        <v>75</v>
      </c>
      <c r="O404" s="8">
        <v>1</v>
      </c>
      <c r="S404">
        <v>1</v>
      </c>
      <c r="T404" s="7">
        <v>69.083333333333329</v>
      </c>
      <c r="W404" s="6">
        <v>0.9536</v>
      </c>
      <c r="Z404" s="6">
        <v>0.40550000000000003</v>
      </c>
      <c r="AA404">
        <v>1</v>
      </c>
    </row>
    <row r="405" spans="1:27" x14ac:dyDescent="0.25">
      <c r="A405">
        <v>76116174</v>
      </c>
      <c r="B405" t="s">
        <v>9</v>
      </c>
      <c r="C405" t="s">
        <v>70</v>
      </c>
      <c r="D405" s="4">
        <v>46139</v>
      </c>
      <c r="E405" s="5">
        <v>0.26978009259259256</v>
      </c>
      <c r="F405">
        <v>1</v>
      </c>
      <c r="G405" t="s">
        <v>83</v>
      </c>
      <c r="H405" s="7">
        <v>18.5</v>
      </c>
      <c r="L405" t="s">
        <v>152</v>
      </c>
      <c r="M405" t="s">
        <v>71</v>
      </c>
      <c r="N405" s="8" t="s">
        <v>75</v>
      </c>
      <c r="O405" s="8">
        <v>1</v>
      </c>
      <c r="Q405" s="8">
        <v>1</v>
      </c>
      <c r="S405">
        <v>1</v>
      </c>
      <c r="U405" s="7">
        <v>0.33333333333333331</v>
      </c>
      <c r="W405" s="6">
        <v>0.99582222222222216</v>
      </c>
      <c r="Z405" s="6">
        <v>0.44683333333333336</v>
      </c>
      <c r="AA405">
        <v>1</v>
      </c>
    </row>
    <row r="406" spans="1:27" x14ac:dyDescent="0.25">
      <c r="A406">
        <v>76116176</v>
      </c>
      <c r="B406" t="s">
        <v>9</v>
      </c>
      <c r="C406" t="s">
        <v>70</v>
      </c>
      <c r="D406" s="4">
        <v>46139</v>
      </c>
      <c r="E406" s="5">
        <v>0.270474537037037</v>
      </c>
      <c r="F406">
        <v>1</v>
      </c>
      <c r="G406" t="s">
        <v>83</v>
      </c>
      <c r="H406" s="7">
        <v>3</v>
      </c>
      <c r="L406" t="s">
        <v>156</v>
      </c>
      <c r="M406" t="s">
        <v>71</v>
      </c>
      <c r="N406" s="8" t="s">
        <v>75</v>
      </c>
      <c r="O406" s="8">
        <v>1</v>
      </c>
      <c r="W406" s="6">
        <v>0.9536</v>
      </c>
    </row>
    <row r="407" spans="1:27" x14ac:dyDescent="0.25">
      <c r="A407">
        <v>76116177</v>
      </c>
      <c r="B407" t="s">
        <v>9</v>
      </c>
      <c r="C407" t="s">
        <v>70</v>
      </c>
      <c r="D407" s="4">
        <v>46139</v>
      </c>
      <c r="E407" s="5">
        <v>0.27087962962962964</v>
      </c>
      <c r="F407">
        <v>1</v>
      </c>
      <c r="G407" t="s">
        <v>83</v>
      </c>
      <c r="H407" s="7">
        <v>23.166666666666664</v>
      </c>
      <c r="L407" t="s">
        <v>156</v>
      </c>
      <c r="M407" t="s">
        <v>71</v>
      </c>
      <c r="N407" s="8" t="s">
        <v>75</v>
      </c>
      <c r="P407" s="8">
        <v>1</v>
      </c>
      <c r="S407">
        <v>1</v>
      </c>
      <c r="T407" s="7">
        <v>59.75</v>
      </c>
      <c r="X407" s="6">
        <v>0.45927777777777778</v>
      </c>
      <c r="Z407" s="6">
        <v>0.45927777777777778</v>
      </c>
      <c r="AA407">
        <v>2</v>
      </c>
    </row>
    <row r="408" spans="1:27" x14ac:dyDescent="0.25">
      <c r="A408">
        <v>76116183</v>
      </c>
      <c r="B408" t="s">
        <v>9</v>
      </c>
      <c r="C408" t="s">
        <v>70</v>
      </c>
      <c r="D408" s="4">
        <v>46139</v>
      </c>
      <c r="E408" s="5">
        <v>0.27658564814814812</v>
      </c>
      <c r="F408">
        <v>1</v>
      </c>
      <c r="G408" t="s">
        <v>83</v>
      </c>
      <c r="H408" s="7">
        <v>44</v>
      </c>
      <c r="L408" t="s">
        <v>173</v>
      </c>
      <c r="M408" t="s">
        <v>71</v>
      </c>
      <c r="N408" s="8" t="s">
        <v>75</v>
      </c>
      <c r="O408" s="8">
        <v>1</v>
      </c>
      <c r="S408">
        <v>1</v>
      </c>
      <c r="T408" s="7">
        <v>67</v>
      </c>
      <c r="W408" s="6">
        <v>1.0629333333333333</v>
      </c>
      <c r="Z408" s="6">
        <v>0.51483333333333337</v>
      </c>
      <c r="AA408">
        <v>1</v>
      </c>
    </row>
    <row r="409" spans="1:27" x14ac:dyDescent="0.25">
      <c r="A409">
        <v>76116186</v>
      </c>
      <c r="B409" t="s">
        <v>9</v>
      </c>
      <c r="C409" t="s">
        <v>70</v>
      </c>
      <c r="D409" s="4">
        <v>46139</v>
      </c>
      <c r="E409" s="5">
        <v>0.27810185185185182</v>
      </c>
      <c r="F409">
        <v>1</v>
      </c>
      <c r="G409" t="s">
        <v>83</v>
      </c>
      <c r="H409" s="7">
        <v>4</v>
      </c>
      <c r="L409">
        <v>75664780</v>
      </c>
      <c r="M409" t="s">
        <v>71</v>
      </c>
      <c r="N409" s="8" t="s">
        <v>75</v>
      </c>
      <c r="O409" s="8">
        <v>1</v>
      </c>
      <c r="R409" s="8">
        <v>1</v>
      </c>
      <c r="S409">
        <v>1</v>
      </c>
      <c r="T409" s="7">
        <v>26.333333333333332</v>
      </c>
      <c r="W409" s="6">
        <v>0.95626666666666671</v>
      </c>
      <c r="Y409" s="6">
        <v>0.21</v>
      </c>
      <c r="AA409">
        <v>1</v>
      </c>
    </row>
    <row r="410" spans="1:27" x14ac:dyDescent="0.25">
      <c r="A410">
        <v>76116190</v>
      </c>
      <c r="B410" t="s">
        <v>9</v>
      </c>
      <c r="C410" t="s">
        <v>70</v>
      </c>
      <c r="D410" s="4">
        <v>46139</v>
      </c>
      <c r="E410" s="5">
        <v>0.28119212962962958</v>
      </c>
      <c r="F410">
        <v>1</v>
      </c>
      <c r="G410" t="s">
        <v>83</v>
      </c>
      <c r="H410" s="7">
        <v>7</v>
      </c>
      <c r="L410" t="s">
        <v>187</v>
      </c>
      <c r="M410" t="s">
        <v>71</v>
      </c>
      <c r="N410" s="8" t="s">
        <v>75</v>
      </c>
      <c r="O410" s="8">
        <v>1</v>
      </c>
      <c r="S410">
        <v>1</v>
      </c>
      <c r="T410" s="7">
        <v>89</v>
      </c>
      <c r="W410" s="6">
        <v>0.96426666666666672</v>
      </c>
      <c r="Z410" s="6">
        <v>0.41616666666666668</v>
      </c>
      <c r="AA410">
        <v>1</v>
      </c>
    </row>
    <row r="411" spans="1:27" x14ac:dyDescent="0.25">
      <c r="A411">
        <v>76116193</v>
      </c>
      <c r="B411" t="s">
        <v>9</v>
      </c>
      <c r="C411" t="s">
        <v>70</v>
      </c>
      <c r="D411" s="4">
        <v>46139</v>
      </c>
      <c r="E411" s="5">
        <v>0.28268518518518521</v>
      </c>
      <c r="F411">
        <v>1</v>
      </c>
      <c r="G411" t="s">
        <v>83</v>
      </c>
      <c r="H411" s="7">
        <v>4</v>
      </c>
      <c r="L411" t="s">
        <v>195</v>
      </c>
      <c r="M411" t="s">
        <v>71</v>
      </c>
      <c r="N411" s="8" t="s">
        <v>75</v>
      </c>
      <c r="O411" s="8">
        <v>1</v>
      </c>
      <c r="R411" s="8">
        <v>1</v>
      </c>
      <c r="S411">
        <v>1</v>
      </c>
      <c r="T411" s="7">
        <v>13.166666666666666</v>
      </c>
      <c r="W411" s="6">
        <v>0.95626666666666671</v>
      </c>
      <c r="Y411" s="6">
        <v>0.21</v>
      </c>
      <c r="AA411">
        <v>1</v>
      </c>
    </row>
    <row r="412" spans="1:27" x14ac:dyDescent="0.25">
      <c r="A412">
        <v>76116196</v>
      </c>
      <c r="B412" t="s">
        <v>9</v>
      </c>
      <c r="C412" t="s">
        <v>70</v>
      </c>
      <c r="D412" s="4">
        <v>46139</v>
      </c>
      <c r="E412" s="5">
        <v>0.28402777777777777</v>
      </c>
      <c r="F412">
        <v>1</v>
      </c>
      <c r="G412" t="s">
        <v>83</v>
      </c>
      <c r="H412" s="7">
        <v>4</v>
      </c>
      <c r="L412" t="s">
        <v>200</v>
      </c>
      <c r="M412" t="s">
        <v>71</v>
      </c>
      <c r="N412" s="8" t="s">
        <v>75</v>
      </c>
      <c r="O412" s="8">
        <v>1</v>
      </c>
      <c r="S412">
        <v>1</v>
      </c>
      <c r="T412" s="7">
        <v>30.083333333333332</v>
      </c>
      <c r="W412" s="6">
        <v>0.95626666666666671</v>
      </c>
      <c r="Z412" s="6">
        <v>0.40816666666666668</v>
      </c>
      <c r="AA412">
        <v>1</v>
      </c>
    </row>
    <row r="413" spans="1:27" x14ac:dyDescent="0.25">
      <c r="A413">
        <v>76116198</v>
      </c>
      <c r="B413" t="s">
        <v>9</v>
      </c>
      <c r="C413" t="s">
        <v>70</v>
      </c>
      <c r="D413" s="4">
        <v>46139</v>
      </c>
      <c r="E413" s="5">
        <v>0.28539351851851852</v>
      </c>
      <c r="F413">
        <v>1</v>
      </c>
      <c r="G413" t="s">
        <v>83</v>
      </c>
      <c r="H413" s="7">
        <v>0.5</v>
      </c>
      <c r="L413" t="s">
        <v>204</v>
      </c>
      <c r="M413" t="s">
        <v>71</v>
      </c>
      <c r="N413" s="8" t="s">
        <v>77</v>
      </c>
      <c r="O413" s="8">
        <v>1</v>
      </c>
      <c r="W413" s="6">
        <v>0.94693333333333329</v>
      </c>
    </row>
    <row r="414" spans="1:27" x14ac:dyDescent="0.25">
      <c r="A414">
        <v>76116199</v>
      </c>
      <c r="B414" t="s">
        <v>9</v>
      </c>
      <c r="C414" t="s">
        <v>70</v>
      </c>
      <c r="D414" s="4">
        <v>46139</v>
      </c>
      <c r="E414" s="5">
        <v>0.28548611111111105</v>
      </c>
      <c r="F414">
        <v>1</v>
      </c>
      <c r="G414" t="s">
        <v>83</v>
      </c>
      <c r="H414" s="7">
        <v>0.5</v>
      </c>
      <c r="L414" t="s">
        <v>204</v>
      </c>
      <c r="M414" t="s">
        <v>71</v>
      </c>
      <c r="N414" s="8" t="s">
        <v>77</v>
      </c>
      <c r="P414" s="8">
        <v>1</v>
      </c>
      <c r="S414">
        <v>1</v>
      </c>
      <c r="T414" s="7">
        <v>40.416666666666664</v>
      </c>
      <c r="X414" s="6">
        <v>0.39883333333333337</v>
      </c>
      <c r="Z414" s="6">
        <v>0.39883333333333337</v>
      </c>
      <c r="AA414">
        <v>2</v>
      </c>
    </row>
    <row r="415" spans="1:27" x14ac:dyDescent="0.25">
      <c r="A415">
        <v>76116208</v>
      </c>
      <c r="B415" t="s">
        <v>9</v>
      </c>
      <c r="C415" t="s">
        <v>70</v>
      </c>
      <c r="D415" s="4">
        <v>46139</v>
      </c>
      <c r="E415" s="5">
        <v>0.29204861111111108</v>
      </c>
      <c r="F415">
        <v>1</v>
      </c>
      <c r="G415" t="s">
        <v>83</v>
      </c>
      <c r="H415" s="7">
        <v>5</v>
      </c>
      <c r="L415" t="s">
        <v>223</v>
      </c>
      <c r="M415" t="s">
        <v>71</v>
      </c>
      <c r="N415" s="8" t="s">
        <v>75</v>
      </c>
      <c r="O415" s="8">
        <v>1</v>
      </c>
      <c r="S415">
        <v>1</v>
      </c>
      <c r="T415" s="7">
        <v>67.833333333333329</v>
      </c>
      <c r="W415" s="6">
        <v>0.9589333333333333</v>
      </c>
      <c r="Z415" s="6">
        <v>0.41083333333333333</v>
      </c>
      <c r="AA415">
        <v>1</v>
      </c>
    </row>
    <row r="416" spans="1:27" x14ac:dyDescent="0.25">
      <c r="A416">
        <v>76116210</v>
      </c>
      <c r="B416" t="s">
        <v>9</v>
      </c>
      <c r="C416" t="s">
        <v>70</v>
      </c>
      <c r="D416" s="4">
        <v>46139</v>
      </c>
      <c r="E416" s="5">
        <v>0.29296296296296298</v>
      </c>
      <c r="F416">
        <v>1</v>
      </c>
      <c r="G416" t="s">
        <v>83</v>
      </c>
      <c r="H416" s="7">
        <v>4</v>
      </c>
      <c r="L416" t="s">
        <v>227</v>
      </c>
      <c r="M416" t="s">
        <v>71</v>
      </c>
      <c r="N416" s="8" t="s">
        <v>75</v>
      </c>
      <c r="O416" s="8">
        <v>1</v>
      </c>
      <c r="W416" s="6">
        <v>0.95626666666666671</v>
      </c>
    </row>
    <row r="417" spans="1:27" x14ac:dyDescent="0.25">
      <c r="A417">
        <v>76116212</v>
      </c>
      <c r="B417" t="s">
        <v>9</v>
      </c>
      <c r="C417" t="s">
        <v>70</v>
      </c>
      <c r="D417" s="4">
        <v>46139</v>
      </c>
      <c r="E417" s="5">
        <v>0.29374999999999996</v>
      </c>
      <c r="F417">
        <v>1</v>
      </c>
      <c r="G417" t="s">
        <v>83</v>
      </c>
      <c r="H417" s="7">
        <v>93</v>
      </c>
      <c r="L417" t="s">
        <v>227</v>
      </c>
      <c r="M417" t="s">
        <v>71</v>
      </c>
      <c r="N417" s="8" t="s">
        <v>75</v>
      </c>
      <c r="P417" s="8">
        <v>1</v>
      </c>
      <c r="Q417" s="8">
        <v>1</v>
      </c>
      <c r="S417">
        <v>1</v>
      </c>
      <c r="U417" s="7">
        <v>2.75</v>
      </c>
      <c r="X417" s="6">
        <v>0.65283333333333338</v>
      </c>
      <c r="Z417" s="6">
        <v>0.64549999999999996</v>
      </c>
      <c r="AA417">
        <v>2</v>
      </c>
    </row>
    <row r="418" spans="1:27" x14ac:dyDescent="0.25">
      <c r="A418">
        <v>76116216</v>
      </c>
      <c r="B418" t="s">
        <v>9</v>
      </c>
      <c r="C418" t="s">
        <v>70</v>
      </c>
      <c r="D418" s="4">
        <v>46139</v>
      </c>
      <c r="E418" s="5">
        <v>0.29603009259259261</v>
      </c>
      <c r="F418">
        <v>1</v>
      </c>
      <c r="G418" t="s">
        <v>83</v>
      </c>
      <c r="H418" s="7">
        <v>9</v>
      </c>
      <c r="L418" t="s">
        <v>235</v>
      </c>
      <c r="M418" t="s">
        <v>71</v>
      </c>
      <c r="N418" s="8" t="s">
        <v>75</v>
      </c>
      <c r="O418" s="8">
        <v>1</v>
      </c>
      <c r="S418">
        <v>1</v>
      </c>
      <c r="T418" s="7">
        <v>265.08333333333331</v>
      </c>
      <c r="W418" s="6">
        <v>0.96960000000000002</v>
      </c>
      <c r="Z418" s="6">
        <v>0.42150000000000004</v>
      </c>
      <c r="AA418">
        <v>1</v>
      </c>
    </row>
    <row r="419" spans="1:27" x14ac:dyDescent="0.25">
      <c r="A419">
        <v>76116220</v>
      </c>
      <c r="B419" t="s">
        <v>9</v>
      </c>
      <c r="C419" t="s">
        <v>70</v>
      </c>
      <c r="D419" s="4">
        <v>46139</v>
      </c>
      <c r="E419" s="5">
        <v>0.29896990740740736</v>
      </c>
      <c r="F419">
        <v>1</v>
      </c>
      <c r="G419" t="s">
        <v>83</v>
      </c>
      <c r="H419" s="7">
        <v>11.25</v>
      </c>
      <c r="L419" t="s">
        <v>244</v>
      </c>
      <c r="M419" t="s">
        <v>71</v>
      </c>
      <c r="N419" s="8">
        <v>1</v>
      </c>
      <c r="O419" s="8">
        <v>1</v>
      </c>
      <c r="R419" s="8">
        <v>1</v>
      </c>
      <c r="S419">
        <v>1</v>
      </c>
      <c r="T419" s="7">
        <v>11.25</v>
      </c>
      <c r="W419" s="6">
        <v>0.97560000000000002</v>
      </c>
      <c r="Y419" s="6">
        <v>0.21</v>
      </c>
      <c r="AA419">
        <v>1</v>
      </c>
    </row>
    <row r="420" spans="1:27" x14ac:dyDescent="0.25">
      <c r="A420">
        <v>76116222</v>
      </c>
      <c r="B420" t="s">
        <v>9</v>
      </c>
      <c r="C420" t="s">
        <v>70</v>
      </c>
      <c r="D420" s="4">
        <v>46139</v>
      </c>
      <c r="E420" s="5">
        <v>0.30034722222222221</v>
      </c>
      <c r="F420">
        <v>1</v>
      </c>
      <c r="G420" t="s">
        <v>83</v>
      </c>
      <c r="H420" s="7">
        <v>0.5</v>
      </c>
      <c r="L420" t="s">
        <v>249</v>
      </c>
      <c r="M420" t="s">
        <v>71</v>
      </c>
      <c r="N420" s="8">
        <v>1</v>
      </c>
      <c r="O420" s="8">
        <v>1</v>
      </c>
      <c r="S420">
        <v>1</v>
      </c>
      <c r="T420" s="7">
        <v>231.16666666666666</v>
      </c>
      <c r="W420" s="6">
        <v>0.94693333333333329</v>
      </c>
      <c r="Z420" s="6">
        <v>0.39883333333333337</v>
      </c>
      <c r="AA420">
        <v>1</v>
      </c>
    </row>
    <row r="421" spans="1:27" x14ac:dyDescent="0.25">
      <c r="A421">
        <v>76116226</v>
      </c>
      <c r="B421" t="s">
        <v>9</v>
      </c>
      <c r="C421" t="s">
        <v>70</v>
      </c>
      <c r="D421" s="4">
        <v>46139</v>
      </c>
      <c r="E421" s="5">
        <v>0.30292824074074071</v>
      </c>
      <c r="F421">
        <v>1</v>
      </c>
      <c r="G421" t="s">
        <v>83</v>
      </c>
      <c r="H421" s="7">
        <v>40.5</v>
      </c>
      <c r="L421" t="s">
        <v>258</v>
      </c>
      <c r="M421" t="s">
        <v>71</v>
      </c>
      <c r="N421" s="8" t="s">
        <v>75</v>
      </c>
      <c r="O421" s="8">
        <v>1</v>
      </c>
      <c r="S421">
        <v>1</v>
      </c>
      <c r="T421" s="7">
        <v>182.33333333333334</v>
      </c>
      <c r="W421" s="6">
        <v>1.0536000000000001</v>
      </c>
      <c r="Z421" s="6">
        <v>0.50550000000000006</v>
      </c>
      <c r="AA421">
        <v>1</v>
      </c>
    </row>
    <row r="422" spans="1:27" x14ac:dyDescent="0.25">
      <c r="A422">
        <v>76116230</v>
      </c>
      <c r="B422" t="s">
        <v>9</v>
      </c>
      <c r="C422" t="s">
        <v>70</v>
      </c>
      <c r="D422" s="4">
        <v>46139</v>
      </c>
      <c r="E422" s="5">
        <v>0.30527777777777776</v>
      </c>
      <c r="F422">
        <v>1</v>
      </c>
      <c r="G422" t="s">
        <v>83</v>
      </c>
      <c r="H422" s="7">
        <v>5</v>
      </c>
      <c r="L422" t="s">
        <v>264</v>
      </c>
      <c r="M422" t="s">
        <v>71</v>
      </c>
      <c r="N422" s="8">
        <v>1</v>
      </c>
      <c r="O422" s="8">
        <v>1</v>
      </c>
      <c r="S422">
        <v>1</v>
      </c>
      <c r="T422" s="7">
        <v>57.666666666666664</v>
      </c>
      <c r="W422" s="6">
        <v>0.9589333333333333</v>
      </c>
      <c r="Z422" s="6">
        <v>0.41083333333333333</v>
      </c>
      <c r="AA422">
        <v>1</v>
      </c>
    </row>
    <row r="423" spans="1:27" x14ac:dyDescent="0.25">
      <c r="A423">
        <v>76116233</v>
      </c>
      <c r="B423" t="s">
        <v>9</v>
      </c>
      <c r="C423" t="s">
        <v>70</v>
      </c>
      <c r="D423" s="4">
        <v>46139</v>
      </c>
      <c r="E423" s="5">
        <v>0.30765046296296295</v>
      </c>
      <c r="F423">
        <v>1</v>
      </c>
      <c r="G423" t="s">
        <v>83</v>
      </c>
      <c r="H423" s="7">
        <v>155</v>
      </c>
      <c r="L423" t="s">
        <v>270</v>
      </c>
      <c r="M423" t="s">
        <v>71</v>
      </c>
      <c r="N423" s="8" t="s">
        <v>78</v>
      </c>
      <c r="O423" s="8">
        <v>1</v>
      </c>
      <c r="W423" s="6">
        <v>1.3589333333333333</v>
      </c>
    </row>
    <row r="424" spans="1:27" x14ac:dyDescent="0.25">
      <c r="A424">
        <v>76116235</v>
      </c>
      <c r="B424" t="s">
        <v>9</v>
      </c>
      <c r="C424" t="s">
        <v>70</v>
      </c>
      <c r="D424" s="4">
        <v>46139</v>
      </c>
      <c r="E424" s="5">
        <v>0.30837962962962961</v>
      </c>
      <c r="F424">
        <v>1</v>
      </c>
      <c r="G424" t="s">
        <v>83</v>
      </c>
      <c r="H424" s="7">
        <v>100</v>
      </c>
      <c r="L424" t="s">
        <v>270</v>
      </c>
      <c r="M424" t="s">
        <v>71</v>
      </c>
      <c r="N424" s="8" t="s">
        <v>78</v>
      </c>
      <c r="P424" s="8">
        <v>1</v>
      </c>
      <c r="S424">
        <v>1</v>
      </c>
      <c r="T424" s="7">
        <v>89.083333333333329</v>
      </c>
      <c r="X424" s="6">
        <v>0.66416666666666668</v>
      </c>
      <c r="Z424" s="6">
        <v>0.66416666666666668</v>
      </c>
      <c r="AA424">
        <v>2</v>
      </c>
    </row>
    <row r="425" spans="1:27" x14ac:dyDescent="0.25">
      <c r="A425">
        <v>76116239</v>
      </c>
      <c r="B425" t="s">
        <v>9</v>
      </c>
      <c r="C425" t="s">
        <v>70</v>
      </c>
      <c r="D425" s="4">
        <v>46139</v>
      </c>
      <c r="E425" s="5">
        <v>0.31156250000000002</v>
      </c>
      <c r="F425">
        <v>1</v>
      </c>
      <c r="G425" t="s">
        <v>83</v>
      </c>
      <c r="H425" s="7">
        <v>9.5</v>
      </c>
      <c r="L425">
        <v>90126984</v>
      </c>
      <c r="M425" t="s">
        <v>71</v>
      </c>
      <c r="N425" s="8" t="s">
        <v>80</v>
      </c>
      <c r="O425" s="8">
        <v>1</v>
      </c>
      <c r="R425" s="8">
        <v>1</v>
      </c>
      <c r="S425">
        <v>1</v>
      </c>
      <c r="T425" s="7">
        <v>11.583333333333332</v>
      </c>
      <c r="W425" s="6">
        <v>0.97093333333333331</v>
      </c>
      <c r="Y425" s="6">
        <v>0.21</v>
      </c>
      <c r="AA425">
        <v>1</v>
      </c>
    </row>
    <row r="426" spans="1:27" x14ac:dyDescent="0.25">
      <c r="A426">
        <v>76116241</v>
      </c>
      <c r="B426" t="s">
        <v>9</v>
      </c>
      <c r="C426" t="s">
        <v>70</v>
      </c>
      <c r="D426" s="4">
        <v>46139</v>
      </c>
      <c r="E426" s="5">
        <v>0.31268518518518518</v>
      </c>
      <c r="F426">
        <v>1</v>
      </c>
      <c r="G426" t="s">
        <v>83</v>
      </c>
      <c r="H426" s="7">
        <v>8.75</v>
      </c>
      <c r="L426">
        <v>80318889</v>
      </c>
      <c r="M426" t="s">
        <v>71</v>
      </c>
      <c r="N426" s="8" t="s">
        <v>80</v>
      </c>
      <c r="O426" s="8">
        <v>1</v>
      </c>
      <c r="R426" s="8">
        <v>1</v>
      </c>
      <c r="S426">
        <v>1</v>
      </c>
      <c r="T426" s="7">
        <v>27.583333333333332</v>
      </c>
      <c r="W426" s="6">
        <v>0.96893333333333331</v>
      </c>
      <c r="Y426" s="6">
        <v>0.21</v>
      </c>
      <c r="AA426">
        <v>1</v>
      </c>
    </row>
    <row r="427" spans="1:27" x14ac:dyDescent="0.25">
      <c r="A427">
        <v>76116244</v>
      </c>
      <c r="B427" t="s">
        <v>9</v>
      </c>
      <c r="C427" t="s">
        <v>70</v>
      </c>
      <c r="D427" s="4">
        <v>46139</v>
      </c>
      <c r="E427" s="5">
        <v>0.31408564814814816</v>
      </c>
      <c r="F427">
        <v>1</v>
      </c>
      <c r="G427" t="s">
        <v>83</v>
      </c>
      <c r="H427" s="7">
        <v>8</v>
      </c>
      <c r="L427" t="s">
        <v>295</v>
      </c>
      <c r="M427" t="s">
        <v>71</v>
      </c>
      <c r="N427" s="8" t="s">
        <v>75</v>
      </c>
      <c r="O427" s="8">
        <v>1</v>
      </c>
      <c r="R427" s="8">
        <v>1</v>
      </c>
      <c r="S427">
        <v>1</v>
      </c>
      <c r="T427" s="7">
        <v>11.083333333333334</v>
      </c>
      <c r="W427" s="6">
        <v>0.96693333333333331</v>
      </c>
      <c r="Y427" s="6">
        <v>0.21</v>
      </c>
      <c r="AA427">
        <v>1</v>
      </c>
    </row>
    <row r="428" spans="1:27" x14ac:dyDescent="0.25">
      <c r="A428">
        <v>76116248</v>
      </c>
      <c r="B428" t="s">
        <v>9</v>
      </c>
      <c r="C428" t="s">
        <v>70</v>
      </c>
      <c r="D428" s="4">
        <v>46139</v>
      </c>
      <c r="E428" s="5">
        <v>0.3175</v>
      </c>
      <c r="F428">
        <v>1</v>
      </c>
      <c r="G428" t="s">
        <v>83</v>
      </c>
      <c r="H428" s="7">
        <v>1</v>
      </c>
      <c r="L428" t="s">
        <v>304</v>
      </c>
      <c r="M428" t="s">
        <v>71</v>
      </c>
      <c r="N428" s="8" t="s">
        <v>80</v>
      </c>
      <c r="O428" s="8">
        <v>1</v>
      </c>
      <c r="R428" s="8">
        <v>1</v>
      </c>
      <c r="S428">
        <v>1</v>
      </c>
      <c r="T428" s="7">
        <v>5.583333333333333</v>
      </c>
      <c r="W428" s="6">
        <v>0.9482666666666667</v>
      </c>
      <c r="Y428" s="6">
        <v>0.21</v>
      </c>
      <c r="AA428">
        <v>1</v>
      </c>
    </row>
    <row r="429" spans="1:27" x14ac:dyDescent="0.25">
      <c r="A429">
        <v>76116252</v>
      </c>
      <c r="B429" t="s">
        <v>9</v>
      </c>
      <c r="C429" t="s">
        <v>70</v>
      </c>
      <c r="D429" s="4">
        <v>46139</v>
      </c>
      <c r="E429" s="5">
        <v>0.32079861111111108</v>
      </c>
      <c r="F429">
        <v>1</v>
      </c>
      <c r="G429" t="s">
        <v>83</v>
      </c>
      <c r="H429" s="7">
        <v>1</v>
      </c>
      <c r="L429" t="s">
        <v>313</v>
      </c>
      <c r="M429" t="s">
        <v>71</v>
      </c>
      <c r="N429" s="8" t="s">
        <v>75</v>
      </c>
      <c r="O429" s="8">
        <v>1</v>
      </c>
      <c r="S429">
        <v>1</v>
      </c>
      <c r="T429" s="7">
        <v>32.166666666666664</v>
      </c>
      <c r="W429" s="6">
        <v>0.9482666666666667</v>
      </c>
      <c r="Z429" s="6">
        <v>0.40016666666666667</v>
      </c>
      <c r="AA429">
        <v>1</v>
      </c>
    </row>
    <row r="430" spans="1:27" x14ac:dyDescent="0.25">
      <c r="A430">
        <v>76116255</v>
      </c>
      <c r="B430" t="s">
        <v>9</v>
      </c>
      <c r="C430" t="s">
        <v>70</v>
      </c>
      <c r="D430" s="4">
        <v>46139</v>
      </c>
      <c r="E430" s="5">
        <v>0.32189814814814816</v>
      </c>
      <c r="F430">
        <v>1</v>
      </c>
      <c r="G430" t="s">
        <v>83</v>
      </c>
      <c r="H430" s="7">
        <v>1</v>
      </c>
      <c r="L430" t="s">
        <v>319</v>
      </c>
      <c r="M430" t="s">
        <v>71</v>
      </c>
      <c r="N430" s="8" t="s">
        <v>75</v>
      </c>
      <c r="O430" s="8">
        <v>1</v>
      </c>
      <c r="S430">
        <v>1</v>
      </c>
      <c r="T430" s="7">
        <v>67.416666666666657</v>
      </c>
      <c r="W430" s="6">
        <v>0.9482666666666667</v>
      </c>
      <c r="Z430" s="6">
        <v>0.40016666666666667</v>
      </c>
      <c r="AA430">
        <v>1</v>
      </c>
    </row>
    <row r="431" spans="1:27" x14ac:dyDescent="0.25">
      <c r="A431">
        <v>76116259</v>
      </c>
      <c r="B431" t="s">
        <v>9</v>
      </c>
      <c r="C431" t="s">
        <v>70</v>
      </c>
      <c r="D431" s="4">
        <v>46139</v>
      </c>
      <c r="E431" s="5">
        <v>0.3238657407407407</v>
      </c>
      <c r="F431">
        <v>1</v>
      </c>
      <c r="G431" t="s">
        <v>83</v>
      </c>
      <c r="H431" s="7">
        <v>37</v>
      </c>
      <c r="L431" t="s">
        <v>328</v>
      </c>
      <c r="M431" t="s">
        <v>71</v>
      </c>
      <c r="N431" s="8" t="s">
        <v>75</v>
      </c>
      <c r="O431" s="8">
        <v>1</v>
      </c>
      <c r="S431">
        <v>1</v>
      </c>
      <c r="T431" s="7">
        <v>265.66666666666663</v>
      </c>
      <c r="W431" s="6">
        <v>1.0442666666666667</v>
      </c>
      <c r="Z431" s="6">
        <v>0.4961666666666667</v>
      </c>
      <c r="AA431">
        <v>1</v>
      </c>
    </row>
    <row r="432" spans="1:27" x14ac:dyDescent="0.25">
      <c r="A432">
        <v>76116263</v>
      </c>
      <c r="B432" t="s">
        <v>9</v>
      </c>
      <c r="C432" t="s">
        <v>70</v>
      </c>
      <c r="D432" s="4">
        <v>46139</v>
      </c>
      <c r="E432" s="5">
        <v>0.32570601851851849</v>
      </c>
      <c r="F432">
        <v>1</v>
      </c>
      <c r="G432" t="s">
        <v>83</v>
      </c>
      <c r="H432" s="7">
        <v>5</v>
      </c>
      <c r="L432" t="s">
        <v>337</v>
      </c>
      <c r="M432" t="s">
        <v>71</v>
      </c>
      <c r="N432" s="8">
        <v>1</v>
      </c>
      <c r="O432" s="8">
        <v>1</v>
      </c>
      <c r="Q432" s="8">
        <v>1</v>
      </c>
      <c r="S432">
        <v>1</v>
      </c>
      <c r="U432" s="7">
        <v>0.25</v>
      </c>
      <c r="W432" s="6">
        <v>0.95960000000000001</v>
      </c>
      <c r="Z432" s="6">
        <v>0.41083333333333333</v>
      </c>
      <c r="AA432">
        <v>1</v>
      </c>
    </row>
    <row r="433" spans="1:27" x14ac:dyDescent="0.25">
      <c r="A433">
        <v>76116265</v>
      </c>
      <c r="B433" t="s">
        <v>9</v>
      </c>
      <c r="C433" t="s">
        <v>70</v>
      </c>
      <c r="D433" s="4">
        <v>46139</v>
      </c>
      <c r="E433" s="5">
        <v>0.3266087962962963</v>
      </c>
      <c r="F433">
        <v>1</v>
      </c>
      <c r="G433" t="s">
        <v>83</v>
      </c>
      <c r="H433" s="7">
        <v>4</v>
      </c>
      <c r="L433" t="s">
        <v>342</v>
      </c>
      <c r="M433" t="s">
        <v>71</v>
      </c>
      <c r="N433" s="8" t="s">
        <v>75</v>
      </c>
      <c r="O433" s="8">
        <v>1</v>
      </c>
      <c r="R433" s="8">
        <v>1</v>
      </c>
      <c r="S433">
        <v>1</v>
      </c>
      <c r="T433" s="7">
        <v>13.083333333333332</v>
      </c>
      <c r="W433" s="6">
        <v>0.95626666666666671</v>
      </c>
      <c r="Y433" s="6">
        <v>0.21</v>
      </c>
      <c r="AA433">
        <v>1</v>
      </c>
    </row>
    <row r="434" spans="1:27" x14ac:dyDescent="0.25">
      <c r="A434">
        <v>76116269</v>
      </c>
      <c r="B434" t="s">
        <v>9</v>
      </c>
      <c r="C434" t="s">
        <v>70</v>
      </c>
      <c r="D434" s="4">
        <v>46139</v>
      </c>
      <c r="E434" s="5">
        <v>0.32837962962962963</v>
      </c>
      <c r="F434">
        <v>1</v>
      </c>
      <c r="G434" t="s">
        <v>83</v>
      </c>
      <c r="H434" s="7">
        <v>2</v>
      </c>
      <c r="L434" t="s">
        <v>351</v>
      </c>
      <c r="M434" t="s">
        <v>71</v>
      </c>
      <c r="N434" s="8" t="s">
        <v>75</v>
      </c>
      <c r="O434" s="8">
        <v>1</v>
      </c>
      <c r="R434" s="8">
        <v>1</v>
      </c>
      <c r="S434">
        <v>1</v>
      </c>
      <c r="T434" s="7">
        <v>10.75</v>
      </c>
      <c r="W434" s="6">
        <v>0.9509333333333333</v>
      </c>
      <c r="Y434" s="6">
        <v>0.21</v>
      </c>
      <c r="AA434">
        <v>1</v>
      </c>
    </row>
    <row r="435" spans="1:27" x14ac:dyDescent="0.25">
      <c r="A435">
        <v>76116275</v>
      </c>
      <c r="B435" t="s">
        <v>9</v>
      </c>
      <c r="C435" t="s">
        <v>70</v>
      </c>
      <c r="D435" s="4">
        <v>46139</v>
      </c>
      <c r="E435" s="5">
        <v>0.34317129629629628</v>
      </c>
      <c r="F435">
        <v>1</v>
      </c>
      <c r="G435" t="s">
        <v>83</v>
      </c>
      <c r="H435" s="7">
        <v>97.5</v>
      </c>
      <c r="L435" t="s">
        <v>360</v>
      </c>
      <c r="M435" t="s">
        <v>71</v>
      </c>
      <c r="N435" s="8" t="s">
        <v>78</v>
      </c>
      <c r="O435" s="8">
        <v>1</v>
      </c>
      <c r="R435" s="8">
        <v>1</v>
      </c>
      <c r="S435">
        <v>1</v>
      </c>
      <c r="T435" s="7">
        <v>12.333333333333332</v>
      </c>
      <c r="W435" s="6">
        <v>1.2056</v>
      </c>
      <c r="Y435" s="6">
        <v>0.21</v>
      </c>
      <c r="AA435">
        <v>1</v>
      </c>
    </row>
    <row r="436" spans="1:27" x14ac:dyDescent="0.25">
      <c r="A436">
        <v>76116279</v>
      </c>
      <c r="B436" t="s">
        <v>9</v>
      </c>
      <c r="C436" t="s">
        <v>70</v>
      </c>
      <c r="D436" s="4">
        <v>46139</v>
      </c>
      <c r="E436" s="5">
        <v>0.3448032407407407</v>
      </c>
      <c r="F436">
        <v>1</v>
      </c>
      <c r="G436" t="s">
        <v>83</v>
      </c>
      <c r="H436" s="7">
        <v>53.5</v>
      </c>
      <c r="L436" t="s">
        <v>366</v>
      </c>
      <c r="M436" t="s">
        <v>71</v>
      </c>
      <c r="N436" s="8" t="s">
        <v>75</v>
      </c>
      <c r="O436" s="8">
        <v>1</v>
      </c>
      <c r="S436">
        <v>1</v>
      </c>
      <c r="T436" s="7">
        <v>76.416666666666671</v>
      </c>
      <c r="W436" s="6">
        <v>1.0882666666666667</v>
      </c>
      <c r="Z436" s="6">
        <v>0.54016666666666668</v>
      </c>
      <c r="AA436">
        <v>1</v>
      </c>
    </row>
    <row r="437" spans="1:27" x14ac:dyDescent="0.25">
      <c r="A437">
        <v>76116281</v>
      </c>
      <c r="B437" t="s">
        <v>9</v>
      </c>
      <c r="C437" t="s">
        <v>70</v>
      </c>
      <c r="D437" s="4">
        <v>46139</v>
      </c>
      <c r="E437" s="5">
        <v>0.34575231481481478</v>
      </c>
      <c r="F437">
        <v>1</v>
      </c>
      <c r="G437" t="s">
        <v>83</v>
      </c>
      <c r="H437" s="7">
        <v>1</v>
      </c>
      <c r="L437" t="s">
        <v>371</v>
      </c>
      <c r="M437" t="s">
        <v>71</v>
      </c>
      <c r="N437" s="8" t="s">
        <v>78</v>
      </c>
      <c r="O437" s="8">
        <v>1</v>
      </c>
      <c r="S437">
        <v>1</v>
      </c>
      <c r="T437" s="7">
        <v>45.833333333333329</v>
      </c>
      <c r="W437" s="6">
        <v>0.9482666666666667</v>
      </c>
      <c r="Z437" s="6">
        <v>0.40016666666666667</v>
      </c>
      <c r="AA437">
        <v>1</v>
      </c>
    </row>
    <row r="438" spans="1:27" x14ac:dyDescent="0.25">
      <c r="A438">
        <v>76116285</v>
      </c>
      <c r="B438" t="s">
        <v>9</v>
      </c>
      <c r="C438" t="s">
        <v>70</v>
      </c>
      <c r="D438" s="4">
        <v>46139</v>
      </c>
      <c r="E438" s="5">
        <v>0.34809027777777773</v>
      </c>
      <c r="F438">
        <v>1</v>
      </c>
      <c r="G438" t="s">
        <v>83</v>
      </c>
      <c r="H438" s="7">
        <v>33.75</v>
      </c>
      <c r="L438" t="s">
        <v>377</v>
      </c>
      <c r="M438" t="s">
        <v>71</v>
      </c>
      <c r="N438" s="8" t="s">
        <v>75</v>
      </c>
      <c r="O438" s="8">
        <v>1</v>
      </c>
      <c r="W438" s="6">
        <v>1.0356000000000001</v>
      </c>
    </row>
    <row r="439" spans="1:27" x14ac:dyDescent="0.25">
      <c r="A439">
        <v>76116288</v>
      </c>
      <c r="B439" t="s">
        <v>9</v>
      </c>
      <c r="C439" t="s">
        <v>70</v>
      </c>
      <c r="D439" s="4">
        <v>46139</v>
      </c>
      <c r="E439" s="5">
        <v>0.34864583333333332</v>
      </c>
      <c r="F439">
        <v>1</v>
      </c>
      <c r="G439" t="s">
        <v>83</v>
      </c>
      <c r="H439" s="7">
        <v>32.083333333333336</v>
      </c>
      <c r="L439" t="s">
        <v>377</v>
      </c>
      <c r="M439" t="s">
        <v>71</v>
      </c>
      <c r="N439" s="8" t="s">
        <v>75</v>
      </c>
      <c r="P439" s="8">
        <v>1</v>
      </c>
      <c r="R439" s="8">
        <v>1</v>
      </c>
      <c r="S439">
        <v>1</v>
      </c>
      <c r="T439" s="7">
        <v>23.5</v>
      </c>
      <c r="X439" s="6">
        <v>0.48305555555555557</v>
      </c>
      <c r="Y439" s="6">
        <v>0.21</v>
      </c>
      <c r="AA439">
        <v>2</v>
      </c>
    </row>
    <row r="440" spans="1:27" x14ac:dyDescent="0.25">
      <c r="A440">
        <v>76116294</v>
      </c>
      <c r="B440" t="s">
        <v>9</v>
      </c>
      <c r="C440" t="s">
        <v>70</v>
      </c>
      <c r="D440" s="4">
        <v>46139</v>
      </c>
      <c r="E440" s="5">
        <v>0.35129629629629627</v>
      </c>
      <c r="F440">
        <v>1</v>
      </c>
      <c r="G440" t="s">
        <v>83</v>
      </c>
      <c r="H440" s="7">
        <v>1</v>
      </c>
      <c r="L440" t="s">
        <v>391</v>
      </c>
      <c r="M440" t="s">
        <v>71</v>
      </c>
      <c r="N440" s="8" t="s">
        <v>80</v>
      </c>
      <c r="O440" s="8">
        <v>1</v>
      </c>
      <c r="R440" s="8">
        <v>1</v>
      </c>
      <c r="S440">
        <v>1</v>
      </c>
      <c r="T440" s="7">
        <v>5.166666666666667</v>
      </c>
      <c r="W440" s="6">
        <v>0.9482666666666667</v>
      </c>
      <c r="Y440" s="6">
        <v>0.21</v>
      </c>
      <c r="AA440">
        <v>1</v>
      </c>
    </row>
    <row r="441" spans="1:27" x14ac:dyDescent="0.25">
      <c r="A441">
        <v>76116297</v>
      </c>
      <c r="B441" t="s">
        <v>9</v>
      </c>
      <c r="C441" t="s">
        <v>70</v>
      </c>
      <c r="D441" s="4">
        <v>46139</v>
      </c>
      <c r="E441" s="5">
        <v>0.35296296296296292</v>
      </c>
      <c r="F441">
        <v>1</v>
      </c>
      <c r="G441" t="s">
        <v>83</v>
      </c>
      <c r="H441" s="7">
        <v>128.83333333333334</v>
      </c>
      <c r="L441" t="s">
        <v>397</v>
      </c>
      <c r="M441" t="s">
        <v>71</v>
      </c>
      <c r="N441" s="8" t="s">
        <v>75</v>
      </c>
      <c r="O441" s="8">
        <v>1</v>
      </c>
      <c r="W441" s="6">
        <v>1.2891555555555556</v>
      </c>
    </row>
    <row r="442" spans="1:27" x14ac:dyDescent="0.25">
      <c r="A442">
        <v>76116299</v>
      </c>
      <c r="B442" t="s">
        <v>9</v>
      </c>
      <c r="C442" t="s">
        <v>70</v>
      </c>
      <c r="D442" s="4">
        <v>46139</v>
      </c>
      <c r="E442" s="5">
        <v>0.35368055555555555</v>
      </c>
      <c r="F442">
        <v>1</v>
      </c>
      <c r="G442" t="s">
        <v>83</v>
      </c>
      <c r="H442" s="7">
        <v>73.5</v>
      </c>
      <c r="L442" t="s">
        <v>397</v>
      </c>
      <c r="M442" t="s">
        <v>71</v>
      </c>
      <c r="N442" s="8" t="s">
        <v>75</v>
      </c>
      <c r="P442" s="8">
        <v>1</v>
      </c>
      <c r="X442" s="6">
        <v>0.59350000000000003</v>
      </c>
    </row>
    <row r="443" spans="1:27" x14ac:dyDescent="0.25">
      <c r="A443">
        <v>76116301</v>
      </c>
      <c r="B443" t="s">
        <v>9</v>
      </c>
      <c r="C443" t="s">
        <v>70</v>
      </c>
      <c r="D443" s="4">
        <v>46139</v>
      </c>
      <c r="E443" s="5">
        <v>0.35425925925925927</v>
      </c>
      <c r="F443">
        <v>1</v>
      </c>
      <c r="G443" t="s">
        <v>83</v>
      </c>
      <c r="H443" s="7">
        <v>74.5</v>
      </c>
      <c r="L443" t="s">
        <v>397</v>
      </c>
      <c r="M443" t="s">
        <v>71</v>
      </c>
      <c r="N443" s="8" t="s">
        <v>75</v>
      </c>
      <c r="P443" s="8">
        <v>1</v>
      </c>
      <c r="Q443" s="8">
        <v>1</v>
      </c>
      <c r="S443">
        <v>1</v>
      </c>
      <c r="U443" s="7">
        <v>1.9166666666666665</v>
      </c>
      <c r="X443" s="6">
        <v>0.6012777777777778</v>
      </c>
      <c r="Z443" s="6">
        <v>0.59616666666666673</v>
      </c>
      <c r="AA443">
        <v>3</v>
      </c>
    </row>
    <row r="444" spans="1:27" x14ac:dyDescent="0.25">
      <c r="A444">
        <v>76116303</v>
      </c>
      <c r="B444" t="s">
        <v>9</v>
      </c>
      <c r="C444" t="s">
        <v>70</v>
      </c>
      <c r="D444" s="4">
        <v>46139</v>
      </c>
      <c r="E444" s="5">
        <v>0.3554282407407407</v>
      </c>
      <c r="F444">
        <v>1</v>
      </c>
      <c r="G444" t="s">
        <v>83</v>
      </c>
      <c r="H444" s="7">
        <v>64.5</v>
      </c>
      <c r="L444" t="s">
        <v>407</v>
      </c>
      <c r="M444" t="s">
        <v>71</v>
      </c>
      <c r="N444" s="8" t="s">
        <v>75</v>
      </c>
      <c r="O444" s="8">
        <v>1</v>
      </c>
      <c r="S444">
        <v>1</v>
      </c>
      <c r="T444" s="7">
        <v>241.16666666666666</v>
      </c>
      <c r="W444" s="6">
        <v>1.1175999999999999</v>
      </c>
      <c r="Z444" s="6">
        <v>0.56950000000000001</v>
      </c>
      <c r="AA444">
        <v>1</v>
      </c>
    </row>
    <row r="445" spans="1:27" x14ac:dyDescent="0.25">
      <c r="A445">
        <v>76116309</v>
      </c>
      <c r="B445" t="s">
        <v>9</v>
      </c>
      <c r="C445" t="s">
        <v>70</v>
      </c>
      <c r="D445" s="4">
        <v>46139</v>
      </c>
      <c r="E445" s="5">
        <v>0.35722222222222222</v>
      </c>
      <c r="F445">
        <v>1</v>
      </c>
      <c r="G445" t="s">
        <v>83</v>
      </c>
      <c r="H445" s="7">
        <v>1.6666666666666665</v>
      </c>
      <c r="L445">
        <v>74621027</v>
      </c>
      <c r="M445" t="s">
        <v>71</v>
      </c>
      <c r="N445" s="8">
        <v>1</v>
      </c>
      <c r="O445" s="8">
        <v>1</v>
      </c>
      <c r="S445">
        <v>1</v>
      </c>
      <c r="T445" s="7">
        <v>83.416666666666657</v>
      </c>
      <c r="W445" s="6">
        <v>0.95004444444444447</v>
      </c>
      <c r="Z445" s="6">
        <v>0.40194444444444444</v>
      </c>
      <c r="AA445">
        <v>1</v>
      </c>
    </row>
    <row r="446" spans="1:27" x14ac:dyDescent="0.25">
      <c r="A446">
        <v>76116313</v>
      </c>
      <c r="B446" t="s">
        <v>9</v>
      </c>
      <c r="C446" t="s">
        <v>70</v>
      </c>
      <c r="D446" s="4">
        <v>46139</v>
      </c>
      <c r="E446" s="5">
        <v>0.35895833333333332</v>
      </c>
      <c r="F446">
        <v>1</v>
      </c>
      <c r="G446" t="s">
        <v>83</v>
      </c>
      <c r="H446" s="7">
        <v>150</v>
      </c>
      <c r="L446" t="s">
        <v>424</v>
      </c>
      <c r="M446" t="s">
        <v>71</v>
      </c>
      <c r="N446" s="8">
        <v>1</v>
      </c>
      <c r="O446" s="8">
        <v>1</v>
      </c>
      <c r="W446" s="6">
        <v>1.3456000000000001</v>
      </c>
    </row>
    <row r="447" spans="1:27" x14ac:dyDescent="0.25">
      <c r="A447">
        <v>76116315</v>
      </c>
      <c r="B447" t="s">
        <v>9</v>
      </c>
      <c r="C447" t="s">
        <v>70</v>
      </c>
      <c r="D447" s="4">
        <v>46139</v>
      </c>
      <c r="E447" s="5">
        <v>0.35940972222222223</v>
      </c>
      <c r="F447">
        <v>1</v>
      </c>
      <c r="G447" t="s">
        <v>83</v>
      </c>
      <c r="H447" s="7">
        <v>14</v>
      </c>
      <c r="L447" t="s">
        <v>424</v>
      </c>
      <c r="M447" t="s">
        <v>71</v>
      </c>
      <c r="N447" s="8">
        <v>1</v>
      </c>
      <c r="P447" s="8">
        <v>1</v>
      </c>
      <c r="R447" s="8">
        <v>1</v>
      </c>
      <c r="S447">
        <v>1</v>
      </c>
      <c r="T447" s="7">
        <v>25.5</v>
      </c>
      <c r="X447" s="6">
        <v>0.43483333333333335</v>
      </c>
      <c r="Y447" s="6">
        <v>0.21</v>
      </c>
      <c r="AA447">
        <v>2</v>
      </c>
    </row>
    <row r="448" spans="1:27" x14ac:dyDescent="0.25">
      <c r="A448">
        <v>76116319</v>
      </c>
      <c r="B448" t="s">
        <v>9</v>
      </c>
      <c r="C448" t="s">
        <v>70</v>
      </c>
      <c r="D448" s="4">
        <v>46139</v>
      </c>
      <c r="E448" s="5">
        <v>0.36204861111111108</v>
      </c>
      <c r="F448">
        <v>1</v>
      </c>
      <c r="G448" t="s">
        <v>83</v>
      </c>
      <c r="H448" s="7">
        <v>52.5</v>
      </c>
      <c r="L448" t="s">
        <v>435</v>
      </c>
      <c r="M448" t="s">
        <v>71</v>
      </c>
      <c r="N448" s="8" t="s">
        <v>78</v>
      </c>
      <c r="O448" s="8">
        <v>1</v>
      </c>
      <c r="W448" s="6">
        <v>1.0855999999999999</v>
      </c>
    </row>
    <row r="449" spans="1:27" x14ac:dyDescent="0.25">
      <c r="A449">
        <v>76116321</v>
      </c>
      <c r="B449" t="s">
        <v>9</v>
      </c>
      <c r="C449" t="s">
        <v>70</v>
      </c>
      <c r="D449" s="4">
        <v>46139</v>
      </c>
      <c r="E449" s="5">
        <v>0.36260416666666667</v>
      </c>
      <c r="F449">
        <v>1</v>
      </c>
      <c r="G449" t="s">
        <v>83</v>
      </c>
      <c r="H449" s="7">
        <v>30</v>
      </c>
      <c r="L449" t="s">
        <v>435</v>
      </c>
      <c r="M449" t="s">
        <v>71</v>
      </c>
      <c r="N449" s="8" t="s">
        <v>78</v>
      </c>
      <c r="P449" s="8">
        <v>1</v>
      </c>
      <c r="S449">
        <v>1</v>
      </c>
      <c r="T449" s="7">
        <v>44.583333333333329</v>
      </c>
      <c r="X449" s="6">
        <v>0.47750000000000004</v>
      </c>
      <c r="Z449" s="6">
        <v>0.47750000000000004</v>
      </c>
      <c r="AA449">
        <v>2</v>
      </c>
    </row>
    <row r="450" spans="1:27" x14ac:dyDescent="0.25">
      <c r="A450">
        <v>76116324</v>
      </c>
      <c r="B450" t="s">
        <v>9</v>
      </c>
      <c r="C450" t="s">
        <v>70</v>
      </c>
      <c r="D450" s="4">
        <v>46139</v>
      </c>
      <c r="E450" s="5">
        <v>0.36375000000000002</v>
      </c>
      <c r="F450">
        <v>1</v>
      </c>
      <c r="G450" t="s">
        <v>83</v>
      </c>
      <c r="H450" s="7">
        <v>1</v>
      </c>
      <c r="L450" t="s">
        <v>444</v>
      </c>
      <c r="M450" t="s">
        <v>71</v>
      </c>
      <c r="N450" s="8" t="s">
        <v>75</v>
      </c>
      <c r="O450" s="8">
        <v>1</v>
      </c>
      <c r="S450">
        <v>1</v>
      </c>
      <c r="T450" s="7">
        <v>53</v>
      </c>
      <c r="W450" s="6">
        <v>0.9482666666666667</v>
      </c>
      <c r="Z450" s="6">
        <v>0.40016666666666667</v>
      </c>
      <c r="AA450">
        <v>1</v>
      </c>
    </row>
    <row r="451" spans="1:27" x14ac:dyDescent="0.25">
      <c r="A451">
        <v>76116328</v>
      </c>
      <c r="B451" t="s">
        <v>9</v>
      </c>
      <c r="C451" t="s">
        <v>70</v>
      </c>
      <c r="D451" s="4">
        <v>46139</v>
      </c>
      <c r="E451" s="5">
        <v>0.36553240740740739</v>
      </c>
      <c r="F451">
        <v>1</v>
      </c>
      <c r="G451" t="s">
        <v>83</v>
      </c>
      <c r="H451" s="7">
        <v>54.25</v>
      </c>
      <c r="L451" t="s">
        <v>447</v>
      </c>
      <c r="M451" t="s">
        <v>71</v>
      </c>
      <c r="N451" s="8" t="s">
        <v>75</v>
      </c>
      <c r="O451" s="8">
        <v>1</v>
      </c>
      <c r="S451">
        <v>1</v>
      </c>
      <c r="T451" s="7">
        <v>137.41666666666666</v>
      </c>
      <c r="W451" s="6">
        <v>1.0902666666666667</v>
      </c>
      <c r="Z451" s="6">
        <v>0.54216666666666669</v>
      </c>
      <c r="AA451">
        <v>1</v>
      </c>
    </row>
    <row r="452" spans="1:27" x14ac:dyDescent="0.25">
      <c r="A452">
        <v>76116332</v>
      </c>
      <c r="B452" t="s">
        <v>9</v>
      </c>
      <c r="C452" t="s">
        <v>70</v>
      </c>
      <c r="D452" s="4">
        <v>46139</v>
      </c>
      <c r="E452" s="5">
        <v>0.36690972222222218</v>
      </c>
      <c r="F452">
        <v>1</v>
      </c>
      <c r="G452" t="s">
        <v>83</v>
      </c>
      <c r="H452" s="7">
        <v>1</v>
      </c>
      <c r="L452" t="s">
        <v>457</v>
      </c>
      <c r="M452" t="s">
        <v>71</v>
      </c>
      <c r="N452" s="8" t="s">
        <v>75</v>
      </c>
      <c r="O452" s="8">
        <v>1</v>
      </c>
      <c r="R452" s="8">
        <v>1</v>
      </c>
      <c r="S452">
        <v>1</v>
      </c>
      <c r="T452" s="7">
        <v>9.8333333333333321</v>
      </c>
      <c r="W452" s="6">
        <v>0.9482666666666667</v>
      </c>
      <c r="Y452" s="6">
        <v>0.21</v>
      </c>
      <c r="AA452">
        <v>1</v>
      </c>
    </row>
    <row r="453" spans="1:27" x14ac:dyDescent="0.25">
      <c r="A453">
        <v>76116335</v>
      </c>
      <c r="B453" t="s">
        <v>9</v>
      </c>
      <c r="C453" t="s">
        <v>70</v>
      </c>
      <c r="D453" s="4">
        <v>46139</v>
      </c>
      <c r="E453" s="5">
        <v>0.36807870370370366</v>
      </c>
      <c r="F453">
        <v>1</v>
      </c>
      <c r="G453" t="s">
        <v>83</v>
      </c>
      <c r="H453" s="7">
        <v>37.75</v>
      </c>
      <c r="L453" t="s">
        <v>463</v>
      </c>
      <c r="M453" t="s">
        <v>71</v>
      </c>
      <c r="N453" s="8">
        <v>1</v>
      </c>
      <c r="O453" s="8">
        <v>1</v>
      </c>
      <c r="S453">
        <v>1</v>
      </c>
      <c r="T453" s="7">
        <v>179.58333333333331</v>
      </c>
      <c r="W453" s="6">
        <v>1.0462666666666667</v>
      </c>
      <c r="Z453" s="6">
        <v>0.4981666666666667</v>
      </c>
      <c r="AA453">
        <v>1</v>
      </c>
    </row>
    <row r="454" spans="1:27" x14ac:dyDescent="0.25">
      <c r="A454">
        <v>76116339</v>
      </c>
      <c r="B454" t="s">
        <v>9</v>
      </c>
      <c r="C454" t="s">
        <v>70</v>
      </c>
      <c r="D454" s="4">
        <v>46139</v>
      </c>
      <c r="E454" s="5">
        <v>0.37157407407407406</v>
      </c>
      <c r="F454">
        <v>1</v>
      </c>
      <c r="G454" t="s">
        <v>83</v>
      </c>
      <c r="H454" s="7">
        <v>150</v>
      </c>
      <c r="L454" t="s">
        <v>471</v>
      </c>
      <c r="M454" t="s">
        <v>71</v>
      </c>
      <c r="N454" s="8" t="s">
        <v>75</v>
      </c>
      <c r="O454" s="8">
        <v>1</v>
      </c>
      <c r="S454">
        <v>1</v>
      </c>
      <c r="T454" s="7">
        <v>145.66666666666666</v>
      </c>
      <c r="W454" s="6">
        <v>1.3456000000000001</v>
      </c>
      <c r="Z454" s="6">
        <v>0.7975000000000001</v>
      </c>
      <c r="AA454">
        <v>1</v>
      </c>
    </row>
    <row r="455" spans="1:27" x14ac:dyDescent="0.25">
      <c r="A455">
        <v>76116346</v>
      </c>
      <c r="B455" t="s">
        <v>9</v>
      </c>
      <c r="C455" t="s">
        <v>70</v>
      </c>
      <c r="D455" s="4">
        <v>46139</v>
      </c>
      <c r="E455" s="5">
        <v>0.37516203703703704</v>
      </c>
      <c r="F455">
        <v>1</v>
      </c>
      <c r="G455" t="s">
        <v>83</v>
      </c>
      <c r="H455" s="7">
        <v>22</v>
      </c>
      <c r="L455" t="s">
        <v>486</v>
      </c>
      <c r="M455" t="s">
        <v>71</v>
      </c>
      <c r="N455" s="8">
        <v>1</v>
      </c>
      <c r="O455" s="8">
        <v>1</v>
      </c>
      <c r="R455" s="8">
        <v>1</v>
      </c>
      <c r="S455">
        <v>1</v>
      </c>
      <c r="T455" s="7">
        <v>26.416666666666668</v>
      </c>
      <c r="W455" s="6">
        <v>1.0042666666666666</v>
      </c>
      <c r="Y455" s="6">
        <v>0.21</v>
      </c>
      <c r="AA455">
        <v>1</v>
      </c>
    </row>
    <row r="456" spans="1:27" x14ac:dyDescent="0.25">
      <c r="A456">
        <v>76116349</v>
      </c>
      <c r="B456" t="s">
        <v>9</v>
      </c>
      <c r="C456" t="s">
        <v>70</v>
      </c>
      <c r="D456" s="4">
        <v>46139</v>
      </c>
      <c r="E456" s="5">
        <v>0.37815972222222222</v>
      </c>
      <c r="F456">
        <v>1</v>
      </c>
      <c r="G456" t="s">
        <v>83</v>
      </c>
      <c r="H456" s="7">
        <v>18</v>
      </c>
      <c r="L456" t="s">
        <v>493</v>
      </c>
      <c r="M456" t="s">
        <v>71</v>
      </c>
      <c r="N456" s="8" t="s">
        <v>75</v>
      </c>
      <c r="O456" s="8">
        <v>1</v>
      </c>
      <c r="S456">
        <v>1</v>
      </c>
      <c r="T456" s="7">
        <v>207.83333333333334</v>
      </c>
      <c r="W456" s="6">
        <v>0.99360000000000004</v>
      </c>
      <c r="Z456" s="6">
        <v>0.44550000000000001</v>
      </c>
      <c r="AA456">
        <v>1</v>
      </c>
    </row>
    <row r="457" spans="1:27" x14ac:dyDescent="0.25">
      <c r="A457">
        <v>76116355</v>
      </c>
      <c r="B457" t="s">
        <v>9</v>
      </c>
      <c r="C457" t="s">
        <v>70</v>
      </c>
      <c r="D457" s="4">
        <v>46139</v>
      </c>
      <c r="E457" s="5">
        <v>0.38248842592592591</v>
      </c>
      <c r="F457">
        <v>1</v>
      </c>
      <c r="G457" t="s">
        <v>83</v>
      </c>
      <c r="H457" s="7">
        <v>1</v>
      </c>
      <c r="L457" t="s">
        <v>505</v>
      </c>
      <c r="M457" t="s">
        <v>71</v>
      </c>
      <c r="N457" s="8" t="s">
        <v>75</v>
      </c>
      <c r="O457" s="8">
        <v>1</v>
      </c>
      <c r="R457" s="8">
        <v>1</v>
      </c>
      <c r="S457">
        <v>1</v>
      </c>
      <c r="T457" s="7">
        <v>14.166666666666664</v>
      </c>
      <c r="W457" s="6">
        <v>0.9482666666666667</v>
      </c>
      <c r="Y457" s="6">
        <v>0.21</v>
      </c>
      <c r="AA457">
        <v>1</v>
      </c>
    </row>
    <row r="458" spans="1:27" x14ac:dyDescent="0.25">
      <c r="A458">
        <v>76116358</v>
      </c>
      <c r="B458" t="s">
        <v>9</v>
      </c>
      <c r="C458" t="s">
        <v>70</v>
      </c>
      <c r="D458" s="4">
        <v>46139</v>
      </c>
      <c r="E458" s="5">
        <v>0.3847800925925926</v>
      </c>
      <c r="F458">
        <v>1</v>
      </c>
      <c r="G458" t="s">
        <v>83</v>
      </c>
      <c r="H458" s="7">
        <v>1</v>
      </c>
      <c r="L458" t="s">
        <v>511</v>
      </c>
      <c r="M458" t="s">
        <v>71</v>
      </c>
      <c r="N458" s="8" t="s">
        <v>75</v>
      </c>
      <c r="O458" s="8">
        <v>1</v>
      </c>
      <c r="S458">
        <v>1</v>
      </c>
      <c r="T458" s="7">
        <v>52.75</v>
      </c>
      <c r="W458" s="6">
        <v>0.9482666666666667</v>
      </c>
      <c r="Z458" s="6">
        <v>0.40016666666666667</v>
      </c>
      <c r="AA458">
        <v>1</v>
      </c>
    </row>
    <row r="459" spans="1:27" x14ac:dyDescent="0.25">
      <c r="A459">
        <v>76116362</v>
      </c>
      <c r="B459" t="s">
        <v>9</v>
      </c>
      <c r="C459" t="s">
        <v>70</v>
      </c>
      <c r="D459" s="4">
        <v>46139</v>
      </c>
      <c r="E459" s="5">
        <v>0.38656249999999998</v>
      </c>
      <c r="F459">
        <v>1</v>
      </c>
      <c r="G459" t="s">
        <v>83</v>
      </c>
      <c r="H459" s="7">
        <v>1</v>
      </c>
      <c r="L459" t="s">
        <v>519</v>
      </c>
      <c r="M459" t="s">
        <v>71</v>
      </c>
      <c r="N459" s="8" t="s">
        <v>75</v>
      </c>
      <c r="O459" s="8">
        <v>1</v>
      </c>
      <c r="R459" s="8">
        <v>1</v>
      </c>
      <c r="S459">
        <v>1</v>
      </c>
      <c r="T459" s="7">
        <v>10.416666666666666</v>
      </c>
      <c r="W459" s="6">
        <v>0.9482666666666667</v>
      </c>
      <c r="Y459" s="6">
        <v>0.21</v>
      </c>
      <c r="AA459">
        <v>1</v>
      </c>
    </row>
    <row r="460" spans="1:27" x14ac:dyDescent="0.25">
      <c r="A460">
        <v>76116365</v>
      </c>
      <c r="B460" t="s">
        <v>9</v>
      </c>
      <c r="C460" t="s">
        <v>70</v>
      </c>
      <c r="D460" s="4">
        <v>46139</v>
      </c>
      <c r="E460" s="5">
        <v>0.38747685185185188</v>
      </c>
      <c r="F460">
        <v>1</v>
      </c>
      <c r="G460" t="s">
        <v>83</v>
      </c>
      <c r="H460" s="7">
        <v>1</v>
      </c>
      <c r="L460" t="s">
        <v>524</v>
      </c>
      <c r="M460" t="s">
        <v>71</v>
      </c>
      <c r="N460" s="8" t="s">
        <v>75</v>
      </c>
      <c r="O460" s="8">
        <v>1</v>
      </c>
      <c r="S460">
        <v>1</v>
      </c>
      <c r="T460" s="7">
        <v>32.916666666666664</v>
      </c>
      <c r="W460" s="6">
        <v>0.9482666666666667</v>
      </c>
      <c r="Z460" s="6">
        <v>0.40016666666666667</v>
      </c>
      <c r="AA460">
        <v>1</v>
      </c>
    </row>
    <row r="461" spans="1:27" x14ac:dyDescent="0.25">
      <c r="A461">
        <v>76116367</v>
      </c>
      <c r="B461" t="s">
        <v>9</v>
      </c>
      <c r="C461" t="s">
        <v>70</v>
      </c>
      <c r="D461" s="4">
        <v>46139</v>
      </c>
      <c r="E461" s="5">
        <v>0.38850694444444439</v>
      </c>
      <c r="F461">
        <v>1</v>
      </c>
      <c r="G461" t="s">
        <v>83</v>
      </c>
      <c r="H461" s="7">
        <v>1.6666666666666665</v>
      </c>
      <c r="L461" t="s">
        <v>528</v>
      </c>
      <c r="M461" t="s">
        <v>71</v>
      </c>
      <c r="N461" s="8" t="s">
        <v>75</v>
      </c>
      <c r="O461" s="8">
        <v>1</v>
      </c>
      <c r="S461">
        <v>1</v>
      </c>
      <c r="T461" s="7">
        <v>34.75</v>
      </c>
      <c r="W461" s="6">
        <v>0.95004444444444447</v>
      </c>
      <c r="Z461" s="6">
        <v>0.40194444444444444</v>
      </c>
      <c r="AA461">
        <v>1</v>
      </c>
    </row>
    <row r="462" spans="1:27" x14ac:dyDescent="0.25">
      <c r="A462">
        <v>76116373</v>
      </c>
      <c r="B462" t="s">
        <v>9</v>
      </c>
      <c r="C462" t="s">
        <v>70</v>
      </c>
      <c r="D462" s="4">
        <v>46139</v>
      </c>
      <c r="E462" s="5">
        <v>0.39018518518518513</v>
      </c>
      <c r="F462">
        <v>1</v>
      </c>
      <c r="G462" t="s">
        <v>83</v>
      </c>
      <c r="H462" s="7">
        <v>1</v>
      </c>
      <c r="L462" t="s">
        <v>537</v>
      </c>
      <c r="M462" t="s">
        <v>71</v>
      </c>
      <c r="N462" s="8" t="s">
        <v>75</v>
      </c>
      <c r="O462" s="8">
        <v>1</v>
      </c>
      <c r="S462">
        <v>1</v>
      </c>
      <c r="T462" s="7">
        <v>97.416666666666657</v>
      </c>
      <c r="W462" s="6">
        <v>0.9482666666666667</v>
      </c>
      <c r="Z462" s="6">
        <v>0.40016666666666667</v>
      </c>
      <c r="AA462">
        <v>1</v>
      </c>
    </row>
    <row r="463" spans="1:27" x14ac:dyDescent="0.25">
      <c r="A463">
        <v>76116375</v>
      </c>
      <c r="B463" t="s">
        <v>9</v>
      </c>
      <c r="C463" t="s">
        <v>70</v>
      </c>
      <c r="D463" s="4">
        <v>46139</v>
      </c>
      <c r="E463" s="5">
        <v>0.39098379629629632</v>
      </c>
      <c r="F463">
        <v>1</v>
      </c>
      <c r="G463" t="s">
        <v>83</v>
      </c>
      <c r="H463" s="7">
        <v>5.5</v>
      </c>
      <c r="L463">
        <v>80326966</v>
      </c>
      <c r="M463" t="s">
        <v>71</v>
      </c>
      <c r="N463" s="8" t="s">
        <v>77</v>
      </c>
      <c r="O463" s="8">
        <v>1</v>
      </c>
      <c r="Q463" s="8">
        <v>1</v>
      </c>
      <c r="S463">
        <v>1</v>
      </c>
      <c r="U463" s="7">
        <v>8.3333333333333329E-2</v>
      </c>
      <c r="W463" s="6">
        <v>0.96048888888888884</v>
      </c>
      <c r="Z463" s="6">
        <v>0.41216666666666668</v>
      </c>
      <c r="AA463">
        <v>1</v>
      </c>
    </row>
    <row r="464" spans="1:27" x14ac:dyDescent="0.25">
      <c r="A464">
        <v>76116380</v>
      </c>
      <c r="B464" t="s">
        <v>9</v>
      </c>
      <c r="C464" t="s">
        <v>70</v>
      </c>
      <c r="D464" s="4">
        <v>46139</v>
      </c>
      <c r="E464" s="5">
        <v>0.39238425925925918</v>
      </c>
      <c r="F464">
        <v>1</v>
      </c>
      <c r="G464" t="s">
        <v>83</v>
      </c>
      <c r="H464" s="7">
        <v>1</v>
      </c>
      <c r="L464" t="s">
        <v>546</v>
      </c>
      <c r="M464" t="s">
        <v>71</v>
      </c>
      <c r="N464" s="8" t="s">
        <v>75</v>
      </c>
      <c r="O464" s="8">
        <v>1</v>
      </c>
      <c r="R464" s="8">
        <v>1</v>
      </c>
      <c r="S464">
        <v>1</v>
      </c>
      <c r="T464" s="7">
        <v>9.25</v>
      </c>
      <c r="W464" s="6">
        <v>0.9482666666666667</v>
      </c>
      <c r="Y464" s="6">
        <v>0.21</v>
      </c>
      <c r="AA464">
        <v>1</v>
      </c>
    </row>
    <row r="465" spans="1:27" x14ac:dyDescent="0.25">
      <c r="A465">
        <v>76116382</v>
      </c>
      <c r="B465" t="s">
        <v>9</v>
      </c>
      <c r="C465" t="s">
        <v>70</v>
      </c>
      <c r="D465" s="4">
        <v>46139</v>
      </c>
      <c r="E465" s="5">
        <v>0.39353009259259253</v>
      </c>
      <c r="F465">
        <v>1</v>
      </c>
      <c r="G465" t="s">
        <v>83</v>
      </c>
      <c r="H465" s="7">
        <v>1</v>
      </c>
      <c r="L465" t="s">
        <v>550</v>
      </c>
      <c r="M465" t="s">
        <v>71</v>
      </c>
      <c r="N465" s="8" t="s">
        <v>75</v>
      </c>
      <c r="O465" s="8">
        <v>1</v>
      </c>
      <c r="S465">
        <v>1</v>
      </c>
      <c r="T465" s="7">
        <v>64.916666666666657</v>
      </c>
      <c r="W465" s="6">
        <v>0.9482666666666667</v>
      </c>
      <c r="Z465" s="6">
        <v>0.40016666666666667</v>
      </c>
      <c r="AA465">
        <v>1</v>
      </c>
    </row>
    <row r="466" spans="1:27" x14ac:dyDescent="0.25">
      <c r="A466">
        <v>76116388</v>
      </c>
      <c r="B466" t="s">
        <v>9</v>
      </c>
      <c r="C466" t="s">
        <v>70</v>
      </c>
      <c r="D466" s="4">
        <v>46139</v>
      </c>
      <c r="E466" s="5">
        <v>0.39462962962962955</v>
      </c>
      <c r="F466">
        <v>1</v>
      </c>
      <c r="G466" t="s">
        <v>83</v>
      </c>
      <c r="H466" s="7">
        <v>1</v>
      </c>
      <c r="L466" t="s">
        <v>557</v>
      </c>
      <c r="M466" t="s">
        <v>71</v>
      </c>
      <c r="N466" s="8" t="s">
        <v>75</v>
      </c>
      <c r="O466" s="8">
        <v>1</v>
      </c>
      <c r="S466">
        <v>1</v>
      </c>
      <c r="T466" s="7">
        <v>95.25</v>
      </c>
      <c r="W466" s="6">
        <v>0.9482666666666667</v>
      </c>
      <c r="Z466" s="6">
        <v>0.40016666666666667</v>
      </c>
      <c r="AA466">
        <v>1</v>
      </c>
    </row>
    <row r="467" spans="1:27" x14ac:dyDescent="0.25">
      <c r="A467">
        <v>76116392</v>
      </c>
      <c r="B467" t="s">
        <v>9</v>
      </c>
      <c r="C467" t="s">
        <v>70</v>
      </c>
      <c r="D467" s="4">
        <v>46139</v>
      </c>
      <c r="E467" s="5">
        <v>0.39600694444444445</v>
      </c>
      <c r="F467">
        <v>1</v>
      </c>
      <c r="G467" t="s">
        <v>83</v>
      </c>
      <c r="H467" s="7">
        <v>1</v>
      </c>
      <c r="L467" t="s">
        <v>562</v>
      </c>
      <c r="M467" t="s">
        <v>71</v>
      </c>
      <c r="N467" s="8" t="s">
        <v>75</v>
      </c>
      <c r="O467" s="8">
        <v>1</v>
      </c>
      <c r="S467">
        <v>1</v>
      </c>
      <c r="T467" s="7">
        <v>34.916666666666664</v>
      </c>
      <c r="W467" s="6">
        <v>0.9482666666666667</v>
      </c>
      <c r="Z467" s="6">
        <v>0.40016666666666667</v>
      </c>
      <c r="AA467">
        <v>1</v>
      </c>
    </row>
    <row r="468" spans="1:27" x14ac:dyDescent="0.25">
      <c r="A468">
        <v>76116396</v>
      </c>
      <c r="B468" t="s">
        <v>9</v>
      </c>
      <c r="C468" t="s">
        <v>70</v>
      </c>
      <c r="D468" s="4">
        <v>46139</v>
      </c>
      <c r="E468" s="5">
        <v>0.39695601851851853</v>
      </c>
      <c r="F468">
        <v>1</v>
      </c>
      <c r="G468" t="s">
        <v>83</v>
      </c>
      <c r="H468" s="7">
        <v>5</v>
      </c>
      <c r="L468" t="s">
        <v>567</v>
      </c>
      <c r="M468" t="s">
        <v>71</v>
      </c>
      <c r="N468" s="8" t="s">
        <v>75</v>
      </c>
      <c r="O468" s="8">
        <v>1</v>
      </c>
      <c r="S468">
        <v>1</v>
      </c>
      <c r="T468" s="7">
        <v>86.166666666666671</v>
      </c>
      <c r="W468" s="6">
        <v>0.9589333333333333</v>
      </c>
      <c r="Z468" s="6">
        <v>0.41083333333333333</v>
      </c>
      <c r="AA468">
        <v>1</v>
      </c>
    </row>
    <row r="469" spans="1:27" x14ac:dyDescent="0.25">
      <c r="A469">
        <v>76116403</v>
      </c>
      <c r="B469" t="s">
        <v>9</v>
      </c>
      <c r="C469" t="s">
        <v>70</v>
      </c>
      <c r="D469" s="4">
        <v>46139</v>
      </c>
      <c r="E469" s="5">
        <v>0.39892361111111108</v>
      </c>
      <c r="F469">
        <v>1</v>
      </c>
      <c r="G469" t="s">
        <v>83</v>
      </c>
      <c r="H469" s="7">
        <v>24.833333333333336</v>
      </c>
      <c r="L469" t="s">
        <v>575</v>
      </c>
      <c r="M469" t="s">
        <v>71</v>
      </c>
      <c r="N469" s="8" t="s">
        <v>75</v>
      </c>
      <c r="O469" s="8">
        <v>1</v>
      </c>
      <c r="S469">
        <v>1</v>
      </c>
      <c r="T469" s="7">
        <v>200.66666666666666</v>
      </c>
      <c r="W469" s="6">
        <v>1.0118222222222222</v>
      </c>
      <c r="Z469" s="6">
        <v>0.46372222222222226</v>
      </c>
      <c r="AA469">
        <v>1</v>
      </c>
    </row>
    <row r="470" spans="1:27" x14ac:dyDescent="0.25">
      <c r="A470">
        <v>76116412</v>
      </c>
      <c r="B470" t="s">
        <v>9</v>
      </c>
      <c r="C470" t="s">
        <v>70</v>
      </c>
      <c r="D470" s="4">
        <v>46139</v>
      </c>
      <c r="E470" s="5">
        <v>0.40276620370370364</v>
      </c>
      <c r="F470">
        <v>1</v>
      </c>
      <c r="G470" t="s">
        <v>83</v>
      </c>
      <c r="H470" s="7">
        <v>113.25</v>
      </c>
      <c r="L470">
        <v>76027376</v>
      </c>
      <c r="M470" t="s">
        <v>71</v>
      </c>
      <c r="N470" s="8">
        <v>1</v>
      </c>
      <c r="O470" s="8">
        <v>1</v>
      </c>
      <c r="S470">
        <v>1</v>
      </c>
      <c r="T470" s="7">
        <v>36.416666666666664</v>
      </c>
      <c r="W470" s="6">
        <v>1.2476</v>
      </c>
      <c r="Z470" s="6">
        <v>0.69950000000000001</v>
      </c>
      <c r="AA470">
        <v>1</v>
      </c>
    </row>
    <row r="471" spans="1:27" x14ac:dyDescent="0.25">
      <c r="A471">
        <v>76116416</v>
      </c>
      <c r="B471" t="s">
        <v>9</v>
      </c>
      <c r="C471" t="s">
        <v>70</v>
      </c>
      <c r="D471" s="4">
        <v>46139</v>
      </c>
      <c r="E471" s="5">
        <v>0.40423611111111107</v>
      </c>
      <c r="F471">
        <v>1</v>
      </c>
      <c r="G471" t="s">
        <v>83</v>
      </c>
      <c r="H471" s="7">
        <v>30</v>
      </c>
      <c r="L471" t="s">
        <v>590</v>
      </c>
      <c r="M471" t="s">
        <v>71</v>
      </c>
      <c r="N471" s="8" t="s">
        <v>77</v>
      </c>
      <c r="O471" s="8">
        <v>1</v>
      </c>
      <c r="W471" s="6">
        <v>1.0256000000000001</v>
      </c>
    </row>
    <row r="472" spans="1:27" x14ac:dyDescent="0.25">
      <c r="A472">
        <v>76116418</v>
      </c>
      <c r="B472" t="s">
        <v>9</v>
      </c>
      <c r="C472" t="s">
        <v>70</v>
      </c>
      <c r="D472" s="4">
        <v>46139</v>
      </c>
      <c r="E472" s="5">
        <v>0.40486111111111106</v>
      </c>
      <c r="F472">
        <v>1</v>
      </c>
      <c r="G472" t="s">
        <v>83</v>
      </c>
      <c r="H472" s="7">
        <v>26</v>
      </c>
      <c r="L472" t="s">
        <v>590</v>
      </c>
      <c r="M472" t="s">
        <v>71</v>
      </c>
      <c r="N472" s="8" t="s">
        <v>77</v>
      </c>
      <c r="P472" s="8">
        <v>1</v>
      </c>
      <c r="S472">
        <v>1</v>
      </c>
      <c r="T472" s="7">
        <v>163.91666666666666</v>
      </c>
      <c r="X472" s="6">
        <v>0.46683333333333332</v>
      </c>
      <c r="Z472" s="6">
        <v>0.46683333333333332</v>
      </c>
      <c r="AA472">
        <v>2</v>
      </c>
    </row>
    <row r="473" spans="1:27" x14ac:dyDescent="0.25">
      <c r="A473">
        <v>76116433</v>
      </c>
      <c r="B473" t="s">
        <v>9</v>
      </c>
      <c r="C473" t="s">
        <v>70</v>
      </c>
      <c r="D473" s="4">
        <v>46139</v>
      </c>
      <c r="E473" s="5">
        <v>0.41171296296296295</v>
      </c>
      <c r="F473">
        <v>1</v>
      </c>
      <c r="G473" t="s">
        <v>83</v>
      </c>
      <c r="H473" s="7">
        <v>44.5</v>
      </c>
      <c r="L473" t="s">
        <v>612</v>
      </c>
      <c r="M473" t="s">
        <v>71</v>
      </c>
      <c r="N473" s="8" t="s">
        <v>75</v>
      </c>
      <c r="O473" s="8">
        <v>1</v>
      </c>
      <c r="S473">
        <v>1</v>
      </c>
      <c r="T473" s="7">
        <v>135.58333333333331</v>
      </c>
      <c r="W473" s="6">
        <v>1.0642666666666667</v>
      </c>
      <c r="Z473" s="6">
        <v>0.51616666666666666</v>
      </c>
      <c r="AA473">
        <v>1</v>
      </c>
    </row>
    <row r="474" spans="1:27" x14ac:dyDescent="0.25">
      <c r="A474">
        <v>76116471</v>
      </c>
      <c r="B474" t="s">
        <v>9</v>
      </c>
      <c r="C474" t="s">
        <v>70</v>
      </c>
      <c r="D474" s="4">
        <v>46139</v>
      </c>
      <c r="E474" s="5">
        <v>0.43635416666666665</v>
      </c>
      <c r="F474">
        <v>1</v>
      </c>
      <c r="G474" t="s">
        <v>83</v>
      </c>
      <c r="H474" s="7">
        <v>14.25</v>
      </c>
      <c r="L474" t="s">
        <v>628</v>
      </c>
      <c r="M474" t="s">
        <v>71</v>
      </c>
      <c r="N474" s="8" t="s">
        <v>77</v>
      </c>
      <c r="O474" s="8">
        <v>1</v>
      </c>
      <c r="R474" s="8">
        <v>1</v>
      </c>
      <c r="S474">
        <v>1</v>
      </c>
      <c r="T474" s="7">
        <v>12.583333333333334</v>
      </c>
      <c r="W474" s="6">
        <v>0.98360000000000003</v>
      </c>
      <c r="Y474" s="6">
        <v>0.21</v>
      </c>
      <c r="AA474">
        <v>1</v>
      </c>
    </row>
    <row r="475" spans="1:27" x14ac:dyDescent="0.25">
      <c r="A475">
        <v>76116479</v>
      </c>
      <c r="B475" t="s">
        <v>9</v>
      </c>
      <c r="C475" t="s">
        <v>70</v>
      </c>
      <c r="D475" s="4">
        <v>46139</v>
      </c>
      <c r="E475" s="5">
        <v>0.43726851851851845</v>
      </c>
      <c r="F475">
        <v>1</v>
      </c>
      <c r="G475" t="s">
        <v>83</v>
      </c>
      <c r="H475" s="7">
        <v>1.6666666666666665</v>
      </c>
      <c r="L475">
        <v>74979882</v>
      </c>
      <c r="M475" t="s">
        <v>71</v>
      </c>
      <c r="N475" s="8">
        <v>1</v>
      </c>
      <c r="O475" s="8">
        <v>1</v>
      </c>
      <c r="W475" s="6">
        <v>0.95004444444444447</v>
      </c>
    </row>
    <row r="476" spans="1:27" x14ac:dyDescent="0.25">
      <c r="A476">
        <v>76116482</v>
      </c>
      <c r="B476" t="s">
        <v>9</v>
      </c>
      <c r="C476" t="s">
        <v>70</v>
      </c>
      <c r="D476" s="4">
        <v>46139</v>
      </c>
      <c r="E476" s="5">
        <v>0.43738425925925922</v>
      </c>
      <c r="F476">
        <v>1</v>
      </c>
      <c r="G476" t="s">
        <v>83</v>
      </c>
      <c r="H476" s="7">
        <v>1.6666666666666665</v>
      </c>
      <c r="L476">
        <v>74979882</v>
      </c>
      <c r="M476" t="s">
        <v>71</v>
      </c>
      <c r="N476" s="8">
        <v>1</v>
      </c>
      <c r="P476" s="8">
        <v>1</v>
      </c>
      <c r="S476">
        <v>1</v>
      </c>
      <c r="T476" s="7">
        <v>64.333333333333329</v>
      </c>
      <c r="X476" s="6">
        <v>0.40194444444444444</v>
      </c>
      <c r="Z476" s="6">
        <v>0.40194444444444444</v>
      </c>
      <c r="AA476">
        <v>2</v>
      </c>
    </row>
    <row r="477" spans="1:27" x14ac:dyDescent="0.25">
      <c r="A477">
        <v>76116487</v>
      </c>
      <c r="B477" t="s">
        <v>9</v>
      </c>
      <c r="C477" t="s">
        <v>70</v>
      </c>
      <c r="D477" s="4">
        <v>46139</v>
      </c>
      <c r="E477" s="5">
        <v>0.43828703703703703</v>
      </c>
      <c r="F477">
        <v>1</v>
      </c>
      <c r="G477" t="s">
        <v>83</v>
      </c>
      <c r="H477" s="7">
        <v>85</v>
      </c>
      <c r="L477" t="s">
        <v>640</v>
      </c>
      <c r="M477" t="s">
        <v>71</v>
      </c>
      <c r="N477" s="8" t="s">
        <v>75</v>
      </c>
      <c r="O477" s="8">
        <v>1</v>
      </c>
      <c r="R477" s="8">
        <v>1</v>
      </c>
      <c r="S477">
        <v>1</v>
      </c>
      <c r="T477" s="7">
        <v>15.666666666666664</v>
      </c>
      <c r="W477" s="6">
        <v>1.1722666666666666</v>
      </c>
      <c r="Y477" s="6">
        <v>0.21</v>
      </c>
      <c r="AA477">
        <v>1</v>
      </c>
    </row>
    <row r="478" spans="1:27" x14ac:dyDescent="0.25">
      <c r="A478">
        <v>76116489</v>
      </c>
      <c r="B478" t="s">
        <v>9</v>
      </c>
      <c r="C478" t="s">
        <v>70</v>
      </c>
      <c r="D478" s="4">
        <v>46139</v>
      </c>
      <c r="E478" s="5">
        <v>0.43952546296296291</v>
      </c>
      <c r="F478">
        <v>1</v>
      </c>
      <c r="G478" t="s">
        <v>83</v>
      </c>
      <c r="H478" s="7">
        <v>52</v>
      </c>
      <c r="L478" t="s">
        <v>644</v>
      </c>
      <c r="M478" t="s">
        <v>71</v>
      </c>
      <c r="N478" s="8">
        <v>1</v>
      </c>
      <c r="O478" s="8">
        <v>1</v>
      </c>
      <c r="S478">
        <v>1</v>
      </c>
      <c r="T478" s="7">
        <v>147.91666666666666</v>
      </c>
      <c r="W478" s="6">
        <v>1.0842666666666667</v>
      </c>
      <c r="Z478" s="6">
        <v>0.53616666666666668</v>
      </c>
      <c r="AA478">
        <v>1</v>
      </c>
    </row>
    <row r="479" spans="1:27" x14ac:dyDescent="0.25">
      <c r="A479">
        <v>76116493</v>
      </c>
      <c r="B479" t="s">
        <v>9</v>
      </c>
      <c r="C479" t="s">
        <v>70</v>
      </c>
      <c r="D479" s="4">
        <v>46139</v>
      </c>
      <c r="E479" s="5">
        <v>0.44071759259259258</v>
      </c>
      <c r="F479">
        <v>1</v>
      </c>
      <c r="G479" t="s">
        <v>83</v>
      </c>
      <c r="H479" s="7">
        <v>105</v>
      </c>
      <c r="L479" t="s">
        <v>650</v>
      </c>
      <c r="M479" t="s">
        <v>71</v>
      </c>
      <c r="N479" s="8" t="s">
        <v>75</v>
      </c>
      <c r="O479" s="8">
        <v>1</v>
      </c>
      <c r="S479">
        <v>1</v>
      </c>
      <c r="T479" s="7">
        <v>157.33333333333331</v>
      </c>
      <c r="W479" s="6">
        <v>1.2256</v>
      </c>
      <c r="Z479" s="6">
        <v>0.67749999999999999</v>
      </c>
      <c r="AA479">
        <v>1</v>
      </c>
    </row>
    <row r="480" spans="1:27" x14ac:dyDescent="0.25">
      <c r="A480">
        <v>76116504</v>
      </c>
      <c r="B480" t="s">
        <v>9</v>
      </c>
      <c r="C480" t="s">
        <v>70</v>
      </c>
      <c r="D480" s="4">
        <v>46139</v>
      </c>
      <c r="E480" s="5">
        <v>0.44499999999999995</v>
      </c>
      <c r="F480">
        <v>1</v>
      </c>
      <c r="G480" t="s">
        <v>83</v>
      </c>
      <c r="H480" s="7">
        <v>26</v>
      </c>
      <c r="L480" t="s">
        <v>653</v>
      </c>
      <c r="M480" t="s">
        <v>71</v>
      </c>
      <c r="N480" s="8" t="s">
        <v>75</v>
      </c>
      <c r="O480" s="8">
        <v>1</v>
      </c>
      <c r="S480">
        <v>1</v>
      </c>
      <c r="T480" s="7">
        <v>262.58333333333331</v>
      </c>
      <c r="W480" s="6">
        <v>1.0149333333333332</v>
      </c>
      <c r="Z480" s="6">
        <v>0.46683333333333332</v>
      </c>
      <c r="AA480">
        <v>1</v>
      </c>
    </row>
    <row r="481" spans="1:27" x14ac:dyDescent="0.25">
      <c r="A481">
        <v>76116509</v>
      </c>
      <c r="B481" t="s">
        <v>9</v>
      </c>
      <c r="C481" t="s">
        <v>70</v>
      </c>
      <c r="D481" s="4">
        <v>46139</v>
      </c>
      <c r="E481" s="5">
        <v>0.44767361111111109</v>
      </c>
      <c r="F481">
        <v>1</v>
      </c>
      <c r="G481" t="s">
        <v>83</v>
      </c>
      <c r="H481" s="7">
        <v>28</v>
      </c>
      <c r="L481" t="s">
        <v>670</v>
      </c>
      <c r="M481" t="s">
        <v>71</v>
      </c>
      <c r="N481" s="8" t="s">
        <v>75</v>
      </c>
      <c r="O481" s="8">
        <v>1</v>
      </c>
      <c r="S481">
        <v>1</v>
      </c>
      <c r="T481" s="7">
        <v>172</v>
      </c>
      <c r="W481" s="6">
        <v>1.0202666666666667</v>
      </c>
      <c r="Z481" s="6">
        <v>0.47216666666666668</v>
      </c>
      <c r="AA481">
        <v>1</v>
      </c>
    </row>
    <row r="482" spans="1:27" x14ac:dyDescent="0.25">
      <c r="A482">
        <v>76116514</v>
      </c>
      <c r="B482" t="s">
        <v>9</v>
      </c>
      <c r="C482" t="s">
        <v>70</v>
      </c>
      <c r="D482" s="4">
        <v>46139</v>
      </c>
      <c r="E482" s="5">
        <v>0.44914351851851847</v>
      </c>
      <c r="F482">
        <v>1</v>
      </c>
      <c r="G482" t="s">
        <v>83</v>
      </c>
      <c r="H482" s="7">
        <v>2</v>
      </c>
      <c r="L482" t="s">
        <v>677</v>
      </c>
      <c r="M482" t="s">
        <v>71</v>
      </c>
      <c r="N482" s="8" t="s">
        <v>75</v>
      </c>
      <c r="O482" s="8">
        <v>1</v>
      </c>
      <c r="W482" s="6">
        <v>0.9509333333333333</v>
      </c>
    </row>
    <row r="483" spans="1:27" x14ac:dyDescent="0.25">
      <c r="A483">
        <v>76116515</v>
      </c>
      <c r="B483" t="s">
        <v>9</v>
      </c>
      <c r="C483" t="s">
        <v>70</v>
      </c>
      <c r="D483" s="4">
        <v>46139</v>
      </c>
      <c r="E483" s="5">
        <v>0.44925925925925925</v>
      </c>
      <c r="F483">
        <v>1</v>
      </c>
      <c r="G483" t="s">
        <v>83</v>
      </c>
      <c r="H483" s="7">
        <v>2</v>
      </c>
      <c r="L483" t="s">
        <v>677</v>
      </c>
      <c r="M483" t="s">
        <v>71</v>
      </c>
      <c r="N483" s="8" t="s">
        <v>75</v>
      </c>
      <c r="P483" s="8">
        <v>1</v>
      </c>
      <c r="S483">
        <v>1</v>
      </c>
      <c r="T483" s="7">
        <v>40.416666666666664</v>
      </c>
      <c r="X483" s="6">
        <v>0.40283333333333338</v>
      </c>
      <c r="Z483" s="6">
        <v>0.40283333333333338</v>
      </c>
      <c r="AA483">
        <v>2</v>
      </c>
    </row>
    <row r="484" spans="1:27" x14ac:dyDescent="0.25">
      <c r="A484">
        <v>76116531</v>
      </c>
      <c r="B484" t="s">
        <v>9</v>
      </c>
      <c r="C484" t="s">
        <v>70</v>
      </c>
      <c r="D484" s="4">
        <v>46139</v>
      </c>
      <c r="E484" s="5">
        <v>0.45380787037037035</v>
      </c>
      <c r="F484">
        <v>1</v>
      </c>
      <c r="G484" t="s">
        <v>83</v>
      </c>
      <c r="H484" s="7">
        <v>1</v>
      </c>
      <c r="L484" t="s">
        <v>694</v>
      </c>
      <c r="M484" t="s">
        <v>71</v>
      </c>
      <c r="N484" s="8" t="s">
        <v>75</v>
      </c>
      <c r="O484" s="8">
        <v>1</v>
      </c>
      <c r="S484">
        <v>1</v>
      </c>
      <c r="T484" s="7">
        <v>102.16666666666666</v>
      </c>
      <c r="W484" s="6">
        <v>0.9482666666666667</v>
      </c>
      <c r="Z484" s="6">
        <v>0.40016666666666667</v>
      </c>
      <c r="AA484">
        <v>1</v>
      </c>
    </row>
    <row r="485" spans="1:27" x14ac:dyDescent="0.25">
      <c r="A485">
        <v>76116535</v>
      </c>
      <c r="B485" t="s">
        <v>9</v>
      </c>
      <c r="C485" t="s">
        <v>70</v>
      </c>
      <c r="D485" s="4">
        <v>46139</v>
      </c>
      <c r="E485" s="5">
        <v>0.4548611111111111</v>
      </c>
      <c r="F485">
        <v>1</v>
      </c>
      <c r="G485" t="s">
        <v>83</v>
      </c>
      <c r="H485" s="7">
        <v>55.25</v>
      </c>
      <c r="L485" t="s">
        <v>700</v>
      </c>
      <c r="M485" t="s">
        <v>71</v>
      </c>
      <c r="N485" s="8" t="s">
        <v>78</v>
      </c>
      <c r="O485" s="8">
        <v>1</v>
      </c>
      <c r="S485">
        <v>1</v>
      </c>
      <c r="T485" s="7">
        <v>116.58333333333333</v>
      </c>
      <c r="W485" s="6">
        <v>1.0929333333333333</v>
      </c>
      <c r="Z485" s="6">
        <v>0.54483333333333339</v>
      </c>
      <c r="AA485">
        <v>1</v>
      </c>
    </row>
    <row r="486" spans="1:27" x14ac:dyDescent="0.25">
      <c r="A486">
        <v>76116541</v>
      </c>
      <c r="B486" t="s">
        <v>9</v>
      </c>
      <c r="C486" t="s">
        <v>70</v>
      </c>
      <c r="D486" s="4">
        <v>46139</v>
      </c>
      <c r="E486" s="5">
        <v>0.45657407407407408</v>
      </c>
      <c r="F486">
        <v>1</v>
      </c>
      <c r="G486" t="s">
        <v>83</v>
      </c>
      <c r="H486" s="7">
        <v>1.6666666666666665</v>
      </c>
      <c r="L486" t="s">
        <v>707</v>
      </c>
      <c r="M486" t="s">
        <v>71</v>
      </c>
      <c r="N486" s="8">
        <v>1</v>
      </c>
      <c r="O486" s="8">
        <v>1</v>
      </c>
      <c r="W486" s="6">
        <v>0.95004444444444447</v>
      </c>
    </row>
    <row r="487" spans="1:27" x14ac:dyDescent="0.25">
      <c r="A487">
        <v>76116542</v>
      </c>
      <c r="B487" t="s">
        <v>9</v>
      </c>
      <c r="C487" t="s">
        <v>70</v>
      </c>
      <c r="D487" s="4">
        <v>46139</v>
      </c>
      <c r="E487" s="5">
        <v>0.45670138888888884</v>
      </c>
      <c r="F487">
        <v>1</v>
      </c>
      <c r="G487" t="s">
        <v>83</v>
      </c>
      <c r="H487" s="7">
        <v>1.6666666666666665</v>
      </c>
      <c r="L487" t="s">
        <v>707</v>
      </c>
      <c r="M487" t="s">
        <v>71</v>
      </c>
      <c r="N487" s="8">
        <v>1</v>
      </c>
      <c r="P487" s="8">
        <v>1</v>
      </c>
      <c r="S487">
        <v>1</v>
      </c>
      <c r="T487" s="7">
        <v>101.5</v>
      </c>
      <c r="X487" s="6">
        <v>0.40194444444444444</v>
      </c>
      <c r="Z487" s="6">
        <v>0.40194444444444444</v>
      </c>
      <c r="AA487">
        <v>2</v>
      </c>
    </row>
    <row r="488" spans="1:27" x14ac:dyDescent="0.25">
      <c r="A488">
        <v>76116549</v>
      </c>
      <c r="B488" t="s">
        <v>9</v>
      </c>
      <c r="C488" t="s">
        <v>70</v>
      </c>
      <c r="D488" s="4">
        <v>46139</v>
      </c>
      <c r="E488" s="5">
        <v>0.46128472222222222</v>
      </c>
      <c r="F488">
        <v>1</v>
      </c>
      <c r="G488" t="s">
        <v>83</v>
      </c>
      <c r="H488" s="7">
        <v>1</v>
      </c>
      <c r="L488" t="s">
        <v>723</v>
      </c>
      <c r="M488" t="s">
        <v>71</v>
      </c>
      <c r="N488" s="8" t="s">
        <v>75</v>
      </c>
      <c r="O488" s="8">
        <v>1</v>
      </c>
      <c r="S488">
        <v>1</v>
      </c>
      <c r="T488" s="7">
        <v>94.25</v>
      </c>
      <c r="W488" s="6">
        <v>0.9482666666666667</v>
      </c>
      <c r="Z488" s="6">
        <v>0.40016666666666667</v>
      </c>
      <c r="AA488">
        <v>1</v>
      </c>
    </row>
    <row r="489" spans="1:27" x14ac:dyDescent="0.25">
      <c r="A489">
        <v>76116551</v>
      </c>
      <c r="B489" t="s">
        <v>9</v>
      </c>
      <c r="C489" t="s">
        <v>70</v>
      </c>
      <c r="D489" s="4">
        <v>46139</v>
      </c>
      <c r="E489" s="5">
        <v>0.46273148148148141</v>
      </c>
      <c r="F489">
        <v>1</v>
      </c>
      <c r="G489" t="s">
        <v>83</v>
      </c>
      <c r="H489" s="7">
        <v>12</v>
      </c>
      <c r="L489" t="s">
        <v>726</v>
      </c>
      <c r="M489" t="s">
        <v>71</v>
      </c>
      <c r="N489" s="8" t="s">
        <v>75</v>
      </c>
      <c r="O489" s="8">
        <v>1</v>
      </c>
      <c r="S489">
        <v>1</v>
      </c>
      <c r="T489" s="7">
        <v>212.5</v>
      </c>
      <c r="W489" s="6">
        <v>0.97760000000000002</v>
      </c>
      <c r="Z489" s="6">
        <v>0.42949999999999999</v>
      </c>
      <c r="AA489">
        <v>1</v>
      </c>
    </row>
    <row r="490" spans="1:27" x14ac:dyDescent="0.25">
      <c r="A490">
        <v>76116553</v>
      </c>
      <c r="B490" t="s">
        <v>9</v>
      </c>
      <c r="C490" t="s">
        <v>70</v>
      </c>
      <c r="D490" s="4">
        <v>46139</v>
      </c>
      <c r="E490" s="5">
        <v>0.46431712962962957</v>
      </c>
      <c r="F490">
        <v>1</v>
      </c>
      <c r="G490" t="s">
        <v>83</v>
      </c>
      <c r="H490" s="7">
        <v>1</v>
      </c>
      <c r="L490">
        <v>90122147</v>
      </c>
      <c r="M490" t="s">
        <v>71</v>
      </c>
      <c r="N490" s="8" t="s">
        <v>75</v>
      </c>
      <c r="O490" s="8">
        <v>1</v>
      </c>
      <c r="S490">
        <v>1</v>
      </c>
      <c r="T490" s="7">
        <v>65.916666666666657</v>
      </c>
      <c r="W490" s="6">
        <v>0.9482666666666667</v>
      </c>
      <c r="Z490" s="6">
        <v>0.40016666666666667</v>
      </c>
      <c r="AA490">
        <v>1</v>
      </c>
    </row>
    <row r="491" spans="1:27" x14ac:dyDescent="0.25">
      <c r="A491">
        <v>76116555</v>
      </c>
      <c r="B491" t="s">
        <v>9</v>
      </c>
      <c r="C491" t="s">
        <v>70</v>
      </c>
      <c r="D491" s="4">
        <v>46139</v>
      </c>
      <c r="E491" s="5">
        <v>0.46542824074074074</v>
      </c>
      <c r="F491">
        <v>1</v>
      </c>
      <c r="G491" t="s">
        <v>83</v>
      </c>
      <c r="H491" s="7">
        <v>1</v>
      </c>
      <c r="L491" t="s">
        <v>736</v>
      </c>
      <c r="M491" t="s">
        <v>71</v>
      </c>
      <c r="N491" s="8" t="s">
        <v>75</v>
      </c>
      <c r="O491" s="8">
        <v>1</v>
      </c>
      <c r="S491">
        <v>1</v>
      </c>
      <c r="T491" s="7">
        <v>37.583333333333336</v>
      </c>
      <c r="W491" s="6">
        <v>0.9482666666666667</v>
      </c>
      <c r="Z491" s="6">
        <v>0.40016666666666667</v>
      </c>
      <c r="AA491">
        <v>1</v>
      </c>
    </row>
    <row r="492" spans="1:27" x14ac:dyDescent="0.25">
      <c r="A492">
        <v>76116561</v>
      </c>
      <c r="B492" t="s">
        <v>9</v>
      </c>
      <c r="C492" t="s">
        <v>70</v>
      </c>
      <c r="D492" s="4">
        <v>46139</v>
      </c>
      <c r="E492" s="5">
        <v>0.4675231481481481</v>
      </c>
      <c r="F492">
        <v>1</v>
      </c>
      <c r="G492" t="s">
        <v>83</v>
      </c>
      <c r="H492" s="7">
        <v>1</v>
      </c>
      <c r="L492" t="s">
        <v>747</v>
      </c>
      <c r="M492" t="s">
        <v>71</v>
      </c>
      <c r="N492" s="8" t="s">
        <v>75</v>
      </c>
      <c r="O492" s="8">
        <v>1</v>
      </c>
      <c r="R492" s="8">
        <v>1</v>
      </c>
      <c r="S492">
        <v>1</v>
      </c>
      <c r="T492" s="7">
        <v>24.25</v>
      </c>
      <c r="W492" s="6">
        <v>0.9482666666666667</v>
      </c>
      <c r="Y492" s="6">
        <v>0.21</v>
      </c>
      <c r="AA492">
        <v>1</v>
      </c>
    </row>
    <row r="493" spans="1:27" x14ac:dyDescent="0.25">
      <c r="A493">
        <v>76116566</v>
      </c>
      <c r="B493" t="s">
        <v>9</v>
      </c>
      <c r="C493" t="s">
        <v>70</v>
      </c>
      <c r="D493" s="4">
        <v>46139</v>
      </c>
      <c r="E493" s="5">
        <v>0.46936342592592595</v>
      </c>
      <c r="F493">
        <v>1</v>
      </c>
      <c r="G493" t="s">
        <v>83</v>
      </c>
      <c r="H493" s="7">
        <v>40.5</v>
      </c>
      <c r="L493" t="s">
        <v>754</v>
      </c>
      <c r="M493" t="s">
        <v>71</v>
      </c>
      <c r="N493" s="8">
        <v>1</v>
      </c>
      <c r="O493" s="8">
        <v>1</v>
      </c>
      <c r="S493">
        <v>1</v>
      </c>
      <c r="T493" s="7">
        <v>95.25</v>
      </c>
      <c r="W493" s="6">
        <v>1.0536000000000001</v>
      </c>
      <c r="Z493" s="6">
        <v>0.50550000000000006</v>
      </c>
      <c r="AA493">
        <v>1</v>
      </c>
    </row>
    <row r="494" spans="1:27" x14ac:dyDescent="0.25">
      <c r="A494">
        <v>76116569</v>
      </c>
      <c r="B494" t="s">
        <v>9</v>
      </c>
      <c r="C494" t="s">
        <v>70</v>
      </c>
      <c r="D494" s="4">
        <v>46139</v>
      </c>
      <c r="E494" s="5">
        <v>0.47043981481481478</v>
      </c>
      <c r="F494">
        <v>1</v>
      </c>
      <c r="G494" t="s">
        <v>83</v>
      </c>
      <c r="H494" s="7">
        <v>1</v>
      </c>
      <c r="L494" t="s">
        <v>759</v>
      </c>
      <c r="M494" t="s">
        <v>71</v>
      </c>
      <c r="N494" s="8" t="s">
        <v>75</v>
      </c>
      <c r="O494" s="8">
        <v>1</v>
      </c>
      <c r="R494" s="8">
        <v>1</v>
      </c>
      <c r="S494">
        <v>1</v>
      </c>
      <c r="T494" s="7">
        <v>9.4166666666666661</v>
      </c>
      <c r="W494" s="6">
        <v>0.9482666666666667</v>
      </c>
      <c r="Y494" s="6">
        <v>0.21</v>
      </c>
      <c r="AA494">
        <v>1</v>
      </c>
    </row>
    <row r="495" spans="1:27" x14ac:dyDescent="0.25">
      <c r="A495">
        <v>76116575</v>
      </c>
      <c r="B495" t="s">
        <v>9</v>
      </c>
      <c r="C495" t="s">
        <v>70</v>
      </c>
      <c r="D495" s="4">
        <v>46139</v>
      </c>
      <c r="E495" s="5">
        <v>0.47320601851851851</v>
      </c>
      <c r="F495">
        <v>1</v>
      </c>
      <c r="G495" t="s">
        <v>83</v>
      </c>
      <c r="H495" s="7">
        <v>8.25</v>
      </c>
      <c r="L495">
        <v>11345914</v>
      </c>
      <c r="M495" t="s">
        <v>71</v>
      </c>
      <c r="N495" s="8" t="s">
        <v>77</v>
      </c>
      <c r="O495" s="8">
        <v>1</v>
      </c>
      <c r="S495">
        <v>1</v>
      </c>
      <c r="T495" s="7">
        <v>32.583333333333329</v>
      </c>
      <c r="W495" s="6">
        <v>0.96760000000000002</v>
      </c>
      <c r="Z495" s="6">
        <v>0.41950000000000004</v>
      </c>
      <c r="AA495">
        <v>1</v>
      </c>
    </row>
    <row r="496" spans="1:27" x14ac:dyDescent="0.25">
      <c r="A496">
        <v>76116579</v>
      </c>
      <c r="B496" t="s">
        <v>9</v>
      </c>
      <c r="C496" t="s">
        <v>70</v>
      </c>
      <c r="D496" s="4">
        <v>46139</v>
      </c>
      <c r="E496" s="5">
        <v>0.47555555555555556</v>
      </c>
      <c r="F496">
        <v>1</v>
      </c>
      <c r="G496" t="s">
        <v>83</v>
      </c>
      <c r="H496" s="7">
        <v>8.5</v>
      </c>
      <c r="L496" t="s">
        <v>776</v>
      </c>
      <c r="M496" t="s">
        <v>71</v>
      </c>
      <c r="N496" s="8">
        <v>1</v>
      </c>
      <c r="O496" s="8">
        <v>1</v>
      </c>
      <c r="Q496" s="8">
        <v>1</v>
      </c>
      <c r="S496">
        <v>1</v>
      </c>
      <c r="U496" s="7">
        <v>0.5</v>
      </c>
      <c r="W496" s="6">
        <v>0.96960000000000002</v>
      </c>
      <c r="Z496" s="6">
        <v>0.42016666666666669</v>
      </c>
      <c r="AA496">
        <v>1</v>
      </c>
    </row>
    <row r="497" spans="1:27" x14ac:dyDescent="0.25">
      <c r="A497">
        <v>76116584</v>
      </c>
      <c r="B497" t="s">
        <v>9</v>
      </c>
      <c r="C497" t="s">
        <v>70</v>
      </c>
      <c r="D497" s="4">
        <v>46139</v>
      </c>
      <c r="E497" s="5">
        <v>0.47699074074074072</v>
      </c>
      <c r="F497">
        <v>1</v>
      </c>
      <c r="G497" t="s">
        <v>83</v>
      </c>
      <c r="H497" s="7">
        <v>1</v>
      </c>
      <c r="L497" t="s">
        <v>782</v>
      </c>
      <c r="M497" t="s">
        <v>71</v>
      </c>
      <c r="N497" s="8" t="s">
        <v>75</v>
      </c>
      <c r="O497" s="8">
        <v>1</v>
      </c>
      <c r="R497" s="8">
        <v>1</v>
      </c>
      <c r="S497">
        <v>1</v>
      </c>
      <c r="T497" s="7">
        <v>9.0833333333333339</v>
      </c>
      <c r="W497" s="6">
        <v>0.9482666666666667</v>
      </c>
      <c r="Y497" s="6">
        <v>0.21</v>
      </c>
      <c r="AA497">
        <v>1</v>
      </c>
    </row>
    <row r="498" spans="1:27" x14ac:dyDescent="0.25">
      <c r="A498">
        <v>76116586</v>
      </c>
      <c r="B498" t="s">
        <v>9</v>
      </c>
      <c r="C498" t="s">
        <v>70</v>
      </c>
      <c r="D498" s="4">
        <v>46139</v>
      </c>
      <c r="E498" s="5">
        <v>0.47826388888888882</v>
      </c>
      <c r="F498">
        <v>1</v>
      </c>
      <c r="G498" t="s">
        <v>83</v>
      </c>
      <c r="H498" s="7">
        <v>28.25</v>
      </c>
      <c r="L498" t="s">
        <v>785</v>
      </c>
      <c r="M498" t="s">
        <v>71</v>
      </c>
      <c r="N498" s="8" t="s">
        <v>75</v>
      </c>
      <c r="O498" s="8">
        <v>1</v>
      </c>
      <c r="S498">
        <v>1</v>
      </c>
      <c r="T498" s="7">
        <v>268.66666666666663</v>
      </c>
      <c r="W498" s="6">
        <v>1.0209333333333332</v>
      </c>
      <c r="Z498" s="6">
        <v>0.47283333333333333</v>
      </c>
      <c r="AA498">
        <v>1</v>
      </c>
    </row>
    <row r="499" spans="1:27" x14ac:dyDescent="0.25">
      <c r="A499">
        <v>76116597</v>
      </c>
      <c r="B499" t="s">
        <v>9</v>
      </c>
      <c r="C499" t="s">
        <v>70</v>
      </c>
      <c r="D499" s="4">
        <v>46139</v>
      </c>
      <c r="E499" s="5">
        <v>0.48178240740740741</v>
      </c>
      <c r="F499">
        <v>1</v>
      </c>
      <c r="G499" t="s">
        <v>83</v>
      </c>
      <c r="H499" s="7">
        <v>78</v>
      </c>
      <c r="L499">
        <v>90126943</v>
      </c>
      <c r="M499" t="s">
        <v>71</v>
      </c>
      <c r="N499" s="8" t="s">
        <v>75</v>
      </c>
      <c r="O499" s="8">
        <v>1</v>
      </c>
      <c r="R499" s="8">
        <v>1</v>
      </c>
      <c r="S499">
        <v>1</v>
      </c>
      <c r="T499" s="7">
        <v>23.916666666666664</v>
      </c>
      <c r="W499" s="6">
        <v>1.1536</v>
      </c>
      <c r="Y499" s="6">
        <v>0.21</v>
      </c>
      <c r="AA499">
        <v>1</v>
      </c>
    </row>
    <row r="500" spans="1:27" x14ac:dyDescent="0.25">
      <c r="A500">
        <v>76116602</v>
      </c>
      <c r="B500" t="s">
        <v>9</v>
      </c>
      <c r="C500" t="s">
        <v>70</v>
      </c>
      <c r="D500" s="4">
        <v>46139</v>
      </c>
      <c r="E500" s="5">
        <v>0.48303240740740744</v>
      </c>
      <c r="F500">
        <v>1</v>
      </c>
      <c r="G500" t="s">
        <v>83</v>
      </c>
      <c r="H500" s="7">
        <v>1</v>
      </c>
      <c r="L500" t="s">
        <v>802</v>
      </c>
      <c r="M500" t="s">
        <v>71</v>
      </c>
      <c r="N500" s="8" t="s">
        <v>75</v>
      </c>
      <c r="O500" s="8">
        <v>1</v>
      </c>
      <c r="R500" s="8">
        <v>1</v>
      </c>
      <c r="S500">
        <v>1</v>
      </c>
      <c r="T500" s="7">
        <v>9.9166666666666661</v>
      </c>
      <c r="W500" s="6">
        <v>0.9482666666666667</v>
      </c>
      <c r="Y500" s="6">
        <v>0.21</v>
      </c>
      <c r="AA500">
        <v>1</v>
      </c>
    </row>
    <row r="501" spans="1:27" x14ac:dyDescent="0.25">
      <c r="A501">
        <v>76116605</v>
      </c>
      <c r="B501" t="s">
        <v>9</v>
      </c>
      <c r="C501" t="s">
        <v>70</v>
      </c>
      <c r="D501" s="4">
        <v>46139</v>
      </c>
      <c r="E501" s="5">
        <v>0.48394675925925923</v>
      </c>
      <c r="F501">
        <v>1</v>
      </c>
      <c r="G501" t="s">
        <v>83</v>
      </c>
      <c r="H501" s="7">
        <v>1</v>
      </c>
      <c r="L501" t="s">
        <v>807</v>
      </c>
      <c r="M501" t="s">
        <v>71</v>
      </c>
      <c r="N501" s="8" t="s">
        <v>75</v>
      </c>
      <c r="O501" s="8">
        <v>1</v>
      </c>
      <c r="S501">
        <v>1</v>
      </c>
      <c r="T501" s="7">
        <v>85.75</v>
      </c>
      <c r="W501" s="6">
        <v>0.9482666666666667</v>
      </c>
      <c r="Z501" s="6">
        <v>0.40016666666666667</v>
      </c>
      <c r="AA501">
        <v>1</v>
      </c>
    </row>
    <row r="502" spans="1:27" x14ac:dyDescent="0.25">
      <c r="A502">
        <v>76116608</v>
      </c>
      <c r="B502" t="s">
        <v>9</v>
      </c>
      <c r="C502" t="s">
        <v>70</v>
      </c>
      <c r="D502" s="4">
        <v>46139</v>
      </c>
      <c r="E502" s="5">
        <v>0.48570601851851847</v>
      </c>
      <c r="F502">
        <v>1</v>
      </c>
      <c r="G502" t="s">
        <v>83</v>
      </c>
      <c r="H502" s="7">
        <v>150</v>
      </c>
      <c r="L502" t="s">
        <v>814</v>
      </c>
      <c r="M502" t="s">
        <v>71</v>
      </c>
      <c r="N502" s="8">
        <v>1</v>
      </c>
      <c r="O502" s="8">
        <v>1</v>
      </c>
      <c r="W502" s="6">
        <v>1.3456000000000001</v>
      </c>
    </row>
    <row r="503" spans="1:27" x14ac:dyDescent="0.25">
      <c r="A503">
        <v>76116609</v>
      </c>
      <c r="B503" t="s">
        <v>9</v>
      </c>
      <c r="C503" t="s">
        <v>70</v>
      </c>
      <c r="D503" s="4">
        <v>46139</v>
      </c>
      <c r="E503" s="5">
        <v>0.48627314814814815</v>
      </c>
      <c r="F503">
        <v>1</v>
      </c>
      <c r="G503" t="s">
        <v>83</v>
      </c>
      <c r="H503" s="7">
        <v>14</v>
      </c>
      <c r="L503" t="s">
        <v>814</v>
      </c>
      <c r="M503" t="s">
        <v>71</v>
      </c>
      <c r="N503" s="8">
        <v>1</v>
      </c>
      <c r="P503" s="8">
        <v>1</v>
      </c>
      <c r="S503">
        <v>1</v>
      </c>
      <c r="T503" s="7">
        <v>132.66666666666666</v>
      </c>
      <c r="X503" s="6">
        <v>0.43483333333333335</v>
      </c>
      <c r="Z503" s="6">
        <v>0.43483333333333335</v>
      </c>
      <c r="AA503">
        <v>2</v>
      </c>
    </row>
    <row r="504" spans="1:27" x14ac:dyDescent="0.25">
      <c r="A504">
        <v>76116617</v>
      </c>
      <c r="B504" t="s">
        <v>9</v>
      </c>
      <c r="C504" t="s">
        <v>70</v>
      </c>
      <c r="D504" s="4">
        <v>46139</v>
      </c>
      <c r="E504" s="5">
        <v>0.48951388888888886</v>
      </c>
      <c r="F504">
        <v>1</v>
      </c>
      <c r="G504" t="s">
        <v>83</v>
      </c>
      <c r="H504" s="7">
        <v>5</v>
      </c>
      <c r="L504" t="s">
        <v>732</v>
      </c>
      <c r="M504" t="s">
        <v>71</v>
      </c>
      <c r="N504" s="8">
        <v>1</v>
      </c>
      <c r="O504" s="8">
        <v>1</v>
      </c>
      <c r="S504">
        <v>1</v>
      </c>
      <c r="T504" s="7">
        <v>120.25</v>
      </c>
      <c r="W504" s="6">
        <v>0.9589333333333333</v>
      </c>
      <c r="Z504" s="6">
        <v>0.41083333333333333</v>
      </c>
      <c r="AA504">
        <v>1</v>
      </c>
    </row>
    <row r="505" spans="1:27" x14ac:dyDescent="0.25">
      <c r="A505">
        <v>76116622</v>
      </c>
      <c r="B505" t="s">
        <v>9</v>
      </c>
      <c r="C505" t="s">
        <v>70</v>
      </c>
      <c r="D505" s="4">
        <v>46139</v>
      </c>
      <c r="E505" s="5">
        <v>0.49170138888888887</v>
      </c>
      <c r="F505">
        <v>1</v>
      </c>
      <c r="G505" t="s">
        <v>83</v>
      </c>
      <c r="H505" s="7">
        <v>1</v>
      </c>
      <c r="L505" t="s">
        <v>834</v>
      </c>
      <c r="M505" t="s">
        <v>71</v>
      </c>
      <c r="N505" s="8" t="s">
        <v>75</v>
      </c>
      <c r="O505" s="8">
        <v>1</v>
      </c>
      <c r="S505">
        <v>1</v>
      </c>
      <c r="T505" s="7">
        <v>79.416666666666657</v>
      </c>
      <c r="W505" s="6">
        <v>0.9482666666666667</v>
      </c>
      <c r="Z505" s="6">
        <v>0.40016666666666667</v>
      </c>
      <c r="AA505">
        <v>1</v>
      </c>
    </row>
    <row r="506" spans="1:27" x14ac:dyDescent="0.25">
      <c r="A506">
        <v>76116625</v>
      </c>
      <c r="B506" t="s">
        <v>9</v>
      </c>
      <c r="C506" t="s">
        <v>70</v>
      </c>
      <c r="D506" s="4">
        <v>46139</v>
      </c>
      <c r="E506" s="5">
        <v>0.49333333333333335</v>
      </c>
      <c r="F506">
        <v>1</v>
      </c>
      <c r="G506" t="s">
        <v>83</v>
      </c>
      <c r="H506" s="7">
        <v>107</v>
      </c>
      <c r="L506" t="s">
        <v>839</v>
      </c>
      <c r="M506" t="s">
        <v>71</v>
      </c>
      <c r="N506" s="8" t="s">
        <v>75</v>
      </c>
      <c r="O506" s="8">
        <v>1</v>
      </c>
      <c r="S506">
        <v>1</v>
      </c>
      <c r="T506" s="7">
        <v>95.5</v>
      </c>
      <c r="W506" s="6">
        <v>1.2309333333333332</v>
      </c>
      <c r="Z506" s="6">
        <v>0.6828333333333334</v>
      </c>
      <c r="AA506">
        <v>1</v>
      </c>
    </row>
    <row r="507" spans="1:27" x14ac:dyDescent="0.25">
      <c r="A507">
        <v>76116629</v>
      </c>
      <c r="B507" t="s">
        <v>9</v>
      </c>
      <c r="C507" t="s">
        <v>70</v>
      </c>
      <c r="D507" s="4">
        <v>46139</v>
      </c>
      <c r="E507" s="5">
        <v>0.49452546296296296</v>
      </c>
      <c r="F507">
        <v>1</v>
      </c>
      <c r="G507" t="s">
        <v>83</v>
      </c>
      <c r="H507" s="7">
        <v>4</v>
      </c>
      <c r="L507" t="s">
        <v>844</v>
      </c>
      <c r="M507" t="s">
        <v>71</v>
      </c>
      <c r="N507" s="8" t="s">
        <v>75</v>
      </c>
      <c r="O507" s="8">
        <v>1</v>
      </c>
      <c r="R507" s="8">
        <v>1</v>
      </c>
      <c r="S507">
        <v>1</v>
      </c>
      <c r="T507" s="7">
        <v>14</v>
      </c>
      <c r="W507" s="6">
        <v>0.95626666666666671</v>
      </c>
      <c r="Y507" s="6">
        <v>0.21</v>
      </c>
      <c r="AA507">
        <v>1</v>
      </c>
    </row>
    <row r="508" spans="1:27" x14ac:dyDescent="0.25">
      <c r="A508">
        <v>76116652</v>
      </c>
      <c r="B508" t="s">
        <v>9</v>
      </c>
      <c r="C508" t="s">
        <v>70</v>
      </c>
      <c r="D508" s="4">
        <v>46139</v>
      </c>
      <c r="E508" s="5">
        <v>0.5102199074074073</v>
      </c>
      <c r="F508">
        <v>1</v>
      </c>
      <c r="G508" t="s">
        <v>83</v>
      </c>
      <c r="H508" s="7">
        <v>182</v>
      </c>
      <c r="L508" t="s">
        <v>852</v>
      </c>
      <c r="M508" t="s">
        <v>71</v>
      </c>
      <c r="N508" s="8">
        <v>1</v>
      </c>
      <c r="O508" s="8">
        <v>1</v>
      </c>
      <c r="W508" s="6">
        <v>1.4309333333333334</v>
      </c>
    </row>
    <row r="509" spans="1:27" x14ac:dyDescent="0.25">
      <c r="A509">
        <v>76116656</v>
      </c>
      <c r="B509" t="s">
        <v>9</v>
      </c>
      <c r="C509" t="s">
        <v>70</v>
      </c>
      <c r="D509" s="4">
        <v>46139</v>
      </c>
      <c r="E509" s="5">
        <v>0.51134259259259252</v>
      </c>
      <c r="F509">
        <v>1</v>
      </c>
      <c r="G509" t="s">
        <v>83</v>
      </c>
      <c r="H509" s="7">
        <v>137</v>
      </c>
      <c r="L509" t="s">
        <v>852</v>
      </c>
      <c r="M509" t="s">
        <v>71</v>
      </c>
      <c r="N509" s="8">
        <v>1</v>
      </c>
      <c r="P509" s="8">
        <v>1</v>
      </c>
      <c r="Q509" s="8">
        <v>1</v>
      </c>
      <c r="S509">
        <v>1</v>
      </c>
      <c r="U509" s="7">
        <v>2.4166666666666665</v>
      </c>
      <c r="X509" s="6">
        <v>0.76927777777777773</v>
      </c>
      <c r="Z509" s="6">
        <v>0.76283333333333336</v>
      </c>
      <c r="AA509">
        <v>2</v>
      </c>
    </row>
    <row r="510" spans="1:27" x14ac:dyDescent="0.25">
      <c r="A510">
        <v>76116660</v>
      </c>
      <c r="B510" t="s">
        <v>9</v>
      </c>
      <c r="C510" t="s">
        <v>70</v>
      </c>
      <c r="D510" s="4">
        <v>46139</v>
      </c>
      <c r="E510" s="5">
        <v>0.51270833333333332</v>
      </c>
      <c r="F510">
        <v>1</v>
      </c>
      <c r="G510" t="s">
        <v>83</v>
      </c>
      <c r="H510" s="7">
        <v>19</v>
      </c>
      <c r="L510" t="s">
        <v>864</v>
      </c>
      <c r="M510" t="s">
        <v>71</v>
      </c>
      <c r="N510" s="8" t="s">
        <v>77</v>
      </c>
      <c r="O510" s="8">
        <v>1</v>
      </c>
      <c r="S510">
        <v>1</v>
      </c>
      <c r="T510" s="7">
        <v>188.66666666666666</v>
      </c>
      <c r="W510" s="6">
        <v>0.99626666666666663</v>
      </c>
      <c r="Z510" s="6">
        <v>0.44816666666666671</v>
      </c>
      <c r="AA510">
        <v>1</v>
      </c>
    </row>
    <row r="511" spans="1:27" x14ac:dyDescent="0.25">
      <c r="A511">
        <v>76116664</v>
      </c>
      <c r="B511" t="s">
        <v>9</v>
      </c>
      <c r="C511" t="s">
        <v>70</v>
      </c>
      <c r="D511" s="4">
        <v>46139</v>
      </c>
      <c r="E511" s="5">
        <v>0.51424768518518515</v>
      </c>
      <c r="F511">
        <v>1</v>
      </c>
      <c r="G511" t="s">
        <v>83</v>
      </c>
      <c r="H511" s="7">
        <v>150.91666666666666</v>
      </c>
      <c r="L511" t="s">
        <v>871</v>
      </c>
      <c r="M511" t="s">
        <v>71</v>
      </c>
      <c r="N511" s="8" t="s">
        <v>75</v>
      </c>
      <c r="O511" s="8">
        <v>1</v>
      </c>
      <c r="S511">
        <v>1</v>
      </c>
      <c r="T511" s="7">
        <v>144.33333333333331</v>
      </c>
      <c r="W511" s="6">
        <v>1.3480444444444444</v>
      </c>
      <c r="Z511" s="6">
        <v>0.79994444444444446</v>
      </c>
      <c r="AA511">
        <v>1</v>
      </c>
    </row>
    <row r="512" spans="1:27" x14ac:dyDescent="0.25">
      <c r="A512">
        <v>76116669</v>
      </c>
      <c r="B512" t="s">
        <v>9</v>
      </c>
      <c r="C512" t="s">
        <v>70</v>
      </c>
      <c r="D512" s="4">
        <v>46139</v>
      </c>
      <c r="E512" s="5">
        <v>0.51613425925925926</v>
      </c>
      <c r="F512">
        <v>1</v>
      </c>
      <c r="G512" t="s">
        <v>83</v>
      </c>
      <c r="H512" s="7">
        <v>17.25</v>
      </c>
      <c r="L512" t="s">
        <v>876</v>
      </c>
      <c r="M512" t="s">
        <v>71</v>
      </c>
      <c r="N512" s="8">
        <v>1</v>
      </c>
      <c r="O512" s="8">
        <v>1</v>
      </c>
      <c r="S512">
        <v>1</v>
      </c>
      <c r="T512" s="7">
        <v>111.41666666666667</v>
      </c>
      <c r="W512" s="6">
        <v>0.99160000000000004</v>
      </c>
      <c r="Z512" s="6">
        <v>0.44350000000000001</v>
      </c>
      <c r="AA512">
        <v>1</v>
      </c>
    </row>
    <row r="513" spans="1:27" x14ac:dyDescent="0.25">
      <c r="A513">
        <v>76116672</v>
      </c>
      <c r="B513" t="s">
        <v>9</v>
      </c>
      <c r="C513" t="s">
        <v>70</v>
      </c>
      <c r="D513" s="4">
        <v>46139</v>
      </c>
      <c r="E513" s="5">
        <v>0.51806712962962964</v>
      </c>
      <c r="F513">
        <v>1</v>
      </c>
      <c r="G513" t="s">
        <v>83</v>
      </c>
      <c r="H513" s="7">
        <v>107.5</v>
      </c>
      <c r="L513" t="s">
        <v>879</v>
      </c>
      <c r="M513" t="s">
        <v>71</v>
      </c>
      <c r="N513" s="8" t="s">
        <v>75</v>
      </c>
      <c r="O513" s="8">
        <v>1</v>
      </c>
      <c r="W513" s="6">
        <v>1.2322666666666666</v>
      </c>
    </row>
    <row r="514" spans="1:27" x14ac:dyDescent="0.25">
      <c r="A514">
        <v>76116673</v>
      </c>
      <c r="B514" t="s">
        <v>9</v>
      </c>
      <c r="C514" t="s">
        <v>70</v>
      </c>
      <c r="D514" s="4">
        <v>46139</v>
      </c>
      <c r="E514" s="5">
        <v>0.51865740740740729</v>
      </c>
      <c r="F514">
        <v>1</v>
      </c>
      <c r="G514" t="s">
        <v>83</v>
      </c>
      <c r="H514" s="7">
        <v>36.75</v>
      </c>
      <c r="L514" t="s">
        <v>879</v>
      </c>
      <c r="M514" t="s">
        <v>71</v>
      </c>
      <c r="N514" s="8" t="s">
        <v>75</v>
      </c>
      <c r="P514" s="8">
        <v>1</v>
      </c>
      <c r="S514">
        <v>1</v>
      </c>
      <c r="T514" s="7">
        <v>82</v>
      </c>
      <c r="X514" s="6">
        <v>0.49550000000000005</v>
      </c>
      <c r="Z514" s="6">
        <v>0.49550000000000005</v>
      </c>
      <c r="AA514">
        <v>2</v>
      </c>
    </row>
    <row r="515" spans="1:27" x14ac:dyDescent="0.25">
      <c r="A515">
        <v>76116677</v>
      </c>
      <c r="B515" t="s">
        <v>9</v>
      </c>
      <c r="C515" t="s">
        <v>70</v>
      </c>
      <c r="D515" s="4">
        <v>46139</v>
      </c>
      <c r="E515" s="5">
        <v>0.52085648148148145</v>
      </c>
      <c r="F515">
        <v>1</v>
      </c>
      <c r="G515" t="s">
        <v>83</v>
      </c>
      <c r="H515" s="7">
        <v>4</v>
      </c>
      <c r="L515" t="s">
        <v>882</v>
      </c>
      <c r="M515" t="s">
        <v>71</v>
      </c>
      <c r="N515" s="8" t="s">
        <v>75</v>
      </c>
      <c r="O515" s="8">
        <v>1</v>
      </c>
      <c r="S515">
        <v>1</v>
      </c>
      <c r="T515" s="7">
        <v>66</v>
      </c>
      <c r="W515" s="6">
        <v>0.95626666666666671</v>
      </c>
      <c r="Z515" s="6">
        <v>0.40816666666666668</v>
      </c>
      <c r="AA515">
        <v>1</v>
      </c>
    </row>
    <row r="516" spans="1:27" x14ac:dyDescent="0.25">
      <c r="A516">
        <v>76116681</v>
      </c>
      <c r="B516" t="s">
        <v>9</v>
      </c>
      <c r="C516" t="s">
        <v>70</v>
      </c>
      <c r="D516" s="4">
        <v>46139</v>
      </c>
      <c r="E516" s="5">
        <v>0.52278935185185182</v>
      </c>
      <c r="F516">
        <v>1</v>
      </c>
      <c r="G516" t="s">
        <v>83</v>
      </c>
      <c r="H516" s="7">
        <v>4</v>
      </c>
      <c r="L516" t="s">
        <v>884</v>
      </c>
      <c r="M516" t="s">
        <v>71</v>
      </c>
      <c r="N516" s="8">
        <v>1</v>
      </c>
      <c r="O516" s="8">
        <v>1</v>
      </c>
      <c r="R516" s="8">
        <v>1</v>
      </c>
      <c r="S516">
        <v>1</v>
      </c>
      <c r="U516" s="7">
        <v>0.58333333333333326</v>
      </c>
      <c r="W516" s="6">
        <v>0.95782222222222224</v>
      </c>
      <c r="Y516" s="6">
        <v>0.21</v>
      </c>
      <c r="AA516">
        <v>1</v>
      </c>
    </row>
    <row r="517" spans="1:27" x14ac:dyDescent="0.25">
      <c r="A517">
        <v>76116688</v>
      </c>
      <c r="B517" t="s">
        <v>9</v>
      </c>
      <c r="C517" t="s">
        <v>70</v>
      </c>
      <c r="D517" s="4">
        <v>46139</v>
      </c>
      <c r="E517" s="5">
        <v>0.52462962962962956</v>
      </c>
      <c r="F517">
        <v>1</v>
      </c>
      <c r="G517" t="s">
        <v>83</v>
      </c>
      <c r="H517" s="7">
        <v>51.416666666666664</v>
      </c>
      <c r="L517" t="s">
        <v>893</v>
      </c>
      <c r="M517" t="s">
        <v>71</v>
      </c>
      <c r="N517" s="8" t="s">
        <v>75</v>
      </c>
      <c r="O517" s="8">
        <v>1</v>
      </c>
      <c r="S517">
        <v>1</v>
      </c>
      <c r="T517" s="7">
        <v>260</v>
      </c>
      <c r="W517" s="6">
        <v>1.0827111111111112</v>
      </c>
      <c r="Z517" s="6">
        <v>0.53461111111111115</v>
      </c>
      <c r="AA517">
        <v>1</v>
      </c>
    </row>
    <row r="518" spans="1:27" x14ac:dyDescent="0.25">
      <c r="A518">
        <v>76116692</v>
      </c>
      <c r="B518" t="s">
        <v>9</v>
      </c>
      <c r="C518" t="s">
        <v>70</v>
      </c>
      <c r="D518" s="4">
        <v>46139</v>
      </c>
      <c r="E518" s="5">
        <v>0.52556712962962959</v>
      </c>
      <c r="F518">
        <v>1</v>
      </c>
      <c r="G518" t="s">
        <v>83</v>
      </c>
      <c r="H518" s="7">
        <v>5</v>
      </c>
      <c r="L518">
        <v>80326960</v>
      </c>
      <c r="M518" t="s">
        <v>71</v>
      </c>
      <c r="N518" s="8" t="s">
        <v>77</v>
      </c>
      <c r="O518" s="8">
        <v>1</v>
      </c>
      <c r="S518">
        <v>1</v>
      </c>
      <c r="T518" s="7">
        <v>68.416666666666657</v>
      </c>
      <c r="W518" s="6">
        <v>0.9589333333333333</v>
      </c>
      <c r="Z518" s="6">
        <v>0.41083333333333333</v>
      </c>
      <c r="AA518">
        <v>1</v>
      </c>
    </row>
    <row r="519" spans="1:27" x14ac:dyDescent="0.25">
      <c r="A519">
        <v>76116701</v>
      </c>
      <c r="B519" t="s">
        <v>9</v>
      </c>
      <c r="C519" t="s">
        <v>70</v>
      </c>
      <c r="D519" s="4">
        <v>46139</v>
      </c>
      <c r="E519" s="5">
        <v>0.52958333333333329</v>
      </c>
      <c r="F519">
        <v>1</v>
      </c>
      <c r="G519" t="s">
        <v>83</v>
      </c>
      <c r="H519" s="7">
        <v>119</v>
      </c>
      <c r="L519" t="s">
        <v>903</v>
      </c>
      <c r="M519" t="s">
        <v>71</v>
      </c>
      <c r="N519" s="8">
        <v>1</v>
      </c>
      <c r="O519" s="8">
        <v>1</v>
      </c>
      <c r="S519">
        <v>1</v>
      </c>
      <c r="T519" s="7">
        <v>95.666666666666657</v>
      </c>
      <c r="W519" s="6">
        <v>1.2629333333333332</v>
      </c>
      <c r="Z519" s="6">
        <v>0.71483333333333343</v>
      </c>
      <c r="AA519">
        <v>1</v>
      </c>
    </row>
    <row r="520" spans="1:27" x14ac:dyDescent="0.25">
      <c r="A520">
        <v>76116705</v>
      </c>
      <c r="B520" t="s">
        <v>9</v>
      </c>
      <c r="C520" t="s">
        <v>70</v>
      </c>
      <c r="D520" s="4">
        <v>46139</v>
      </c>
      <c r="E520" s="5">
        <v>0.53153935185185175</v>
      </c>
      <c r="F520">
        <v>1</v>
      </c>
      <c r="G520" t="s">
        <v>83</v>
      </c>
      <c r="H520" s="7">
        <v>48</v>
      </c>
      <c r="L520" t="s">
        <v>907</v>
      </c>
      <c r="M520" t="s">
        <v>71</v>
      </c>
      <c r="N520" s="8">
        <v>1</v>
      </c>
      <c r="O520" s="8">
        <v>1</v>
      </c>
      <c r="R520" s="8">
        <v>1</v>
      </c>
      <c r="S520">
        <v>1</v>
      </c>
      <c r="T520" s="7">
        <v>15.416666666666664</v>
      </c>
      <c r="W520" s="6">
        <v>1.0735999999999999</v>
      </c>
      <c r="Y520" s="6">
        <v>0.21</v>
      </c>
      <c r="AA520">
        <v>1</v>
      </c>
    </row>
    <row r="521" spans="1:27" x14ac:dyDescent="0.25">
      <c r="A521">
        <v>76116708</v>
      </c>
      <c r="B521" t="s">
        <v>9</v>
      </c>
      <c r="C521" t="s">
        <v>70</v>
      </c>
      <c r="D521" s="4">
        <v>46139</v>
      </c>
      <c r="E521" s="5">
        <v>0.53303240740740743</v>
      </c>
      <c r="F521">
        <v>1</v>
      </c>
      <c r="G521" t="s">
        <v>83</v>
      </c>
      <c r="H521" s="7">
        <v>9.5</v>
      </c>
      <c r="L521" t="s">
        <v>913</v>
      </c>
      <c r="M521" t="s">
        <v>71</v>
      </c>
      <c r="N521" s="8" t="s">
        <v>75</v>
      </c>
      <c r="O521" s="8">
        <v>1</v>
      </c>
      <c r="R521" s="8">
        <v>1</v>
      </c>
      <c r="S521">
        <v>1</v>
      </c>
      <c r="T521" s="7">
        <v>28</v>
      </c>
      <c r="W521" s="6">
        <v>0.97093333333333331</v>
      </c>
      <c r="Y521" s="6">
        <v>0.21</v>
      </c>
      <c r="AA521">
        <v>1</v>
      </c>
    </row>
    <row r="522" spans="1:27" x14ac:dyDescent="0.25">
      <c r="A522">
        <v>76116716</v>
      </c>
      <c r="B522" t="s">
        <v>9</v>
      </c>
      <c r="C522" t="s">
        <v>70</v>
      </c>
      <c r="D522" s="4">
        <v>46139</v>
      </c>
      <c r="E522" s="5">
        <v>0.5368518518518518</v>
      </c>
      <c r="F522">
        <v>1</v>
      </c>
      <c r="G522" t="s">
        <v>83</v>
      </c>
      <c r="H522" s="7">
        <v>69.583333333333329</v>
      </c>
      <c r="L522">
        <v>80322572</v>
      </c>
      <c r="M522" t="s">
        <v>71</v>
      </c>
      <c r="N522" s="8" t="s">
        <v>77</v>
      </c>
      <c r="O522" s="8">
        <v>1</v>
      </c>
      <c r="R522" s="8">
        <v>1</v>
      </c>
      <c r="S522">
        <v>1</v>
      </c>
      <c r="T522" s="7">
        <v>13</v>
      </c>
      <c r="W522" s="6">
        <v>1.1311555555555555</v>
      </c>
      <c r="Y522" s="6">
        <v>0.21</v>
      </c>
      <c r="AA522">
        <v>1</v>
      </c>
    </row>
    <row r="523" spans="1:27" x14ac:dyDescent="0.25">
      <c r="A523">
        <v>76116720</v>
      </c>
      <c r="B523" t="s">
        <v>9</v>
      </c>
      <c r="C523" t="s">
        <v>70</v>
      </c>
      <c r="D523" s="4">
        <v>46139</v>
      </c>
      <c r="E523" s="5">
        <v>0.5386805555555555</v>
      </c>
      <c r="F523">
        <v>1</v>
      </c>
      <c r="G523" t="s">
        <v>83</v>
      </c>
      <c r="H523" s="7">
        <v>15</v>
      </c>
      <c r="L523">
        <v>1804954280</v>
      </c>
      <c r="M523" t="s">
        <v>71</v>
      </c>
      <c r="N523" s="8" t="s">
        <v>75</v>
      </c>
      <c r="O523" s="8">
        <v>1</v>
      </c>
      <c r="R523" s="8">
        <v>1</v>
      </c>
      <c r="S523">
        <v>1</v>
      </c>
      <c r="T523" s="7">
        <v>12.25</v>
      </c>
      <c r="W523" s="6">
        <v>0.98560000000000003</v>
      </c>
      <c r="Y523" s="6">
        <v>0.21</v>
      </c>
      <c r="AA523">
        <v>1</v>
      </c>
    </row>
    <row r="524" spans="1:27" x14ac:dyDescent="0.25">
      <c r="A524">
        <v>76116728</v>
      </c>
      <c r="B524" t="s">
        <v>9</v>
      </c>
      <c r="C524" t="s">
        <v>70</v>
      </c>
      <c r="D524" s="4">
        <v>46139</v>
      </c>
      <c r="E524" s="5">
        <v>0.53995370370370366</v>
      </c>
      <c r="F524">
        <v>1</v>
      </c>
      <c r="G524" t="s">
        <v>83</v>
      </c>
      <c r="H524" s="7">
        <v>38</v>
      </c>
      <c r="L524" t="s">
        <v>939</v>
      </c>
      <c r="M524" t="s">
        <v>71</v>
      </c>
      <c r="N524" s="8">
        <v>1</v>
      </c>
      <c r="O524" s="8">
        <v>1</v>
      </c>
      <c r="S524">
        <v>1</v>
      </c>
      <c r="T524" s="7">
        <v>36.5</v>
      </c>
      <c r="W524" s="6">
        <v>1.0469333333333333</v>
      </c>
      <c r="Z524" s="6">
        <v>0.49883333333333335</v>
      </c>
      <c r="AA524">
        <v>1</v>
      </c>
    </row>
    <row r="525" spans="1:27" x14ac:dyDescent="0.25">
      <c r="A525">
        <v>76116730</v>
      </c>
      <c r="B525" t="s">
        <v>9</v>
      </c>
      <c r="C525" t="s">
        <v>70</v>
      </c>
      <c r="D525" s="4">
        <v>46139</v>
      </c>
      <c r="E525" s="5">
        <v>0.54091435185185188</v>
      </c>
      <c r="F525">
        <v>1</v>
      </c>
      <c r="G525" t="s">
        <v>83</v>
      </c>
      <c r="H525" s="7">
        <v>0.5</v>
      </c>
      <c r="L525">
        <v>80326945</v>
      </c>
      <c r="M525" t="s">
        <v>71</v>
      </c>
      <c r="N525" s="8" t="s">
        <v>77</v>
      </c>
      <c r="O525" s="8">
        <v>1</v>
      </c>
      <c r="S525">
        <v>1</v>
      </c>
      <c r="T525" s="7">
        <v>70.916666666666657</v>
      </c>
      <c r="W525" s="6">
        <v>0.94693333333333329</v>
      </c>
      <c r="Z525" s="6">
        <v>0.39883333333333337</v>
      </c>
      <c r="AA525">
        <v>1</v>
      </c>
    </row>
    <row r="526" spans="1:27" x14ac:dyDescent="0.25">
      <c r="A526">
        <v>76116733</v>
      </c>
      <c r="B526" t="s">
        <v>9</v>
      </c>
      <c r="C526" t="s">
        <v>70</v>
      </c>
      <c r="D526" s="4">
        <v>46139</v>
      </c>
      <c r="E526" s="5">
        <v>0.54314814814814816</v>
      </c>
      <c r="F526">
        <v>1</v>
      </c>
      <c r="G526" t="s">
        <v>83</v>
      </c>
      <c r="H526" s="7">
        <v>4</v>
      </c>
      <c r="L526">
        <v>90124958</v>
      </c>
      <c r="M526" t="s">
        <v>71</v>
      </c>
      <c r="N526" s="8" t="s">
        <v>75</v>
      </c>
      <c r="O526" s="8">
        <v>1</v>
      </c>
      <c r="S526">
        <v>1</v>
      </c>
      <c r="T526" s="7">
        <v>76.166666666666657</v>
      </c>
      <c r="W526" s="6">
        <v>0.95626666666666671</v>
      </c>
      <c r="Z526" s="6">
        <v>0.40816666666666668</v>
      </c>
      <c r="AA526">
        <v>1</v>
      </c>
    </row>
    <row r="527" spans="1:27" x14ac:dyDescent="0.25">
      <c r="A527">
        <v>76116738</v>
      </c>
      <c r="B527" t="s">
        <v>9</v>
      </c>
      <c r="C527" t="s">
        <v>70</v>
      </c>
      <c r="D527" s="4">
        <v>46139</v>
      </c>
      <c r="E527" s="5">
        <v>0.54498842592592589</v>
      </c>
      <c r="F527">
        <v>1</v>
      </c>
      <c r="G527" t="s">
        <v>83</v>
      </c>
      <c r="H527" s="7">
        <v>11.5</v>
      </c>
      <c r="L527" t="s">
        <v>959</v>
      </c>
      <c r="M527" t="s">
        <v>71</v>
      </c>
      <c r="N527" s="8">
        <v>1</v>
      </c>
      <c r="O527" s="8">
        <v>1</v>
      </c>
      <c r="R527" s="8">
        <v>1</v>
      </c>
      <c r="S527">
        <v>1</v>
      </c>
      <c r="T527" s="7">
        <v>16.75</v>
      </c>
      <c r="W527" s="6">
        <v>0.97626666666666662</v>
      </c>
      <c r="Y527" s="6">
        <v>0.21</v>
      </c>
      <c r="AA527">
        <v>1</v>
      </c>
    </row>
    <row r="528" spans="1:27" x14ac:dyDescent="0.25">
      <c r="A528">
        <v>76116741</v>
      </c>
      <c r="B528" t="s">
        <v>9</v>
      </c>
      <c r="C528" t="s">
        <v>70</v>
      </c>
      <c r="D528" s="4">
        <v>46139</v>
      </c>
      <c r="E528" s="5">
        <v>0.54715277777777782</v>
      </c>
      <c r="F528">
        <v>1</v>
      </c>
      <c r="G528" t="s">
        <v>83</v>
      </c>
      <c r="H528" s="7">
        <v>25</v>
      </c>
      <c r="L528">
        <v>1805266635</v>
      </c>
      <c r="M528" t="s">
        <v>71</v>
      </c>
      <c r="N528" s="8" t="s">
        <v>75</v>
      </c>
      <c r="O528" s="8">
        <v>1</v>
      </c>
      <c r="S528">
        <v>1</v>
      </c>
      <c r="T528" s="7">
        <v>160.33333333333334</v>
      </c>
      <c r="W528" s="6">
        <v>1.0122666666666666</v>
      </c>
      <c r="Z528" s="6">
        <v>0.46416666666666667</v>
      </c>
      <c r="AA528">
        <v>1</v>
      </c>
    </row>
    <row r="529" spans="1:27" x14ac:dyDescent="0.25">
      <c r="A529">
        <v>76116744</v>
      </c>
      <c r="B529" t="s">
        <v>9</v>
      </c>
      <c r="C529" t="s">
        <v>70</v>
      </c>
      <c r="D529" s="4">
        <v>46139</v>
      </c>
      <c r="E529" s="5">
        <v>0.54835648148148153</v>
      </c>
      <c r="F529">
        <v>1</v>
      </c>
      <c r="G529" t="s">
        <v>83</v>
      </c>
      <c r="H529" s="7">
        <v>100</v>
      </c>
      <c r="L529">
        <v>1804953952</v>
      </c>
      <c r="M529" t="s">
        <v>71</v>
      </c>
      <c r="N529" s="8" t="s">
        <v>75</v>
      </c>
      <c r="O529" s="8">
        <v>1</v>
      </c>
      <c r="S529">
        <v>1</v>
      </c>
      <c r="T529" s="7">
        <v>77.166666666666657</v>
      </c>
      <c r="W529" s="6">
        <v>1.2122666666666666</v>
      </c>
      <c r="Z529" s="6">
        <v>0.66416666666666668</v>
      </c>
      <c r="AA529">
        <v>1</v>
      </c>
    </row>
    <row r="530" spans="1:27" x14ac:dyDescent="0.25">
      <c r="A530">
        <v>76116755</v>
      </c>
      <c r="B530" t="s">
        <v>9</v>
      </c>
      <c r="C530" t="s">
        <v>70</v>
      </c>
      <c r="D530" s="4">
        <v>46139</v>
      </c>
      <c r="E530" s="5">
        <v>0.55280092592592589</v>
      </c>
      <c r="F530">
        <v>1</v>
      </c>
      <c r="G530" t="s">
        <v>83</v>
      </c>
      <c r="H530" s="7">
        <v>40.75</v>
      </c>
      <c r="L530" t="s">
        <v>987</v>
      </c>
      <c r="M530" t="s">
        <v>71</v>
      </c>
      <c r="N530" s="8">
        <v>1</v>
      </c>
      <c r="O530" s="8">
        <v>1</v>
      </c>
      <c r="R530" s="8">
        <v>1</v>
      </c>
      <c r="S530">
        <v>1</v>
      </c>
      <c r="T530" s="7">
        <v>9.4166666666666661</v>
      </c>
      <c r="W530" s="6">
        <v>1.0542666666666667</v>
      </c>
      <c r="Y530" s="6">
        <v>0.21</v>
      </c>
      <c r="AA530">
        <v>1</v>
      </c>
    </row>
    <row r="531" spans="1:27" x14ac:dyDescent="0.25">
      <c r="A531">
        <v>76116757</v>
      </c>
      <c r="B531" t="s">
        <v>9</v>
      </c>
      <c r="C531" t="s">
        <v>70</v>
      </c>
      <c r="D531" s="4">
        <v>46139</v>
      </c>
      <c r="E531" s="5">
        <v>0.55385416666666665</v>
      </c>
      <c r="F531">
        <v>1</v>
      </c>
      <c r="G531" t="s">
        <v>83</v>
      </c>
      <c r="H531" s="7">
        <v>4</v>
      </c>
      <c r="L531" t="s">
        <v>991</v>
      </c>
      <c r="M531" t="s">
        <v>71</v>
      </c>
      <c r="N531" s="8" t="s">
        <v>75</v>
      </c>
      <c r="O531" s="8">
        <v>1</v>
      </c>
      <c r="R531" s="8">
        <v>1</v>
      </c>
      <c r="S531">
        <v>1</v>
      </c>
      <c r="T531" s="7">
        <v>14.666666666666666</v>
      </c>
      <c r="W531" s="6">
        <v>0.95626666666666671</v>
      </c>
      <c r="Y531" s="6">
        <v>0.21</v>
      </c>
      <c r="AA531">
        <v>1</v>
      </c>
    </row>
    <row r="532" spans="1:27" x14ac:dyDescent="0.25">
      <c r="A532">
        <v>76116760</v>
      </c>
      <c r="B532" t="s">
        <v>9</v>
      </c>
      <c r="C532" t="s">
        <v>70</v>
      </c>
      <c r="D532" s="4">
        <v>46139</v>
      </c>
      <c r="E532" s="5">
        <v>0.55542824074074071</v>
      </c>
      <c r="F532">
        <v>1</v>
      </c>
      <c r="G532" t="s">
        <v>83</v>
      </c>
      <c r="H532" s="7">
        <v>5</v>
      </c>
      <c r="L532" t="s">
        <v>996</v>
      </c>
      <c r="M532" t="s">
        <v>71</v>
      </c>
      <c r="N532" s="8">
        <v>1</v>
      </c>
      <c r="O532" s="8">
        <v>1</v>
      </c>
      <c r="S532">
        <v>1</v>
      </c>
      <c r="T532" s="7">
        <v>75.416666666666671</v>
      </c>
      <c r="W532" s="6">
        <v>0.9589333333333333</v>
      </c>
      <c r="Z532" s="6">
        <v>0.41083333333333333</v>
      </c>
      <c r="AA532">
        <v>1</v>
      </c>
    </row>
    <row r="533" spans="1:27" x14ac:dyDescent="0.25">
      <c r="A533">
        <v>76116763</v>
      </c>
      <c r="B533" t="s">
        <v>9</v>
      </c>
      <c r="C533" t="s">
        <v>70</v>
      </c>
      <c r="D533" s="4">
        <v>46139</v>
      </c>
      <c r="E533" s="5">
        <v>0.55626157407407406</v>
      </c>
      <c r="F533">
        <v>1</v>
      </c>
      <c r="G533" t="s">
        <v>83</v>
      </c>
      <c r="H533" s="7">
        <v>3</v>
      </c>
      <c r="L533" t="s">
        <v>1002</v>
      </c>
      <c r="M533" t="s">
        <v>71</v>
      </c>
      <c r="N533" s="8" t="s">
        <v>75</v>
      </c>
      <c r="O533" s="8">
        <v>1</v>
      </c>
      <c r="S533">
        <v>1</v>
      </c>
      <c r="T533" s="7">
        <v>43.416666666666664</v>
      </c>
      <c r="W533" s="6">
        <v>0.9536</v>
      </c>
      <c r="Z533" s="6">
        <v>0.40550000000000003</v>
      </c>
      <c r="AA533">
        <v>1</v>
      </c>
    </row>
    <row r="534" spans="1:27" x14ac:dyDescent="0.25">
      <c r="A534">
        <v>76116767</v>
      </c>
      <c r="B534" t="s">
        <v>9</v>
      </c>
      <c r="C534" t="s">
        <v>70</v>
      </c>
      <c r="D534" s="4">
        <v>46139</v>
      </c>
      <c r="E534" s="5">
        <v>0.55739583333333331</v>
      </c>
      <c r="F534">
        <v>1</v>
      </c>
      <c r="G534" t="s">
        <v>83</v>
      </c>
      <c r="H534" s="7">
        <v>25</v>
      </c>
      <c r="L534">
        <v>1804969348</v>
      </c>
      <c r="M534" t="s">
        <v>71</v>
      </c>
      <c r="N534" s="8" t="s">
        <v>75</v>
      </c>
      <c r="O534" s="8">
        <v>1</v>
      </c>
      <c r="R534" s="8">
        <v>1</v>
      </c>
      <c r="S534">
        <v>1</v>
      </c>
      <c r="T534" s="7">
        <v>6.833333333333333</v>
      </c>
      <c r="W534" s="6">
        <v>1.0122666666666666</v>
      </c>
      <c r="Y534" s="6">
        <v>0.21</v>
      </c>
      <c r="AA534">
        <v>1</v>
      </c>
    </row>
    <row r="535" spans="1:27" x14ac:dyDescent="0.25">
      <c r="A535">
        <v>76116771</v>
      </c>
      <c r="B535" t="s">
        <v>9</v>
      </c>
      <c r="C535" t="s">
        <v>70</v>
      </c>
      <c r="D535" s="4">
        <v>46139</v>
      </c>
      <c r="E535" s="5">
        <v>0.55956018518518524</v>
      </c>
      <c r="F535">
        <v>1</v>
      </c>
      <c r="G535" t="s">
        <v>83</v>
      </c>
      <c r="H535" s="7">
        <v>27.5</v>
      </c>
      <c r="L535" t="s">
        <v>1013</v>
      </c>
      <c r="M535" t="s">
        <v>71</v>
      </c>
      <c r="N535" s="8" t="s">
        <v>75</v>
      </c>
      <c r="O535" s="8">
        <v>1</v>
      </c>
      <c r="Q535" s="8">
        <v>1</v>
      </c>
      <c r="S535">
        <v>1</v>
      </c>
      <c r="U535" s="7">
        <v>0.33333333333333331</v>
      </c>
      <c r="W535" s="6">
        <v>1.0198222222222222</v>
      </c>
      <c r="Z535" s="6">
        <v>0.47083333333333333</v>
      </c>
      <c r="AA535">
        <v>1</v>
      </c>
    </row>
    <row r="536" spans="1:27" x14ac:dyDescent="0.25">
      <c r="A536">
        <v>76116773</v>
      </c>
      <c r="B536" t="s">
        <v>9</v>
      </c>
      <c r="C536" t="s">
        <v>70</v>
      </c>
      <c r="D536" s="4">
        <v>46139</v>
      </c>
      <c r="E536" s="5">
        <v>0.56099537037037039</v>
      </c>
      <c r="F536">
        <v>1</v>
      </c>
      <c r="G536" t="s">
        <v>83</v>
      </c>
      <c r="H536" s="7">
        <v>4</v>
      </c>
      <c r="L536" t="s">
        <v>1020</v>
      </c>
      <c r="M536" t="s">
        <v>71</v>
      </c>
      <c r="N536" s="8" t="s">
        <v>75</v>
      </c>
      <c r="O536" s="8">
        <v>1</v>
      </c>
      <c r="S536">
        <v>1</v>
      </c>
      <c r="T536" s="7">
        <v>87.25</v>
      </c>
      <c r="W536" s="6">
        <v>0.95626666666666671</v>
      </c>
      <c r="Z536" s="6">
        <v>0.40816666666666668</v>
      </c>
      <c r="AA536">
        <v>1</v>
      </c>
    </row>
    <row r="537" spans="1:27" x14ac:dyDescent="0.25">
      <c r="A537">
        <v>76116775</v>
      </c>
      <c r="B537" t="s">
        <v>9</v>
      </c>
      <c r="C537" t="s">
        <v>70</v>
      </c>
      <c r="D537" s="4">
        <v>46139</v>
      </c>
      <c r="E537" s="5">
        <v>0.56175925925925929</v>
      </c>
      <c r="F537">
        <v>1</v>
      </c>
      <c r="G537" t="s">
        <v>83</v>
      </c>
      <c r="H537" s="7">
        <v>3</v>
      </c>
      <c r="L537" t="s">
        <v>1024</v>
      </c>
      <c r="M537" t="s">
        <v>71</v>
      </c>
      <c r="N537" s="8" t="s">
        <v>75</v>
      </c>
      <c r="O537" s="8">
        <v>1</v>
      </c>
      <c r="R537" s="8">
        <v>1</v>
      </c>
      <c r="S537">
        <v>1</v>
      </c>
      <c r="T537" s="7">
        <v>11.083333333333334</v>
      </c>
      <c r="W537" s="6">
        <v>0.9536</v>
      </c>
      <c r="Y537" s="6">
        <v>0.21</v>
      </c>
      <c r="AA537">
        <v>1</v>
      </c>
    </row>
    <row r="538" spans="1:27" x14ac:dyDescent="0.25">
      <c r="A538">
        <v>76116778</v>
      </c>
      <c r="B538" t="s">
        <v>9</v>
      </c>
      <c r="C538" t="s">
        <v>70</v>
      </c>
      <c r="D538" s="4">
        <v>46139</v>
      </c>
      <c r="E538" s="5">
        <v>0.56359953703703702</v>
      </c>
      <c r="F538">
        <v>1</v>
      </c>
      <c r="G538" t="s">
        <v>83</v>
      </c>
      <c r="H538" s="7">
        <v>40</v>
      </c>
      <c r="L538" t="s">
        <v>1030</v>
      </c>
      <c r="M538" t="s">
        <v>71</v>
      </c>
      <c r="N538" s="8" t="s">
        <v>75</v>
      </c>
      <c r="O538" s="8">
        <v>1</v>
      </c>
      <c r="S538">
        <v>1</v>
      </c>
      <c r="T538" s="7">
        <v>84.75</v>
      </c>
      <c r="W538" s="6">
        <v>1.0522666666666667</v>
      </c>
      <c r="Z538" s="6">
        <v>0.50416666666666665</v>
      </c>
      <c r="AA538">
        <v>1</v>
      </c>
    </row>
    <row r="539" spans="1:27" x14ac:dyDescent="0.25">
      <c r="A539">
        <v>76116783</v>
      </c>
      <c r="B539" t="s">
        <v>9</v>
      </c>
      <c r="C539" t="s">
        <v>70</v>
      </c>
      <c r="D539" s="4">
        <v>46139</v>
      </c>
      <c r="E539" s="5">
        <v>0.56679398148148152</v>
      </c>
      <c r="F539">
        <v>1</v>
      </c>
      <c r="G539" t="s">
        <v>83</v>
      </c>
      <c r="H539" s="7">
        <v>74</v>
      </c>
      <c r="L539">
        <v>1804953952</v>
      </c>
      <c r="M539" t="s">
        <v>71</v>
      </c>
      <c r="N539" s="8" t="s">
        <v>75</v>
      </c>
      <c r="O539" s="8">
        <v>1</v>
      </c>
      <c r="Q539" s="8">
        <v>1</v>
      </c>
      <c r="S539">
        <v>1</v>
      </c>
      <c r="U539" s="7">
        <v>3.1666666666666661</v>
      </c>
      <c r="W539" s="6">
        <v>1.1513777777777778</v>
      </c>
      <c r="Z539" s="6">
        <v>0.59483333333333333</v>
      </c>
      <c r="AA539">
        <v>1</v>
      </c>
    </row>
    <row r="540" spans="1:27" x14ac:dyDescent="0.25">
      <c r="A540">
        <v>76116785</v>
      </c>
      <c r="B540" t="s">
        <v>9</v>
      </c>
      <c r="C540" t="s">
        <v>70</v>
      </c>
      <c r="D540" s="4">
        <v>46139</v>
      </c>
      <c r="E540" s="5">
        <v>0.56744212962962959</v>
      </c>
      <c r="F540">
        <v>1</v>
      </c>
      <c r="G540" t="s">
        <v>83</v>
      </c>
      <c r="H540" s="7">
        <v>3</v>
      </c>
      <c r="L540" t="s">
        <v>1042</v>
      </c>
      <c r="M540" t="s">
        <v>71</v>
      </c>
      <c r="N540" s="8" t="s">
        <v>75</v>
      </c>
      <c r="O540" s="8">
        <v>1</v>
      </c>
      <c r="R540" s="8">
        <v>1</v>
      </c>
      <c r="S540">
        <v>1</v>
      </c>
      <c r="T540" s="7">
        <v>7.916666666666667</v>
      </c>
      <c r="W540" s="6">
        <v>0.9536</v>
      </c>
      <c r="Y540" s="6">
        <v>0.21</v>
      </c>
      <c r="AA540">
        <v>1</v>
      </c>
    </row>
    <row r="541" spans="1:27" x14ac:dyDescent="0.25">
      <c r="A541">
        <v>76116786</v>
      </c>
      <c r="B541" t="s">
        <v>9</v>
      </c>
      <c r="C541" t="s">
        <v>70</v>
      </c>
      <c r="D541" s="4">
        <v>46139</v>
      </c>
      <c r="E541" s="5">
        <v>0.5682638888888889</v>
      </c>
      <c r="F541">
        <v>1</v>
      </c>
      <c r="G541" t="s">
        <v>83</v>
      </c>
      <c r="H541" s="7">
        <v>1</v>
      </c>
      <c r="L541" t="s">
        <v>1044</v>
      </c>
      <c r="M541" t="s">
        <v>71</v>
      </c>
      <c r="N541" s="8" t="s">
        <v>78</v>
      </c>
      <c r="O541" s="8">
        <v>1</v>
      </c>
      <c r="R541" s="8">
        <v>1</v>
      </c>
      <c r="S541">
        <v>1</v>
      </c>
      <c r="T541" s="7">
        <v>9.3333333333333321</v>
      </c>
      <c r="W541" s="6">
        <v>0.9482666666666667</v>
      </c>
      <c r="Y541" s="6">
        <v>0.21</v>
      </c>
      <c r="AA541">
        <v>1</v>
      </c>
    </row>
    <row r="542" spans="1:27" x14ac:dyDescent="0.25">
      <c r="A542">
        <v>76116790</v>
      </c>
      <c r="B542" t="s">
        <v>9</v>
      </c>
      <c r="C542" t="s">
        <v>70</v>
      </c>
      <c r="D542" s="4">
        <v>46139</v>
      </c>
      <c r="E542" s="5">
        <v>0.56940972222222219</v>
      </c>
      <c r="F542">
        <v>1</v>
      </c>
      <c r="G542" t="s">
        <v>83</v>
      </c>
      <c r="H542" s="7">
        <v>18.5</v>
      </c>
      <c r="L542" t="s">
        <v>1049</v>
      </c>
      <c r="M542" t="s">
        <v>71</v>
      </c>
      <c r="N542" s="8" t="s">
        <v>75</v>
      </c>
      <c r="O542" s="8">
        <v>1</v>
      </c>
      <c r="S542">
        <v>1</v>
      </c>
      <c r="T542" s="7">
        <v>217.5</v>
      </c>
      <c r="W542" s="6">
        <v>0.99493333333333334</v>
      </c>
      <c r="Z542" s="6">
        <v>0.44683333333333336</v>
      </c>
      <c r="AA542">
        <v>1</v>
      </c>
    </row>
    <row r="543" spans="1:27" x14ac:dyDescent="0.25">
      <c r="A543">
        <v>76116798</v>
      </c>
      <c r="B543" t="s">
        <v>9</v>
      </c>
      <c r="C543" t="s">
        <v>70</v>
      </c>
      <c r="D543" s="4">
        <v>46139</v>
      </c>
      <c r="E543" s="5">
        <v>0.57254629629629628</v>
      </c>
      <c r="F543">
        <v>1</v>
      </c>
      <c r="G543" t="s">
        <v>83</v>
      </c>
      <c r="H543" s="7">
        <v>107</v>
      </c>
      <c r="L543" t="s">
        <v>1059</v>
      </c>
      <c r="M543" t="s">
        <v>71</v>
      </c>
      <c r="N543" s="8" t="s">
        <v>75</v>
      </c>
      <c r="O543" s="8">
        <v>1</v>
      </c>
      <c r="S543">
        <v>1</v>
      </c>
      <c r="T543" s="7">
        <v>36.583333333333329</v>
      </c>
      <c r="W543" s="6">
        <v>1.2309333333333332</v>
      </c>
      <c r="Z543" s="6">
        <v>0.6828333333333334</v>
      </c>
      <c r="AA543">
        <v>1</v>
      </c>
    </row>
    <row r="544" spans="1:27" x14ac:dyDescent="0.25">
      <c r="A544">
        <v>76116804</v>
      </c>
      <c r="B544" t="s">
        <v>9</v>
      </c>
      <c r="C544" t="s">
        <v>70</v>
      </c>
      <c r="D544" s="4">
        <v>46139</v>
      </c>
      <c r="E544" s="5">
        <v>0.57641203703703703</v>
      </c>
      <c r="F544">
        <v>1</v>
      </c>
      <c r="G544" t="s">
        <v>83</v>
      </c>
      <c r="H544" s="7">
        <v>1</v>
      </c>
      <c r="L544" t="s">
        <v>1069</v>
      </c>
      <c r="M544" t="s">
        <v>71</v>
      </c>
      <c r="N544" s="8" t="s">
        <v>75</v>
      </c>
      <c r="O544" s="8">
        <v>1</v>
      </c>
      <c r="R544" s="8">
        <v>1</v>
      </c>
      <c r="S544">
        <v>1</v>
      </c>
      <c r="T544" s="7">
        <v>13</v>
      </c>
      <c r="W544" s="6">
        <v>0.9482666666666667</v>
      </c>
      <c r="Y544" s="6">
        <v>0.21</v>
      </c>
      <c r="AA544">
        <v>1</v>
      </c>
    </row>
    <row r="545" spans="1:27" x14ac:dyDescent="0.25">
      <c r="A545">
        <v>76116807</v>
      </c>
      <c r="B545" t="s">
        <v>9</v>
      </c>
      <c r="C545" t="s">
        <v>70</v>
      </c>
      <c r="D545" s="4">
        <v>46139</v>
      </c>
      <c r="E545" s="5">
        <v>0.577662037037037</v>
      </c>
      <c r="F545">
        <v>1</v>
      </c>
      <c r="G545" t="s">
        <v>83</v>
      </c>
      <c r="H545" s="7">
        <v>1</v>
      </c>
      <c r="L545" t="s">
        <v>1071</v>
      </c>
      <c r="M545" t="s">
        <v>71</v>
      </c>
      <c r="N545" s="8" t="s">
        <v>75</v>
      </c>
      <c r="O545" s="8">
        <v>1</v>
      </c>
      <c r="R545" s="8">
        <v>1</v>
      </c>
      <c r="S545">
        <v>1</v>
      </c>
      <c r="T545" s="7">
        <v>11.5</v>
      </c>
      <c r="W545" s="6">
        <v>0.9482666666666667</v>
      </c>
      <c r="Y545" s="6">
        <v>0.21</v>
      </c>
      <c r="AA545">
        <v>1</v>
      </c>
    </row>
    <row r="546" spans="1:27" x14ac:dyDescent="0.25">
      <c r="A546">
        <v>76116809</v>
      </c>
      <c r="B546" t="s">
        <v>9</v>
      </c>
      <c r="C546" t="s">
        <v>70</v>
      </c>
      <c r="D546" s="4">
        <v>46139</v>
      </c>
      <c r="E546" s="5">
        <v>0.57906249999999992</v>
      </c>
      <c r="F546">
        <v>1</v>
      </c>
      <c r="G546" t="s">
        <v>83</v>
      </c>
      <c r="H546" s="7">
        <v>33</v>
      </c>
      <c r="L546" t="s">
        <v>1074</v>
      </c>
      <c r="M546" t="s">
        <v>71</v>
      </c>
      <c r="N546" s="8" t="s">
        <v>75</v>
      </c>
      <c r="O546" s="8">
        <v>1</v>
      </c>
      <c r="Q546" s="8">
        <v>1</v>
      </c>
      <c r="S546">
        <v>1</v>
      </c>
      <c r="U546" s="7">
        <v>3.1666666666666661</v>
      </c>
      <c r="W546" s="6">
        <v>1.0420444444444446</v>
      </c>
      <c r="Z546" s="6">
        <v>0.48550000000000004</v>
      </c>
      <c r="AA546">
        <v>1</v>
      </c>
    </row>
    <row r="547" spans="1:27" x14ac:dyDescent="0.25">
      <c r="A547">
        <v>76116811</v>
      </c>
      <c r="B547" t="s">
        <v>9</v>
      </c>
      <c r="C547" t="s">
        <v>70</v>
      </c>
      <c r="D547" s="4">
        <v>46139</v>
      </c>
      <c r="E547" s="5">
        <v>0.5797106481481481</v>
      </c>
      <c r="F547">
        <v>1</v>
      </c>
      <c r="G547" t="s">
        <v>83</v>
      </c>
      <c r="H547" s="7">
        <v>3</v>
      </c>
      <c r="L547" t="s">
        <v>1078</v>
      </c>
      <c r="M547" t="s">
        <v>71</v>
      </c>
      <c r="N547" s="8" t="s">
        <v>75</v>
      </c>
      <c r="O547" s="8">
        <v>1</v>
      </c>
      <c r="R547" s="8">
        <v>1</v>
      </c>
      <c r="S547">
        <v>1</v>
      </c>
      <c r="T547" s="7">
        <v>10.25</v>
      </c>
      <c r="W547" s="6">
        <v>0.9536</v>
      </c>
      <c r="Y547" s="6">
        <v>0.21</v>
      </c>
      <c r="AA547">
        <v>1</v>
      </c>
    </row>
    <row r="548" spans="1:27" x14ac:dyDescent="0.25">
      <c r="A548">
        <v>76116824</v>
      </c>
      <c r="B548" t="s">
        <v>9</v>
      </c>
      <c r="C548" t="s">
        <v>70</v>
      </c>
      <c r="D548" s="4">
        <v>46139</v>
      </c>
      <c r="E548" s="5">
        <v>0.5941898148148147</v>
      </c>
      <c r="F548">
        <v>1</v>
      </c>
      <c r="G548" t="s">
        <v>83</v>
      </c>
      <c r="H548" s="7">
        <v>1</v>
      </c>
      <c r="L548" t="s">
        <v>1084</v>
      </c>
      <c r="M548" t="s">
        <v>71</v>
      </c>
      <c r="N548" s="8" t="s">
        <v>75</v>
      </c>
      <c r="O548" s="8">
        <v>1</v>
      </c>
      <c r="S548">
        <v>1</v>
      </c>
      <c r="T548" s="7">
        <v>118.41666666666667</v>
      </c>
      <c r="W548" s="6">
        <v>0.9482666666666667</v>
      </c>
      <c r="Z548" s="6">
        <v>0.40016666666666667</v>
      </c>
      <c r="AA548">
        <v>1</v>
      </c>
    </row>
    <row r="549" spans="1:27" x14ac:dyDescent="0.25">
      <c r="A549">
        <v>76116828</v>
      </c>
      <c r="B549" t="s">
        <v>9</v>
      </c>
      <c r="C549" t="s">
        <v>70</v>
      </c>
      <c r="D549" s="4">
        <v>46139</v>
      </c>
      <c r="E549" s="5">
        <v>0.59675925925925921</v>
      </c>
      <c r="F549">
        <v>1</v>
      </c>
      <c r="G549" t="s">
        <v>83</v>
      </c>
      <c r="H549" s="7">
        <v>3</v>
      </c>
      <c r="L549" t="s">
        <v>1090</v>
      </c>
      <c r="M549" t="s">
        <v>71</v>
      </c>
      <c r="N549" s="8" t="s">
        <v>75</v>
      </c>
      <c r="O549" s="8">
        <v>1</v>
      </c>
      <c r="R549" s="8">
        <v>1</v>
      </c>
      <c r="S549">
        <v>1</v>
      </c>
      <c r="T549" s="7">
        <v>24.416666666666664</v>
      </c>
      <c r="W549" s="6">
        <v>0.9536</v>
      </c>
      <c r="Y549" s="6">
        <v>0.21</v>
      </c>
      <c r="AA549">
        <v>1</v>
      </c>
    </row>
    <row r="550" spans="1:27" x14ac:dyDescent="0.25">
      <c r="A550">
        <v>76116834</v>
      </c>
      <c r="B550" t="s">
        <v>9</v>
      </c>
      <c r="C550" t="s">
        <v>70</v>
      </c>
      <c r="D550" s="4">
        <v>46139</v>
      </c>
      <c r="E550" s="5">
        <v>0.59832175925925923</v>
      </c>
      <c r="F550">
        <v>1</v>
      </c>
      <c r="G550" t="s">
        <v>83</v>
      </c>
      <c r="H550" s="7">
        <v>1</v>
      </c>
      <c r="L550" t="s">
        <v>1096</v>
      </c>
      <c r="M550" t="s">
        <v>71</v>
      </c>
      <c r="N550" s="8" t="s">
        <v>75</v>
      </c>
      <c r="O550" s="8">
        <v>1</v>
      </c>
      <c r="S550">
        <v>1</v>
      </c>
      <c r="T550" s="7">
        <v>101.08333333333333</v>
      </c>
      <c r="W550" s="6">
        <v>0.9482666666666667</v>
      </c>
      <c r="Z550" s="6">
        <v>0.40016666666666667</v>
      </c>
      <c r="AA550">
        <v>1</v>
      </c>
    </row>
    <row r="551" spans="1:27" x14ac:dyDescent="0.25">
      <c r="A551">
        <v>76116839</v>
      </c>
      <c r="B551" t="s">
        <v>9</v>
      </c>
      <c r="C551" t="s">
        <v>70</v>
      </c>
      <c r="D551" s="4">
        <v>46139</v>
      </c>
      <c r="E551" s="5">
        <v>0.60004629629629624</v>
      </c>
      <c r="F551">
        <v>1</v>
      </c>
      <c r="G551" t="s">
        <v>83</v>
      </c>
      <c r="H551" s="7">
        <v>2</v>
      </c>
      <c r="L551" t="s">
        <v>1102</v>
      </c>
      <c r="M551" t="s">
        <v>71</v>
      </c>
      <c r="N551" s="8">
        <v>1</v>
      </c>
      <c r="O551" s="8">
        <v>1</v>
      </c>
      <c r="Q551" s="8">
        <v>1</v>
      </c>
      <c r="S551">
        <v>1</v>
      </c>
      <c r="U551" s="7">
        <v>8.3333333333333329E-2</v>
      </c>
      <c r="W551" s="6">
        <v>0.95115555555555553</v>
      </c>
      <c r="Z551" s="6">
        <v>0.40283333333333338</v>
      </c>
      <c r="AA551">
        <v>1</v>
      </c>
    </row>
    <row r="552" spans="1:27" x14ac:dyDescent="0.25">
      <c r="A552">
        <v>76116843</v>
      </c>
      <c r="B552" t="s">
        <v>9</v>
      </c>
      <c r="C552" t="s">
        <v>70</v>
      </c>
      <c r="D552" s="4">
        <v>46139</v>
      </c>
      <c r="E552" s="5">
        <v>0.60255787037037034</v>
      </c>
      <c r="F552">
        <v>1</v>
      </c>
      <c r="G552" t="s">
        <v>83</v>
      </c>
      <c r="H552" s="7">
        <v>2</v>
      </c>
      <c r="L552">
        <v>76009068</v>
      </c>
      <c r="M552" t="s">
        <v>71</v>
      </c>
      <c r="N552" s="8">
        <v>1</v>
      </c>
      <c r="O552" s="8">
        <v>1</v>
      </c>
      <c r="Q552" s="8">
        <v>1</v>
      </c>
      <c r="S552">
        <v>1</v>
      </c>
      <c r="U552" s="7">
        <v>0.41666666666666663</v>
      </c>
      <c r="W552" s="6">
        <v>0.95204444444444447</v>
      </c>
      <c r="Z552" s="6">
        <v>0.40283333333333338</v>
      </c>
      <c r="AA552">
        <v>1</v>
      </c>
    </row>
    <row r="553" spans="1:27" x14ac:dyDescent="0.25">
      <c r="A553">
        <v>76116845</v>
      </c>
      <c r="B553" t="s">
        <v>9</v>
      </c>
      <c r="C553" t="s">
        <v>70</v>
      </c>
      <c r="D553" s="4">
        <v>46139</v>
      </c>
      <c r="E553" s="5">
        <v>0.60351851851851845</v>
      </c>
      <c r="F553">
        <v>1</v>
      </c>
      <c r="G553" t="s">
        <v>83</v>
      </c>
      <c r="H553" s="7">
        <v>1</v>
      </c>
      <c r="L553">
        <v>74557555</v>
      </c>
      <c r="M553" t="s">
        <v>71</v>
      </c>
      <c r="N553" s="8" t="s">
        <v>75</v>
      </c>
      <c r="O553" s="8">
        <v>1</v>
      </c>
      <c r="S553">
        <v>1</v>
      </c>
      <c r="T553" s="7">
        <v>33.833333333333329</v>
      </c>
      <c r="W553" s="6">
        <v>0.9482666666666667</v>
      </c>
      <c r="Z553" s="6">
        <v>0.40016666666666667</v>
      </c>
      <c r="AA553">
        <v>1</v>
      </c>
    </row>
    <row r="554" spans="1:27" x14ac:dyDescent="0.25">
      <c r="A554">
        <v>76116848</v>
      </c>
      <c r="B554" t="s">
        <v>9</v>
      </c>
      <c r="C554" t="s">
        <v>70</v>
      </c>
      <c r="D554" s="4">
        <v>46139</v>
      </c>
      <c r="E554" s="5">
        <v>0.60545138888888894</v>
      </c>
      <c r="F554">
        <v>1</v>
      </c>
      <c r="G554" t="s">
        <v>83</v>
      </c>
      <c r="H554" s="7">
        <v>14.666666666666666</v>
      </c>
      <c r="L554" t="s">
        <v>1120</v>
      </c>
      <c r="M554" t="s">
        <v>71</v>
      </c>
      <c r="N554" s="8">
        <v>1</v>
      </c>
      <c r="O554" s="8">
        <v>1</v>
      </c>
      <c r="R554" s="8">
        <v>1</v>
      </c>
      <c r="S554">
        <v>1</v>
      </c>
      <c r="T554" s="7">
        <v>14.75</v>
      </c>
      <c r="W554" s="6">
        <v>0.98471111111111109</v>
      </c>
      <c r="Y554" s="6">
        <v>0.21</v>
      </c>
      <c r="AA554">
        <v>1</v>
      </c>
    </row>
    <row r="555" spans="1:27" x14ac:dyDescent="0.25">
      <c r="A555">
        <v>76116852</v>
      </c>
      <c r="B555" t="s">
        <v>9</v>
      </c>
      <c r="C555" t="s">
        <v>70</v>
      </c>
      <c r="D555" s="4">
        <v>46139</v>
      </c>
      <c r="E555" s="5">
        <v>0.60722222222222222</v>
      </c>
      <c r="F555">
        <v>1</v>
      </c>
      <c r="G555" t="s">
        <v>83</v>
      </c>
      <c r="H555" s="7">
        <v>2</v>
      </c>
      <c r="L555" t="s">
        <v>1125</v>
      </c>
      <c r="M555" t="s">
        <v>71</v>
      </c>
      <c r="N555" s="8">
        <v>1</v>
      </c>
      <c r="O555" s="8">
        <v>1</v>
      </c>
      <c r="S555">
        <v>1</v>
      </c>
      <c r="T555" s="7">
        <v>38.25</v>
      </c>
      <c r="W555" s="6">
        <v>0.9509333333333333</v>
      </c>
      <c r="Z555" s="6">
        <v>0.40283333333333338</v>
      </c>
      <c r="AA555">
        <v>1</v>
      </c>
    </row>
    <row r="556" spans="1:27" x14ac:dyDescent="0.25">
      <c r="A556">
        <v>76116856</v>
      </c>
      <c r="B556" t="s">
        <v>9</v>
      </c>
      <c r="C556" t="s">
        <v>70</v>
      </c>
      <c r="D556" s="4">
        <v>46139</v>
      </c>
      <c r="E556" s="5">
        <v>0.60873842592592597</v>
      </c>
      <c r="F556">
        <v>1</v>
      </c>
      <c r="G556" t="s">
        <v>83</v>
      </c>
      <c r="H556" s="7">
        <v>46</v>
      </c>
      <c r="L556" t="s">
        <v>1132</v>
      </c>
      <c r="M556" t="s">
        <v>71</v>
      </c>
      <c r="N556" s="8">
        <v>1</v>
      </c>
      <c r="O556" s="8">
        <v>1</v>
      </c>
      <c r="S556">
        <v>1</v>
      </c>
      <c r="T556" s="7">
        <v>47</v>
      </c>
      <c r="W556" s="6">
        <v>1.0682666666666667</v>
      </c>
      <c r="Z556" s="6">
        <v>0.52016666666666667</v>
      </c>
      <c r="AA556">
        <v>1</v>
      </c>
    </row>
    <row r="557" spans="1:27" x14ac:dyDescent="0.25">
      <c r="A557">
        <v>76116859</v>
      </c>
      <c r="B557" t="s">
        <v>9</v>
      </c>
      <c r="C557" t="s">
        <v>70</v>
      </c>
      <c r="D557" s="4">
        <v>46139</v>
      </c>
      <c r="E557" s="5">
        <v>0.61013888888888879</v>
      </c>
      <c r="F557">
        <v>1</v>
      </c>
      <c r="G557" t="s">
        <v>83</v>
      </c>
      <c r="H557" s="7">
        <v>20</v>
      </c>
      <c r="L557" t="s">
        <v>1137</v>
      </c>
      <c r="M557" t="s">
        <v>71</v>
      </c>
      <c r="N557" s="8" t="s">
        <v>75</v>
      </c>
      <c r="O557" s="8">
        <v>1</v>
      </c>
      <c r="S557">
        <v>1</v>
      </c>
      <c r="T557" s="7">
        <v>92.333333333333329</v>
      </c>
      <c r="W557" s="6">
        <v>0.99893333333333334</v>
      </c>
      <c r="Z557" s="6">
        <v>0.45083333333333336</v>
      </c>
      <c r="AA557">
        <v>1</v>
      </c>
    </row>
    <row r="558" spans="1:27" x14ac:dyDescent="0.25">
      <c r="A558">
        <v>76116861</v>
      </c>
      <c r="B558" t="s">
        <v>9</v>
      </c>
      <c r="C558" t="s">
        <v>70</v>
      </c>
      <c r="D558" s="4">
        <v>46139</v>
      </c>
      <c r="E558" s="5">
        <v>0.61097222222222214</v>
      </c>
      <c r="F558">
        <v>1</v>
      </c>
      <c r="G558" t="s">
        <v>83</v>
      </c>
      <c r="H558" s="7">
        <v>2</v>
      </c>
      <c r="L558" t="s">
        <v>1141</v>
      </c>
      <c r="M558" t="s">
        <v>71</v>
      </c>
      <c r="N558" s="8">
        <v>1</v>
      </c>
      <c r="O558" s="8">
        <v>1</v>
      </c>
      <c r="R558" s="8">
        <v>1</v>
      </c>
      <c r="S558">
        <v>1</v>
      </c>
      <c r="T558" s="7">
        <v>15.25</v>
      </c>
      <c r="W558" s="6">
        <v>0.9509333333333333</v>
      </c>
      <c r="Y558" s="6">
        <v>0.21</v>
      </c>
      <c r="AA558">
        <v>1</v>
      </c>
    </row>
    <row r="559" spans="1:27" x14ac:dyDescent="0.25">
      <c r="A559">
        <v>76116863</v>
      </c>
      <c r="B559" t="s">
        <v>9</v>
      </c>
      <c r="C559" t="s">
        <v>70</v>
      </c>
      <c r="D559" s="4">
        <v>46139</v>
      </c>
      <c r="E559" s="5">
        <v>0.61239583333333325</v>
      </c>
      <c r="F559">
        <v>1</v>
      </c>
      <c r="G559" t="s">
        <v>83</v>
      </c>
      <c r="H559" s="7">
        <v>55.833333333333329</v>
      </c>
      <c r="L559" t="s">
        <v>1144</v>
      </c>
      <c r="M559" t="s">
        <v>71</v>
      </c>
      <c r="N559" s="8">
        <v>1</v>
      </c>
      <c r="O559" s="8">
        <v>1</v>
      </c>
      <c r="R559" s="8">
        <v>1</v>
      </c>
      <c r="S559">
        <v>1</v>
      </c>
      <c r="T559" s="7">
        <v>24.25</v>
      </c>
      <c r="W559" s="6">
        <v>1.0944888888888888</v>
      </c>
      <c r="Y559" s="6">
        <v>0.21</v>
      </c>
      <c r="AA559">
        <v>1</v>
      </c>
    </row>
    <row r="560" spans="1:27" x14ac:dyDescent="0.25">
      <c r="A560">
        <v>76116873</v>
      </c>
      <c r="B560" t="s">
        <v>9</v>
      </c>
      <c r="C560" t="s">
        <v>70</v>
      </c>
      <c r="D560" s="4">
        <v>46139</v>
      </c>
      <c r="E560" s="5">
        <v>0.61432870370370374</v>
      </c>
      <c r="F560">
        <v>1</v>
      </c>
      <c r="G560" t="s">
        <v>83</v>
      </c>
      <c r="H560" s="7">
        <v>2</v>
      </c>
      <c r="L560" t="s">
        <v>1147</v>
      </c>
      <c r="M560" t="s">
        <v>71</v>
      </c>
      <c r="N560" s="8" t="s">
        <v>75</v>
      </c>
      <c r="O560" s="8">
        <v>1</v>
      </c>
      <c r="S560">
        <v>1</v>
      </c>
      <c r="T560" s="7">
        <v>30.5</v>
      </c>
      <c r="W560" s="6">
        <v>0.9509333333333333</v>
      </c>
      <c r="Z560" s="6">
        <v>0.40283333333333338</v>
      </c>
      <c r="AA560">
        <v>1</v>
      </c>
    </row>
    <row r="561" spans="1:27" x14ac:dyDescent="0.25">
      <c r="A561">
        <v>76116879</v>
      </c>
      <c r="B561" t="s">
        <v>9</v>
      </c>
      <c r="C561" t="s">
        <v>70</v>
      </c>
      <c r="D561" s="4">
        <v>46139</v>
      </c>
      <c r="E561" s="5">
        <v>0.61664351851851851</v>
      </c>
      <c r="F561">
        <v>1</v>
      </c>
      <c r="G561" t="s">
        <v>83</v>
      </c>
      <c r="H561" s="7">
        <v>2</v>
      </c>
      <c r="L561" t="s">
        <v>1155</v>
      </c>
      <c r="M561" t="s">
        <v>71</v>
      </c>
      <c r="N561" s="8">
        <v>1</v>
      </c>
      <c r="O561" s="8">
        <v>1</v>
      </c>
      <c r="R561" s="8">
        <v>1</v>
      </c>
      <c r="S561">
        <v>1</v>
      </c>
      <c r="T561" s="7">
        <v>21.083333333333332</v>
      </c>
      <c r="W561" s="6">
        <v>0.9509333333333333</v>
      </c>
      <c r="Y561" s="6">
        <v>0.21</v>
      </c>
      <c r="AA561">
        <v>1</v>
      </c>
    </row>
    <row r="562" spans="1:27" x14ac:dyDescent="0.25">
      <c r="A562">
        <v>76116883</v>
      </c>
      <c r="B562" t="s">
        <v>9</v>
      </c>
      <c r="C562" t="s">
        <v>70</v>
      </c>
      <c r="D562" s="4">
        <v>46139</v>
      </c>
      <c r="E562" s="5">
        <v>0.61802083333333324</v>
      </c>
      <c r="F562">
        <v>1</v>
      </c>
      <c r="G562" t="s">
        <v>83</v>
      </c>
      <c r="H562" s="7">
        <v>47</v>
      </c>
      <c r="L562" t="s">
        <v>1159</v>
      </c>
      <c r="M562" t="s">
        <v>71</v>
      </c>
      <c r="N562" s="8" t="s">
        <v>75</v>
      </c>
      <c r="O562" s="8">
        <v>1</v>
      </c>
      <c r="R562" s="8">
        <v>1</v>
      </c>
      <c r="S562">
        <v>1</v>
      </c>
      <c r="T562" s="7">
        <v>8.5833333333333321</v>
      </c>
      <c r="W562" s="6">
        <v>1.0709333333333333</v>
      </c>
      <c r="Y562" s="6">
        <v>0.21</v>
      </c>
      <c r="AA562">
        <v>1</v>
      </c>
    </row>
    <row r="563" spans="1:27" x14ac:dyDescent="0.25">
      <c r="A563">
        <v>76116886</v>
      </c>
      <c r="B563" t="s">
        <v>9</v>
      </c>
      <c r="C563" t="s">
        <v>70</v>
      </c>
      <c r="D563" s="4">
        <v>46139</v>
      </c>
      <c r="E563" s="5">
        <v>0.61928240740740736</v>
      </c>
      <c r="F563">
        <v>1</v>
      </c>
      <c r="G563" t="s">
        <v>83</v>
      </c>
      <c r="H563" s="7">
        <v>12</v>
      </c>
      <c r="L563">
        <v>76103401</v>
      </c>
      <c r="M563" t="s">
        <v>71</v>
      </c>
      <c r="N563" s="8">
        <v>1</v>
      </c>
      <c r="O563" s="8">
        <v>1</v>
      </c>
      <c r="Q563" s="8">
        <v>1</v>
      </c>
      <c r="S563">
        <v>1</v>
      </c>
      <c r="U563" s="7">
        <v>0.25</v>
      </c>
      <c r="W563" s="6">
        <v>0.97826666666666662</v>
      </c>
      <c r="Z563" s="6">
        <v>0.42949999999999999</v>
      </c>
      <c r="AA563">
        <v>1</v>
      </c>
    </row>
    <row r="564" spans="1:27" x14ac:dyDescent="0.25">
      <c r="A564">
        <v>76116888</v>
      </c>
      <c r="B564" t="s">
        <v>9</v>
      </c>
      <c r="C564" t="s">
        <v>70</v>
      </c>
      <c r="D564" s="4">
        <v>46139</v>
      </c>
      <c r="E564" s="5">
        <v>0.62004629629629626</v>
      </c>
      <c r="F564">
        <v>1</v>
      </c>
      <c r="G564" t="s">
        <v>83</v>
      </c>
      <c r="H564" s="7">
        <v>2</v>
      </c>
      <c r="L564" t="s">
        <v>1170</v>
      </c>
      <c r="M564" t="s">
        <v>71</v>
      </c>
      <c r="N564" s="8" t="s">
        <v>75</v>
      </c>
      <c r="O564" s="8">
        <v>1</v>
      </c>
      <c r="R564" s="8">
        <v>1</v>
      </c>
      <c r="S564">
        <v>1</v>
      </c>
      <c r="T564" s="7">
        <v>19.583333333333332</v>
      </c>
      <c r="W564" s="6">
        <v>0.9509333333333333</v>
      </c>
      <c r="Y564" s="6">
        <v>0.21</v>
      </c>
      <c r="AA564">
        <v>1</v>
      </c>
    </row>
    <row r="565" spans="1:27" x14ac:dyDescent="0.25">
      <c r="A565">
        <v>76116890</v>
      </c>
      <c r="B565" t="s">
        <v>9</v>
      </c>
      <c r="C565" t="s">
        <v>70</v>
      </c>
      <c r="D565" s="4">
        <v>46139</v>
      </c>
      <c r="E565" s="5">
        <v>0.6215046296296296</v>
      </c>
      <c r="F565">
        <v>1</v>
      </c>
      <c r="G565" t="s">
        <v>83</v>
      </c>
      <c r="H565" s="7">
        <v>2</v>
      </c>
      <c r="L565" t="s">
        <v>1174</v>
      </c>
      <c r="M565" t="s">
        <v>71</v>
      </c>
      <c r="N565" s="8">
        <v>1</v>
      </c>
      <c r="O565" s="8">
        <v>1</v>
      </c>
      <c r="R565" s="8">
        <v>1</v>
      </c>
      <c r="S565">
        <v>1</v>
      </c>
      <c r="T565" s="7">
        <v>13.666666666666666</v>
      </c>
      <c r="W565" s="6">
        <v>0.9509333333333333</v>
      </c>
      <c r="Y565" s="6">
        <v>0.21</v>
      </c>
      <c r="AA565">
        <v>1</v>
      </c>
    </row>
    <row r="566" spans="1:27" x14ac:dyDescent="0.25">
      <c r="A566">
        <v>76116894</v>
      </c>
      <c r="B566" t="s">
        <v>9</v>
      </c>
      <c r="C566" t="s">
        <v>70</v>
      </c>
      <c r="D566" s="4">
        <v>46139</v>
      </c>
      <c r="E566" s="5">
        <v>0.62312500000000004</v>
      </c>
      <c r="F566">
        <v>1</v>
      </c>
      <c r="G566" t="s">
        <v>83</v>
      </c>
      <c r="H566" s="7">
        <v>23.25</v>
      </c>
      <c r="L566" t="s">
        <v>1180</v>
      </c>
      <c r="M566" t="s">
        <v>71</v>
      </c>
      <c r="N566" s="8" t="s">
        <v>75</v>
      </c>
      <c r="O566" s="8">
        <v>1</v>
      </c>
      <c r="Q566" s="8">
        <v>1</v>
      </c>
      <c r="S566">
        <v>1</v>
      </c>
      <c r="U566" s="7">
        <v>1.583333333333333</v>
      </c>
      <c r="W566" s="6">
        <v>1.0118222222222222</v>
      </c>
      <c r="Z566" s="6">
        <v>0.45950000000000002</v>
      </c>
      <c r="AA566">
        <v>1</v>
      </c>
    </row>
    <row r="567" spans="1:27" x14ac:dyDescent="0.25">
      <c r="A567">
        <v>76116897</v>
      </c>
      <c r="B567" t="s">
        <v>9</v>
      </c>
      <c r="C567" t="s">
        <v>70</v>
      </c>
      <c r="D567" s="4">
        <v>46139</v>
      </c>
      <c r="E567" s="5">
        <v>0.62457175925925923</v>
      </c>
      <c r="F567">
        <v>1</v>
      </c>
      <c r="G567" t="s">
        <v>83</v>
      </c>
      <c r="H567" s="7">
        <v>2</v>
      </c>
      <c r="L567" t="s">
        <v>1186</v>
      </c>
      <c r="M567" t="s">
        <v>71</v>
      </c>
      <c r="N567" s="8">
        <v>1</v>
      </c>
      <c r="O567" s="8">
        <v>1</v>
      </c>
      <c r="Q567" s="8">
        <v>1</v>
      </c>
      <c r="S567">
        <v>1</v>
      </c>
      <c r="U567" s="7">
        <v>0.25</v>
      </c>
      <c r="W567" s="6">
        <v>0.9516</v>
      </c>
      <c r="Z567" s="6">
        <v>0.40283333333333338</v>
      </c>
      <c r="AA567">
        <v>1</v>
      </c>
    </row>
    <row r="568" spans="1:27" x14ac:dyDescent="0.25">
      <c r="A568">
        <v>76116903</v>
      </c>
      <c r="B568" t="s">
        <v>9</v>
      </c>
      <c r="C568" t="s">
        <v>70</v>
      </c>
      <c r="D568" s="4">
        <v>46139</v>
      </c>
      <c r="E568" s="5">
        <v>0.62707175925925929</v>
      </c>
      <c r="F568">
        <v>1</v>
      </c>
      <c r="G568" t="s">
        <v>83</v>
      </c>
      <c r="H568" s="7">
        <v>14</v>
      </c>
      <c r="L568">
        <v>7031708338</v>
      </c>
      <c r="M568" t="s">
        <v>71</v>
      </c>
      <c r="N568" s="8" t="s">
        <v>75</v>
      </c>
      <c r="O568" s="8">
        <v>1</v>
      </c>
      <c r="Q568" s="8">
        <v>1</v>
      </c>
      <c r="S568">
        <v>1</v>
      </c>
      <c r="U568" s="7">
        <v>0.83333333333333326</v>
      </c>
      <c r="W568" s="6">
        <v>0.98515555555555556</v>
      </c>
      <c r="Z568" s="6">
        <v>0.43483333333333335</v>
      </c>
      <c r="AA568">
        <v>1</v>
      </c>
    </row>
    <row r="569" spans="1:27" x14ac:dyDescent="0.25">
      <c r="A569">
        <v>76116904</v>
      </c>
      <c r="B569" t="s">
        <v>9</v>
      </c>
      <c r="C569" t="s">
        <v>70</v>
      </c>
      <c r="D569" s="4">
        <v>46139</v>
      </c>
      <c r="E569" s="5">
        <v>0.62809027777777771</v>
      </c>
      <c r="F569">
        <v>1</v>
      </c>
      <c r="G569" t="s">
        <v>83</v>
      </c>
      <c r="H569" s="7">
        <v>2</v>
      </c>
      <c r="L569" t="s">
        <v>1196</v>
      </c>
      <c r="M569" t="s">
        <v>71</v>
      </c>
      <c r="N569" s="8">
        <v>1</v>
      </c>
      <c r="O569" s="8">
        <v>1</v>
      </c>
      <c r="S569">
        <v>1</v>
      </c>
      <c r="T569" s="7">
        <v>47.666666666666664</v>
      </c>
      <c r="W569" s="6">
        <v>0.9509333333333333</v>
      </c>
      <c r="Z569" s="6">
        <v>0.40283333333333338</v>
      </c>
      <c r="AA569">
        <v>1</v>
      </c>
    </row>
    <row r="570" spans="1:27" x14ac:dyDescent="0.25">
      <c r="A570">
        <v>76116911</v>
      </c>
      <c r="B570" t="s">
        <v>9</v>
      </c>
      <c r="C570" t="s">
        <v>70</v>
      </c>
      <c r="D570" s="4">
        <v>46139</v>
      </c>
      <c r="E570" s="5">
        <v>0.63094907407407408</v>
      </c>
      <c r="F570">
        <v>1</v>
      </c>
      <c r="G570" t="s">
        <v>83</v>
      </c>
      <c r="H570" s="7">
        <v>3</v>
      </c>
      <c r="L570" t="s">
        <v>1207</v>
      </c>
      <c r="M570" t="s">
        <v>71</v>
      </c>
      <c r="N570" s="8" t="s">
        <v>75</v>
      </c>
      <c r="O570" s="8">
        <v>1</v>
      </c>
      <c r="R570" s="8">
        <v>1</v>
      </c>
      <c r="S570">
        <v>1</v>
      </c>
      <c r="T570" s="7">
        <v>29.583333333333329</v>
      </c>
      <c r="W570" s="6">
        <v>0.9536</v>
      </c>
      <c r="Y570" s="6">
        <v>0.21</v>
      </c>
      <c r="AA570">
        <v>1</v>
      </c>
    </row>
    <row r="571" spans="1:27" x14ac:dyDescent="0.25">
      <c r="A571">
        <v>76116914</v>
      </c>
      <c r="B571" t="s">
        <v>9</v>
      </c>
      <c r="C571" t="s">
        <v>70</v>
      </c>
      <c r="D571" s="4">
        <v>46139</v>
      </c>
      <c r="E571" s="5">
        <v>0.63233796296296296</v>
      </c>
      <c r="F571">
        <v>1</v>
      </c>
      <c r="G571" t="s">
        <v>83</v>
      </c>
      <c r="H571" s="7">
        <v>2</v>
      </c>
      <c r="L571" t="s">
        <v>1212</v>
      </c>
      <c r="M571" t="s">
        <v>71</v>
      </c>
      <c r="N571" s="8">
        <v>1</v>
      </c>
      <c r="O571" s="8">
        <v>1</v>
      </c>
      <c r="S571">
        <v>1</v>
      </c>
      <c r="T571" s="7">
        <v>35.916666666666664</v>
      </c>
      <c r="W571" s="6">
        <v>0.9509333333333333</v>
      </c>
      <c r="Z571" s="6">
        <v>0.40283333333333338</v>
      </c>
      <c r="AA571">
        <v>1</v>
      </c>
    </row>
    <row r="572" spans="1:27" x14ac:dyDescent="0.25">
      <c r="A572">
        <v>76116915</v>
      </c>
      <c r="B572" t="s">
        <v>9</v>
      </c>
      <c r="C572" t="s">
        <v>70</v>
      </c>
      <c r="D572" s="4">
        <v>46139</v>
      </c>
      <c r="E572" s="5">
        <v>0.63340277777777776</v>
      </c>
      <c r="F572">
        <v>1</v>
      </c>
      <c r="G572" t="s">
        <v>83</v>
      </c>
      <c r="H572" s="7">
        <v>2</v>
      </c>
      <c r="L572" t="s">
        <v>1214</v>
      </c>
      <c r="M572" t="s">
        <v>71</v>
      </c>
      <c r="N572" s="8">
        <v>1</v>
      </c>
      <c r="O572" s="8">
        <v>1</v>
      </c>
      <c r="R572" s="8">
        <v>1</v>
      </c>
      <c r="S572">
        <v>1</v>
      </c>
      <c r="T572" s="7">
        <v>19.5</v>
      </c>
      <c r="W572" s="6">
        <v>0.9509333333333333</v>
      </c>
      <c r="Y572" s="6">
        <v>0.21</v>
      </c>
      <c r="AA572">
        <v>1</v>
      </c>
    </row>
    <row r="573" spans="1:27" x14ac:dyDescent="0.25">
      <c r="A573">
        <v>76116920</v>
      </c>
      <c r="B573" t="s">
        <v>9</v>
      </c>
      <c r="C573" t="s">
        <v>70</v>
      </c>
      <c r="D573" s="4">
        <v>46139</v>
      </c>
      <c r="E573" s="5">
        <v>0.63460648148148147</v>
      </c>
      <c r="F573">
        <v>1</v>
      </c>
      <c r="G573" t="s">
        <v>83</v>
      </c>
      <c r="H573" s="7">
        <v>3</v>
      </c>
      <c r="L573" t="s">
        <v>1220</v>
      </c>
      <c r="M573" t="s">
        <v>71</v>
      </c>
      <c r="N573" s="8" t="s">
        <v>75</v>
      </c>
      <c r="O573" s="8">
        <v>1</v>
      </c>
      <c r="S573">
        <v>1</v>
      </c>
      <c r="T573" s="7">
        <v>47.416666666666664</v>
      </c>
      <c r="W573" s="6">
        <v>0.9536</v>
      </c>
      <c r="Z573" s="6">
        <v>0.40550000000000003</v>
      </c>
      <c r="AA573">
        <v>1</v>
      </c>
    </row>
    <row r="574" spans="1:27" x14ac:dyDescent="0.25">
      <c r="A574">
        <v>76116924</v>
      </c>
      <c r="B574" t="s">
        <v>9</v>
      </c>
      <c r="C574" t="s">
        <v>70</v>
      </c>
      <c r="D574" s="4">
        <v>46139</v>
      </c>
      <c r="E574" s="5">
        <v>0.63565972222222222</v>
      </c>
      <c r="F574">
        <v>1</v>
      </c>
      <c r="G574" t="s">
        <v>83</v>
      </c>
      <c r="H574" s="7">
        <v>3</v>
      </c>
      <c r="L574" t="s">
        <v>1224</v>
      </c>
      <c r="M574" t="s">
        <v>71</v>
      </c>
      <c r="N574" s="8" t="s">
        <v>75</v>
      </c>
      <c r="O574" s="8">
        <v>1</v>
      </c>
      <c r="S574">
        <v>1</v>
      </c>
      <c r="T574" s="7">
        <v>29.666666666666664</v>
      </c>
      <c r="W574" s="6">
        <v>0.9536</v>
      </c>
      <c r="Z574" s="6">
        <v>0.40550000000000003</v>
      </c>
      <c r="AA574">
        <v>1</v>
      </c>
    </row>
    <row r="575" spans="1:27" x14ac:dyDescent="0.25">
      <c r="A575">
        <v>76116927</v>
      </c>
      <c r="B575" t="s">
        <v>9</v>
      </c>
      <c r="C575" t="s">
        <v>70</v>
      </c>
      <c r="D575" s="4">
        <v>46139</v>
      </c>
      <c r="E575" s="5">
        <v>0.63664351851851853</v>
      </c>
      <c r="F575">
        <v>1</v>
      </c>
      <c r="G575" t="s">
        <v>83</v>
      </c>
      <c r="H575" s="7">
        <v>2</v>
      </c>
      <c r="L575" t="s">
        <v>1228</v>
      </c>
      <c r="M575" t="s">
        <v>71</v>
      </c>
      <c r="N575" s="8">
        <v>1</v>
      </c>
      <c r="O575" s="8">
        <v>1</v>
      </c>
      <c r="S575">
        <v>1</v>
      </c>
      <c r="T575" s="7">
        <v>43.166666666666664</v>
      </c>
      <c r="W575" s="6">
        <v>0.9509333333333333</v>
      </c>
      <c r="Z575" s="6">
        <v>0.40283333333333338</v>
      </c>
      <c r="AA575">
        <v>1</v>
      </c>
    </row>
    <row r="576" spans="1:27" x14ac:dyDescent="0.25">
      <c r="A576">
        <v>76116931</v>
      </c>
      <c r="B576" t="s">
        <v>9</v>
      </c>
      <c r="C576" t="s">
        <v>70</v>
      </c>
      <c r="D576" s="4">
        <v>46139</v>
      </c>
      <c r="E576" s="5">
        <v>0.63785879629629627</v>
      </c>
      <c r="F576">
        <v>1</v>
      </c>
      <c r="G576" t="s">
        <v>83</v>
      </c>
      <c r="H576" s="7">
        <v>2</v>
      </c>
      <c r="L576" t="s">
        <v>1232</v>
      </c>
      <c r="M576" t="s">
        <v>71</v>
      </c>
      <c r="N576" s="8">
        <v>1</v>
      </c>
      <c r="O576" s="8">
        <v>1</v>
      </c>
      <c r="R576" s="8">
        <v>1</v>
      </c>
      <c r="S576">
        <v>1</v>
      </c>
      <c r="T576" s="7">
        <v>9.9166666666666661</v>
      </c>
      <c r="W576" s="6">
        <v>0.9509333333333333</v>
      </c>
      <c r="Y576" s="6">
        <v>0.21</v>
      </c>
      <c r="AA576">
        <v>1</v>
      </c>
    </row>
    <row r="577" spans="1:27" x14ac:dyDescent="0.25">
      <c r="A577">
        <v>76116933</v>
      </c>
      <c r="B577" t="s">
        <v>9</v>
      </c>
      <c r="C577" t="s">
        <v>70</v>
      </c>
      <c r="D577" s="4">
        <v>46139</v>
      </c>
      <c r="E577" s="5">
        <v>0.63915509259259262</v>
      </c>
      <c r="F577">
        <v>1</v>
      </c>
      <c r="G577" t="s">
        <v>83</v>
      </c>
      <c r="H577" s="7">
        <v>2</v>
      </c>
      <c r="L577" t="s">
        <v>1236</v>
      </c>
      <c r="M577" t="s">
        <v>71</v>
      </c>
      <c r="N577" s="8">
        <v>1</v>
      </c>
      <c r="O577" s="8">
        <v>1</v>
      </c>
      <c r="Q577" s="8">
        <v>1</v>
      </c>
      <c r="S577">
        <v>1</v>
      </c>
      <c r="U577" s="7">
        <v>0.41666666666666663</v>
      </c>
      <c r="W577" s="6">
        <v>0.95204444444444447</v>
      </c>
      <c r="Z577" s="6">
        <v>0.40283333333333338</v>
      </c>
      <c r="AA577">
        <v>1</v>
      </c>
    </row>
    <row r="578" spans="1:27" x14ac:dyDescent="0.25">
      <c r="A578">
        <v>76116935</v>
      </c>
      <c r="B578" t="s">
        <v>9</v>
      </c>
      <c r="C578" t="s">
        <v>70</v>
      </c>
      <c r="D578" s="4">
        <v>46139</v>
      </c>
      <c r="E578" s="5">
        <v>0.63995370370370364</v>
      </c>
      <c r="F578">
        <v>1</v>
      </c>
      <c r="G578" t="s">
        <v>83</v>
      </c>
      <c r="H578" s="7">
        <v>2</v>
      </c>
      <c r="L578" t="s">
        <v>94</v>
      </c>
      <c r="M578" t="s">
        <v>71</v>
      </c>
      <c r="N578" s="8">
        <v>1</v>
      </c>
      <c r="O578" s="8">
        <v>1</v>
      </c>
      <c r="R578" s="8">
        <v>1</v>
      </c>
      <c r="S578">
        <v>1</v>
      </c>
      <c r="T578" s="7">
        <v>9.9166666666666661</v>
      </c>
      <c r="W578" s="6">
        <v>0.9509333333333333</v>
      </c>
      <c r="Y578" s="6">
        <v>0.21</v>
      </c>
      <c r="AA578">
        <v>1</v>
      </c>
    </row>
    <row r="579" spans="1:27" x14ac:dyDescent="0.25">
      <c r="A579">
        <v>76116942</v>
      </c>
      <c r="B579" t="s">
        <v>9</v>
      </c>
      <c r="C579" t="s">
        <v>70</v>
      </c>
      <c r="D579" s="4">
        <v>46139</v>
      </c>
      <c r="E579" s="5">
        <v>0.64347222222222222</v>
      </c>
      <c r="F579">
        <v>1</v>
      </c>
      <c r="G579" t="s">
        <v>83</v>
      </c>
      <c r="H579" s="7">
        <v>2</v>
      </c>
      <c r="L579" t="s">
        <v>1249</v>
      </c>
      <c r="M579" t="s">
        <v>71</v>
      </c>
      <c r="N579" s="8">
        <v>1</v>
      </c>
      <c r="O579" s="8">
        <v>1</v>
      </c>
      <c r="S579">
        <v>1</v>
      </c>
      <c r="T579" s="7">
        <v>31.5</v>
      </c>
      <c r="W579" s="6">
        <v>0.9509333333333333</v>
      </c>
      <c r="Z579" s="6">
        <v>0.40283333333333338</v>
      </c>
      <c r="AA579">
        <v>1</v>
      </c>
    </row>
    <row r="580" spans="1:27" x14ac:dyDescent="0.25">
      <c r="A580">
        <v>76116950</v>
      </c>
      <c r="B580" t="s">
        <v>9</v>
      </c>
      <c r="C580" t="s">
        <v>70</v>
      </c>
      <c r="D580" s="4">
        <v>46139</v>
      </c>
      <c r="E580" s="5">
        <v>0.64995370370370364</v>
      </c>
      <c r="F580">
        <v>1</v>
      </c>
      <c r="G580" t="s">
        <v>83</v>
      </c>
      <c r="H580" s="7">
        <v>2</v>
      </c>
      <c r="L580" t="s">
        <v>1263</v>
      </c>
      <c r="M580" t="s">
        <v>71</v>
      </c>
      <c r="N580" s="8">
        <v>1</v>
      </c>
      <c r="O580" s="8">
        <v>1</v>
      </c>
      <c r="S580">
        <v>1</v>
      </c>
      <c r="T580" s="7">
        <v>38</v>
      </c>
      <c r="W580" s="6">
        <v>0.9509333333333333</v>
      </c>
      <c r="Z580" s="6">
        <v>0.40283333333333338</v>
      </c>
      <c r="AA580">
        <v>1</v>
      </c>
    </row>
    <row r="581" spans="1:27" x14ac:dyDescent="0.25">
      <c r="A581">
        <v>76116952</v>
      </c>
      <c r="B581" t="s">
        <v>9</v>
      </c>
      <c r="C581" t="s">
        <v>70</v>
      </c>
      <c r="D581" s="4">
        <v>46139</v>
      </c>
      <c r="E581" s="5">
        <v>0.65116898148148139</v>
      </c>
      <c r="F581">
        <v>1</v>
      </c>
      <c r="G581" t="s">
        <v>83</v>
      </c>
      <c r="H581" s="7">
        <v>2</v>
      </c>
      <c r="L581" t="s">
        <v>1267</v>
      </c>
      <c r="M581" t="s">
        <v>71</v>
      </c>
      <c r="N581" s="8">
        <v>1</v>
      </c>
      <c r="O581" s="8">
        <v>1</v>
      </c>
      <c r="S581">
        <v>1</v>
      </c>
      <c r="T581" s="7">
        <v>90.833333333333329</v>
      </c>
      <c r="W581" s="6">
        <v>0.9509333333333333</v>
      </c>
      <c r="Z581" s="6">
        <v>0.40283333333333338</v>
      </c>
      <c r="AA581">
        <v>1</v>
      </c>
    </row>
    <row r="582" spans="1:27" x14ac:dyDescent="0.25">
      <c r="A582">
        <v>76116955</v>
      </c>
      <c r="B582" t="s">
        <v>9</v>
      </c>
      <c r="C582" t="s">
        <v>70</v>
      </c>
      <c r="D582" s="4">
        <v>46139</v>
      </c>
      <c r="E582" s="5">
        <v>0.6527546296296296</v>
      </c>
      <c r="F582">
        <v>1</v>
      </c>
      <c r="G582" t="s">
        <v>83</v>
      </c>
      <c r="H582" s="7">
        <v>25.5</v>
      </c>
      <c r="L582" t="s">
        <v>1271</v>
      </c>
      <c r="M582" t="s">
        <v>71</v>
      </c>
      <c r="N582" s="8" t="s">
        <v>75</v>
      </c>
      <c r="O582" s="8">
        <v>1</v>
      </c>
      <c r="R582" s="8">
        <v>1</v>
      </c>
      <c r="S582">
        <v>1</v>
      </c>
      <c r="T582" s="7">
        <v>12.333333333333332</v>
      </c>
      <c r="W582" s="6">
        <v>1.0136000000000001</v>
      </c>
      <c r="Y582" s="6">
        <v>0.21</v>
      </c>
      <c r="AA582">
        <v>1</v>
      </c>
    </row>
    <row r="583" spans="1:27" x14ac:dyDescent="0.25">
      <c r="A583">
        <v>76116958</v>
      </c>
      <c r="B583" t="s">
        <v>9</v>
      </c>
      <c r="C583" t="s">
        <v>70</v>
      </c>
      <c r="D583" s="4">
        <v>46139</v>
      </c>
      <c r="E583" s="5">
        <v>0.65550925925925929</v>
      </c>
      <c r="F583">
        <v>1</v>
      </c>
      <c r="G583" t="s">
        <v>83</v>
      </c>
      <c r="H583" s="7">
        <v>2</v>
      </c>
      <c r="L583" t="s">
        <v>1280</v>
      </c>
      <c r="M583" t="s">
        <v>71</v>
      </c>
      <c r="N583" s="8">
        <v>1</v>
      </c>
      <c r="O583" s="8">
        <v>1</v>
      </c>
      <c r="Q583" s="8">
        <v>1</v>
      </c>
      <c r="S583">
        <v>1</v>
      </c>
      <c r="U583" s="7">
        <v>0.5</v>
      </c>
      <c r="W583" s="6">
        <v>0.95226666666666671</v>
      </c>
      <c r="Z583" s="6">
        <v>0.40283333333333338</v>
      </c>
      <c r="AA583">
        <v>1</v>
      </c>
    </row>
    <row r="584" spans="1:27" x14ac:dyDescent="0.25">
      <c r="A584">
        <v>76116962</v>
      </c>
      <c r="B584" t="s">
        <v>9</v>
      </c>
      <c r="C584" t="s">
        <v>70</v>
      </c>
      <c r="D584" s="4">
        <v>46139</v>
      </c>
      <c r="E584" s="5">
        <v>0.65689814814814806</v>
      </c>
      <c r="F584">
        <v>1</v>
      </c>
      <c r="G584" t="s">
        <v>83</v>
      </c>
      <c r="H584" s="7">
        <v>2</v>
      </c>
      <c r="L584">
        <v>90125771</v>
      </c>
      <c r="M584" t="s">
        <v>71</v>
      </c>
      <c r="N584" s="8">
        <v>1</v>
      </c>
      <c r="O584" s="8">
        <v>1</v>
      </c>
      <c r="S584">
        <v>1</v>
      </c>
      <c r="T584" s="7">
        <v>142.16666666666666</v>
      </c>
      <c r="W584" s="6">
        <v>0.9509333333333333</v>
      </c>
      <c r="Z584" s="6">
        <v>0.40283333333333338</v>
      </c>
      <c r="AA584">
        <v>1</v>
      </c>
    </row>
    <row r="585" spans="1:27" x14ac:dyDescent="0.25">
      <c r="A585">
        <v>76116967</v>
      </c>
      <c r="B585" t="s">
        <v>9</v>
      </c>
      <c r="C585" t="s">
        <v>70</v>
      </c>
      <c r="D585" s="4">
        <v>46139</v>
      </c>
      <c r="E585" s="5">
        <v>0.6580555555555555</v>
      </c>
      <c r="F585">
        <v>1</v>
      </c>
      <c r="G585" t="s">
        <v>83</v>
      </c>
      <c r="H585" s="7">
        <v>2</v>
      </c>
      <c r="L585" t="s">
        <v>1293</v>
      </c>
      <c r="M585" t="s">
        <v>71</v>
      </c>
      <c r="N585" s="8">
        <v>1</v>
      </c>
      <c r="O585" s="8">
        <v>1</v>
      </c>
      <c r="Q585" s="8">
        <v>1</v>
      </c>
      <c r="S585">
        <v>1</v>
      </c>
      <c r="U585" s="7">
        <v>3.083333333333333</v>
      </c>
      <c r="W585" s="6">
        <v>0.95915555555555554</v>
      </c>
      <c r="Z585" s="6">
        <v>0.40283333333333338</v>
      </c>
      <c r="AA585">
        <v>1</v>
      </c>
    </row>
    <row r="586" spans="1:27" x14ac:dyDescent="0.25">
      <c r="A586">
        <v>76116969</v>
      </c>
      <c r="B586" t="s">
        <v>9</v>
      </c>
      <c r="C586" t="s">
        <v>70</v>
      </c>
      <c r="D586" s="4">
        <v>46139</v>
      </c>
      <c r="E586" s="5">
        <v>0.65927083333333325</v>
      </c>
      <c r="F586">
        <v>1</v>
      </c>
      <c r="G586" t="s">
        <v>83</v>
      </c>
      <c r="H586" s="7">
        <v>2</v>
      </c>
      <c r="L586" t="s">
        <v>1297</v>
      </c>
      <c r="M586" t="s">
        <v>71</v>
      </c>
      <c r="N586" s="8">
        <v>1</v>
      </c>
      <c r="O586" s="8">
        <v>1</v>
      </c>
      <c r="R586" s="8">
        <v>1</v>
      </c>
      <c r="S586">
        <v>1</v>
      </c>
      <c r="T586" s="7">
        <v>23.666666666666668</v>
      </c>
      <c r="W586" s="6">
        <v>0.9509333333333333</v>
      </c>
      <c r="Y586" s="6">
        <v>0.21</v>
      </c>
      <c r="AA586">
        <v>1</v>
      </c>
    </row>
    <row r="587" spans="1:27" x14ac:dyDescent="0.25">
      <c r="A587">
        <v>76116971</v>
      </c>
      <c r="B587" t="s">
        <v>9</v>
      </c>
      <c r="C587" t="s">
        <v>70</v>
      </c>
      <c r="D587" s="4">
        <v>46139</v>
      </c>
      <c r="E587" s="5">
        <v>0.66015046296296298</v>
      </c>
      <c r="F587">
        <v>1</v>
      </c>
      <c r="G587" t="s">
        <v>83</v>
      </c>
      <c r="H587" s="7">
        <v>2</v>
      </c>
      <c r="L587" t="s">
        <v>1301</v>
      </c>
      <c r="M587" t="s">
        <v>71</v>
      </c>
      <c r="N587" s="8">
        <v>1</v>
      </c>
      <c r="O587" s="8">
        <v>1</v>
      </c>
      <c r="S587">
        <v>1</v>
      </c>
      <c r="T587" s="7">
        <v>92.5</v>
      </c>
      <c r="W587" s="6">
        <v>0.9509333333333333</v>
      </c>
      <c r="Z587" s="6">
        <v>0.40283333333333338</v>
      </c>
      <c r="AA587">
        <v>1</v>
      </c>
    </row>
    <row r="588" spans="1:27" x14ac:dyDescent="0.25">
      <c r="A588">
        <v>76116972</v>
      </c>
      <c r="B588" t="s">
        <v>9</v>
      </c>
      <c r="C588" t="s">
        <v>70</v>
      </c>
      <c r="D588" s="4">
        <v>46139</v>
      </c>
      <c r="E588" s="5">
        <v>0.66081018518518519</v>
      </c>
      <c r="F588">
        <v>1</v>
      </c>
      <c r="G588" t="s">
        <v>83</v>
      </c>
      <c r="H588" s="7">
        <v>2</v>
      </c>
      <c r="L588" t="s">
        <v>1303</v>
      </c>
      <c r="M588" t="s">
        <v>71</v>
      </c>
      <c r="N588" s="8">
        <v>1</v>
      </c>
      <c r="O588" s="8">
        <v>1</v>
      </c>
      <c r="R588" s="8">
        <v>1</v>
      </c>
      <c r="S588">
        <v>1</v>
      </c>
      <c r="T588" s="7">
        <v>10.25</v>
      </c>
      <c r="W588" s="6">
        <v>0.9509333333333333</v>
      </c>
      <c r="Y588" s="6">
        <v>0.21</v>
      </c>
      <c r="AA588">
        <v>1</v>
      </c>
    </row>
    <row r="589" spans="1:27" x14ac:dyDescent="0.25">
      <c r="A589">
        <v>76116257</v>
      </c>
      <c r="B589" t="s">
        <v>92</v>
      </c>
      <c r="C589" t="s">
        <v>70</v>
      </c>
      <c r="D589" s="4">
        <v>46139</v>
      </c>
      <c r="E589" s="5">
        <v>0.32291666666666669</v>
      </c>
      <c r="F589">
        <v>1</v>
      </c>
      <c r="G589" t="s">
        <v>129</v>
      </c>
      <c r="H589" s="7">
        <v>11.083333333333334</v>
      </c>
      <c r="L589" t="s">
        <v>323</v>
      </c>
      <c r="M589" t="s">
        <v>92</v>
      </c>
      <c r="N589" s="8" t="s">
        <v>75</v>
      </c>
      <c r="O589" s="8">
        <v>1</v>
      </c>
      <c r="S589">
        <v>1</v>
      </c>
      <c r="V589">
        <v>110.66666666666666</v>
      </c>
      <c r="W589" s="6">
        <v>0.97515555555555555</v>
      </c>
      <c r="Z589" s="6">
        <v>0.42705555555555558</v>
      </c>
      <c r="AA589">
        <v>1</v>
      </c>
    </row>
    <row r="590" spans="1:27" x14ac:dyDescent="0.25">
      <c r="A590">
        <v>76116329</v>
      </c>
      <c r="B590" t="s">
        <v>92</v>
      </c>
      <c r="C590" t="s">
        <v>70</v>
      </c>
      <c r="D590" s="4">
        <v>46139</v>
      </c>
      <c r="E590" s="5">
        <v>0.36633101851851846</v>
      </c>
      <c r="F590">
        <v>1</v>
      </c>
      <c r="G590" t="s">
        <v>129</v>
      </c>
      <c r="H590" s="7">
        <v>24.666666666666664</v>
      </c>
      <c r="L590" t="s">
        <v>454</v>
      </c>
      <c r="M590" t="s">
        <v>92</v>
      </c>
      <c r="N590" s="8">
        <v>1</v>
      </c>
      <c r="O590" s="8">
        <v>1</v>
      </c>
      <c r="S590">
        <v>1</v>
      </c>
      <c r="V590">
        <v>52.833333333333336</v>
      </c>
      <c r="W590" s="6">
        <v>1.0113777777777777</v>
      </c>
      <c r="Z590" s="6">
        <v>0.46327777777777779</v>
      </c>
      <c r="AA590">
        <v>1</v>
      </c>
    </row>
    <row r="591" spans="1:27" x14ac:dyDescent="0.25">
      <c r="A591">
        <v>76116363</v>
      </c>
      <c r="B591" t="s">
        <v>92</v>
      </c>
      <c r="C591" t="s">
        <v>70</v>
      </c>
      <c r="D591" s="4">
        <v>46139</v>
      </c>
      <c r="E591" s="5">
        <v>0.38694444444444442</v>
      </c>
      <c r="F591">
        <v>1</v>
      </c>
      <c r="G591" t="s">
        <v>129</v>
      </c>
      <c r="H591" s="7">
        <v>8.5</v>
      </c>
      <c r="L591" t="s">
        <v>521</v>
      </c>
      <c r="M591" t="s">
        <v>92</v>
      </c>
      <c r="N591" s="8" t="s">
        <v>78</v>
      </c>
      <c r="O591" s="8">
        <v>1</v>
      </c>
      <c r="W591" s="6">
        <v>0.96826666666666661</v>
      </c>
    </row>
    <row r="592" spans="1:27" x14ac:dyDescent="0.25">
      <c r="A592">
        <v>76116368</v>
      </c>
      <c r="B592" t="s">
        <v>92</v>
      </c>
      <c r="C592" t="s">
        <v>70</v>
      </c>
      <c r="D592" s="4">
        <v>46139</v>
      </c>
      <c r="E592" s="5">
        <v>0.38858796296296294</v>
      </c>
      <c r="F592">
        <v>1</v>
      </c>
      <c r="G592" t="s">
        <v>129</v>
      </c>
      <c r="H592" s="7">
        <v>54</v>
      </c>
      <c r="L592" t="s">
        <v>521</v>
      </c>
      <c r="M592" t="s">
        <v>92</v>
      </c>
      <c r="N592" s="8" t="s">
        <v>78</v>
      </c>
      <c r="P592" s="8">
        <v>1</v>
      </c>
      <c r="X592" s="6">
        <v>0.54149999999999998</v>
      </c>
    </row>
    <row r="593" spans="1:27" x14ac:dyDescent="0.25">
      <c r="A593">
        <v>76116371</v>
      </c>
      <c r="B593" t="s">
        <v>92</v>
      </c>
      <c r="C593" t="s">
        <v>70</v>
      </c>
      <c r="D593" s="4">
        <v>46139</v>
      </c>
      <c r="E593" s="5">
        <v>0.38974537037037033</v>
      </c>
      <c r="F593">
        <v>1</v>
      </c>
      <c r="G593" t="s">
        <v>129</v>
      </c>
      <c r="H593" s="7">
        <v>95.25</v>
      </c>
      <c r="L593" t="s">
        <v>521</v>
      </c>
      <c r="M593" t="s">
        <v>92</v>
      </c>
      <c r="N593" s="8" t="s">
        <v>78</v>
      </c>
      <c r="P593" s="8">
        <v>1</v>
      </c>
      <c r="X593" s="6">
        <v>0.65149999999999997</v>
      </c>
    </row>
    <row r="594" spans="1:27" x14ac:dyDescent="0.25">
      <c r="A594">
        <v>76116376</v>
      </c>
      <c r="B594" t="s">
        <v>92</v>
      </c>
      <c r="C594" t="s">
        <v>70</v>
      </c>
      <c r="D594" s="4">
        <v>46139</v>
      </c>
      <c r="E594" s="5">
        <v>0.39143518518518516</v>
      </c>
      <c r="F594">
        <v>1</v>
      </c>
      <c r="G594" t="s">
        <v>129</v>
      </c>
      <c r="H594" s="7">
        <v>121.5</v>
      </c>
      <c r="L594" t="s">
        <v>521</v>
      </c>
      <c r="M594" t="s">
        <v>92</v>
      </c>
      <c r="N594" s="8" t="s">
        <v>78</v>
      </c>
      <c r="P594" s="8">
        <v>1</v>
      </c>
      <c r="S594">
        <v>1</v>
      </c>
      <c r="V594">
        <v>90.333333333333329</v>
      </c>
      <c r="X594" s="6">
        <v>0.72150000000000003</v>
      </c>
      <c r="Z594" s="6">
        <v>0.72150000000000003</v>
      </c>
      <c r="AA594">
        <v>4</v>
      </c>
    </row>
    <row r="595" spans="1:27" x14ac:dyDescent="0.25">
      <c r="A595">
        <v>76116387</v>
      </c>
      <c r="B595" t="s">
        <v>92</v>
      </c>
      <c r="C595" t="s">
        <v>70</v>
      </c>
      <c r="D595" s="4">
        <v>46139</v>
      </c>
      <c r="E595" s="5">
        <v>0.39427083333333335</v>
      </c>
      <c r="F595">
        <v>1</v>
      </c>
      <c r="G595" t="s">
        <v>129</v>
      </c>
      <c r="H595" s="7">
        <v>6</v>
      </c>
      <c r="L595" t="s">
        <v>554</v>
      </c>
      <c r="M595" t="s">
        <v>92</v>
      </c>
      <c r="N595" s="8" t="s">
        <v>75</v>
      </c>
      <c r="O595" s="8">
        <v>1</v>
      </c>
      <c r="W595" s="6">
        <v>0.96160000000000001</v>
      </c>
    </row>
    <row r="596" spans="1:27" x14ac:dyDescent="0.25">
      <c r="A596">
        <v>76116400</v>
      </c>
      <c r="B596" t="s">
        <v>92</v>
      </c>
      <c r="C596" t="s">
        <v>70</v>
      </c>
      <c r="D596" s="4">
        <v>46139</v>
      </c>
      <c r="E596" s="5">
        <v>0.39795138888888887</v>
      </c>
      <c r="F596">
        <v>1</v>
      </c>
      <c r="G596" t="s">
        <v>129</v>
      </c>
      <c r="H596" s="7">
        <v>8.5</v>
      </c>
      <c r="L596" t="s">
        <v>554</v>
      </c>
      <c r="M596" t="s">
        <v>92</v>
      </c>
      <c r="N596" s="8" t="s">
        <v>75</v>
      </c>
      <c r="P596" s="8">
        <v>1</v>
      </c>
      <c r="S596">
        <v>1</v>
      </c>
      <c r="V596">
        <v>67.666666666666657</v>
      </c>
      <c r="X596" s="6">
        <v>0.42016666666666669</v>
      </c>
      <c r="Z596" s="6">
        <v>0.42016666666666669</v>
      </c>
      <c r="AA596">
        <v>2</v>
      </c>
    </row>
    <row r="597" spans="1:27" x14ac:dyDescent="0.25">
      <c r="A597">
        <v>76116450</v>
      </c>
      <c r="B597" t="s">
        <v>92</v>
      </c>
      <c r="C597" t="s">
        <v>70</v>
      </c>
      <c r="D597" s="4">
        <v>46139</v>
      </c>
      <c r="E597" s="5">
        <v>0.43041666666666667</v>
      </c>
      <c r="F597">
        <v>1</v>
      </c>
      <c r="G597" t="s">
        <v>129</v>
      </c>
      <c r="H597" s="7">
        <v>12.5</v>
      </c>
      <c r="L597" t="s">
        <v>615</v>
      </c>
      <c r="M597" t="s">
        <v>92</v>
      </c>
      <c r="N597" s="8" t="s">
        <v>75</v>
      </c>
      <c r="O597" s="8">
        <v>1</v>
      </c>
      <c r="R597" s="8">
        <v>1</v>
      </c>
      <c r="S597">
        <v>1</v>
      </c>
      <c r="V597">
        <v>13.583333333333332</v>
      </c>
      <c r="W597" s="6">
        <v>0.97893333333333332</v>
      </c>
      <c r="Y597" s="6">
        <v>0.21</v>
      </c>
      <c r="AA597">
        <v>1</v>
      </c>
    </row>
    <row r="598" spans="1:27" x14ac:dyDescent="0.25">
      <c r="A598">
        <v>76116461</v>
      </c>
      <c r="B598" t="s">
        <v>92</v>
      </c>
      <c r="C598" t="s">
        <v>70</v>
      </c>
      <c r="D598" s="4">
        <v>46139</v>
      </c>
      <c r="E598" s="5">
        <v>0.43416666666666665</v>
      </c>
      <c r="F598">
        <v>1</v>
      </c>
      <c r="G598" t="s">
        <v>129</v>
      </c>
      <c r="H598" s="7">
        <v>29.5</v>
      </c>
      <c r="L598" t="s">
        <v>621</v>
      </c>
      <c r="M598" t="s">
        <v>92</v>
      </c>
      <c r="N598" s="8" t="s">
        <v>75</v>
      </c>
      <c r="O598" s="8">
        <v>1</v>
      </c>
      <c r="S598">
        <v>1</v>
      </c>
      <c r="V598">
        <v>112.75</v>
      </c>
      <c r="W598" s="6">
        <v>1.0242666666666667</v>
      </c>
      <c r="Z598" s="6">
        <v>0.47616666666666668</v>
      </c>
      <c r="AA598">
        <v>1</v>
      </c>
    </row>
    <row r="599" spans="1:27" x14ac:dyDescent="0.25">
      <c r="A599">
        <v>76116476</v>
      </c>
      <c r="B599" t="s">
        <v>92</v>
      </c>
      <c r="C599" t="s">
        <v>70</v>
      </c>
      <c r="D599" s="4">
        <v>46139</v>
      </c>
      <c r="E599" s="5">
        <v>0.43688657407407405</v>
      </c>
      <c r="F599">
        <v>1</v>
      </c>
      <c r="G599" t="s">
        <v>129</v>
      </c>
      <c r="H599" s="7">
        <v>46.5</v>
      </c>
      <c r="L599" t="s">
        <v>632</v>
      </c>
      <c r="M599" t="s">
        <v>92</v>
      </c>
      <c r="N599" s="8" t="s">
        <v>75</v>
      </c>
      <c r="O599" s="8">
        <v>1</v>
      </c>
      <c r="S599">
        <v>1</v>
      </c>
      <c r="V599">
        <v>242.91666666666663</v>
      </c>
      <c r="W599" s="6">
        <v>1.0695999999999999</v>
      </c>
      <c r="Z599" s="6">
        <v>0.52150000000000007</v>
      </c>
      <c r="AA599">
        <v>1</v>
      </c>
    </row>
    <row r="600" spans="1:27" x14ac:dyDescent="0.25">
      <c r="A600">
        <v>76116492</v>
      </c>
      <c r="B600" t="s">
        <v>92</v>
      </c>
      <c r="C600" t="s">
        <v>70</v>
      </c>
      <c r="D600" s="4">
        <v>46139</v>
      </c>
      <c r="E600" s="5">
        <v>0.44070601851851854</v>
      </c>
      <c r="F600">
        <v>1</v>
      </c>
      <c r="G600" t="s">
        <v>129</v>
      </c>
      <c r="H600" s="7">
        <v>4</v>
      </c>
      <c r="L600" t="s">
        <v>648</v>
      </c>
      <c r="M600" t="s">
        <v>92</v>
      </c>
      <c r="N600" s="8" t="s">
        <v>75</v>
      </c>
      <c r="O600" s="8">
        <v>1</v>
      </c>
      <c r="R600" s="8">
        <v>1</v>
      </c>
      <c r="S600">
        <v>1</v>
      </c>
      <c r="V600">
        <v>16.666666666666668</v>
      </c>
      <c r="W600" s="6">
        <v>0.95626666666666671</v>
      </c>
      <c r="Y600" s="6">
        <v>0.21</v>
      </c>
      <c r="AA600">
        <v>1</v>
      </c>
    </row>
    <row r="601" spans="1:27" x14ac:dyDescent="0.25">
      <c r="A601">
        <v>76116517</v>
      </c>
      <c r="B601" t="s">
        <v>92</v>
      </c>
      <c r="C601" t="s">
        <v>70</v>
      </c>
      <c r="D601" s="4">
        <v>46139</v>
      </c>
      <c r="E601" s="5">
        <v>0.45015046296296291</v>
      </c>
      <c r="F601">
        <v>1</v>
      </c>
      <c r="G601" t="s">
        <v>129</v>
      </c>
      <c r="H601" s="7">
        <v>63.25</v>
      </c>
      <c r="L601" t="s">
        <v>682</v>
      </c>
      <c r="M601" t="s">
        <v>92</v>
      </c>
      <c r="N601" s="8">
        <v>1</v>
      </c>
      <c r="O601" s="8">
        <v>1</v>
      </c>
      <c r="Q601" s="8">
        <v>1</v>
      </c>
      <c r="S601">
        <v>1</v>
      </c>
      <c r="V601">
        <v>0.41666666666666663</v>
      </c>
      <c r="W601" s="6">
        <v>1.1142666666666667</v>
      </c>
      <c r="Z601" s="6">
        <v>0.56616666666666671</v>
      </c>
      <c r="AA601">
        <v>1</v>
      </c>
    </row>
    <row r="602" spans="1:27" x14ac:dyDescent="0.25">
      <c r="A602">
        <v>76116529</v>
      </c>
      <c r="B602" t="s">
        <v>92</v>
      </c>
      <c r="C602" t="s">
        <v>70</v>
      </c>
      <c r="D602" s="4">
        <v>46139</v>
      </c>
      <c r="E602" s="5">
        <v>0.45268518518518519</v>
      </c>
      <c r="F602">
        <v>1</v>
      </c>
      <c r="G602" t="s">
        <v>129</v>
      </c>
      <c r="H602" s="7">
        <v>36.583333333333329</v>
      </c>
      <c r="L602" t="s">
        <v>691</v>
      </c>
      <c r="M602" t="s">
        <v>92</v>
      </c>
      <c r="N602" s="8" t="s">
        <v>75</v>
      </c>
      <c r="O602" s="8">
        <v>1</v>
      </c>
      <c r="W602" s="6">
        <v>1.0431555555555556</v>
      </c>
    </row>
    <row r="603" spans="1:27" x14ac:dyDescent="0.25">
      <c r="A603">
        <v>76116545</v>
      </c>
      <c r="B603" t="s">
        <v>92</v>
      </c>
      <c r="C603" t="s">
        <v>70</v>
      </c>
      <c r="D603" s="4">
        <v>46139</v>
      </c>
      <c r="E603" s="5">
        <v>0.45881944444444445</v>
      </c>
      <c r="F603">
        <v>1</v>
      </c>
      <c r="G603" t="s">
        <v>129</v>
      </c>
      <c r="H603" s="7">
        <v>76.583333333333329</v>
      </c>
      <c r="L603" t="s">
        <v>691</v>
      </c>
      <c r="M603" t="s">
        <v>92</v>
      </c>
      <c r="N603" s="8" t="s">
        <v>75</v>
      </c>
      <c r="P603" s="8">
        <v>1</v>
      </c>
      <c r="X603" s="6">
        <v>0.60172222222222227</v>
      </c>
    </row>
    <row r="604" spans="1:27" x14ac:dyDescent="0.25">
      <c r="A604">
        <v>76116548</v>
      </c>
      <c r="B604" t="s">
        <v>92</v>
      </c>
      <c r="C604" t="s">
        <v>70</v>
      </c>
      <c r="D604" s="4">
        <v>46139</v>
      </c>
      <c r="E604" s="5">
        <v>0.46075231481481477</v>
      </c>
      <c r="F604">
        <v>1</v>
      </c>
      <c r="G604" t="s">
        <v>129</v>
      </c>
      <c r="H604" s="7">
        <v>14.75</v>
      </c>
      <c r="L604" t="s">
        <v>691</v>
      </c>
      <c r="M604" t="s">
        <v>92</v>
      </c>
      <c r="N604" s="8" t="s">
        <v>75</v>
      </c>
      <c r="P604" s="8">
        <v>1</v>
      </c>
      <c r="S604">
        <v>1</v>
      </c>
      <c r="V604">
        <v>221.41666666666669</v>
      </c>
      <c r="X604" s="6">
        <v>0.43683333333333335</v>
      </c>
      <c r="Z604" s="6">
        <v>0.43683333333333335</v>
      </c>
      <c r="AA604">
        <v>3</v>
      </c>
    </row>
    <row r="605" spans="1:27" x14ac:dyDescent="0.25">
      <c r="A605">
        <v>76116557</v>
      </c>
      <c r="B605" t="s">
        <v>92</v>
      </c>
      <c r="C605" t="s">
        <v>70</v>
      </c>
      <c r="D605" s="4">
        <v>46139</v>
      </c>
      <c r="E605" s="5">
        <v>0.46621527777777777</v>
      </c>
      <c r="F605">
        <v>1</v>
      </c>
      <c r="G605" t="s">
        <v>129</v>
      </c>
      <c r="H605" s="7">
        <v>9</v>
      </c>
      <c r="L605" t="s">
        <v>741</v>
      </c>
      <c r="M605" t="s">
        <v>92</v>
      </c>
      <c r="N605" s="8" t="s">
        <v>75</v>
      </c>
      <c r="O605" s="8">
        <v>1</v>
      </c>
      <c r="W605" s="6">
        <v>0.96960000000000002</v>
      </c>
    </row>
    <row r="606" spans="1:27" x14ac:dyDescent="0.25">
      <c r="A606">
        <v>76116559</v>
      </c>
      <c r="B606" t="s">
        <v>92</v>
      </c>
      <c r="C606" t="s">
        <v>70</v>
      </c>
      <c r="D606" s="4">
        <v>46139</v>
      </c>
      <c r="E606" s="5">
        <v>0.46706018518518522</v>
      </c>
      <c r="F606">
        <v>1</v>
      </c>
      <c r="G606" t="s">
        <v>129</v>
      </c>
      <c r="H606" s="7">
        <v>9.5</v>
      </c>
      <c r="L606" t="s">
        <v>741</v>
      </c>
      <c r="M606" t="s">
        <v>92</v>
      </c>
      <c r="N606" s="8" t="s">
        <v>75</v>
      </c>
      <c r="P606" s="8">
        <v>1</v>
      </c>
      <c r="X606" s="6">
        <v>0.42283333333333334</v>
      </c>
    </row>
    <row r="607" spans="1:27" x14ac:dyDescent="0.25">
      <c r="A607">
        <v>76116562</v>
      </c>
      <c r="B607" t="s">
        <v>92</v>
      </c>
      <c r="C607" t="s">
        <v>70</v>
      </c>
      <c r="D607" s="4">
        <v>46139</v>
      </c>
      <c r="E607" s="5">
        <v>0.46785879629629629</v>
      </c>
      <c r="F607">
        <v>1</v>
      </c>
      <c r="G607" t="s">
        <v>129</v>
      </c>
      <c r="H607" s="7">
        <v>11.75</v>
      </c>
      <c r="L607" t="s">
        <v>741</v>
      </c>
      <c r="M607" t="s">
        <v>92</v>
      </c>
      <c r="N607" s="8" t="s">
        <v>75</v>
      </c>
      <c r="P607" s="8">
        <v>1</v>
      </c>
      <c r="X607" s="6">
        <v>0.42883333333333334</v>
      </c>
    </row>
    <row r="608" spans="1:27" x14ac:dyDescent="0.25">
      <c r="A608">
        <v>76116565</v>
      </c>
      <c r="B608" t="s">
        <v>92</v>
      </c>
      <c r="C608" t="s">
        <v>70</v>
      </c>
      <c r="D608" s="4">
        <v>46139</v>
      </c>
      <c r="E608" s="5">
        <v>0.46880787037037031</v>
      </c>
      <c r="F608">
        <v>1</v>
      </c>
      <c r="G608" t="s">
        <v>129</v>
      </c>
      <c r="H608" s="7">
        <v>11</v>
      </c>
      <c r="L608" t="s">
        <v>741</v>
      </c>
      <c r="M608" t="s">
        <v>92</v>
      </c>
      <c r="N608" s="8" t="s">
        <v>75</v>
      </c>
      <c r="P608" s="8">
        <v>1</v>
      </c>
      <c r="X608" s="6">
        <v>0.42683333333333334</v>
      </c>
    </row>
    <row r="609" spans="1:27" x14ac:dyDescent="0.25">
      <c r="A609">
        <v>76116568</v>
      </c>
      <c r="B609" t="s">
        <v>92</v>
      </c>
      <c r="C609" t="s">
        <v>70</v>
      </c>
      <c r="D609" s="4">
        <v>46139</v>
      </c>
      <c r="E609" s="5">
        <v>0.46994212962962961</v>
      </c>
      <c r="F609">
        <v>1</v>
      </c>
      <c r="G609" t="s">
        <v>129</v>
      </c>
      <c r="H609" s="7">
        <v>12.75</v>
      </c>
      <c r="L609" t="s">
        <v>741</v>
      </c>
      <c r="M609" t="s">
        <v>92</v>
      </c>
      <c r="N609" s="8" t="s">
        <v>75</v>
      </c>
      <c r="P609" s="8">
        <v>1</v>
      </c>
      <c r="X609" s="6">
        <v>0.43149999999999999</v>
      </c>
    </row>
    <row r="610" spans="1:27" x14ac:dyDescent="0.25">
      <c r="A610">
        <v>76116570</v>
      </c>
      <c r="B610" t="s">
        <v>92</v>
      </c>
      <c r="C610" t="s">
        <v>70</v>
      </c>
      <c r="D610" s="4">
        <v>46139</v>
      </c>
      <c r="E610" s="5">
        <v>0.47047453703703701</v>
      </c>
      <c r="F610">
        <v>1</v>
      </c>
      <c r="G610" t="s">
        <v>129</v>
      </c>
      <c r="H610" s="7">
        <v>20.25</v>
      </c>
      <c r="L610" t="s">
        <v>741</v>
      </c>
      <c r="M610" t="s">
        <v>92</v>
      </c>
      <c r="N610" s="8" t="s">
        <v>75</v>
      </c>
      <c r="P610" s="8">
        <v>1</v>
      </c>
      <c r="X610" s="6">
        <v>0.45150000000000001</v>
      </c>
    </row>
    <row r="611" spans="1:27" x14ac:dyDescent="0.25">
      <c r="A611">
        <v>76116572</v>
      </c>
      <c r="B611" t="s">
        <v>92</v>
      </c>
      <c r="C611" t="s">
        <v>70</v>
      </c>
      <c r="D611" s="4">
        <v>46139</v>
      </c>
      <c r="E611" s="5">
        <v>0.47186342592592589</v>
      </c>
      <c r="F611">
        <v>1</v>
      </c>
      <c r="G611" t="s">
        <v>129</v>
      </c>
      <c r="H611" s="7">
        <v>24.25</v>
      </c>
      <c r="L611" t="s">
        <v>741</v>
      </c>
      <c r="M611" t="s">
        <v>92</v>
      </c>
      <c r="N611" s="8" t="s">
        <v>75</v>
      </c>
      <c r="P611" s="8">
        <v>1</v>
      </c>
      <c r="S611">
        <v>1</v>
      </c>
      <c r="V611">
        <v>164</v>
      </c>
      <c r="X611" s="6">
        <v>0.46216666666666667</v>
      </c>
      <c r="Z611" s="6">
        <v>0.46216666666666667</v>
      </c>
      <c r="AA611">
        <v>7</v>
      </c>
    </row>
    <row r="612" spans="1:27" x14ac:dyDescent="0.25">
      <c r="A612">
        <v>76116577</v>
      </c>
      <c r="B612" t="s">
        <v>92</v>
      </c>
      <c r="C612" t="s">
        <v>70</v>
      </c>
      <c r="D612" s="4">
        <v>46139</v>
      </c>
      <c r="E612" s="5">
        <v>0.47498842592592588</v>
      </c>
      <c r="F612">
        <v>1</v>
      </c>
      <c r="G612" t="s">
        <v>129</v>
      </c>
      <c r="H612" s="7">
        <v>5.25</v>
      </c>
      <c r="L612" t="s">
        <v>774</v>
      </c>
      <c r="M612" t="s">
        <v>92</v>
      </c>
      <c r="N612" s="8" t="s">
        <v>77</v>
      </c>
      <c r="O612" s="8">
        <v>1</v>
      </c>
      <c r="S612">
        <v>1</v>
      </c>
      <c r="V612">
        <v>60.083333333333336</v>
      </c>
      <c r="W612" s="6">
        <v>0.95960000000000001</v>
      </c>
      <c r="Z612" s="6">
        <v>0.41150000000000003</v>
      </c>
      <c r="AA612">
        <v>1</v>
      </c>
    </row>
    <row r="613" spans="1:27" x14ac:dyDescent="0.25">
      <c r="A613">
        <v>76116588</v>
      </c>
      <c r="B613" t="s">
        <v>92</v>
      </c>
      <c r="C613" t="s">
        <v>70</v>
      </c>
      <c r="D613" s="4">
        <v>46139</v>
      </c>
      <c r="E613" s="5">
        <v>0.47923611111111108</v>
      </c>
      <c r="F613">
        <v>1</v>
      </c>
      <c r="G613" t="s">
        <v>129</v>
      </c>
      <c r="H613" s="7">
        <v>13.5</v>
      </c>
      <c r="L613">
        <v>11314654</v>
      </c>
      <c r="M613" t="s">
        <v>92</v>
      </c>
      <c r="N613" s="8" t="s">
        <v>77</v>
      </c>
      <c r="O613" s="8">
        <v>1</v>
      </c>
      <c r="Q613" s="8">
        <v>1</v>
      </c>
      <c r="S613">
        <v>1</v>
      </c>
      <c r="V613">
        <v>1.0833333333333333</v>
      </c>
      <c r="W613" s="6">
        <v>0.98160000000000003</v>
      </c>
      <c r="Z613" s="6">
        <v>0.4335</v>
      </c>
      <c r="AA613">
        <v>1</v>
      </c>
    </row>
    <row r="614" spans="1:27" x14ac:dyDescent="0.25">
      <c r="A614">
        <v>76116657</v>
      </c>
      <c r="B614" t="s">
        <v>92</v>
      </c>
      <c r="C614" t="s">
        <v>70</v>
      </c>
      <c r="D614" s="4">
        <v>46139</v>
      </c>
      <c r="E614" s="5">
        <v>0.51195601851851846</v>
      </c>
      <c r="F614">
        <v>1</v>
      </c>
      <c r="G614" t="s">
        <v>129</v>
      </c>
      <c r="H614" s="7">
        <v>110.66666666666666</v>
      </c>
      <c r="L614" t="s">
        <v>860</v>
      </c>
      <c r="M614" t="s">
        <v>92</v>
      </c>
      <c r="N614" s="8" t="s">
        <v>75</v>
      </c>
      <c r="O614" s="8">
        <v>1</v>
      </c>
      <c r="S614">
        <v>1</v>
      </c>
      <c r="V614">
        <v>91.666666666666657</v>
      </c>
      <c r="W614" s="6">
        <v>1.2407111111111111</v>
      </c>
      <c r="Z614" s="6">
        <v>0.69261111111111107</v>
      </c>
      <c r="AA614">
        <v>1</v>
      </c>
    </row>
    <row r="615" spans="1:27" x14ac:dyDescent="0.25">
      <c r="A615">
        <v>76116686</v>
      </c>
      <c r="B615" t="s">
        <v>92</v>
      </c>
      <c r="C615" t="s">
        <v>70</v>
      </c>
      <c r="D615" s="4">
        <v>46139</v>
      </c>
      <c r="E615" s="5">
        <v>0.5241203703703704</v>
      </c>
      <c r="F615">
        <v>1</v>
      </c>
      <c r="G615" t="s">
        <v>129</v>
      </c>
      <c r="H615" s="7">
        <v>55.083333333333336</v>
      </c>
      <c r="L615" t="s">
        <v>889</v>
      </c>
      <c r="M615" t="s">
        <v>92</v>
      </c>
      <c r="N615" s="8" t="s">
        <v>75</v>
      </c>
      <c r="O615" s="8">
        <v>1</v>
      </c>
      <c r="S615">
        <v>1</v>
      </c>
      <c r="V615">
        <v>243.08333333333334</v>
      </c>
      <c r="W615" s="6">
        <v>1.0924888888888888</v>
      </c>
      <c r="Z615" s="6">
        <v>0.54438888888888892</v>
      </c>
      <c r="AA615">
        <v>1</v>
      </c>
    </row>
    <row r="616" spans="1:27" x14ac:dyDescent="0.25">
      <c r="A616">
        <v>76116743</v>
      </c>
      <c r="B616" t="s">
        <v>92</v>
      </c>
      <c r="C616" t="s">
        <v>70</v>
      </c>
      <c r="D616" s="4">
        <v>46139</v>
      </c>
      <c r="E616" s="5">
        <v>0.54759259259259263</v>
      </c>
      <c r="F616">
        <v>1</v>
      </c>
      <c r="G616" t="s">
        <v>129</v>
      </c>
      <c r="H616" s="7">
        <v>39.416666666666664</v>
      </c>
      <c r="L616" t="s">
        <v>970</v>
      </c>
      <c r="M616" t="s">
        <v>92</v>
      </c>
      <c r="N616" s="8" t="s">
        <v>75</v>
      </c>
      <c r="O616" s="8">
        <v>1</v>
      </c>
      <c r="W616" s="6">
        <v>1.0507111111111112</v>
      </c>
    </row>
    <row r="617" spans="1:27" x14ac:dyDescent="0.25">
      <c r="A617">
        <v>76116746</v>
      </c>
      <c r="B617" t="s">
        <v>92</v>
      </c>
      <c r="C617" t="s">
        <v>70</v>
      </c>
      <c r="D617" s="4">
        <v>46139</v>
      </c>
      <c r="E617" s="5">
        <v>0.54878472222222219</v>
      </c>
      <c r="F617">
        <v>1</v>
      </c>
      <c r="G617" t="s">
        <v>129</v>
      </c>
      <c r="H617" s="7">
        <v>14.5</v>
      </c>
      <c r="L617" t="s">
        <v>970</v>
      </c>
      <c r="M617" t="s">
        <v>92</v>
      </c>
      <c r="N617" s="8" t="s">
        <v>75</v>
      </c>
      <c r="P617" s="8">
        <v>1</v>
      </c>
      <c r="X617" s="6">
        <v>0.4361666666666667</v>
      </c>
    </row>
    <row r="618" spans="1:27" x14ac:dyDescent="0.25">
      <c r="A618">
        <v>76116748</v>
      </c>
      <c r="B618" t="s">
        <v>92</v>
      </c>
      <c r="C618" t="s">
        <v>70</v>
      </c>
      <c r="D618" s="4">
        <v>46139</v>
      </c>
      <c r="E618" s="5">
        <v>0.55008101851851854</v>
      </c>
      <c r="F618">
        <v>1</v>
      </c>
      <c r="G618" t="s">
        <v>129</v>
      </c>
      <c r="H618" s="7">
        <v>20.583333333333332</v>
      </c>
      <c r="L618" t="s">
        <v>970</v>
      </c>
      <c r="M618" t="s">
        <v>92</v>
      </c>
      <c r="N618" s="8" t="s">
        <v>75</v>
      </c>
      <c r="P618" s="8">
        <v>1</v>
      </c>
      <c r="X618" s="6">
        <v>0.4523888888888889</v>
      </c>
    </row>
    <row r="619" spans="1:27" x14ac:dyDescent="0.25">
      <c r="A619">
        <v>76116753</v>
      </c>
      <c r="B619" t="s">
        <v>92</v>
      </c>
      <c r="C619" t="s">
        <v>70</v>
      </c>
      <c r="D619" s="4">
        <v>46139</v>
      </c>
      <c r="E619" s="5">
        <v>0.55173611111111098</v>
      </c>
      <c r="F619">
        <v>1</v>
      </c>
      <c r="G619" t="s">
        <v>129</v>
      </c>
      <c r="H619" s="7">
        <v>28.5</v>
      </c>
      <c r="L619" t="s">
        <v>970</v>
      </c>
      <c r="M619" t="s">
        <v>92</v>
      </c>
      <c r="N619" s="8" t="s">
        <v>75</v>
      </c>
      <c r="P619" s="8">
        <v>1</v>
      </c>
      <c r="X619" s="6">
        <v>0.47350000000000003</v>
      </c>
    </row>
    <row r="620" spans="1:27" x14ac:dyDescent="0.25">
      <c r="A620">
        <v>76116758</v>
      </c>
      <c r="B620" t="s">
        <v>92</v>
      </c>
      <c r="C620" t="s">
        <v>70</v>
      </c>
      <c r="D620" s="4">
        <v>46139</v>
      </c>
      <c r="E620" s="5">
        <v>0.55458333333333332</v>
      </c>
      <c r="F620">
        <v>1</v>
      </c>
      <c r="G620" t="s">
        <v>129</v>
      </c>
      <c r="H620" s="7">
        <v>28.083333333333332</v>
      </c>
      <c r="L620" t="s">
        <v>970</v>
      </c>
      <c r="M620" t="s">
        <v>92</v>
      </c>
      <c r="N620" s="8" t="s">
        <v>75</v>
      </c>
      <c r="P620" s="8">
        <v>1</v>
      </c>
      <c r="X620" s="6">
        <v>0.47238888888888891</v>
      </c>
    </row>
    <row r="621" spans="1:27" x14ac:dyDescent="0.25">
      <c r="A621">
        <v>76116764</v>
      </c>
      <c r="B621" t="s">
        <v>92</v>
      </c>
      <c r="C621" t="s">
        <v>70</v>
      </c>
      <c r="D621" s="4">
        <v>46139</v>
      </c>
      <c r="E621" s="5">
        <v>0.556574074074074</v>
      </c>
      <c r="F621">
        <v>1</v>
      </c>
      <c r="G621" t="s">
        <v>129</v>
      </c>
      <c r="H621" s="7">
        <v>35.333333333333336</v>
      </c>
      <c r="L621" t="s">
        <v>970</v>
      </c>
      <c r="M621" t="s">
        <v>92</v>
      </c>
      <c r="N621" s="8" t="s">
        <v>75</v>
      </c>
      <c r="P621" s="8">
        <v>1</v>
      </c>
      <c r="X621" s="6">
        <v>0.49172222222222228</v>
      </c>
    </row>
    <row r="622" spans="1:27" x14ac:dyDescent="0.25">
      <c r="A622">
        <v>76116768</v>
      </c>
      <c r="B622" t="s">
        <v>92</v>
      </c>
      <c r="C622" t="s">
        <v>70</v>
      </c>
      <c r="D622" s="4">
        <v>46139</v>
      </c>
      <c r="E622" s="5">
        <v>0.55825231481481474</v>
      </c>
      <c r="F622">
        <v>1</v>
      </c>
      <c r="G622" t="s">
        <v>129</v>
      </c>
      <c r="H622" s="7">
        <v>59.333333333333329</v>
      </c>
      <c r="L622" t="s">
        <v>970</v>
      </c>
      <c r="M622" t="s">
        <v>92</v>
      </c>
      <c r="N622" s="8" t="s">
        <v>75</v>
      </c>
      <c r="P622" s="8">
        <v>1</v>
      </c>
      <c r="S622">
        <v>1</v>
      </c>
      <c r="V622">
        <v>53.833333333333336</v>
      </c>
      <c r="X622" s="6">
        <v>0.55572222222222223</v>
      </c>
      <c r="Z622" s="6">
        <v>0.55572222222222223</v>
      </c>
      <c r="AA622">
        <v>7</v>
      </c>
    </row>
    <row r="623" spans="1:27" x14ac:dyDescent="0.25">
      <c r="A623">
        <v>76117009</v>
      </c>
      <c r="B623" t="s">
        <v>92</v>
      </c>
      <c r="C623" t="s">
        <v>70</v>
      </c>
      <c r="D623" s="4">
        <v>46140</v>
      </c>
      <c r="E623" s="5">
        <v>0.26503472222222219</v>
      </c>
      <c r="F623">
        <v>1</v>
      </c>
      <c r="G623" t="s">
        <v>129</v>
      </c>
      <c r="H623" s="7">
        <v>90.5</v>
      </c>
      <c r="L623" t="s">
        <v>1329</v>
      </c>
      <c r="M623" t="s">
        <v>92</v>
      </c>
      <c r="N623" s="8" t="s">
        <v>75</v>
      </c>
      <c r="O623" s="8">
        <v>1</v>
      </c>
      <c r="W623" s="6">
        <v>1.1869333333333334</v>
      </c>
    </row>
    <row r="624" spans="1:27" x14ac:dyDescent="0.25">
      <c r="A624">
        <v>76117014</v>
      </c>
      <c r="B624" t="s">
        <v>92</v>
      </c>
      <c r="C624" t="s">
        <v>70</v>
      </c>
      <c r="D624" s="4">
        <v>46140</v>
      </c>
      <c r="E624" s="5">
        <v>0.26841435185185186</v>
      </c>
      <c r="F624">
        <v>1</v>
      </c>
      <c r="G624" t="s">
        <v>129</v>
      </c>
      <c r="H624" s="7">
        <v>79.416666666666657</v>
      </c>
      <c r="L624" t="s">
        <v>1329</v>
      </c>
      <c r="M624" t="s">
        <v>92</v>
      </c>
      <c r="N624" s="8" t="s">
        <v>75</v>
      </c>
      <c r="P624" s="8">
        <v>1</v>
      </c>
      <c r="X624" s="6">
        <v>0.60927777777777781</v>
      </c>
    </row>
    <row r="625" spans="1:27" x14ac:dyDescent="0.25">
      <c r="A625">
        <v>76117018</v>
      </c>
      <c r="B625" t="s">
        <v>92</v>
      </c>
      <c r="C625" t="s">
        <v>70</v>
      </c>
      <c r="D625" s="4">
        <v>46140</v>
      </c>
      <c r="E625" s="5">
        <v>0.27032407407407405</v>
      </c>
      <c r="F625">
        <v>1</v>
      </c>
      <c r="G625" t="s">
        <v>129</v>
      </c>
      <c r="H625" s="7">
        <v>35.25</v>
      </c>
      <c r="L625" t="s">
        <v>1329</v>
      </c>
      <c r="M625" t="s">
        <v>92</v>
      </c>
      <c r="N625" s="8" t="s">
        <v>75</v>
      </c>
      <c r="P625" s="8">
        <v>1</v>
      </c>
      <c r="X625" s="6">
        <v>0.49150000000000005</v>
      </c>
    </row>
    <row r="626" spans="1:27" x14ac:dyDescent="0.25">
      <c r="A626">
        <v>76117023</v>
      </c>
      <c r="B626" t="s">
        <v>92</v>
      </c>
      <c r="C626" t="s">
        <v>70</v>
      </c>
      <c r="D626" s="4">
        <v>46140</v>
      </c>
      <c r="E626" s="5">
        <v>0.27253472222222225</v>
      </c>
      <c r="F626">
        <v>1</v>
      </c>
      <c r="G626" t="s">
        <v>129</v>
      </c>
      <c r="H626" s="7">
        <v>12.333333333333332</v>
      </c>
      <c r="L626" t="s">
        <v>1329</v>
      </c>
      <c r="M626" t="s">
        <v>92</v>
      </c>
      <c r="N626" s="8" t="s">
        <v>75</v>
      </c>
      <c r="P626" s="8">
        <v>1</v>
      </c>
      <c r="S626">
        <v>1</v>
      </c>
      <c r="V626">
        <v>79.833333333333329</v>
      </c>
      <c r="X626" s="6">
        <v>0.43038888888888893</v>
      </c>
      <c r="Z626" s="6">
        <v>0.43038888888888893</v>
      </c>
      <c r="AA626">
        <v>4</v>
      </c>
    </row>
    <row r="627" spans="1:27" x14ac:dyDescent="0.25">
      <c r="A627">
        <v>76117032</v>
      </c>
      <c r="B627" t="s">
        <v>92</v>
      </c>
      <c r="C627" t="s">
        <v>70</v>
      </c>
      <c r="D627" s="4">
        <v>46140</v>
      </c>
      <c r="E627" s="5">
        <v>0.27627314814814813</v>
      </c>
      <c r="F627">
        <v>1</v>
      </c>
      <c r="G627" t="s">
        <v>129</v>
      </c>
      <c r="H627" s="7">
        <v>35.5</v>
      </c>
      <c r="L627" t="s">
        <v>1372</v>
      </c>
      <c r="M627" t="s">
        <v>92</v>
      </c>
      <c r="N627" s="8">
        <v>1</v>
      </c>
      <c r="O627" s="8">
        <v>1</v>
      </c>
      <c r="W627" s="6">
        <v>1.0402666666666667</v>
      </c>
    </row>
    <row r="628" spans="1:27" x14ac:dyDescent="0.25">
      <c r="A628">
        <v>76117036</v>
      </c>
      <c r="B628" t="s">
        <v>92</v>
      </c>
      <c r="C628" t="s">
        <v>70</v>
      </c>
      <c r="D628" s="4">
        <v>46140</v>
      </c>
      <c r="E628" s="5">
        <v>0.27788194444444442</v>
      </c>
      <c r="F628">
        <v>1</v>
      </c>
      <c r="G628" t="s">
        <v>129</v>
      </c>
      <c r="H628" s="7">
        <v>18</v>
      </c>
      <c r="L628" t="s">
        <v>1372</v>
      </c>
      <c r="M628" t="s">
        <v>92</v>
      </c>
      <c r="N628" s="8">
        <v>1</v>
      </c>
      <c r="P628" s="8">
        <v>1</v>
      </c>
      <c r="X628" s="6">
        <v>0.44550000000000001</v>
      </c>
    </row>
    <row r="629" spans="1:27" x14ac:dyDescent="0.25">
      <c r="A629">
        <v>76117040</v>
      </c>
      <c r="B629" t="s">
        <v>92</v>
      </c>
      <c r="C629" t="s">
        <v>70</v>
      </c>
      <c r="D629" s="4">
        <v>46140</v>
      </c>
      <c r="E629" s="5">
        <v>0.27981481481481474</v>
      </c>
      <c r="F629">
        <v>1</v>
      </c>
      <c r="G629" t="s">
        <v>129</v>
      </c>
      <c r="H629" s="7">
        <v>16.5</v>
      </c>
      <c r="L629" t="s">
        <v>1372</v>
      </c>
      <c r="M629" t="s">
        <v>92</v>
      </c>
      <c r="N629" s="8">
        <v>1</v>
      </c>
      <c r="P629" s="8">
        <v>1</v>
      </c>
      <c r="R629" s="8">
        <v>1</v>
      </c>
      <c r="S629">
        <v>1</v>
      </c>
      <c r="V629">
        <v>22.666666666666664</v>
      </c>
      <c r="X629" s="6">
        <v>0.4415</v>
      </c>
      <c r="Y629" s="6">
        <v>0.21</v>
      </c>
      <c r="AA629">
        <v>3</v>
      </c>
    </row>
    <row r="630" spans="1:27" x14ac:dyDescent="0.25">
      <c r="A630">
        <v>76117051</v>
      </c>
      <c r="B630" t="s">
        <v>92</v>
      </c>
      <c r="C630" t="s">
        <v>70</v>
      </c>
      <c r="D630" s="4">
        <v>46140</v>
      </c>
      <c r="E630" s="5">
        <v>0.28570601851851851</v>
      </c>
      <c r="F630">
        <v>1</v>
      </c>
      <c r="G630" t="s">
        <v>129</v>
      </c>
      <c r="H630" s="7">
        <v>23.75</v>
      </c>
      <c r="L630" t="s">
        <v>1405</v>
      </c>
      <c r="M630" t="s">
        <v>92</v>
      </c>
      <c r="N630" s="8">
        <v>1</v>
      </c>
      <c r="O630" s="8">
        <v>1</v>
      </c>
      <c r="W630" s="6">
        <v>1.0089333333333332</v>
      </c>
    </row>
    <row r="631" spans="1:27" x14ac:dyDescent="0.25">
      <c r="A631">
        <v>76117057</v>
      </c>
      <c r="B631" t="s">
        <v>92</v>
      </c>
      <c r="C631" t="s">
        <v>70</v>
      </c>
      <c r="D631" s="4">
        <v>46140</v>
      </c>
      <c r="E631" s="5">
        <v>0.28893518518518518</v>
      </c>
      <c r="F631">
        <v>1</v>
      </c>
      <c r="G631" t="s">
        <v>129</v>
      </c>
      <c r="H631" s="7">
        <v>135</v>
      </c>
      <c r="L631" t="s">
        <v>1405</v>
      </c>
      <c r="M631" t="s">
        <v>92</v>
      </c>
      <c r="N631" s="8">
        <v>1</v>
      </c>
      <c r="P631" s="8">
        <v>1</v>
      </c>
      <c r="S631">
        <v>1</v>
      </c>
      <c r="V631">
        <v>58.833333333333336</v>
      </c>
      <c r="X631" s="6">
        <v>0.75750000000000006</v>
      </c>
      <c r="Z631" s="6">
        <v>0.75750000000000006</v>
      </c>
      <c r="AA631">
        <v>2</v>
      </c>
    </row>
    <row r="632" spans="1:27" x14ac:dyDescent="0.25">
      <c r="A632">
        <v>76117111</v>
      </c>
      <c r="B632" t="s">
        <v>92</v>
      </c>
      <c r="C632" t="s">
        <v>70</v>
      </c>
      <c r="D632" s="4">
        <v>46140</v>
      </c>
      <c r="E632" s="5">
        <v>0.31612268518518516</v>
      </c>
      <c r="F632">
        <v>1</v>
      </c>
      <c r="G632" t="s">
        <v>129</v>
      </c>
      <c r="H632" s="7">
        <v>166.08333333333334</v>
      </c>
      <c r="L632" t="s">
        <v>877</v>
      </c>
      <c r="M632" t="s">
        <v>92</v>
      </c>
      <c r="N632" s="8" t="s">
        <v>75</v>
      </c>
      <c r="O632" s="8">
        <v>1</v>
      </c>
      <c r="W632" s="6">
        <v>1.3884888888888889</v>
      </c>
    </row>
    <row r="633" spans="1:27" x14ac:dyDescent="0.25">
      <c r="A633">
        <v>76117118</v>
      </c>
      <c r="B633" t="s">
        <v>92</v>
      </c>
      <c r="C633" t="s">
        <v>70</v>
      </c>
      <c r="D633" s="4">
        <v>46140</v>
      </c>
      <c r="E633" s="5">
        <v>0.3187962962962963</v>
      </c>
      <c r="F633">
        <v>1</v>
      </c>
      <c r="G633" t="s">
        <v>129</v>
      </c>
      <c r="H633" s="7">
        <v>10.083333333333332</v>
      </c>
      <c r="L633" t="s">
        <v>877</v>
      </c>
      <c r="M633" t="s">
        <v>92</v>
      </c>
      <c r="N633" s="8" t="s">
        <v>75</v>
      </c>
      <c r="P633" s="8">
        <v>1</v>
      </c>
      <c r="S633">
        <v>1</v>
      </c>
      <c r="V633">
        <v>80.916666666666657</v>
      </c>
      <c r="X633" s="6">
        <v>0.42438888888888893</v>
      </c>
      <c r="Z633" s="6">
        <v>0.42438888888888893</v>
      </c>
      <c r="AA633">
        <v>2</v>
      </c>
    </row>
    <row r="634" spans="1:27" x14ac:dyDescent="0.25">
      <c r="D634" s="4"/>
    </row>
    <row r="635" spans="1:27" x14ac:dyDescent="0.25">
      <c r="D635" s="4"/>
    </row>
    <row r="636" spans="1:27" x14ac:dyDescent="0.25">
      <c r="D636" s="4"/>
    </row>
    <row r="637" spans="1:27" x14ac:dyDescent="0.25">
      <c r="D637" s="4"/>
    </row>
    <row r="638" spans="1:27" x14ac:dyDescent="0.25">
      <c r="D638" s="4"/>
    </row>
    <row r="639" spans="1:27" x14ac:dyDescent="0.25">
      <c r="D639" s="4"/>
    </row>
    <row r="640" spans="1:27" x14ac:dyDescent="0.25">
      <c r="D640" s="4"/>
    </row>
    <row r="641" spans="4:4" x14ac:dyDescent="0.25">
      <c r="D641" s="4"/>
    </row>
    <row r="642" spans="4:4" x14ac:dyDescent="0.25">
      <c r="D642" s="4"/>
    </row>
    <row r="643" spans="4:4" x14ac:dyDescent="0.25">
      <c r="D643" s="4"/>
    </row>
    <row r="644" spans="4:4" x14ac:dyDescent="0.25">
      <c r="D644" s="4"/>
    </row>
    <row r="645" spans="4:4" x14ac:dyDescent="0.25">
      <c r="D645" s="4"/>
    </row>
    <row r="646" spans="4:4" x14ac:dyDescent="0.25">
      <c r="D646" s="4"/>
    </row>
    <row r="647" spans="4:4" x14ac:dyDescent="0.25">
      <c r="D647" s="4"/>
    </row>
    <row r="648" spans="4:4" x14ac:dyDescent="0.25">
      <c r="D648" s="4"/>
    </row>
    <row r="649" spans="4:4" x14ac:dyDescent="0.25">
      <c r="D649" s="4"/>
    </row>
    <row r="650" spans="4:4" x14ac:dyDescent="0.25">
      <c r="D650" s="4"/>
    </row>
    <row r="651" spans="4:4" x14ac:dyDescent="0.25">
      <c r="D651" s="4"/>
    </row>
    <row r="652" spans="4:4" x14ac:dyDescent="0.25">
      <c r="D652" s="4"/>
    </row>
    <row r="653" spans="4:4" x14ac:dyDescent="0.25">
      <c r="D653" s="4"/>
    </row>
    <row r="654" spans="4:4" x14ac:dyDescent="0.25">
      <c r="D654" s="4"/>
    </row>
    <row r="655" spans="4:4" x14ac:dyDescent="0.25">
      <c r="D655" s="4"/>
    </row>
    <row r="656" spans="4:4" x14ac:dyDescent="0.25">
      <c r="D656" s="4"/>
    </row>
    <row r="657" spans="4:4" x14ac:dyDescent="0.25">
      <c r="D657" s="4"/>
    </row>
    <row r="658" spans="4:4" x14ac:dyDescent="0.25">
      <c r="D658" s="4"/>
    </row>
    <row r="659" spans="4:4" x14ac:dyDescent="0.25">
      <c r="D659" s="4"/>
    </row>
    <row r="660" spans="4:4" x14ac:dyDescent="0.25">
      <c r="D660" s="4"/>
    </row>
    <row r="661" spans="4:4" x14ac:dyDescent="0.25">
      <c r="D661" s="4"/>
    </row>
    <row r="662" spans="4:4" x14ac:dyDescent="0.25">
      <c r="D662" s="4"/>
    </row>
    <row r="663" spans="4:4" x14ac:dyDescent="0.25">
      <c r="D663" s="4"/>
    </row>
    <row r="664" spans="4:4" x14ac:dyDescent="0.25">
      <c r="D664" s="4"/>
    </row>
    <row r="665" spans="4:4" x14ac:dyDescent="0.25">
      <c r="D665" s="4"/>
    </row>
    <row r="666" spans="4:4" x14ac:dyDescent="0.25">
      <c r="D666" s="4"/>
    </row>
    <row r="667" spans="4:4" x14ac:dyDescent="0.25">
      <c r="D667" s="4"/>
    </row>
    <row r="668" spans="4:4" x14ac:dyDescent="0.25">
      <c r="D668" s="4"/>
    </row>
    <row r="669" spans="4:4" x14ac:dyDescent="0.25">
      <c r="D669" s="4"/>
    </row>
    <row r="670" spans="4:4" x14ac:dyDescent="0.25">
      <c r="D670" s="4"/>
    </row>
    <row r="671" spans="4:4" x14ac:dyDescent="0.25">
      <c r="D671" s="4"/>
    </row>
    <row r="672" spans="4:4" x14ac:dyDescent="0.25">
      <c r="D672" s="4"/>
    </row>
    <row r="673" spans="4:4" x14ac:dyDescent="0.25">
      <c r="D673" s="4"/>
    </row>
    <row r="674" spans="4:4" x14ac:dyDescent="0.25">
      <c r="D674" s="4"/>
    </row>
    <row r="675" spans="4:4" x14ac:dyDescent="0.25">
      <c r="D675" s="4"/>
    </row>
    <row r="676" spans="4:4" x14ac:dyDescent="0.25">
      <c r="D676" s="4"/>
    </row>
    <row r="677" spans="4:4" x14ac:dyDescent="0.25">
      <c r="D677" s="4"/>
    </row>
    <row r="678" spans="4:4" x14ac:dyDescent="0.25">
      <c r="D678" s="4"/>
    </row>
    <row r="679" spans="4:4" x14ac:dyDescent="0.25">
      <c r="D679" s="4"/>
    </row>
    <row r="680" spans="4:4" x14ac:dyDescent="0.25">
      <c r="D680" s="4"/>
    </row>
    <row r="681" spans="4:4" x14ac:dyDescent="0.25">
      <c r="D681" s="4"/>
    </row>
    <row r="682" spans="4:4" x14ac:dyDescent="0.25">
      <c r="D682" s="4"/>
    </row>
    <row r="683" spans="4:4" x14ac:dyDescent="0.25">
      <c r="D683" s="4"/>
    </row>
    <row r="684" spans="4:4" x14ac:dyDescent="0.25">
      <c r="D684" s="4"/>
    </row>
    <row r="685" spans="4:4" x14ac:dyDescent="0.25">
      <c r="D685" s="4"/>
    </row>
    <row r="686" spans="4:4" x14ac:dyDescent="0.25">
      <c r="D686" s="4"/>
    </row>
    <row r="687" spans="4:4" x14ac:dyDescent="0.25">
      <c r="D687" s="4"/>
    </row>
    <row r="688" spans="4:4" x14ac:dyDescent="0.25">
      <c r="D688" s="4"/>
    </row>
    <row r="689" spans="4:4" x14ac:dyDescent="0.25">
      <c r="D689" s="4"/>
    </row>
    <row r="690" spans="4:4" x14ac:dyDescent="0.25">
      <c r="D690" s="4"/>
    </row>
    <row r="691" spans="4:4" x14ac:dyDescent="0.25">
      <c r="D691" s="4"/>
    </row>
    <row r="692" spans="4:4" x14ac:dyDescent="0.25">
      <c r="D692" s="4"/>
    </row>
    <row r="693" spans="4:4" x14ac:dyDescent="0.25">
      <c r="D693" s="4"/>
    </row>
    <row r="694" spans="4:4" x14ac:dyDescent="0.25">
      <c r="D694" s="4"/>
    </row>
    <row r="695" spans="4:4" x14ac:dyDescent="0.25">
      <c r="D695" s="4"/>
    </row>
    <row r="696" spans="4:4" x14ac:dyDescent="0.25">
      <c r="D696" s="4"/>
    </row>
    <row r="697" spans="4:4" x14ac:dyDescent="0.25">
      <c r="D697" s="4"/>
    </row>
    <row r="698" spans="4:4" x14ac:dyDescent="0.25">
      <c r="D698" s="4"/>
    </row>
    <row r="699" spans="4:4" x14ac:dyDescent="0.25">
      <c r="D699" s="4"/>
    </row>
    <row r="700" spans="4:4" x14ac:dyDescent="0.25">
      <c r="D700" s="4"/>
    </row>
    <row r="701" spans="4:4" x14ac:dyDescent="0.25">
      <c r="D701" s="4"/>
    </row>
    <row r="702" spans="4:4" x14ac:dyDescent="0.25">
      <c r="D702" s="4"/>
    </row>
    <row r="703" spans="4:4" x14ac:dyDescent="0.25">
      <c r="D703" s="4"/>
    </row>
    <row r="704" spans="4:4" x14ac:dyDescent="0.25">
      <c r="D704" s="4"/>
    </row>
    <row r="705" spans="4:4" x14ac:dyDescent="0.25">
      <c r="D705" s="4"/>
    </row>
    <row r="706" spans="4:4" x14ac:dyDescent="0.25">
      <c r="D706" s="4"/>
    </row>
    <row r="707" spans="4:4" x14ac:dyDescent="0.25">
      <c r="D707" s="4"/>
    </row>
    <row r="708" spans="4:4" x14ac:dyDescent="0.25">
      <c r="D708" s="4"/>
    </row>
    <row r="709" spans="4:4" x14ac:dyDescent="0.25">
      <c r="D709" s="4"/>
    </row>
    <row r="710" spans="4:4" x14ac:dyDescent="0.25">
      <c r="D710" s="4"/>
    </row>
    <row r="711" spans="4:4" x14ac:dyDescent="0.25">
      <c r="D711" s="4"/>
    </row>
    <row r="712" spans="4:4" x14ac:dyDescent="0.25">
      <c r="D712" s="4"/>
    </row>
    <row r="713" spans="4:4" x14ac:dyDescent="0.25">
      <c r="D713" s="4"/>
    </row>
    <row r="714" spans="4:4" x14ac:dyDescent="0.25">
      <c r="D714" s="4"/>
    </row>
    <row r="715" spans="4:4" x14ac:dyDescent="0.25">
      <c r="D715" s="4"/>
    </row>
    <row r="716" spans="4:4" x14ac:dyDescent="0.25">
      <c r="D716" s="4"/>
    </row>
    <row r="717" spans="4:4" x14ac:dyDescent="0.25">
      <c r="D717" s="4"/>
    </row>
    <row r="718" spans="4:4" x14ac:dyDescent="0.25">
      <c r="D718" s="4"/>
    </row>
    <row r="719" spans="4:4" x14ac:dyDescent="0.25">
      <c r="D719" s="4"/>
    </row>
    <row r="720" spans="4:4" x14ac:dyDescent="0.25">
      <c r="D720" s="4"/>
    </row>
    <row r="721" spans="4:4" x14ac:dyDescent="0.25">
      <c r="D721" s="4"/>
    </row>
    <row r="722" spans="4:4" x14ac:dyDescent="0.25">
      <c r="D722" s="4"/>
    </row>
    <row r="723" spans="4:4" x14ac:dyDescent="0.25">
      <c r="D723" s="4"/>
    </row>
    <row r="724" spans="4:4" x14ac:dyDescent="0.25">
      <c r="D724" s="4"/>
    </row>
    <row r="725" spans="4:4" x14ac:dyDescent="0.25">
      <c r="D725" s="4"/>
    </row>
    <row r="726" spans="4:4" x14ac:dyDescent="0.25">
      <c r="D726" s="4"/>
    </row>
    <row r="727" spans="4:4" x14ac:dyDescent="0.25">
      <c r="D727" s="4"/>
    </row>
    <row r="728" spans="4:4" x14ac:dyDescent="0.25">
      <c r="D728" s="4"/>
    </row>
    <row r="729" spans="4:4" x14ac:dyDescent="0.25">
      <c r="D729" s="4"/>
    </row>
    <row r="730" spans="4:4" x14ac:dyDescent="0.25">
      <c r="D730" s="4"/>
    </row>
    <row r="731" spans="4:4" x14ac:dyDescent="0.25">
      <c r="D731" s="4"/>
    </row>
    <row r="732" spans="4:4" x14ac:dyDescent="0.25">
      <c r="D732" s="4"/>
    </row>
    <row r="733" spans="4:4" x14ac:dyDescent="0.25">
      <c r="D733" s="4"/>
    </row>
    <row r="734" spans="4:4" x14ac:dyDescent="0.25">
      <c r="D734" s="4"/>
    </row>
    <row r="735" spans="4:4" x14ac:dyDescent="0.25">
      <c r="D735" s="4"/>
    </row>
    <row r="736" spans="4:4" x14ac:dyDescent="0.25">
      <c r="D736" s="4"/>
    </row>
    <row r="737" spans="4:4" x14ac:dyDescent="0.25">
      <c r="D737" s="4"/>
    </row>
    <row r="738" spans="4:4" x14ac:dyDescent="0.25">
      <c r="D738" s="4"/>
    </row>
    <row r="739" spans="4:4" x14ac:dyDescent="0.25">
      <c r="D739" s="4"/>
    </row>
    <row r="740" spans="4:4" x14ac:dyDescent="0.25">
      <c r="D740" s="4"/>
    </row>
    <row r="741" spans="4:4" x14ac:dyDescent="0.25">
      <c r="D741" s="4"/>
    </row>
    <row r="742" spans="4:4" x14ac:dyDescent="0.25">
      <c r="D742" s="4"/>
    </row>
    <row r="743" spans="4:4" x14ac:dyDescent="0.25">
      <c r="D743" s="4"/>
    </row>
    <row r="744" spans="4:4" x14ac:dyDescent="0.25">
      <c r="D744" s="4"/>
    </row>
    <row r="745" spans="4:4" x14ac:dyDescent="0.25">
      <c r="D745" s="4"/>
    </row>
    <row r="746" spans="4:4" x14ac:dyDescent="0.25">
      <c r="D746" s="4"/>
    </row>
    <row r="747" spans="4:4" x14ac:dyDescent="0.25">
      <c r="D747" s="4"/>
    </row>
    <row r="748" spans="4:4" x14ac:dyDescent="0.25">
      <c r="D748" s="4"/>
    </row>
    <row r="749" spans="4:4" x14ac:dyDescent="0.25">
      <c r="D749" s="4"/>
    </row>
    <row r="750" spans="4:4" x14ac:dyDescent="0.25">
      <c r="D750" s="4"/>
    </row>
    <row r="751" spans="4:4" x14ac:dyDescent="0.25">
      <c r="D751" s="4"/>
    </row>
    <row r="752" spans="4:4" x14ac:dyDescent="0.25">
      <c r="D752" s="4"/>
    </row>
    <row r="753" spans="4:4" x14ac:dyDescent="0.25">
      <c r="D753" s="4"/>
    </row>
    <row r="754" spans="4:4" x14ac:dyDescent="0.25">
      <c r="D754" s="4"/>
    </row>
    <row r="755" spans="4:4" x14ac:dyDescent="0.25">
      <c r="D755" s="4"/>
    </row>
    <row r="756" spans="4:4" x14ac:dyDescent="0.25">
      <c r="D756" s="4"/>
    </row>
    <row r="757" spans="4:4" x14ac:dyDescent="0.25">
      <c r="D757" s="4"/>
    </row>
    <row r="758" spans="4:4" x14ac:dyDescent="0.25">
      <c r="D758" s="4"/>
    </row>
    <row r="759" spans="4:4" x14ac:dyDescent="0.25">
      <c r="D759" s="4"/>
    </row>
    <row r="760" spans="4:4" x14ac:dyDescent="0.25">
      <c r="D760" s="4"/>
    </row>
    <row r="761" spans="4:4" x14ac:dyDescent="0.25">
      <c r="D761" s="4"/>
    </row>
    <row r="762" spans="4:4" x14ac:dyDescent="0.25">
      <c r="D762" s="4"/>
    </row>
    <row r="763" spans="4:4" x14ac:dyDescent="0.25">
      <c r="D763" s="4"/>
    </row>
    <row r="764" spans="4:4" x14ac:dyDescent="0.25">
      <c r="D764" s="4"/>
    </row>
    <row r="765" spans="4:4" x14ac:dyDescent="0.25">
      <c r="D765" s="4"/>
    </row>
    <row r="766" spans="4:4" x14ac:dyDescent="0.25">
      <c r="D766" s="4"/>
    </row>
    <row r="767" spans="4:4" x14ac:dyDescent="0.25">
      <c r="D767" s="4"/>
    </row>
    <row r="768" spans="4:4" x14ac:dyDescent="0.25">
      <c r="D768" s="4"/>
    </row>
    <row r="769" spans="4:4" x14ac:dyDescent="0.25">
      <c r="D769" s="4"/>
    </row>
    <row r="770" spans="4:4" x14ac:dyDescent="0.25">
      <c r="D770" s="4"/>
    </row>
    <row r="771" spans="4:4" x14ac:dyDescent="0.25">
      <c r="D771" s="4"/>
    </row>
    <row r="772" spans="4:4" x14ac:dyDescent="0.25">
      <c r="D772" s="4"/>
    </row>
    <row r="773" spans="4:4" x14ac:dyDescent="0.25">
      <c r="D773" s="4"/>
    </row>
    <row r="774" spans="4:4" x14ac:dyDescent="0.25">
      <c r="D774" s="4"/>
    </row>
    <row r="775" spans="4:4" x14ac:dyDescent="0.25">
      <c r="D775" s="4"/>
    </row>
    <row r="776" spans="4:4" x14ac:dyDescent="0.25">
      <c r="D776" s="4"/>
    </row>
    <row r="777" spans="4:4" x14ac:dyDescent="0.25">
      <c r="D777" s="4"/>
    </row>
    <row r="778" spans="4:4" x14ac:dyDescent="0.25">
      <c r="D778" s="4"/>
    </row>
    <row r="779" spans="4:4" x14ac:dyDescent="0.25">
      <c r="D779" s="4"/>
    </row>
    <row r="780" spans="4:4" x14ac:dyDescent="0.25">
      <c r="D780" s="4"/>
    </row>
    <row r="781" spans="4:4" x14ac:dyDescent="0.25">
      <c r="D781" s="4"/>
    </row>
    <row r="782" spans="4:4" x14ac:dyDescent="0.25">
      <c r="D782" s="4"/>
    </row>
    <row r="783" spans="4:4" x14ac:dyDescent="0.25">
      <c r="D783" s="4"/>
    </row>
    <row r="784" spans="4:4" x14ac:dyDescent="0.25">
      <c r="D784" s="4"/>
    </row>
    <row r="785" spans="4:4" x14ac:dyDescent="0.25">
      <c r="D785" s="4"/>
    </row>
    <row r="786" spans="4:4" x14ac:dyDescent="0.25">
      <c r="D786" s="4"/>
    </row>
    <row r="787" spans="4:4" x14ac:dyDescent="0.25">
      <c r="D787" s="4"/>
    </row>
    <row r="788" spans="4:4" x14ac:dyDescent="0.25">
      <c r="D788" s="4"/>
    </row>
    <row r="789" spans="4:4" x14ac:dyDescent="0.25">
      <c r="D789" s="4"/>
    </row>
    <row r="790" spans="4:4" x14ac:dyDescent="0.25">
      <c r="D790" s="4"/>
    </row>
    <row r="791" spans="4:4" x14ac:dyDescent="0.25">
      <c r="D791" s="4"/>
    </row>
    <row r="792" spans="4:4" x14ac:dyDescent="0.25">
      <c r="D792" s="4"/>
    </row>
    <row r="793" spans="4:4" x14ac:dyDescent="0.25">
      <c r="D793" s="4"/>
    </row>
    <row r="794" spans="4:4" x14ac:dyDescent="0.25">
      <c r="D794" s="4"/>
    </row>
    <row r="795" spans="4:4" x14ac:dyDescent="0.25">
      <c r="D795" s="4"/>
    </row>
    <row r="796" spans="4:4" x14ac:dyDescent="0.25">
      <c r="D796" s="4"/>
    </row>
    <row r="797" spans="4:4" x14ac:dyDescent="0.25">
      <c r="D797" s="4"/>
    </row>
    <row r="798" spans="4:4" x14ac:dyDescent="0.25">
      <c r="D798" s="4"/>
    </row>
    <row r="799" spans="4:4" x14ac:dyDescent="0.25">
      <c r="D799" s="4"/>
    </row>
    <row r="800" spans="4:4" x14ac:dyDescent="0.25">
      <c r="D800" s="4"/>
    </row>
    <row r="801" spans="4:4" x14ac:dyDescent="0.25">
      <c r="D801" s="4"/>
    </row>
    <row r="802" spans="4:4" x14ac:dyDescent="0.25">
      <c r="D802" s="4"/>
    </row>
    <row r="803" spans="4:4" x14ac:dyDescent="0.25">
      <c r="D803" s="4"/>
    </row>
    <row r="804" spans="4:4" x14ac:dyDescent="0.25">
      <c r="D804" s="4"/>
    </row>
    <row r="805" spans="4:4" x14ac:dyDescent="0.25">
      <c r="D805" s="4"/>
    </row>
    <row r="806" spans="4:4" x14ac:dyDescent="0.25">
      <c r="D806" s="4"/>
    </row>
    <row r="807" spans="4:4" x14ac:dyDescent="0.25">
      <c r="D807" s="4"/>
    </row>
    <row r="808" spans="4:4" x14ac:dyDescent="0.25">
      <c r="D808" s="4"/>
    </row>
    <row r="809" spans="4:4" x14ac:dyDescent="0.25">
      <c r="D809" s="4"/>
    </row>
    <row r="810" spans="4:4" x14ac:dyDescent="0.25">
      <c r="D810" s="4"/>
    </row>
    <row r="811" spans="4:4" x14ac:dyDescent="0.25">
      <c r="D811" s="4"/>
    </row>
    <row r="812" spans="4:4" x14ac:dyDescent="0.25">
      <c r="D812" s="4"/>
    </row>
    <row r="813" spans="4:4" x14ac:dyDescent="0.25">
      <c r="D813" s="4"/>
    </row>
    <row r="814" spans="4:4" x14ac:dyDescent="0.25">
      <c r="D814" s="4"/>
    </row>
    <row r="815" spans="4:4" x14ac:dyDescent="0.25">
      <c r="D815" s="4"/>
    </row>
    <row r="816" spans="4:4" x14ac:dyDescent="0.25">
      <c r="D816" s="4"/>
    </row>
    <row r="817" spans="4:4" x14ac:dyDescent="0.25">
      <c r="D817" s="4"/>
    </row>
    <row r="818" spans="4:4" x14ac:dyDescent="0.25">
      <c r="D818" s="4"/>
    </row>
    <row r="819" spans="4:4" x14ac:dyDescent="0.25">
      <c r="D819" s="4"/>
    </row>
    <row r="820" spans="4:4" x14ac:dyDescent="0.25">
      <c r="D820" s="4"/>
    </row>
    <row r="821" spans="4:4" x14ac:dyDescent="0.25">
      <c r="D821" s="4"/>
    </row>
    <row r="822" spans="4:4" x14ac:dyDescent="0.25">
      <c r="D822" s="4"/>
    </row>
    <row r="823" spans="4:4" x14ac:dyDescent="0.25">
      <c r="D823" s="4"/>
    </row>
    <row r="824" spans="4:4" x14ac:dyDescent="0.25">
      <c r="D824" s="4"/>
    </row>
    <row r="825" spans="4:4" x14ac:dyDescent="0.25">
      <c r="D825" s="4"/>
    </row>
    <row r="826" spans="4:4" x14ac:dyDescent="0.25">
      <c r="D826" s="4"/>
    </row>
    <row r="827" spans="4:4" x14ac:dyDescent="0.25">
      <c r="D827" s="4"/>
    </row>
    <row r="828" spans="4:4" x14ac:dyDescent="0.25">
      <c r="D828" s="4"/>
    </row>
    <row r="829" spans="4:4" x14ac:dyDescent="0.25">
      <c r="D829" s="4"/>
    </row>
    <row r="830" spans="4:4" x14ac:dyDescent="0.25">
      <c r="D830" s="4"/>
    </row>
    <row r="831" spans="4:4" x14ac:dyDescent="0.25">
      <c r="D831" s="4"/>
    </row>
    <row r="832" spans="4:4" x14ac:dyDescent="0.25">
      <c r="D832" s="4"/>
    </row>
    <row r="833" spans="4:4" x14ac:dyDescent="0.25">
      <c r="D833" s="4"/>
    </row>
    <row r="834" spans="4:4" x14ac:dyDescent="0.25">
      <c r="D834" s="4"/>
    </row>
    <row r="835" spans="4:4" x14ac:dyDescent="0.25">
      <c r="D835" s="4"/>
    </row>
    <row r="836" spans="4:4" x14ac:dyDescent="0.25">
      <c r="D836" s="4"/>
    </row>
    <row r="837" spans="4:4" x14ac:dyDescent="0.25">
      <c r="D837" s="4"/>
    </row>
    <row r="838" spans="4:4" x14ac:dyDescent="0.25">
      <c r="D838" s="4"/>
    </row>
    <row r="839" spans="4:4" x14ac:dyDescent="0.25">
      <c r="D839" s="4"/>
    </row>
    <row r="840" spans="4:4" x14ac:dyDescent="0.25">
      <c r="D840" s="4"/>
    </row>
    <row r="841" spans="4:4" x14ac:dyDescent="0.25">
      <c r="D841" s="4"/>
    </row>
    <row r="842" spans="4:4" x14ac:dyDescent="0.25">
      <c r="D842" s="4"/>
    </row>
    <row r="843" spans="4:4" x14ac:dyDescent="0.25">
      <c r="D843" s="4"/>
    </row>
    <row r="844" spans="4:4" x14ac:dyDescent="0.25">
      <c r="D844" s="4"/>
    </row>
    <row r="845" spans="4:4" x14ac:dyDescent="0.25">
      <c r="D845" s="4"/>
    </row>
    <row r="846" spans="4:4" x14ac:dyDescent="0.25">
      <c r="D846" s="4"/>
    </row>
    <row r="847" spans="4:4" x14ac:dyDescent="0.25">
      <c r="D847" s="4"/>
    </row>
    <row r="848" spans="4:4" x14ac:dyDescent="0.25">
      <c r="D848" s="4"/>
    </row>
    <row r="849" spans="4:4" x14ac:dyDescent="0.25">
      <c r="D849" s="4"/>
    </row>
    <row r="850" spans="4:4" x14ac:dyDescent="0.25">
      <c r="D850" s="4"/>
    </row>
    <row r="851" spans="4:4" x14ac:dyDescent="0.25">
      <c r="D851" s="4"/>
    </row>
    <row r="852" spans="4:4" x14ac:dyDescent="0.25">
      <c r="D852" s="4"/>
    </row>
    <row r="853" spans="4:4" x14ac:dyDescent="0.25">
      <c r="D853" s="4"/>
    </row>
    <row r="854" spans="4:4" x14ac:dyDescent="0.25">
      <c r="D854" s="4"/>
    </row>
    <row r="855" spans="4:4" x14ac:dyDescent="0.25">
      <c r="D855" s="4"/>
    </row>
    <row r="856" spans="4:4" x14ac:dyDescent="0.25">
      <c r="D856" s="4"/>
    </row>
    <row r="857" spans="4:4" x14ac:dyDescent="0.25">
      <c r="D857" s="4"/>
    </row>
    <row r="858" spans="4:4" x14ac:dyDescent="0.25">
      <c r="D858" s="4"/>
    </row>
    <row r="859" spans="4:4" x14ac:dyDescent="0.25">
      <c r="D859" s="4"/>
    </row>
    <row r="860" spans="4:4" x14ac:dyDescent="0.25">
      <c r="D860" s="4"/>
    </row>
    <row r="861" spans="4:4" x14ac:dyDescent="0.25">
      <c r="D861" s="4"/>
    </row>
    <row r="862" spans="4:4" x14ac:dyDescent="0.25">
      <c r="D862" s="4"/>
    </row>
    <row r="863" spans="4:4" x14ac:dyDescent="0.25">
      <c r="D863" s="4"/>
    </row>
    <row r="864" spans="4:4" x14ac:dyDescent="0.25">
      <c r="D864" s="4"/>
    </row>
    <row r="865" spans="4:4" x14ac:dyDescent="0.25">
      <c r="D865" s="4"/>
    </row>
    <row r="866" spans="4:4" x14ac:dyDescent="0.25">
      <c r="D866" s="4"/>
    </row>
    <row r="867" spans="4:4" x14ac:dyDescent="0.25">
      <c r="D867" s="4"/>
    </row>
    <row r="868" spans="4:4" x14ac:dyDescent="0.25">
      <c r="D868" s="4"/>
    </row>
    <row r="869" spans="4:4" x14ac:dyDescent="0.25">
      <c r="D869" s="4"/>
    </row>
    <row r="870" spans="4:4" x14ac:dyDescent="0.25">
      <c r="D870" s="4"/>
    </row>
    <row r="871" spans="4:4" x14ac:dyDescent="0.25">
      <c r="D871" s="4"/>
    </row>
    <row r="872" spans="4:4" x14ac:dyDescent="0.25">
      <c r="D872" s="4"/>
    </row>
    <row r="873" spans="4:4" x14ac:dyDescent="0.25">
      <c r="D873" s="4"/>
    </row>
    <row r="874" spans="4:4" x14ac:dyDescent="0.25">
      <c r="D874" s="4"/>
    </row>
    <row r="875" spans="4:4" x14ac:dyDescent="0.25">
      <c r="D875" s="4"/>
    </row>
    <row r="876" spans="4:4" x14ac:dyDescent="0.25">
      <c r="D876" s="4"/>
    </row>
    <row r="877" spans="4:4" x14ac:dyDescent="0.25">
      <c r="D877" s="4"/>
    </row>
    <row r="878" spans="4:4" x14ac:dyDescent="0.25">
      <c r="D878" s="4"/>
    </row>
    <row r="879" spans="4:4" x14ac:dyDescent="0.25">
      <c r="D879" s="4"/>
    </row>
    <row r="880" spans="4:4" x14ac:dyDescent="0.25">
      <c r="D880" s="4"/>
    </row>
    <row r="881" spans="4:4" x14ac:dyDescent="0.25">
      <c r="D881" s="4"/>
    </row>
    <row r="882" spans="4:4" x14ac:dyDescent="0.25">
      <c r="D882" s="4"/>
    </row>
    <row r="883" spans="4:4" x14ac:dyDescent="0.25">
      <c r="D883" s="4"/>
    </row>
    <row r="884" spans="4:4" x14ac:dyDescent="0.25">
      <c r="D884" s="4"/>
    </row>
    <row r="885" spans="4:4" x14ac:dyDescent="0.25">
      <c r="D885" s="4"/>
    </row>
    <row r="886" spans="4:4" x14ac:dyDescent="0.25">
      <c r="D886" s="4"/>
    </row>
    <row r="887" spans="4:4" x14ac:dyDescent="0.25">
      <c r="D887" s="4"/>
    </row>
    <row r="888" spans="4:4" x14ac:dyDescent="0.25">
      <c r="D888" s="4"/>
    </row>
    <row r="889" spans="4:4" x14ac:dyDescent="0.25">
      <c r="D889" s="4"/>
    </row>
    <row r="890" spans="4:4" x14ac:dyDescent="0.25">
      <c r="D890" s="4"/>
    </row>
    <row r="891" spans="4:4" x14ac:dyDescent="0.25">
      <c r="D891" s="4"/>
    </row>
    <row r="892" spans="4:4" x14ac:dyDescent="0.25">
      <c r="D892" s="4"/>
    </row>
    <row r="893" spans="4:4" x14ac:dyDescent="0.25">
      <c r="D893" s="4"/>
    </row>
    <row r="894" spans="4:4" x14ac:dyDescent="0.25">
      <c r="D894" s="4"/>
    </row>
    <row r="895" spans="4:4" x14ac:dyDescent="0.25">
      <c r="D895" s="4"/>
    </row>
    <row r="896" spans="4:4" x14ac:dyDescent="0.25">
      <c r="D896" s="4"/>
    </row>
    <row r="897" spans="4:4" x14ac:dyDescent="0.25">
      <c r="D897" s="4"/>
    </row>
    <row r="898" spans="4:4" x14ac:dyDescent="0.25">
      <c r="D898" s="4"/>
    </row>
    <row r="899" spans="4:4" x14ac:dyDescent="0.25">
      <c r="D899" s="4"/>
    </row>
    <row r="900" spans="4:4" x14ac:dyDescent="0.25">
      <c r="D900" s="4"/>
    </row>
    <row r="901" spans="4:4" x14ac:dyDescent="0.25">
      <c r="D901" s="4"/>
    </row>
    <row r="902" spans="4:4" x14ac:dyDescent="0.25">
      <c r="D902" s="4"/>
    </row>
    <row r="903" spans="4:4" x14ac:dyDescent="0.25">
      <c r="D903" s="4"/>
    </row>
    <row r="904" spans="4:4" x14ac:dyDescent="0.25">
      <c r="D904" s="4"/>
    </row>
    <row r="905" spans="4:4" x14ac:dyDescent="0.25">
      <c r="D905" s="4"/>
    </row>
    <row r="906" spans="4:4" x14ac:dyDescent="0.25">
      <c r="D906" s="4"/>
    </row>
    <row r="907" spans="4:4" x14ac:dyDescent="0.25">
      <c r="D907" s="4"/>
    </row>
    <row r="908" spans="4:4" x14ac:dyDescent="0.25">
      <c r="D908" s="4"/>
    </row>
    <row r="909" spans="4:4" x14ac:dyDescent="0.25">
      <c r="D909" s="4"/>
    </row>
    <row r="910" spans="4:4" x14ac:dyDescent="0.25">
      <c r="D910" s="4"/>
    </row>
    <row r="911" spans="4:4" x14ac:dyDescent="0.25">
      <c r="D911" s="4"/>
    </row>
    <row r="912" spans="4:4" x14ac:dyDescent="0.25">
      <c r="D912" s="4"/>
    </row>
    <row r="913" spans="4:4" x14ac:dyDescent="0.25">
      <c r="D913" s="4"/>
    </row>
    <row r="914" spans="4:4" x14ac:dyDescent="0.25">
      <c r="D914" s="4"/>
    </row>
    <row r="915" spans="4:4" x14ac:dyDescent="0.25">
      <c r="D915" s="4"/>
    </row>
    <row r="916" spans="4:4" x14ac:dyDescent="0.25">
      <c r="D916" s="4"/>
    </row>
    <row r="917" spans="4:4" x14ac:dyDescent="0.25">
      <c r="D917" s="4"/>
    </row>
    <row r="918" spans="4:4" x14ac:dyDescent="0.25">
      <c r="D918" s="4"/>
    </row>
    <row r="919" spans="4:4" x14ac:dyDescent="0.25">
      <c r="D919" s="4"/>
    </row>
    <row r="920" spans="4:4" x14ac:dyDescent="0.25">
      <c r="D920" s="4"/>
    </row>
    <row r="921" spans="4:4" x14ac:dyDescent="0.25">
      <c r="D921" s="4"/>
    </row>
    <row r="922" spans="4:4" x14ac:dyDescent="0.25">
      <c r="D922" s="4"/>
    </row>
    <row r="923" spans="4:4" x14ac:dyDescent="0.25">
      <c r="D923" s="4"/>
    </row>
    <row r="924" spans="4:4" x14ac:dyDescent="0.25">
      <c r="D924" s="4"/>
    </row>
    <row r="925" spans="4:4" x14ac:dyDescent="0.25">
      <c r="D925" s="4"/>
    </row>
    <row r="926" spans="4:4" x14ac:dyDescent="0.25">
      <c r="D926" s="4"/>
    </row>
    <row r="927" spans="4:4" x14ac:dyDescent="0.25">
      <c r="D927" s="4"/>
    </row>
    <row r="928" spans="4:4" x14ac:dyDescent="0.25">
      <c r="D928" s="4"/>
    </row>
    <row r="929" spans="4:4" x14ac:dyDescent="0.25">
      <c r="D929" s="4"/>
    </row>
    <row r="930" spans="4:4" x14ac:dyDescent="0.25">
      <c r="D930" s="4"/>
    </row>
    <row r="931" spans="4:4" x14ac:dyDescent="0.25">
      <c r="D931" s="4"/>
    </row>
    <row r="932" spans="4:4" x14ac:dyDescent="0.25">
      <c r="D932" s="4"/>
    </row>
    <row r="933" spans="4:4" x14ac:dyDescent="0.25">
      <c r="D933" s="4"/>
    </row>
    <row r="934" spans="4:4" x14ac:dyDescent="0.25">
      <c r="D934" s="4"/>
    </row>
    <row r="935" spans="4:4" x14ac:dyDescent="0.25">
      <c r="D935" s="4"/>
    </row>
    <row r="936" spans="4:4" x14ac:dyDescent="0.25">
      <c r="D936" s="4"/>
    </row>
    <row r="937" spans="4:4" x14ac:dyDescent="0.25">
      <c r="D937" s="4"/>
    </row>
    <row r="938" spans="4:4" x14ac:dyDescent="0.25">
      <c r="D938" s="4"/>
    </row>
    <row r="939" spans="4:4" x14ac:dyDescent="0.25">
      <c r="D939" s="4"/>
    </row>
    <row r="940" spans="4:4" x14ac:dyDescent="0.25">
      <c r="D940" s="4"/>
    </row>
    <row r="941" spans="4:4" x14ac:dyDescent="0.25">
      <c r="D941" s="4"/>
    </row>
    <row r="942" spans="4:4" x14ac:dyDescent="0.25">
      <c r="D942" s="4"/>
    </row>
    <row r="943" spans="4:4" x14ac:dyDescent="0.25">
      <c r="D943" s="4"/>
    </row>
    <row r="944" spans="4:4" x14ac:dyDescent="0.25">
      <c r="D944" s="4"/>
    </row>
    <row r="945" spans="4:4" x14ac:dyDescent="0.25">
      <c r="D945" s="4"/>
    </row>
    <row r="946" spans="4:4" x14ac:dyDescent="0.25">
      <c r="D946" s="4"/>
    </row>
    <row r="947" spans="4:4" x14ac:dyDescent="0.25">
      <c r="D947" s="4"/>
    </row>
    <row r="948" spans="4:4" x14ac:dyDescent="0.25">
      <c r="D948" s="4"/>
    </row>
    <row r="949" spans="4:4" x14ac:dyDescent="0.25">
      <c r="D949" s="4"/>
    </row>
    <row r="950" spans="4:4" x14ac:dyDescent="0.25">
      <c r="D950" s="4"/>
    </row>
    <row r="951" spans="4:4" x14ac:dyDescent="0.25">
      <c r="D951" s="4"/>
    </row>
    <row r="952" spans="4:4" x14ac:dyDescent="0.25">
      <c r="D952" s="4"/>
    </row>
    <row r="953" spans="4:4" x14ac:dyDescent="0.25">
      <c r="D953" s="4"/>
    </row>
    <row r="954" spans="4:4" x14ac:dyDescent="0.25">
      <c r="D954" s="4"/>
    </row>
    <row r="955" spans="4:4" x14ac:dyDescent="0.25">
      <c r="D955" s="4"/>
    </row>
    <row r="956" spans="4:4" x14ac:dyDescent="0.25">
      <c r="D956" s="4"/>
    </row>
    <row r="957" spans="4:4" x14ac:dyDescent="0.25">
      <c r="D957" s="4"/>
    </row>
    <row r="958" spans="4:4" x14ac:dyDescent="0.25">
      <c r="D958" s="4"/>
    </row>
    <row r="959" spans="4:4" x14ac:dyDescent="0.25">
      <c r="D959" s="4"/>
    </row>
    <row r="960" spans="4:4" x14ac:dyDescent="0.25">
      <c r="D960" s="4"/>
    </row>
    <row r="961" spans="4:4" x14ac:dyDescent="0.25">
      <c r="D961" s="4"/>
    </row>
    <row r="962" spans="4:4" x14ac:dyDescent="0.25">
      <c r="D962" s="4"/>
    </row>
    <row r="963" spans="4:4" x14ac:dyDescent="0.25">
      <c r="D963" s="4"/>
    </row>
    <row r="964" spans="4:4" x14ac:dyDescent="0.25">
      <c r="D964" s="4"/>
    </row>
    <row r="965" spans="4:4" x14ac:dyDescent="0.25">
      <c r="D965" s="4"/>
    </row>
    <row r="966" spans="4:4" x14ac:dyDescent="0.25">
      <c r="D966" s="4"/>
    </row>
    <row r="967" spans="4:4" x14ac:dyDescent="0.25">
      <c r="D967" s="4"/>
    </row>
    <row r="968" spans="4:4" x14ac:dyDescent="0.25">
      <c r="D968" s="4"/>
    </row>
    <row r="969" spans="4:4" x14ac:dyDescent="0.25">
      <c r="D969" s="4"/>
    </row>
    <row r="970" spans="4:4" x14ac:dyDescent="0.25">
      <c r="D970" s="4"/>
    </row>
    <row r="971" spans="4:4" x14ac:dyDescent="0.25">
      <c r="D971" s="4"/>
    </row>
    <row r="972" spans="4:4" x14ac:dyDescent="0.25">
      <c r="D972" s="4"/>
    </row>
    <row r="973" spans="4:4" x14ac:dyDescent="0.25">
      <c r="D973" s="4"/>
    </row>
    <row r="974" spans="4:4" x14ac:dyDescent="0.25">
      <c r="D974" s="4"/>
    </row>
    <row r="975" spans="4:4" x14ac:dyDescent="0.25">
      <c r="D975" s="4"/>
    </row>
    <row r="976" spans="4:4" x14ac:dyDescent="0.25">
      <c r="D976" s="4"/>
    </row>
    <row r="977" spans="4:4" x14ac:dyDescent="0.25">
      <c r="D977" s="4"/>
    </row>
    <row r="978" spans="4:4" x14ac:dyDescent="0.25">
      <c r="D978" s="4"/>
    </row>
    <row r="979" spans="4:4" x14ac:dyDescent="0.25">
      <c r="D979" s="4"/>
    </row>
    <row r="980" spans="4:4" x14ac:dyDescent="0.25">
      <c r="D980" s="4"/>
    </row>
    <row r="981" spans="4:4" x14ac:dyDescent="0.25">
      <c r="D981" s="4"/>
    </row>
    <row r="982" spans="4:4" x14ac:dyDescent="0.25">
      <c r="D982" s="4"/>
    </row>
    <row r="983" spans="4:4" x14ac:dyDescent="0.25">
      <c r="D983" s="4"/>
    </row>
    <row r="984" spans="4:4" x14ac:dyDescent="0.25">
      <c r="D984" s="4"/>
    </row>
    <row r="985" spans="4:4" x14ac:dyDescent="0.25">
      <c r="D985" s="4"/>
    </row>
    <row r="986" spans="4:4" x14ac:dyDescent="0.25">
      <c r="D986" s="4"/>
    </row>
    <row r="987" spans="4:4" x14ac:dyDescent="0.25">
      <c r="D987" s="4"/>
    </row>
    <row r="988" spans="4:4" x14ac:dyDescent="0.25">
      <c r="D988" s="4"/>
    </row>
    <row r="989" spans="4:4" x14ac:dyDescent="0.25">
      <c r="D989" s="4"/>
    </row>
    <row r="990" spans="4:4" x14ac:dyDescent="0.25">
      <c r="D990" s="4"/>
    </row>
    <row r="991" spans="4:4" x14ac:dyDescent="0.25">
      <c r="D991" s="4"/>
    </row>
    <row r="992" spans="4:4" x14ac:dyDescent="0.25">
      <c r="D992" s="4"/>
    </row>
    <row r="993" spans="4:4" x14ac:dyDescent="0.25">
      <c r="D993" s="4"/>
    </row>
    <row r="994" spans="4:4" x14ac:dyDescent="0.25">
      <c r="D994" s="4"/>
    </row>
    <row r="995" spans="4:4" x14ac:dyDescent="0.25">
      <c r="D995" s="4"/>
    </row>
    <row r="996" spans="4:4" x14ac:dyDescent="0.25">
      <c r="D996" s="4"/>
    </row>
    <row r="997" spans="4:4" x14ac:dyDescent="0.25">
      <c r="D997" s="4"/>
    </row>
    <row r="998" spans="4:4" x14ac:dyDescent="0.25">
      <c r="D998" s="4"/>
    </row>
    <row r="999" spans="4:4" x14ac:dyDescent="0.25">
      <c r="D999" s="4"/>
    </row>
    <row r="1000" spans="4:4" x14ac:dyDescent="0.25">
      <c r="D1000" s="4"/>
    </row>
    <row r="1001" spans="4:4" x14ac:dyDescent="0.25">
      <c r="D1001" s="4"/>
    </row>
    <row r="1002" spans="4:4" x14ac:dyDescent="0.25">
      <c r="D1002" s="4"/>
    </row>
    <row r="1003" spans="4:4" x14ac:dyDescent="0.25">
      <c r="D1003" s="4"/>
    </row>
    <row r="1004" spans="4:4" x14ac:dyDescent="0.25">
      <c r="D1004" s="4"/>
    </row>
    <row r="1005" spans="4:4" x14ac:dyDescent="0.25">
      <c r="D1005" s="4"/>
    </row>
    <row r="1006" spans="4:4" x14ac:dyDescent="0.25">
      <c r="D1006" s="4"/>
    </row>
    <row r="1007" spans="4:4" x14ac:dyDescent="0.25">
      <c r="D1007" s="4"/>
    </row>
    <row r="1008" spans="4:4" x14ac:dyDescent="0.25">
      <c r="D1008" s="4"/>
    </row>
    <row r="1009" spans="4:4" x14ac:dyDescent="0.25">
      <c r="D1009" s="4"/>
    </row>
    <row r="1010" spans="4:4" x14ac:dyDescent="0.25">
      <c r="D1010" s="4"/>
    </row>
    <row r="1011" spans="4:4" x14ac:dyDescent="0.25">
      <c r="D1011" s="4"/>
    </row>
    <row r="1012" spans="4:4" x14ac:dyDescent="0.25">
      <c r="D1012" s="4"/>
    </row>
    <row r="1013" spans="4:4" x14ac:dyDescent="0.25">
      <c r="D1013" s="4"/>
    </row>
    <row r="1014" spans="4:4" x14ac:dyDescent="0.25">
      <c r="D1014" s="4"/>
    </row>
    <row r="1015" spans="4:4" x14ac:dyDescent="0.25">
      <c r="D1015" s="4"/>
    </row>
    <row r="1016" spans="4:4" x14ac:dyDescent="0.25">
      <c r="D1016" s="4"/>
    </row>
    <row r="1017" spans="4:4" x14ac:dyDescent="0.25">
      <c r="D1017" s="4"/>
    </row>
    <row r="1018" spans="4:4" x14ac:dyDescent="0.25">
      <c r="D1018" s="4"/>
    </row>
    <row r="1019" spans="4:4" x14ac:dyDescent="0.25">
      <c r="D1019" s="4"/>
    </row>
    <row r="1020" spans="4:4" x14ac:dyDescent="0.25">
      <c r="D1020" s="4"/>
    </row>
    <row r="1021" spans="4:4" x14ac:dyDescent="0.25">
      <c r="D1021" s="4"/>
    </row>
    <row r="1022" spans="4:4" x14ac:dyDescent="0.25">
      <c r="D1022" s="4"/>
    </row>
    <row r="1023" spans="4:4" x14ac:dyDescent="0.25">
      <c r="D1023" s="4"/>
    </row>
    <row r="1024" spans="4:4" x14ac:dyDescent="0.25">
      <c r="D1024" s="4"/>
    </row>
    <row r="1025" spans="4:4" x14ac:dyDescent="0.25">
      <c r="D1025" s="4"/>
    </row>
    <row r="1026" spans="4:4" x14ac:dyDescent="0.25">
      <c r="D1026" s="4"/>
    </row>
    <row r="1027" spans="4:4" x14ac:dyDescent="0.25">
      <c r="D1027" s="4"/>
    </row>
    <row r="1028" spans="4:4" x14ac:dyDescent="0.25">
      <c r="D1028" s="4"/>
    </row>
    <row r="1029" spans="4:4" x14ac:dyDescent="0.25">
      <c r="D1029" s="4"/>
    </row>
    <row r="1030" spans="4:4" x14ac:dyDescent="0.25">
      <c r="D1030" s="4"/>
    </row>
    <row r="1031" spans="4:4" x14ac:dyDescent="0.25">
      <c r="D1031" s="4"/>
    </row>
    <row r="1032" spans="4:4" x14ac:dyDescent="0.25">
      <c r="D1032" s="4"/>
    </row>
    <row r="1033" spans="4:4" x14ac:dyDescent="0.25">
      <c r="D1033" s="4"/>
    </row>
    <row r="1034" spans="4:4" x14ac:dyDescent="0.25">
      <c r="D1034" s="4"/>
    </row>
    <row r="1035" spans="4:4" x14ac:dyDescent="0.25">
      <c r="D1035" s="4"/>
    </row>
    <row r="1036" spans="4:4" x14ac:dyDescent="0.25">
      <c r="D1036" s="4"/>
    </row>
    <row r="1037" spans="4:4" x14ac:dyDescent="0.25">
      <c r="D1037" s="4"/>
    </row>
    <row r="1038" spans="4:4" x14ac:dyDescent="0.25">
      <c r="D1038" s="4"/>
    </row>
    <row r="1039" spans="4:4" x14ac:dyDescent="0.25">
      <c r="D1039" s="4"/>
    </row>
    <row r="1040" spans="4:4" x14ac:dyDescent="0.25">
      <c r="D1040" s="4"/>
    </row>
    <row r="1041" spans="4:4" x14ac:dyDescent="0.25">
      <c r="D1041" s="4"/>
    </row>
    <row r="1042" spans="4:4" x14ac:dyDescent="0.25">
      <c r="D1042" s="4"/>
    </row>
    <row r="1043" spans="4:4" x14ac:dyDescent="0.25">
      <c r="D1043" s="4"/>
    </row>
    <row r="1044" spans="4:4" x14ac:dyDescent="0.25">
      <c r="D1044" s="4"/>
    </row>
    <row r="1045" spans="4:4" x14ac:dyDescent="0.25">
      <c r="D1045" s="4"/>
    </row>
    <row r="1046" spans="4:4" x14ac:dyDescent="0.25">
      <c r="D1046" s="4"/>
    </row>
    <row r="1047" spans="4:4" x14ac:dyDescent="0.25">
      <c r="D1047" s="4"/>
    </row>
    <row r="1048" spans="4:4" x14ac:dyDescent="0.25">
      <c r="D1048" s="4"/>
    </row>
    <row r="1049" spans="4:4" x14ac:dyDescent="0.25">
      <c r="D1049" s="4"/>
    </row>
    <row r="1050" spans="4:4" x14ac:dyDescent="0.25">
      <c r="D1050" s="4"/>
    </row>
    <row r="1051" spans="4:4" x14ac:dyDescent="0.25">
      <c r="D1051" s="4"/>
    </row>
    <row r="1052" spans="4:4" x14ac:dyDescent="0.25">
      <c r="D1052" s="4"/>
    </row>
    <row r="1053" spans="4:4" x14ac:dyDescent="0.25">
      <c r="D1053" s="4"/>
    </row>
    <row r="1054" spans="4:4" x14ac:dyDescent="0.25">
      <c r="D1054" s="4"/>
    </row>
    <row r="1055" spans="4:4" x14ac:dyDescent="0.25">
      <c r="D1055" s="4"/>
    </row>
    <row r="1056" spans="4:4" x14ac:dyDescent="0.25">
      <c r="D1056" s="4"/>
    </row>
    <row r="1057" spans="4:4" x14ac:dyDescent="0.25">
      <c r="D1057" s="4"/>
    </row>
    <row r="1058" spans="4:4" x14ac:dyDescent="0.25">
      <c r="D1058" s="4"/>
    </row>
    <row r="1059" spans="4:4" x14ac:dyDescent="0.25">
      <c r="D1059" s="4"/>
    </row>
    <row r="1060" spans="4:4" x14ac:dyDescent="0.25">
      <c r="D1060" s="4"/>
    </row>
    <row r="1061" spans="4:4" x14ac:dyDescent="0.25">
      <c r="D1061" s="4"/>
    </row>
    <row r="1062" spans="4:4" x14ac:dyDescent="0.25">
      <c r="D1062" s="4"/>
    </row>
    <row r="1063" spans="4:4" x14ac:dyDescent="0.25">
      <c r="D1063" s="4"/>
    </row>
    <row r="1064" spans="4:4" x14ac:dyDescent="0.25">
      <c r="D1064" s="4"/>
    </row>
    <row r="1065" spans="4:4" x14ac:dyDescent="0.25">
      <c r="D1065" s="4"/>
    </row>
    <row r="1066" spans="4:4" x14ac:dyDescent="0.25">
      <c r="D1066" s="4"/>
    </row>
    <row r="1067" spans="4:4" x14ac:dyDescent="0.25">
      <c r="D1067" s="4"/>
    </row>
    <row r="1068" spans="4:4" x14ac:dyDescent="0.25">
      <c r="D1068" s="4"/>
    </row>
    <row r="1069" spans="4:4" x14ac:dyDescent="0.25">
      <c r="D1069" s="4"/>
    </row>
    <row r="1070" spans="4:4" x14ac:dyDescent="0.25">
      <c r="D1070" s="4"/>
    </row>
    <row r="1071" spans="4:4" x14ac:dyDescent="0.25">
      <c r="D1071" s="4"/>
    </row>
    <row r="1072" spans="4:4" x14ac:dyDescent="0.25">
      <c r="D1072" s="4"/>
    </row>
    <row r="1073" spans="4:4" x14ac:dyDescent="0.25">
      <c r="D1073" s="4"/>
    </row>
    <row r="1074" spans="4:4" x14ac:dyDescent="0.25">
      <c r="D1074" s="4"/>
    </row>
    <row r="1075" spans="4:4" x14ac:dyDescent="0.25">
      <c r="D1075" s="4"/>
    </row>
    <row r="1076" spans="4:4" x14ac:dyDescent="0.25">
      <c r="D1076" s="4"/>
    </row>
    <row r="1077" spans="4:4" x14ac:dyDescent="0.25">
      <c r="D1077" s="4"/>
    </row>
    <row r="1078" spans="4:4" x14ac:dyDescent="0.25">
      <c r="D1078" s="4"/>
    </row>
    <row r="1079" spans="4:4" x14ac:dyDescent="0.25">
      <c r="D1079" s="4"/>
    </row>
    <row r="1080" spans="4:4" x14ac:dyDescent="0.25">
      <c r="D1080" s="4"/>
    </row>
    <row r="1081" spans="4:4" x14ac:dyDescent="0.25">
      <c r="D1081" s="4"/>
    </row>
    <row r="1082" spans="4:4" x14ac:dyDescent="0.25">
      <c r="D1082" s="4"/>
    </row>
    <row r="1083" spans="4:4" x14ac:dyDescent="0.25">
      <c r="D1083" s="4"/>
    </row>
    <row r="1084" spans="4:4" x14ac:dyDescent="0.25">
      <c r="D1084" s="4"/>
    </row>
    <row r="1085" spans="4:4" x14ac:dyDescent="0.25">
      <c r="D1085" s="4"/>
    </row>
    <row r="1086" spans="4:4" x14ac:dyDescent="0.25">
      <c r="D1086" s="4"/>
    </row>
    <row r="1087" spans="4:4" x14ac:dyDescent="0.25">
      <c r="D1087" s="4"/>
    </row>
    <row r="1088" spans="4:4" x14ac:dyDescent="0.25">
      <c r="D1088" s="4"/>
    </row>
    <row r="1089" spans="4:4" x14ac:dyDescent="0.25">
      <c r="D1089" s="4"/>
    </row>
    <row r="1090" spans="4:4" x14ac:dyDescent="0.25">
      <c r="D1090" s="4"/>
    </row>
    <row r="1091" spans="4:4" x14ac:dyDescent="0.25">
      <c r="D1091" s="4"/>
    </row>
    <row r="1092" spans="4:4" x14ac:dyDescent="0.25">
      <c r="D1092" s="4"/>
    </row>
    <row r="1093" spans="4:4" x14ac:dyDescent="0.25">
      <c r="D1093" s="4"/>
    </row>
    <row r="1094" spans="4:4" x14ac:dyDescent="0.25">
      <c r="D1094" s="4"/>
    </row>
    <row r="1095" spans="4:4" x14ac:dyDescent="0.25">
      <c r="D1095" s="4"/>
    </row>
    <row r="1096" spans="4:4" x14ac:dyDescent="0.25">
      <c r="D1096" s="4"/>
    </row>
    <row r="1097" spans="4:4" x14ac:dyDescent="0.25">
      <c r="D1097" s="4"/>
    </row>
    <row r="1098" spans="4:4" x14ac:dyDescent="0.25">
      <c r="D1098" s="4"/>
    </row>
    <row r="1099" spans="4:4" x14ac:dyDescent="0.25">
      <c r="D1099" s="4"/>
    </row>
    <row r="1100" spans="4:4" x14ac:dyDescent="0.25">
      <c r="D1100" s="4"/>
    </row>
    <row r="1101" spans="4:4" x14ac:dyDescent="0.25">
      <c r="D1101" s="4"/>
    </row>
    <row r="1102" spans="4:4" x14ac:dyDescent="0.25">
      <c r="D1102" s="4"/>
    </row>
    <row r="1103" spans="4:4" x14ac:dyDescent="0.25">
      <c r="D1103" s="4"/>
    </row>
    <row r="1104" spans="4:4" x14ac:dyDescent="0.25">
      <c r="D1104" s="4"/>
    </row>
    <row r="1105" spans="4:4" x14ac:dyDescent="0.25">
      <c r="D1105" s="4"/>
    </row>
    <row r="1106" spans="4:4" x14ac:dyDescent="0.25">
      <c r="D1106" s="4"/>
    </row>
    <row r="1107" spans="4:4" x14ac:dyDescent="0.25">
      <c r="D1107" s="4"/>
    </row>
    <row r="1108" spans="4:4" x14ac:dyDescent="0.25">
      <c r="D1108" s="4"/>
    </row>
    <row r="1109" spans="4:4" x14ac:dyDescent="0.25">
      <c r="D1109" s="4"/>
    </row>
    <row r="1110" spans="4:4" x14ac:dyDescent="0.25">
      <c r="D1110" s="4"/>
    </row>
    <row r="1111" spans="4:4" x14ac:dyDescent="0.25">
      <c r="D1111" s="4"/>
    </row>
    <row r="1112" spans="4:4" x14ac:dyDescent="0.25">
      <c r="D1112" s="4"/>
    </row>
    <row r="1113" spans="4:4" x14ac:dyDescent="0.25">
      <c r="D1113" s="4"/>
    </row>
    <row r="1114" spans="4:4" x14ac:dyDescent="0.25">
      <c r="D1114" s="4"/>
    </row>
    <row r="1115" spans="4:4" x14ac:dyDescent="0.25">
      <c r="D1115" s="4"/>
    </row>
    <row r="1116" spans="4:4" x14ac:dyDescent="0.25">
      <c r="D1116" s="4"/>
    </row>
    <row r="1117" spans="4:4" x14ac:dyDescent="0.25">
      <c r="D1117" s="4"/>
    </row>
    <row r="1118" spans="4:4" x14ac:dyDescent="0.25">
      <c r="D1118" s="4"/>
    </row>
    <row r="1119" spans="4:4" x14ac:dyDescent="0.25">
      <c r="D1119" s="4"/>
    </row>
    <row r="1120" spans="4:4" x14ac:dyDescent="0.25">
      <c r="D1120" s="4"/>
    </row>
    <row r="1121" spans="4:4" x14ac:dyDescent="0.25">
      <c r="D1121" s="4"/>
    </row>
    <row r="1122" spans="4:4" x14ac:dyDescent="0.25">
      <c r="D1122" s="4"/>
    </row>
    <row r="1123" spans="4:4" x14ac:dyDescent="0.25">
      <c r="D1123" s="4"/>
    </row>
    <row r="1124" spans="4:4" x14ac:dyDescent="0.25">
      <c r="D1124" s="4"/>
    </row>
    <row r="1125" spans="4:4" x14ac:dyDescent="0.25">
      <c r="D1125" s="4"/>
    </row>
    <row r="1126" spans="4:4" x14ac:dyDescent="0.25">
      <c r="D1126" s="4"/>
    </row>
    <row r="1127" spans="4:4" x14ac:dyDescent="0.25">
      <c r="D1127" s="4"/>
    </row>
    <row r="1128" spans="4:4" x14ac:dyDescent="0.25">
      <c r="D1128" s="4"/>
    </row>
    <row r="1129" spans="4:4" x14ac:dyDescent="0.25">
      <c r="D1129" s="4"/>
    </row>
    <row r="1130" spans="4:4" x14ac:dyDescent="0.25">
      <c r="D1130" s="4"/>
    </row>
    <row r="1131" spans="4:4" x14ac:dyDescent="0.25">
      <c r="D1131" s="4"/>
    </row>
    <row r="1132" spans="4:4" x14ac:dyDescent="0.25">
      <c r="D1132" s="4"/>
    </row>
    <row r="1133" spans="4:4" x14ac:dyDescent="0.25">
      <c r="D1133" s="4"/>
    </row>
    <row r="1134" spans="4:4" x14ac:dyDescent="0.25">
      <c r="D1134" s="4"/>
    </row>
    <row r="1135" spans="4:4" x14ac:dyDescent="0.25">
      <c r="D1135" s="4"/>
    </row>
    <row r="1136" spans="4:4" x14ac:dyDescent="0.25">
      <c r="D1136" s="4"/>
    </row>
    <row r="1137" spans="4:4" x14ac:dyDescent="0.25">
      <c r="D1137" s="4"/>
    </row>
    <row r="1138" spans="4:4" x14ac:dyDescent="0.25">
      <c r="D1138" s="4"/>
    </row>
    <row r="1139" spans="4:4" x14ac:dyDescent="0.25">
      <c r="D1139" s="4"/>
    </row>
    <row r="1140" spans="4:4" x14ac:dyDescent="0.25">
      <c r="D1140" s="4"/>
    </row>
    <row r="1141" spans="4:4" x14ac:dyDescent="0.25">
      <c r="D1141" s="4"/>
    </row>
    <row r="1142" spans="4:4" x14ac:dyDescent="0.25">
      <c r="D1142" s="4"/>
    </row>
    <row r="1143" spans="4:4" x14ac:dyDescent="0.25">
      <c r="D1143" s="4"/>
    </row>
    <row r="1144" spans="4:4" x14ac:dyDescent="0.25">
      <c r="D1144" s="4"/>
    </row>
    <row r="1145" spans="4:4" x14ac:dyDescent="0.25">
      <c r="D1145" s="4"/>
    </row>
    <row r="1146" spans="4:4" x14ac:dyDescent="0.25">
      <c r="D1146" s="4"/>
    </row>
    <row r="1147" spans="4:4" x14ac:dyDescent="0.25">
      <c r="D1147" s="4"/>
    </row>
    <row r="1148" spans="4:4" x14ac:dyDescent="0.25">
      <c r="D1148" s="4"/>
    </row>
    <row r="1149" spans="4:4" x14ac:dyDescent="0.25">
      <c r="D1149" s="4"/>
    </row>
    <row r="1150" spans="4:4" x14ac:dyDescent="0.25">
      <c r="D1150" s="4"/>
    </row>
    <row r="1151" spans="4:4" x14ac:dyDescent="0.25">
      <c r="D1151" s="4"/>
    </row>
    <row r="1152" spans="4:4" x14ac:dyDescent="0.25">
      <c r="D1152" s="4"/>
    </row>
    <row r="1153" spans="4:4" x14ac:dyDescent="0.25">
      <c r="D1153" s="4"/>
    </row>
    <row r="1154" spans="4:4" x14ac:dyDescent="0.25">
      <c r="D1154" s="4"/>
    </row>
    <row r="1155" spans="4:4" x14ac:dyDescent="0.25">
      <c r="D1155" s="4"/>
    </row>
    <row r="1156" spans="4:4" x14ac:dyDescent="0.25">
      <c r="D1156" s="4"/>
    </row>
    <row r="1157" spans="4:4" x14ac:dyDescent="0.25">
      <c r="D1157" s="4"/>
    </row>
    <row r="1158" spans="4:4" x14ac:dyDescent="0.25">
      <c r="D1158" s="4"/>
    </row>
    <row r="1159" spans="4:4" x14ac:dyDescent="0.25">
      <c r="D1159" s="4"/>
    </row>
    <row r="1160" spans="4:4" x14ac:dyDescent="0.25">
      <c r="D1160" s="4"/>
    </row>
    <row r="1161" spans="4:4" x14ac:dyDescent="0.25">
      <c r="D1161" s="4"/>
    </row>
    <row r="1162" spans="4:4" x14ac:dyDescent="0.25">
      <c r="D1162" s="4"/>
    </row>
    <row r="1163" spans="4:4" x14ac:dyDescent="0.25">
      <c r="D1163" s="4"/>
    </row>
    <row r="1164" spans="4:4" x14ac:dyDescent="0.25">
      <c r="D1164" s="4"/>
    </row>
    <row r="1165" spans="4:4" x14ac:dyDescent="0.25">
      <c r="D1165" s="4"/>
    </row>
    <row r="1166" spans="4:4" x14ac:dyDescent="0.25">
      <c r="D1166" s="4"/>
    </row>
    <row r="1167" spans="4:4" x14ac:dyDescent="0.25">
      <c r="D1167" s="4"/>
    </row>
    <row r="1168" spans="4:4" x14ac:dyDescent="0.25">
      <c r="D1168" s="4"/>
    </row>
    <row r="1169" spans="4:4" x14ac:dyDescent="0.25">
      <c r="D1169" s="4"/>
    </row>
    <row r="1170" spans="4:4" x14ac:dyDescent="0.25">
      <c r="D1170" s="4"/>
    </row>
    <row r="1171" spans="4:4" x14ac:dyDescent="0.25">
      <c r="D1171" s="4"/>
    </row>
    <row r="1172" spans="4:4" x14ac:dyDescent="0.25">
      <c r="D1172" s="4"/>
    </row>
    <row r="1173" spans="4:4" x14ac:dyDescent="0.25">
      <c r="D1173" s="4"/>
    </row>
    <row r="1174" spans="4:4" x14ac:dyDescent="0.25">
      <c r="D1174" s="4"/>
    </row>
    <row r="1175" spans="4:4" x14ac:dyDescent="0.25">
      <c r="D1175" s="4"/>
    </row>
    <row r="1176" spans="4:4" x14ac:dyDescent="0.25">
      <c r="D1176" s="4"/>
    </row>
    <row r="1177" spans="4:4" x14ac:dyDescent="0.25">
      <c r="D1177" s="4"/>
    </row>
    <row r="1178" spans="4:4" x14ac:dyDescent="0.25">
      <c r="D1178" s="4"/>
    </row>
    <row r="1179" spans="4:4" x14ac:dyDescent="0.25">
      <c r="D1179" s="4"/>
    </row>
    <row r="1180" spans="4:4" x14ac:dyDescent="0.25">
      <c r="D1180" s="4"/>
    </row>
    <row r="1181" spans="4:4" x14ac:dyDescent="0.25">
      <c r="D1181" s="4"/>
    </row>
    <row r="1182" spans="4:4" x14ac:dyDescent="0.25">
      <c r="D1182" s="4"/>
    </row>
    <row r="1183" spans="4:4" x14ac:dyDescent="0.25">
      <c r="D1183" s="4"/>
    </row>
    <row r="1184" spans="4:4" x14ac:dyDescent="0.25">
      <c r="D1184" s="4"/>
    </row>
    <row r="1185" spans="4:4" x14ac:dyDescent="0.25">
      <c r="D1185" s="4"/>
    </row>
    <row r="1186" spans="4:4" x14ac:dyDescent="0.25">
      <c r="D1186" s="4"/>
    </row>
    <row r="1187" spans="4:4" x14ac:dyDescent="0.25">
      <c r="D1187" s="4"/>
    </row>
    <row r="1188" spans="4:4" x14ac:dyDescent="0.25">
      <c r="D1188" s="4"/>
    </row>
    <row r="1189" spans="4:4" x14ac:dyDescent="0.25">
      <c r="D1189" s="4"/>
    </row>
    <row r="1190" spans="4:4" x14ac:dyDescent="0.25">
      <c r="D1190" s="4"/>
    </row>
    <row r="1191" spans="4:4" x14ac:dyDescent="0.25">
      <c r="D1191" s="4"/>
    </row>
    <row r="1192" spans="4:4" x14ac:dyDescent="0.25">
      <c r="D1192" s="4"/>
    </row>
    <row r="1193" spans="4:4" x14ac:dyDescent="0.25">
      <c r="D1193" s="4"/>
    </row>
    <row r="1194" spans="4:4" x14ac:dyDescent="0.25">
      <c r="D1194" s="4"/>
    </row>
    <row r="1195" spans="4:4" x14ac:dyDescent="0.25">
      <c r="D1195" s="4"/>
    </row>
    <row r="1196" spans="4:4" x14ac:dyDescent="0.25">
      <c r="D1196" s="4"/>
    </row>
    <row r="1197" spans="4:4" x14ac:dyDescent="0.25">
      <c r="D1197" s="4"/>
    </row>
    <row r="1198" spans="4:4" x14ac:dyDescent="0.25">
      <c r="D1198" s="4"/>
    </row>
    <row r="1199" spans="4:4" x14ac:dyDescent="0.25">
      <c r="D1199" s="4"/>
    </row>
    <row r="1200" spans="4:4" x14ac:dyDescent="0.25">
      <c r="D1200" s="4"/>
    </row>
    <row r="1201" spans="4:4" x14ac:dyDescent="0.25">
      <c r="D1201" s="4"/>
    </row>
    <row r="1202" spans="4:4" x14ac:dyDescent="0.25">
      <c r="D1202" s="4"/>
    </row>
    <row r="1203" spans="4:4" x14ac:dyDescent="0.25">
      <c r="D1203" s="4"/>
    </row>
    <row r="1204" spans="4:4" x14ac:dyDescent="0.25">
      <c r="D1204" s="4"/>
    </row>
    <row r="1205" spans="4:4" x14ac:dyDescent="0.25">
      <c r="D1205" s="4"/>
    </row>
    <row r="1206" spans="4:4" x14ac:dyDescent="0.25">
      <c r="D1206" s="4"/>
    </row>
    <row r="1207" spans="4:4" x14ac:dyDescent="0.25">
      <c r="D1207" s="4"/>
    </row>
    <row r="1208" spans="4:4" x14ac:dyDescent="0.25">
      <c r="D1208" s="4"/>
    </row>
    <row r="1209" spans="4:4" x14ac:dyDescent="0.25">
      <c r="D1209" s="4"/>
    </row>
    <row r="1210" spans="4:4" x14ac:dyDescent="0.25">
      <c r="D1210" s="4"/>
    </row>
    <row r="1211" spans="4:4" x14ac:dyDescent="0.25">
      <c r="D1211" s="4"/>
    </row>
    <row r="1212" spans="4:4" x14ac:dyDescent="0.25">
      <c r="D1212" s="4"/>
    </row>
    <row r="1213" spans="4:4" x14ac:dyDescent="0.25">
      <c r="D1213" s="4"/>
    </row>
    <row r="1214" spans="4:4" x14ac:dyDescent="0.25">
      <c r="D1214" s="4"/>
    </row>
    <row r="1215" spans="4:4" x14ac:dyDescent="0.25">
      <c r="D1215" s="4"/>
    </row>
    <row r="1216" spans="4:4" x14ac:dyDescent="0.25">
      <c r="D1216" s="4"/>
    </row>
    <row r="1217" spans="4:4" x14ac:dyDescent="0.25">
      <c r="D1217" s="4"/>
    </row>
    <row r="1218" spans="4:4" x14ac:dyDescent="0.25">
      <c r="D1218" s="4"/>
    </row>
    <row r="1219" spans="4:4" x14ac:dyDescent="0.25">
      <c r="D1219" s="4"/>
    </row>
    <row r="1220" spans="4:4" x14ac:dyDescent="0.25">
      <c r="D1220" s="4"/>
    </row>
    <row r="1221" spans="4:4" x14ac:dyDescent="0.25">
      <c r="D1221" s="4"/>
    </row>
    <row r="1222" spans="4:4" x14ac:dyDescent="0.25">
      <c r="D1222" s="4"/>
    </row>
    <row r="1223" spans="4:4" x14ac:dyDescent="0.25">
      <c r="D1223" s="4"/>
    </row>
    <row r="1224" spans="4:4" x14ac:dyDescent="0.25">
      <c r="D1224" s="4"/>
    </row>
    <row r="1225" spans="4:4" x14ac:dyDescent="0.25">
      <c r="D1225" s="4"/>
    </row>
    <row r="1226" spans="4:4" x14ac:dyDescent="0.25">
      <c r="D1226" s="4"/>
    </row>
    <row r="1227" spans="4:4" x14ac:dyDescent="0.25">
      <c r="D1227" s="4"/>
    </row>
    <row r="1228" spans="4:4" x14ac:dyDescent="0.25">
      <c r="D1228" s="4"/>
    </row>
    <row r="1229" spans="4:4" x14ac:dyDescent="0.25">
      <c r="D1229" s="4"/>
    </row>
    <row r="1230" spans="4:4" x14ac:dyDescent="0.25">
      <c r="D1230" s="4"/>
    </row>
    <row r="1231" spans="4:4" x14ac:dyDescent="0.25">
      <c r="D1231" s="4"/>
    </row>
    <row r="1232" spans="4:4" x14ac:dyDescent="0.25">
      <c r="D1232" s="4"/>
    </row>
    <row r="1233" spans="4:4" x14ac:dyDescent="0.25">
      <c r="D1233" s="4"/>
    </row>
    <row r="1234" spans="4:4" x14ac:dyDescent="0.25">
      <c r="D1234" s="4"/>
    </row>
    <row r="1235" spans="4:4" x14ac:dyDescent="0.25">
      <c r="D1235" s="4"/>
    </row>
    <row r="1236" spans="4:4" x14ac:dyDescent="0.25">
      <c r="D1236" s="4"/>
    </row>
    <row r="1237" spans="4:4" x14ac:dyDescent="0.25">
      <c r="D1237" s="4"/>
    </row>
    <row r="1238" spans="4:4" x14ac:dyDescent="0.25">
      <c r="D1238" s="4"/>
    </row>
    <row r="1239" spans="4:4" x14ac:dyDescent="0.25">
      <c r="D1239" s="4"/>
    </row>
    <row r="1240" spans="4:4" x14ac:dyDescent="0.25">
      <c r="D1240" s="4"/>
    </row>
    <row r="1241" spans="4:4" x14ac:dyDescent="0.25">
      <c r="D1241" s="4"/>
    </row>
    <row r="1242" spans="4:4" x14ac:dyDescent="0.25">
      <c r="D1242" s="4"/>
    </row>
    <row r="1243" spans="4:4" x14ac:dyDescent="0.25">
      <c r="D1243" s="4"/>
    </row>
    <row r="1244" spans="4:4" x14ac:dyDescent="0.25">
      <c r="D1244" s="4"/>
    </row>
    <row r="1245" spans="4:4" x14ac:dyDescent="0.25">
      <c r="D1245" s="4"/>
    </row>
    <row r="1246" spans="4:4" x14ac:dyDescent="0.25">
      <c r="D1246" s="4"/>
    </row>
    <row r="1247" spans="4:4" x14ac:dyDescent="0.25">
      <c r="D1247" s="4"/>
    </row>
    <row r="1248" spans="4:4" x14ac:dyDescent="0.25">
      <c r="D1248" s="4"/>
    </row>
    <row r="1249" spans="4:4" x14ac:dyDescent="0.25">
      <c r="D1249" s="4"/>
    </row>
    <row r="1250" spans="4:4" x14ac:dyDescent="0.25">
      <c r="D1250" s="4"/>
    </row>
    <row r="1251" spans="4:4" x14ac:dyDescent="0.25">
      <c r="D1251" s="4"/>
    </row>
    <row r="1252" spans="4:4" x14ac:dyDescent="0.25">
      <c r="D1252" s="4"/>
    </row>
    <row r="1253" spans="4:4" x14ac:dyDescent="0.25">
      <c r="D1253" s="4"/>
    </row>
    <row r="1254" spans="4:4" x14ac:dyDescent="0.25">
      <c r="D1254" s="4"/>
    </row>
    <row r="1255" spans="4:4" x14ac:dyDescent="0.25">
      <c r="D1255" s="4"/>
    </row>
    <row r="1256" spans="4:4" x14ac:dyDescent="0.25">
      <c r="D1256" s="4"/>
    </row>
    <row r="1257" spans="4:4" x14ac:dyDescent="0.25">
      <c r="D1257" s="4"/>
    </row>
    <row r="1258" spans="4:4" x14ac:dyDescent="0.25">
      <c r="D1258" s="4"/>
    </row>
    <row r="1259" spans="4:4" x14ac:dyDescent="0.25">
      <c r="D1259" s="4"/>
    </row>
    <row r="1260" spans="4:4" x14ac:dyDescent="0.25">
      <c r="D1260" s="4"/>
    </row>
    <row r="1261" spans="4:4" x14ac:dyDescent="0.25">
      <c r="D1261" s="4"/>
    </row>
    <row r="1262" spans="4:4" x14ac:dyDescent="0.25">
      <c r="D1262" s="4"/>
    </row>
    <row r="1263" spans="4:4" x14ac:dyDescent="0.25">
      <c r="D1263" s="4"/>
    </row>
    <row r="1264" spans="4:4" x14ac:dyDescent="0.25">
      <c r="D1264" s="4"/>
    </row>
    <row r="1265" spans="4:4" x14ac:dyDescent="0.25">
      <c r="D1265" s="4"/>
    </row>
    <row r="1266" spans="4:4" x14ac:dyDescent="0.25">
      <c r="D1266" s="4"/>
    </row>
    <row r="1267" spans="4:4" x14ac:dyDescent="0.25">
      <c r="D1267" s="4"/>
    </row>
    <row r="1268" spans="4:4" x14ac:dyDescent="0.25">
      <c r="D1268" s="4"/>
    </row>
    <row r="1269" spans="4:4" x14ac:dyDescent="0.25">
      <c r="D1269" s="4"/>
    </row>
    <row r="1270" spans="4:4" x14ac:dyDescent="0.25">
      <c r="D1270" s="4"/>
    </row>
    <row r="1271" spans="4:4" x14ac:dyDescent="0.25">
      <c r="D1271" s="4"/>
    </row>
    <row r="1272" spans="4:4" x14ac:dyDescent="0.25">
      <c r="D1272" s="4"/>
    </row>
    <row r="1273" spans="4:4" x14ac:dyDescent="0.25">
      <c r="D1273" s="4"/>
    </row>
    <row r="1274" spans="4:4" x14ac:dyDescent="0.25">
      <c r="D1274" s="4"/>
    </row>
    <row r="1275" spans="4:4" x14ac:dyDescent="0.25">
      <c r="D1275" s="4"/>
    </row>
    <row r="1276" spans="4:4" x14ac:dyDescent="0.25">
      <c r="D1276" s="4"/>
    </row>
    <row r="1277" spans="4:4" x14ac:dyDescent="0.25">
      <c r="D1277" s="4"/>
    </row>
    <row r="1278" spans="4:4" x14ac:dyDescent="0.25">
      <c r="D1278" s="4"/>
    </row>
    <row r="1279" spans="4:4" x14ac:dyDescent="0.25">
      <c r="D1279" s="4"/>
    </row>
    <row r="1280" spans="4:4" x14ac:dyDescent="0.25">
      <c r="D1280" s="4"/>
    </row>
    <row r="1281" spans="4:4" x14ac:dyDescent="0.25">
      <c r="D1281" s="4"/>
    </row>
    <row r="1282" spans="4:4" x14ac:dyDescent="0.25">
      <c r="D1282" s="4"/>
    </row>
    <row r="1283" spans="4:4" x14ac:dyDescent="0.25">
      <c r="D1283" s="4"/>
    </row>
    <row r="1284" spans="4:4" x14ac:dyDescent="0.25">
      <c r="D1284" s="4"/>
    </row>
    <row r="1285" spans="4:4" x14ac:dyDescent="0.25">
      <c r="D1285" s="4"/>
    </row>
    <row r="1286" spans="4:4" x14ac:dyDescent="0.25">
      <c r="D1286" s="4"/>
    </row>
    <row r="1287" spans="4:4" x14ac:dyDescent="0.25">
      <c r="D1287" s="4"/>
    </row>
    <row r="1288" spans="4:4" x14ac:dyDescent="0.25">
      <c r="D1288" s="4"/>
    </row>
    <row r="1289" spans="4:4" x14ac:dyDescent="0.25">
      <c r="D1289" s="4"/>
    </row>
    <row r="1290" spans="4:4" x14ac:dyDescent="0.25">
      <c r="D1290" s="4"/>
    </row>
    <row r="1291" spans="4:4" x14ac:dyDescent="0.25">
      <c r="D1291" s="4"/>
    </row>
    <row r="1292" spans="4:4" x14ac:dyDescent="0.25">
      <c r="D1292" s="4"/>
    </row>
    <row r="1293" spans="4:4" x14ac:dyDescent="0.25">
      <c r="D1293" s="4"/>
    </row>
    <row r="1294" spans="4:4" x14ac:dyDescent="0.25">
      <c r="D1294" s="4"/>
    </row>
    <row r="1295" spans="4:4" x14ac:dyDescent="0.25">
      <c r="D1295" s="4"/>
    </row>
    <row r="1296" spans="4:4" x14ac:dyDescent="0.25">
      <c r="D1296" s="4"/>
    </row>
    <row r="1297" spans="4:4" x14ac:dyDescent="0.25">
      <c r="D1297" s="4"/>
    </row>
    <row r="1298" spans="4:4" x14ac:dyDescent="0.25">
      <c r="D1298" s="4"/>
    </row>
    <row r="1299" spans="4:4" x14ac:dyDescent="0.25">
      <c r="D1299" s="4"/>
    </row>
    <row r="1300" spans="4:4" x14ac:dyDescent="0.25">
      <c r="D1300" s="4"/>
    </row>
    <row r="1301" spans="4:4" x14ac:dyDescent="0.25">
      <c r="D1301" s="4"/>
    </row>
    <row r="1302" spans="4:4" x14ac:dyDescent="0.25">
      <c r="D1302" s="4"/>
    </row>
    <row r="1303" spans="4:4" x14ac:dyDescent="0.25">
      <c r="D1303" s="4"/>
    </row>
    <row r="1304" spans="4:4" x14ac:dyDescent="0.25">
      <c r="D1304" s="4"/>
    </row>
    <row r="1305" spans="4:4" x14ac:dyDescent="0.25">
      <c r="D1305" s="4"/>
    </row>
    <row r="1306" spans="4:4" x14ac:dyDescent="0.25">
      <c r="D1306" s="4"/>
    </row>
    <row r="1307" spans="4:4" x14ac:dyDescent="0.25">
      <c r="D1307" s="4"/>
    </row>
    <row r="1308" spans="4:4" x14ac:dyDescent="0.25">
      <c r="D1308" s="4"/>
    </row>
    <row r="1309" spans="4:4" x14ac:dyDescent="0.25">
      <c r="D1309" s="4"/>
    </row>
    <row r="1310" spans="4:4" x14ac:dyDescent="0.25">
      <c r="D1310" s="4"/>
    </row>
    <row r="1311" spans="4:4" x14ac:dyDescent="0.25">
      <c r="D1311" s="4"/>
    </row>
    <row r="1312" spans="4:4" x14ac:dyDescent="0.25">
      <c r="D1312" s="4"/>
    </row>
    <row r="1313" spans="4:4" x14ac:dyDescent="0.25">
      <c r="D1313" s="4"/>
    </row>
    <row r="1314" spans="4:4" x14ac:dyDescent="0.25">
      <c r="D1314" s="4"/>
    </row>
    <row r="1315" spans="4:4" x14ac:dyDescent="0.25">
      <c r="D1315" s="4"/>
    </row>
    <row r="1316" spans="4:4" x14ac:dyDescent="0.25">
      <c r="D1316" s="4"/>
    </row>
    <row r="1317" spans="4:4" x14ac:dyDescent="0.25">
      <c r="D1317" s="4"/>
    </row>
    <row r="1318" spans="4:4" x14ac:dyDescent="0.25">
      <c r="D1318" s="4"/>
    </row>
    <row r="1319" spans="4:4" x14ac:dyDescent="0.25">
      <c r="D1319" s="4"/>
    </row>
    <row r="1320" spans="4:4" x14ac:dyDescent="0.25">
      <c r="D1320" s="4"/>
    </row>
    <row r="1321" spans="4:4" x14ac:dyDescent="0.25">
      <c r="D1321" s="4"/>
    </row>
    <row r="1322" spans="4:4" x14ac:dyDescent="0.25">
      <c r="D1322" s="4"/>
    </row>
    <row r="1323" spans="4:4" x14ac:dyDescent="0.25">
      <c r="D1323" s="4"/>
    </row>
    <row r="1324" spans="4:4" x14ac:dyDescent="0.25">
      <c r="D1324" s="4"/>
    </row>
    <row r="1325" spans="4:4" x14ac:dyDescent="0.25">
      <c r="D1325" s="4"/>
    </row>
    <row r="1326" spans="4:4" x14ac:dyDescent="0.25">
      <c r="D1326" s="4"/>
    </row>
    <row r="1327" spans="4:4" x14ac:dyDescent="0.25">
      <c r="D1327" s="4"/>
    </row>
    <row r="1328" spans="4:4" x14ac:dyDescent="0.25">
      <c r="D1328" s="4"/>
    </row>
    <row r="1329" spans="4:4" x14ac:dyDescent="0.25">
      <c r="D1329" s="4"/>
    </row>
    <row r="1330" spans="4:4" x14ac:dyDescent="0.25">
      <c r="D1330" s="4"/>
    </row>
    <row r="1331" spans="4:4" x14ac:dyDescent="0.25">
      <c r="D1331" s="4"/>
    </row>
    <row r="1332" spans="4:4" x14ac:dyDescent="0.25">
      <c r="D1332" s="4"/>
    </row>
    <row r="1333" spans="4:4" x14ac:dyDescent="0.25">
      <c r="D1333" s="4"/>
    </row>
    <row r="1334" spans="4:4" x14ac:dyDescent="0.25">
      <c r="D1334" s="4"/>
    </row>
    <row r="1335" spans="4:4" x14ac:dyDescent="0.25">
      <c r="D1335" s="4"/>
    </row>
    <row r="1336" spans="4:4" x14ac:dyDescent="0.25">
      <c r="D1336" s="4"/>
    </row>
    <row r="1337" spans="4:4" x14ac:dyDescent="0.25">
      <c r="D1337" s="4"/>
    </row>
    <row r="1338" spans="4:4" x14ac:dyDescent="0.25">
      <c r="D1338" s="4"/>
    </row>
    <row r="1339" spans="4:4" x14ac:dyDescent="0.25">
      <c r="D1339" s="4"/>
    </row>
    <row r="1340" spans="4:4" x14ac:dyDescent="0.25">
      <c r="D1340" s="4"/>
    </row>
    <row r="1341" spans="4:4" x14ac:dyDescent="0.25">
      <c r="D1341" s="4"/>
    </row>
    <row r="1342" spans="4:4" x14ac:dyDescent="0.25">
      <c r="D1342" s="4"/>
    </row>
    <row r="1343" spans="4:4" x14ac:dyDescent="0.25">
      <c r="D1343" s="4"/>
    </row>
    <row r="1344" spans="4:4" x14ac:dyDescent="0.25">
      <c r="D1344" s="4"/>
    </row>
    <row r="1345" spans="4:4" x14ac:dyDescent="0.25">
      <c r="D1345" s="4"/>
    </row>
    <row r="1346" spans="4:4" x14ac:dyDescent="0.25">
      <c r="D1346" s="4"/>
    </row>
    <row r="1347" spans="4:4" x14ac:dyDescent="0.25">
      <c r="D1347" s="4"/>
    </row>
    <row r="1348" spans="4:4" x14ac:dyDescent="0.25">
      <c r="D1348" s="4"/>
    </row>
    <row r="1349" spans="4:4" x14ac:dyDescent="0.25">
      <c r="D1349" s="4"/>
    </row>
    <row r="1350" spans="4:4" x14ac:dyDescent="0.25">
      <c r="D1350" s="4"/>
    </row>
    <row r="1351" spans="4:4" x14ac:dyDescent="0.25">
      <c r="D1351" s="4"/>
    </row>
    <row r="1352" spans="4:4" x14ac:dyDescent="0.25">
      <c r="D1352" s="4"/>
    </row>
    <row r="1353" spans="4:4" x14ac:dyDescent="0.25">
      <c r="D1353" s="4"/>
    </row>
    <row r="1354" spans="4:4" x14ac:dyDescent="0.25">
      <c r="D1354" s="4"/>
    </row>
    <row r="1355" spans="4:4" x14ac:dyDescent="0.25">
      <c r="D1355" s="4"/>
    </row>
    <row r="1356" spans="4:4" x14ac:dyDescent="0.25">
      <c r="D1356" s="4"/>
    </row>
    <row r="1357" spans="4:4" x14ac:dyDescent="0.25">
      <c r="D1357" s="4"/>
    </row>
    <row r="1358" spans="4:4" x14ac:dyDescent="0.25">
      <c r="D1358" s="4"/>
    </row>
    <row r="1359" spans="4:4" x14ac:dyDescent="0.25">
      <c r="D1359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938"/>
  <sheetViews>
    <sheetView workbookViewId="0">
      <selection activeCell="R2" sqref="R2"/>
    </sheetView>
  </sheetViews>
  <sheetFormatPr defaultRowHeight="15" x14ac:dyDescent="0.25"/>
  <cols>
    <col min="1" max="1" width="9.7109375" bestFit="1" customWidth="1"/>
    <col min="2" max="2" width="26.7109375" customWidth="1"/>
    <col min="3" max="3" width="5.140625" bestFit="1" customWidth="1"/>
    <col min="4" max="4" width="10.7109375" bestFit="1" customWidth="1"/>
    <col min="5" max="6" width="12" bestFit="1" customWidth="1"/>
    <col min="7" max="7" width="9.140625" bestFit="1" customWidth="1"/>
    <col min="8" max="8" width="12" bestFit="1" customWidth="1"/>
    <col min="9" max="9" width="8.140625" bestFit="1" customWidth="1"/>
    <col min="10" max="10" width="12.85546875" bestFit="1" customWidth="1"/>
    <col min="11" max="11" width="12.140625" bestFit="1" customWidth="1"/>
    <col min="12" max="16" width="12" bestFit="1" customWidth="1"/>
    <col min="17" max="17" width="8.7109375" bestFit="1" customWidth="1"/>
    <col min="18" max="19" width="12.140625" bestFit="1" customWidth="1"/>
  </cols>
  <sheetData>
    <row r="1" spans="1:18" x14ac:dyDescent="0.25">
      <c r="A1" t="s">
        <v>1</v>
      </c>
      <c r="B1" t="s">
        <v>5</v>
      </c>
      <c r="C1" t="s">
        <v>6</v>
      </c>
      <c r="D1" t="s">
        <v>3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20</v>
      </c>
      <c r="Q1" t="s">
        <v>21</v>
      </c>
      <c r="R1" t="s">
        <v>22</v>
      </c>
    </row>
    <row r="2" spans="1:18" x14ac:dyDescent="0.25">
      <c r="A2" s="4">
        <v>46139</v>
      </c>
      <c r="B2" t="s">
        <v>10</v>
      </c>
      <c r="C2">
        <v>1</v>
      </c>
      <c r="D2" t="s">
        <v>82</v>
      </c>
      <c r="E2">
        <v>9.6561111111111106</v>
      </c>
      <c r="F2">
        <v>15245.416666666668</v>
      </c>
      <c r="G2">
        <v>392</v>
      </c>
      <c r="H2">
        <v>322</v>
      </c>
      <c r="I2">
        <v>70</v>
      </c>
      <c r="J2">
        <v>52</v>
      </c>
      <c r="K2">
        <v>103</v>
      </c>
      <c r="L2">
        <v>64.166666666666686</v>
      </c>
      <c r="M2">
        <v>1382.9166666666667</v>
      </c>
      <c r="N2">
        <v>14965.750000000004</v>
      </c>
      <c r="O2">
        <v>335.39786666666669</v>
      </c>
      <c r="P2">
        <v>37.735888888888887</v>
      </c>
      <c r="Q2">
        <v>21.630000000000052</v>
      </c>
      <c r="R2">
        <v>110.15850000000002</v>
      </c>
    </row>
    <row r="3" spans="1:18" x14ac:dyDescent="0.25">
      <c r="A3" s="4">
        <v>46139</v>
      </c>
      <c r="B3" t="s">
        <v>10</v>
      </c>
      <c r="C3">
        <v>1</v>
      </c>
      <c r="D3" t="s">
        <v>85</v>
      </c>
      <c r="E3">
        <v>0</v>
      </c>
      <c r="F3">
        <v>17</v>
      </c>
      <c r="G3">
        <v>1</v>
      </c>
      <c r="H3">
        <v>1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0.99093333333333333</v>
      </c>
      <c r="P3">
        <v>0</v>
      </c>
      <c r="Q3">
        <v>0</v>
      </c>
      <c r="R3">
        <v>0.44283333333333336</v>
      </c>
    </row>
    <row r="4" spans="1:18" x14ac:dyDescent="0.25">
      <c r="A4" s="4">
        <v>46139</v>
      </c>
      <c r="B4" t="s">
        <v>9</v>
      </c>
      <c r="C4">
        <v>1</v>
      </c>
      <c r="D4" t="s">
        <v>83</v>
      </c>
      <c r="E4">
        <v>9.7536111111111126</v>
      </c>
      <c r="F4">
        <v>4722.5833333333339</v>
      </c>
      <c r="G4">
        <v>194</v>
      </c>
      <c r="H4">
        <v>178</v>
      </c>
      <c r="I4">
        <v>16</v>
      </c>
      <c r="J4">
        <v>19</v>
      </c>
      <c r="K4">
        <v>62</v>
      </c>
      <c r="L4">
        <v>23.583333333333329</v>
      </c>
      <c r="M4">
        <v>922.16666666666686</v>
      </c>
      <c r="N4">
        <v>9667.4166666666679</v>
      </c>
      <c r="O4">
        <v>179.19479999999979</v>
      </c>
      <c r="P4">
        <v>8.1384444444444455</v>
      </c>
      <c r="Q4">
        <v>13.020000000000019</v>
      </c>
      <c r="R4">
        <v>53.572000000000017</v>
      </c>
    </row>
    <row r="5" spans="1:18" x14ac:dyDescent="0.25">
      <c r="A5" s="4">
        <v>46139</v>
      </c>
      <c r="B5" t="s">
        <v>92</v>
      </c>
      <c r="C5">
        <v>1</v>
      </c>
      <c r="D5" t="s">
        <v>129</v>
      </c>
      <c r="E5">
        <v>-9.8888888888889248E-2</v>
      </c>
      <c r="F5">
        <v>1744.333333333333</v>
      </c>
      <c r="G5">
        <v>45</v>
      </c>
      <c r="H5">
        <v>20</v>
      </c>
      <c r="I5">
        <v>25</v>
      </c>
      <c r="J5">
        <v>2</v>
      </c>
      <c r="K5">
        <v>3</v>
      </c>
      <c r="L5">
        <v>0</v>
      </c>
      <c r="M5">
        <v>0</v>
      </c>
      <c r="N5">
        <v>0</v>
      </c>
      <c r="O5">
        <v>21.022222222222222</v>
      </c>
      <c r="P5">
        <v>12.478833333333336</v>
      </c>
      <c r="Q5">
        <v>0.63</v>
      </c>
      <c r="R5">
        <v>8.7448333333333323</v>
      </c>
    </row>
    <row r="6" spans="1:18" x14ac:dyDescent="0.25">
      <c r="A6" s="4"/>
    </row>
    <row r="7" spans="1:18" x14ac:dyDescent="0.25">
      <c r="A7" s="4"/>
    </row>
    <row r="8" spans="1:18" x14ac:dyDescent="0.25">
      <c r="A8" s="4"/>
    </row>
    <row r="9" spans="1:18" x14ac:dyDescent="0.25">
      <c r="A9" s="4"/>
    </row>
    <row r="10" spans="1:18" x14ac:dyDescent="0.25">
      <c r="A10" s="4"/>
    </row>
    <row r="11" spans="1:18" x14ac:dyDescent="0.25">
      <c r="A11" s="4"/>
    </row>
    <row r="12" spans="1:18" x14ac:dyDescent="0.25">
      <c r="A12" s="4"/>
    </row>
    <row r="13" spans="1:18" x14ac:dyDescent="0.25">
      <c r="A13" s="4"/>
    </row>
    <row r="14" spans="1:18" x14ac:dyDescent="0.25">
      <c r="A14" s="4"/>
    </row>
    <row r="15" spans="1:18" x14ac:dyDescent="0.25">
      <c r="A15" s="4"/>
    </row>
    <row r="16" spans="1:18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4"/>
  <sheetViews>
    <sheetView workbookViewId="0">
      <selection activeCell="A5" sqref="A5"/>
    </sheetView>
  </sheetViews>
  <sheetFormatPr defaultRowHeight="15" x14ac:dyDescent="0.25"/>
  <cols>
    <col min="1" max="6" width="27.42578125" customWidth="1"/>
  </cols>
  <sheetData>
    <row r="1" spans="1:6" x14ac:dyDescent="0.25">
      <c r="A1" s="2" t="s">
        <v>5</v>
      </c>
      <c r="B1" s="2" t="s">
        <v>25</v>
      </c>
      <c r="C1" s="2" t="s">
        <v>26</v>
      </c>
      <c r="D1" s="2" t="s">
        <v>27</v>
      </c>
      <c r="E1" s="2" t="s">
        <v>28</v>
      </c>
      <c r="F1" s="2" t="s">
        <v>29</v>
      </c>
    </row>
    <row r="2" spans="1:6" x14ac:dyDescent="0.25">
      <c r="A2" s="9" t="s">
        <v>10</v>
      </c>
      <c r="B2" s="10">
        <v>0.9456</v>
      </c>
      <c r="C2" s="10">
        <v>0.39750000000000002</v>
      </c>
      <c r="D2" s="10">
        <v>0.21</v>
      </c>
      <c r="E2" s="10">
        <v>0.39750000000000002</v>
      </c>
      <c r="F2" s="9">
        <v>375</v>
      </c>
    </row>
    <row r="3" spans="1:6" x14ac:dyDescent="0.25">
      <c r="A3" s="9" t="s">
        <v>9</v>
      </c>
      <c r="B3" s="10">
        <v>0.9456</v>
      </c>
      <c r="C3" s="10">
        <v>0.39750000000000002</v>
      </c>
      <c r="D3" s="10">
        <v>0.21</v>
      </c>
      <c r="E3" s="10">
        <v>0.39750000000000002</v>
      </c>
      <c r="F3" s="9">
        <v>375</v>
      </c>
    </row>
    <row r="4" spans="1:6" x14ac:dyDescent="0.25">
      <c r="A4" s="9" t="s">
        <v>92</v>
      </c>
      <c r="B4" s="10">
        <v>0.9456</v>
      </c>
      <c r="C4" s="10">
        <v>0.39750000000000002</v>
      </c>
      <c r="D4" s="10">
        <v>0.21</v>
      </c>
      <c r="E4" s="10">
        <v>0.39750000000000002</v>
      </c>
      <c r="F4" s="9">
        <v>375</v>
      </c>
    </row>
    <row r="5" spans="1:6" x14ac:dyDescent="0.25">
      <c r="A5" s="9"/>
      <c r="B5" s="9"/>
      <c r="C5" s="9"/>
      <c r="D5" s="9"/>
      <c r="E5" s="9"/>
      <c r="F5" s="9"/>
    </row>
    <row r="6" spans="1:6" x14ac:dyDescent="0.25">
      <c r="A6" s="9"/>
      <c r="B6" s="9"/>
      <c r="C6" s="9"/>
      <c r="D6" s="9"/>
      <c r="E6" s="9"/>
      <c r="F6" s="9"/>
    </row>
    <row r="7" spans="1:6" x14ac:dyDescent="0.25">
      <c r="A7" s="9"/>
      <c r="B7" s="9"/>
      <c r="C7" s="9"/>
      <c r="D7" s="9"/>
      <c r="E7" s="9"/>
      <c r="F7" s="9"/>
    </row>
    <row r="8" spans="1:6" x14ac:dyDescent="0.25">
      <c r="A8" s="9"/>
      <c r="B8" s="9"/>
      <c r="C8" s="9"/>
      <c r="D8" s="9"/>
      <c r="E8" s="9"/>
      <c r="F8" s="9"/>
    </row>
    <row r="9" spans="1:6" x14ac:dyDescent="0.25">
      <c r="A9" s="9"/>
      <c r="B9" s="9"/>
      <c r="C9" s="9"/>
      <c r="D9" s="9"/>
      <c r="E9" s="9"/>
      <c r="F9" s="9"/>
    </row>
    <row r="10" spans="1:6" x14ac:dyDescent="0.25">
      <c r="A10" s="9"/>
      <c r="B10" s="9"/>
      <c r="C10" s="9"/>
      <c r="D10" s="9"/>
      <c r="E10" s="9"/>
      <c r="F10" s="9"/>
    </row>
    <row r="11" spans="1:6" x14ac:dyDescent="0.25">
      <c r="A11" s="9"/>
      <c r="B11" s="9"/>
      <c r="C11" s="9"/>
      <c r="D11" s="9"/>
      <c r="E11" s="9"/>
      <c r="F11" s="9"/>
    </row>
    <row r="12" spans="1:6" x14ac:dyDescent="0.25">
      <c r="A12" s="9"/>
      <c r="B12" s="9"/>
      <c r="C12" s="9"/>
      <c r="D12" s="9"/>
      <c r="E12" s="9"/>
      <c r="F12" s="9"/>
    </row>
    <row r="13" spans="1:6" x14ac:dyDescent="0.25">
      <c r="A13" s="9"/>
      <c r="B13" s="9"/>
      <c r="C13" s="9"/>
      <c r="D13" s="9"/>
      <c r="E13" s="9"/>
      <c r="F13" s="9"/>
    </row>
    <row r="14" spans="1:6" x14ac:dyDescent="0.25">
      <c r="A14" s="9"/>
      <c r="B14" s="9"/>
      <c r="C14" s="9"/>
      <c r="D14" s="9"/>
      <c r="E14" s="9"/>
      <c r="F14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Control Panel</vt:lpstr>
      <vt:lpstr>Results</vt:lpstr>
      <vt:lpstr>Report</vt:lpstr>
      <vt:lpstr>Summary</vt:lpstr>
      <vt:lpstr>Specs</vt:lpstr>
    </vt:vector>
  </TitlesOfParts>
  <Company>The Dixie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Fowler</dc:creator>
  <cp:lastModifiedBy>Arthur Fowler</cp:lastModifiedBy>
  <cp:lastPrinted>2021-09-16T19:06:20Z</cp:lastPrinted>
  <dcterms:created xsi:type="dcterms:W3CDTF">2018-04-04T17:22:23Z</dcterms:created>
  <dcterms:modified xsi:type="dcterms:W3CDTF">2026-04-28T16:53:21Z</dcterms:modified>
</cp:coreProperties>
</file>